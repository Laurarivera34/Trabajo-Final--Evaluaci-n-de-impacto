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1. MECA\2025\EVALUACIACÓN DE IMPACTO- Raachid Raaj\Trabajo final\Trabajo-Final--Evaluaci-n-de-impacto\Datos\"/>
    </mc:Choice>
  </mc:AlternateContent>
  <xr:revisionPtr revIDLastSave="0" documentId="13_ncr:1_{BCDA98DD-E017-4E90-8602-CCE0BFC2DE3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ódigos DANE Municipios" sheetId="2" r:id="rId1"/>
    <sheet name="Hoja1" sheetId="1" r:id="rId2"/>
    <sheet name="APOYO" sheetId="3" r:id="rId3"/>
  </sheets>
  <definedNames>
    <definedName name="_xlnm._FilterDatabase" localSheetId="2" hidden="1">APOYO!$K$1:$O$108</definedName>
    <definedName name="_xlnm._FilterDatabase" localSheetId="0" hidden="1">'Códigos DANE Municipios'!$A$1:$C$1123</definedName>
    <definedName name="_xlnm._FilterDatabase" localSheetId="1" hidden="1">Hoja1!$A$1:$L$6787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93" i="1" l="1"/>
  <c r="D5786" i="1"/>
  <c r="D5698" i="1"/>
  <c r="D5647" i="1"/>
  <c r="D5533" i="1"/>
  <c r="D5483" i="1"/>
  <c r="A5449" i="1"/>
  <c r="D5437" i="1"/>
  <c r="D5389" i="1"/>
  <c r="D5371" i="1"/>
  <c r="D5329" i="1"/>
  <c r="A5004" i="1"/>
  <c r="D500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S3" i="3"/>
  <c r="S4" i="3"/>
  <c r="S5" i="3"/>
  <c r="S6" i="3"/>
  <c r="S7" i="3"/>
  <c r="S8" i="3"/>
  <c r="S9" i="3"/>
  <c r="S10" i="3"/>
  <c r="S2" i="3"/>
  <c r="D2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B1244" i="1" s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B1993" i="1" s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B2726" i="1" s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B3459" i="1" s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B4192" i="1" s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B4497" i="1" s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994" i="1"/>
  <c r="D4995" i="1"/>
  <c r="D4996" i="1"/>
  <c r="D4997" i="1"/>
  <c r="D4998" i="1"/>
  <c r="D4999" i="1"/>
  <c r="D5000" i="1"/>
  <c r="D5001" i="1"/>
  <c r="D5002" i="1"/>
  <c r="D5003" i="1"/>
  <c r="D5005" i="1"/>
  <c r="D5006" i="1"/>
  <c r="D5007" i="1"/>
  <c r="D5008" i="1"/>
  <c r="D5009" i="1"/>
  <c r="D5010" i="1"/>
  <c r="D5011" i="1"/>
  <c r="D5012" i="1"/>
  <c r="D5013" i="1"/>
  <c r="D5014" i="1"/>
  <c r="D5016" i="1"/>
  <c r="D5017" i="1"/>
  <c r="D5019" i="1"/>
  <c r="D5020" i="1"/>
  <c r="D5022" i="1"/>
  <c r="D5023" i="1"/>
  <c r="D5024" i="1"/>
  <c r="D5025" i="1"/>
  <c r="D5026" i="1"/>
  <c r="D5028" i="1"/>
  <c r="D5029" i="1"/>
  <c r="D5030" i="1"/>
  <c r="D5031" i="1"/>
  <c r="D5032" i="1"/>
  <c r="D5033" i="1"/>
  <c r="D5034" i="1"/>
  <c r="D5035" i="1"/>
  <c r="D5036" i="1"/>
  <c r="D5037" i="1"/>
  <c r="D5039" i="1"/>
  <c r="D5040" i="1"/>
  <c r="D5041" i="1"/>
  <c r="D5042" i="1"/>
  <c r="D5043" i="1"/>
  <c r="D5044" i="1"/>
  <c r="D5045" i="1"/>
  <c r="D5046" i="1"/>
  <c r="D5048" i="1"/>
  <c r="D5049" i="1"/>
  <c r="D5050" i="1"/>
  <c r="D5052" i="1"/>
  <c r="D5053" i="1"/>
  <c r="D5056" i="1"/>
  <c r="D5057" i="1"/>
  <c r="D5059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4" i="1"/>
  <c r="D5085" i="1"/>
  <c r="D5086" i="1"/>
  <c r="D5087" i="1"/>
  <c r="D5088" i="1"/>
  <c r="D5090" i="1"/>
  <c r="D5091" i="1"/>
  <c r="D5092" i="1"/>
  <c r="D5093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7" i="1"/>
  <c r="D5119" i="1"/>
  <c r="D5120" i="1"/>
  <c r="D5123" i="1"/>
  <c r="D5124" i="1"/>
  <c r="D5125" i="1"/>
  <c r="D5126" i="1"/>
  <c r="D5127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B5299" i="1" s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B5775" i="1" s="1"/>
  <c r="D5776" i="1"/>
  <c r="D5777" i="1"/>
  <c r="D5778" i="1"/>
  <c r="D5779" i="1"/>
  <c r="D5780" i="1"/>
  <c r="D5781" i="1"/>
  <c r="D5782" i="1"/>
  <c r="D5783" i="1"/>
  <c r="D5784" i="1"/>
  <c r="D5785" i="1"/>
  <c r="D5787" i="1"/>
  <c r="D5788" i="1"/>
  <c r="D5789" i="1"/>
  <c r="D5790" i="1"/>
  <c r="D5791" i="1"/>
  <c r="D5792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B6118" i="1" s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B6586" i="1" s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9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B762" i="1" s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H2" i="3" a="1"/>
  <c r="H2" i="3" s="1"/>
  <c r="L19" i="3"/>
  <c r="L91" i="3"/>
  <c r="L86" i="3"/>
  <c r="L104" i="3"/>
  <c r="L100" i="3"/>
  <c r="L2" i="3"/>
  <c r="L96" i="3"/>
  <c r="L9" i="3"/>
  <c r="L10" i="3"/>
  <c r="L11" i="3"/>
  <c r="L12" i="3"/>
  <c r="L13" i="3"/>
  <c r="L14" i="3"/>
  <c r="L16" i="3"/>
  <c r="L17" i="3"/>
  <c r="L18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7" i="3"/>
  <c r="L88" i="3"/>
  <c r="L89" i="3"/>
  <c r="L90" i="3"/>
  <c r="L92" i="3"/>
  <c r="L93" i="3"/>
  <c r="L94" i="3"/>
  <c r="L95" i="3"/>
  <c r="L97" i="3"/>
  <c r="L98" i="3"/>
  <c r="L99" i="3"/>
  <c r="L101" i="3"/>
  <c r="L102" i="3"/>
  <c r="L103" i="3"/>
  <c r="L105" i="3"/>
  <c r="L106" i="3"/>
  <c r="L107" i="3"/>
  <c r="L108" i="3"/>
  <c r="L109" i="3"/>
  <c r="L110" i="3"/>
  <c r="L111" i="3"/>
  <c r="L112" i="3"/>
  <c r="L113" i="3"/>
  <c r="L114" i="3"/>
  <c r="L115" i="3"/>
  <c r="L3" i="3"/>
  <c r="L4" i="3"/>
  <c r="L5" i="3"/>
  <c r="L6" i="3"/>
  <c r="L7" i="3"/>
  <c r="L8" i="3"/>
  <c r="M8" i="3"/>
  <c r="N8" i="3" s="1"/>
  <c r="O8" i="3" s="1"/>
  <c r="F2" i="3"/>
  <c r="N3" i="3"/>
  <c r="O3" i="3" s="1"/>
  <c r="N4" i="3"/>
  <c r="O4" i="3" s="1"/>
  <c r="N5" i="3"/>
  <c r="O5" i="3" s="1"/>
  <c r="N6" i="3"/>
  <c r="O6" i="3" s="1"/>
  <c r="N7" i="3"/>
  <c r="O7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2" i="3"/>
  <c r="O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B4875" i="1" s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B4925" i="1" s="1"/>
  <c r="A4926" i="1"/>
  <c r="B4926" i="1" s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B4941" i="1" s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B4954" i="1" s="1"/>
  <c r="A4955" i="1"/>
  <c r="B4955" i="1" s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B4968" i="1" s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B4985" i="1" s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5" i="1"/>
  <c r="A5006" i="1"/>
  <c r="A5007" i="1"/>
  <c r="A5008" i="1"/>
  <c r="A5009" i="1"/>
  <c r="A5010" i="1"/>
  <c r="A5011" i="1"/>
  <c r="A5012" i="1"/>
  <c r="A5013" i="1"/>
  <c r="A5014" i="1"/>
  <c r="A5016" i="1"/>
  <c r="A5017" i="1"/>
  <c r="A5019" i="1"/>
  <c r="A5020" i="1"/>
  <c r="A5022" i="1"/>
  <c r="A5023" i="1"/>
  <c r="A5024" i="1"/>
  <c r="A5025" i="1"/>
  <c r="A5026" i="1"/>
  <c r="A5028" i="1"/>
  <c r="A5029" i="1"/>
  <c r="A5030" i="1"/>
  <c r="A5031" i="1"/>
  <c r="A5032" i="1"/>
  <c r="A5033" i="1"/>
  <c r="A5034" i="1"/>
  <c r="A5035" i="1"/>
  <c r="A5036" i="1"/>
  <c r="A5037" i="1"/>
  <c r="A5039" i="1"/>
  <c r="A5040" i="1"/>
  <c r="A5041" i="1"/>
  <c r="A5042" i="1"/>
  <c r="A5043" i="1"/>
  <c r="A5044" i="1"/>
  <c r="A5045" i="1"/>
  <c r="A5046" i="1"/>
  <c r="A5048" i="1"/>
  <c r="A5049" i="1"/>
  <c r="A5050" i="1"/>
  <c r="A5052" i="1"/>
  <c r="A5053" i="1"/>
  <c r="A5056" i="1"/>
  <c r="A5057" i="1"/>
  <c r="A5059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4" i="1"/>
  <c r="A5085" i="1"/>
  <c r="A5086" i="1"/>
  <c r="A5087" i="1"/>
  <c r="A5088" i="1"/>
  <c r="A5090" i="1"/>
  <c r="A5091" i="1"/>
  <c r="A5092" i="1"/>
  <c r="A5093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7" i="1"/>
  <c r="A5119" i="1"/>
  <c r="A5120" i="1"/>
  <c r="A5123" i="1"/>
  <c r="A5124" i="1"/>
  <c r="A5125" i="1"/>
  <c r="A5126" i="1"/>
  <c r="A5127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8" i="1"/>
  <c r="A5439" i="1"/>
  <c r="A5440" i="1"/>
  <c r="A5441" i="1"/>
  <c r="A5442" i="1"/>
  <c r="A5443" i="1"/>
  <c r="A5444" i="1"/>
  <c r="A5445" i="1"/>
  <c r="A5446" i="1"/>
  <c r="A5447" i="1"/>
  <c r="A5448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7" i="1"/>
  <c r="A5788" i="1"/>
  <c r="A5789" i="1"/>
  <c r="A5790" i="1"/>
  <c r="A5791" i="1"/>
  <c r="A5792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2" i="1"/>
  <c r="B520" i="1" l="1"/>
  <c r="B6666" i="1"/>
  <c r="B6042" i="1"/>
  <c r="B40" i="1"/>
  <c r="B5176" i="1"/>
  <c r="B3299" i="1"/>
  <c r="B2747" i="1"/>
  <c r="B81" i="1"/>
  <c r="B5321" i="1"/>
  <c r="B4212" i="1"/>
  <c r="B5577" i="1"/>
  <c r="B714" i="1"/>
  <c r="B690" i="1"/>
  <c r="B482" i="1"/>
  <c r="B66" i="1"/>
  <c r="B18" i="1"/>
  <c r="B6748" i="1"/>
  <c r="B6572" i="1"/>
  <c r="B6332" i="1"/>
  <c r="B6140" i="1"/>
  <c r="B6068" i="1"/>
  <c r="B6020" i="1"/>
  <c r="B5988" i="1"/>
  <c r="B5940" i="1"/>
  <c r="B5746" i="1"/>
  <c r="B5470" i="1"/>
  <c r="B5202" i="1"/>
  <c r="B4757" i="1"/>
  <c r="B4733" i="1"/>
  <c r="B4445" i="1"/>
  <c r="B4429" i="1"/>
  <c r="B4421" i="1"/>
  <c r="B4213" i="1"/>
  <c r="B3661" i="1"/>
  <c r="B2933" i="1"/>
  <c r="B2901" i="1"/>
  <c r="B2797" i="1"/>
  <c r="B2541" i="1"/>
  <c r="B2245" i="1"/>
  <c r="B2221" i="1"/>
  <c r="B2013" i="1"/>
  <c r="B1965" i="1"/>
  <c r="B1437" i="1"/>
  <c r="B1365" i="1"/>
  <c r="B1325" i="1"/>
  <c r="B1269" i="1"/>
  <c r="B1165" i="1"/>
  <c r="B746" i="1"/>
  <c r="B722" i="1"/>
  <c r="B931" i="1"/>
  <c r="B6684" i="1"/>
  <c r="B6300" i="1"/>
  <c r="B6028" i="1"/>
  <c r="B5234" i="1"/>
  <c r="B5178" i="1"/>
  <c r="B4141" i="1"/>
  <c r="B3645" i="1"/>
  <c r="B2981" i="1"/>
  <c r="B2965" i="1"/>
  <c r="B2941" i="1"/>
  <c r="B2757" i="1"/>
  <c r="B2069" i="1"/>
  <c r="B763" i="1"/>
  <c r="B683" i="1"/>
  <c r="B435" i="1"/>
  <c r="B59" i="1"/>
  <c r="B35" i="1"/>
  <c r="B11" i="1"/>
  <c r="B6749" i="1"/>
  <c r="B6557" i="1"/>
  <c r="B6053" i="1"/>
  <c r="B5997" i="1"/>
  <c r="B5723" i="1"/>
  <c r="B5195" i="1"/>
  <c r="B4766" i="1"/>
  <c r="B4446" i="1"/>
  <c r="B4422" i="1"/>
  <c r="B4206" i="1"/>
  <c r="B3910" i="1"/>
  <c r="B3710" i="1"/>
  <c r="B3686" i="1"/>
  <c r="B3446" i="1"/>
  <c r="B3246" i="1"/>
  <c r="B2982" i="1"/>
  <c r="B1942" i="1"/>
  <c r="B1462" i="1"/>
  <c r="B1446" i="1"/>
  <c r="B1382" i="1"/>
  <c r="B1262" i="1"/>
  <c r="B1030" i="1"/>
  <c r="B330" i="1"/>
  <c r="B6628" i="1"/>
  <c r="B6556" i="1"/>
  <c r="B5972" i="1"/>
  <c r="B5266" i="1"/>
  <c r="B5162" i="1"/>
  <c r="B4629" i="1"/>
  <c r="B4381" i="1"/>
  <c r="B3629" i="1"/>
  <c r="B2181" i="1"/>
  <c r="B1245" i="1"/>
  <c r="B759" i="1"/>
  <c r="B735" i="1"/>
  <c r="B527" i="1"/>
  <c r="B39" i="1"/>
  <c r="B6721" i="1"/>
  <c r="B6681" i="1"/>
  <c r="B6609" i="1"/>
  <c r="B6417" i="1"/>
  <c r="B5223" i="1"/>
  <c r="B3666" i="1"/>
  <c r="B3274" i="1"/>
  <c r="B747" i="1"/>
  <c r="B723" i="1"/>
  <c r="B715" i="1"/>
  <c r="B507" i="1"/>
  <c r="B83" i="1"/>
  <c r="B6781" i="1"/>
  <c r="B6285" i="1"/>
  <c r="B6085" i="1"/>
  <c r="B6029" i="1"/>
  <c r="B6021" i="1"/>
  <c r="B5981" i="1"/>
  <c r="B5965" i="1"/>
  <c r="B5877" i="1"/>
  <c r="B5779" i="1"/>
  <c r="B5504" i="1"/>
  <c r="B5455" i="1"/>
  <c r="B5307" i="1"/>
  <c r="B5259" i="1"/>
  <c r="B5251" i="1"/>
  <c r="B5235" i="1"/>
  <c r="B5211" i="1"/>
  <c r="B4750" i="1"/>
  <c r="B4518" i="1"/>
  <c r="B4414" i="1"/>
  <c r="B3694" i="1"/>
  <c r="B3430" i="1"/>
  <c r="B3166" i="1"/>
  <c r="B2966" i="1"/>
  <c r="B2942" i="1"/>
  <c r="B2934" i="1"/>
  <c r="B2910" i="1"/>
  <c r="B2566" i="1"/>
  <c r="B2502" i="1"/>
  <c r="B2414" i="1"/>
  <c r="B2254" i="1"/>
  <c r="B2214" i="1"/>
  <c r="B2182" i="1"/>
  <c r="B2014" i="1"/>
  <c r="B1430" i="1"/>
  <c r="B1422" i="1"/>
  <c r="B950" i="1"/>
  <c r="B761" i="1"/>
  <c r="B681" i="1"/>
  <c r="B577" i="1"/>
  <c r="B537" i="1"/>
  <c r="B9" i="1"/>
  <c r="B6683" i="1"/>
  <c r="B6675" i="1"/>
  <c r="B6579" i="1"/>
  <c r="B6435" i="1"/>
  <c r="B6067" i="1"/>
  <c r="B6019" i="1"/>
  <c r="B5995" i="1"/>
  <c r="B5939" i="1"/>
  <c r="B5875" i="1"/>
  <c r="B5761" i="1"/>
  <c r="B5518" i="1"/>
  <c r="B5486" i="1"/>
  <c r="B5249" i="1"/>
  <c r="B5209" i="1"/>
  <c r="B5201" i="1"/>
  <c r="B5169" i="1"/>
  <c r="B4268" i="1"/>
  <c r="B4164" i="1"/>
  <c r="B3636" i="1"/>
  <c r="B3380" i="1"/>
  <c r="B2980" i="1"/>
  <c r="B2740" i="1"/>
  <c r="B2444" i="1"/>
  <c r="B2244" i="1"/>
  <c r="B2228" i="1"/>
  <c r="B2220" i="1"/>
  <c r="B1980" i="1"/>
  <c r="B1780" i="1"/>
  <c r="B1700" i="1"/>
  <c r="B1516" i="1"/>
  <c r="B1468" i="1"/>
  <c r="B1444" i="1"/>
  <c r="B1268" i="1"/>
  <c r="B1084" i="1"/>
  <c r="B496" i="1"/>
  <c r="B80" i="1"/>
  <c r="B6674" i="1"/>
  <c r="B6626" i="1"/>
  <c r="B5986" i="1"/>
  <c r="B5874" i="1"/>
  <c r="B5866" i="1"/>
  <c r="B5768" i="1"/>
  <c r="B5622" i="1"/>
  <c r="B5248" i="1"/>
  <c r="B5200" i="1"/>
  <c r="B4811" i="1"/>
  <c r="B4659" i="1"/>
  <c r="B4563" i="1"/>
  <c r="B4395" i="1"/>
  <c r="B4179" i="1"/>
  <c r="B3979" i="1"/>
  <c r="B3899" i="1"/>
  <c r="B3715" i="1"/>
  <c r="B3667" i="1"/>
  <c r="B3643" i="1"/>
  <c r="B2675" i="1"/>
  <c r="B2195" i="1"/>
  <c r="B2179" i="1"/>
  <c r="B1515" i="1"/>
  <c r="B1499" i="1"/>
  <c r="B1475" i="1"/>
  <c r="B1467" i="1"/>
  <c r="B1435" i="1"/>
  <c r="B1331" i="1"/>
  <c r="B1059" i="1"/>
  <c r="B6673" i="1"/>
  <c r="B6577" i="1"/>
  <c r="B6185" i="1"/>
  <c r="B6137" i="1"/>
  <c r="B6049" i="1"/>
  <c r="B6041" i="1"/>
  <c r="B5865" i="1"/>
  <c r="B5857" i="1"/>
  <c r="B5167" i="1"/>
  <c r="B4706" i="1"/>
  <c r="B4402" i="1"/>
  <c r="B3634" i="1"/>
  <c r="B2978" i="1"/>
  <c r="B2954" i="1"/>
  <c r="B2746" i="1"/>
  <c r="B2698" i="1"/>
  <c r="B2170" i="1"/>
  <c r="B27" i="1"/>
  <c r="B6589" i="1"/>
  <c r="B6349" i="1"/>
  <c r="B6245" i="1"/>
  <c r="B6197" i="1"/>
  <c r="B6133" i="1"/>
  <c r="B6037" i="1"/>
  <c r="B6005" i="1"/>
  <c r="B5797" i="1"/>
  <c r="B5291" i="1"/>
  <c r="B4438" i="1"/>
  <c r="B4390" i="1"/>
  <c r="B4366" i="1"/>
  <c r="B3046" i="1"/>
  <c r="B2510" i="1"/>
  <c r="B2190" i="1"/>
  <c r="B2166" i="1"/>
  <c r="B1510" i="1"/>
  <c r="B1486" i="1"/>
  <c r="B1246" i="1"/>
  <c r="B730" i="1"/>
  <c r="B74" i="1"/>
  <c r="B58" i="1"/>
  <c r="B6588" i="1"/>
  <c r="B6348" i="1"/>
  <c r="B5778" i="1"/>
  <c r="B5536" i="1"/>
  <c r="B5429" i="1"/>
  <c r="B5380" i="1"/>
  <c r="B5314" i="1"/>
  <c r="B5218" i="1"/>
  <c r="B5210" i="1"/>
  <c r="B5186" i="1"/>
  <c r="B4365" i="1"/>
  <c r="B3709" i="1"/>
  <c r="B3685" i="1"/>
  <c r="B3621" i="1"/>
  <c r="B3237" i="1"/>
  <c r="B2949" i="1"/>
  <c r="B2365" i="1"/>
  <c r="B2261" i="1"/>
  <c r="B2237" i="1"/>
  <c r="B2213" i="1"/>
  <c r="B1501" i="1"/>
  <c r="B1453" i="1"/>
  <c r="B1021" i="1"/>
  <c r="B881" i="1"/>
  <c r="B89" i="1"/>
  <c r="B6651" i="1"/>
  <c r="B6587" i="1"/>
  <c r="B6459" i="1"/>
  <c r="B6355" i="1"/>
  <c r="B6347" i="1"/>
  <c r="B6059" i="1"/>
  <c r="B6035" i="1"/>
  <c r="B5819" i="1"/>
  <c r="B5777" i="1"/>
  <c r="B5745" i="1"/>
  <c r="B5535" i="1"/>
  <c r="B4524" i="1"/>
  <c r="B4444" i="1"/>
  <c r="B4420" i="1"/>
  <c r="B4380" i="1"/>
  <c r="B3700" i="1"/>
  <c r="B3652" i="1"/>
  <c r="B3460" i="1"/>
  <c r="B3260" i="1"/>
  <c r="B3236" i="1"/>
  <c r="B3204" i="1"/>
  <c r="B2900" i="1"/>
  <c r="B1964" i="1"/>
  <c r="B1580" i="1"/>
  <c r="B1500" i="1"/>
  <c r="B1476" i="1"/>
  <c r="B1044" i="1"/>
  <c r="B1020" i="1"/>
  <c r="B988" i="1"/>
  <c r="B800" i="1"/>
  <c r="B768" i="1"/>
  <c r="B728" i="1"/>
  <c r="B704" i="1"/>
  <c r="B680" i="1"/>
  <c r="B312" i="1"/>
  <c r="B144" i="1"/>
  <c r="B96" i="1"/>
  <c r="B72" i="1"/>
  <c r="B48" i="1"/>
  <c r="B8" i="1"/>
  <c r="B6066" i="1"/>
  <c r="B6034" i="1"/>
  <c r="B5842" i="1"/>
  <c r="B5776" i="1"/>
  <c r="B5646" i="1"/>
  <c r="B5542" i="1"/>
  <c r="B5534" i="1"/>
  <c r="B5240" i="1"/>
  <c r="B5216" i="1"/>
  <c r="B4723" i="1"/>
  <c r="B4435" i="1"/>
  <c r="B4163" i="1"/>
  <c r="B3779" i="1"/>
  <c r="B3699" i="1"/>
  <c r="B3675" i="1"/>
  <c r="B3243" i="1"/>
  <c r="B3235" i="1"/>
  <c r="B3147" i="1"/>
  <c r="B3019" i="1"/>
  <c r="B2987" i="1"/>
  <c r="B2947" i="1"/>
  <c r="B2923" i="1"/>
  <c r="B2915" i="1"/>
  <c r="B2899" i="1"/>
  <c r="B2243" i="1"/>
  <c r="B2219" i="1"/>
  <c r="B2163" i="1"/>
  <c r="B2155" i="1"/>
  <c r="B1771" i="1"/>
  <c r="B1483" i="1"/>
  <c r="B1027" i="1"/>
  <c r="B1019" i="1"/>
  <c r="B775" i="1"/>
  <c r="B751" i="1"/>
  <c r="B727" i="1"/>
  <c r="B695" i="1"/>
  <c r="B679" i="1"/>
  <c r="B191" i="1"/>
  <c r="B119" i="1"/>
  <c r="B79" i="1"/>
  <c r="B71" i="1"/>
  <c r="B55" i="1"/>
  <c r="B47" i="1"/>
  <c r="B31" i="1"/>
  <c r="B23" i="1"/>
  <c r="B7" i="1"/>
  <c r="B6745" i="1"/>
  <c r="B6281" i="1"/>
  <c r="B6249" i="1"/>
  <c r="B6009" i="1"/>
  <c r="B5985" i="1"/>
  <c r="B5817" i="1"/>
  <c r="B5247" i="1"/>
  <c r="B5215" i="1"/>
  <c r="B4730" i="1"/>
  <c r="B4722" i="1"/>
  <c r="B4522" i="1"/>
  <c r="B4506" i="1"/>
  <c r="B4450" i="1"/>
  <c r="B4434" i="1"/>
  <c r="B4410" i="1"/>
  <c r="B4386" i="1"/>
  <c r="B4378" i="1"/>
  <c r="B4362" i="1"/>
  <c r="B4354" i="1"/>
  <c r="B3970" i="1"/>
  <c r="B3714" i="1"/>
  <c r="B3698" i="1"/>
  <c r="B3682" i="1"/>
  <c r="B3674" i="1"/>
  <c r="B3530" i="1"/>
  <c r="B3490" i="1"/>
  <c r="B3098" i="1"/>
  <c r="B2994" i="1"/>
  <c r="B2970" i="1"/>
  <c r="B2946" i="1"/>
  <c r="B2914" i="1"/>
  <c r="B2802" i="1"/>
  <c r="B2234" i="1"/>
  <c r="B2186" i="1"/>
  <c r="B1994" i="1"/>
  <c r="B1914" i="1"/>
  <c r="B1794" i="1"/>
  <c r="B1770" i="1"/>
  <c r="B1738" i="1"/>
  <c r="B1514" i="1"/>
  <c r="B1434" i="1"/>
  <c r="B1314" i="1"/>
  <c r="B1298" i="1"/>
  <c r="B830" i="1"/>
  <c r="B758" i="1"/>
  <c r="B742" i="1"/>
  <c r="B734" i="1"/>
  <c r="B694" i="1"/>
  <c r="B582" i="1"/>
  <c r="B526" i="1"/>
  <c r="B70" i="1"/>
  <c r="B22" i="1"/>
  <c r="B6688" i="1"/>
  <c r="B6680" i="1"/>
  <c r="B6616" i="1"/>
  <c r="B6400" i="1"/>
  <c r="B6312" i="1"/>
  <c r="B6144" i="1"/>
  <c r="B6072" i="1"/>
  <c r="B6056" i="1"/>
  <c r="B6040" i="1"/>
  <c r="B6000" i="1"/>
  <c r="B5984" i="1"/>
  <c r="B5936" i="1"/>
  <c r="B5912" i="1"/>
  <c r="B5872" i="1"/>
  <c r="B5864" i="1"/>
  <c r="B5800" i="1"/>
  <c r="B5766" i="1"/>
  <c r="B5604" i="1"/>
  <c r="B5466" i="1"/>
  <c r="B5433" i="1"/>
  <c r="B5367" i="1"/>
  <c r="B5318" i="1"/>
  <c r="B5230" i="1"/>
  <c r="B5222" i="1"/>
  <c r="B5190" i="1"/>
  <c r="B5166" i="1"/>
  <c r="B4793" i="1"/>
  <c r="B4721" i="1"/>
  <c r="B4513" i="1"/>
  <c r="B4505" i="1"/>
  <c r="B4489" i="1"/>
  <c r="B4449" i="1"/>
  <c r="B4433" i="1"/>
  <c r="B4417" i="1"/>
  <c r="B4409" i="1"/>
  <c r="B4401" i="1"/>
  <c r="B4369" i="1"/>
  <c r="B4193" i="1"/>
  <c r="B4113" i="1"/>
  <c r="B3993" i="1"/>
  <c r="B3969" i="1"/>
  <c r="B3937" i="1"/>
  <c r="B3713" i="1"/>
  <c r="B3633" i="1"/>
  <c r="B3473" i="1"/>
  <c r="B3177" i="1"/>
  <c r="B2977" i="1"/>
  <c r="B2961" i="1"/>
  <c r="B2953" i="1"/>
  <c r="B2697" i="1"/>
  <c r="B2513" i="1"/>
  <c r="B2433" i="1"/>
  <c r="B2313" i="1"/>
  <c r="B2249" i="1"/>
  <c r="B2233" i="1"/>
  <c r="B2209" i="1"/>
  <c r="B2201" i="1"/>
  <c r="B2177" i="1"/>
  <c r="B1833" i="1"/>
  <c r="B1777" i="1"/>
  <c r="B1769" i="1"/>
  <c r="B1681" i="1"/>
  <c r="B1553" i="1"/>
  <c r="B1521" i="1"/>
  <c r="B1481" i="1"/>
  <c r="B1457" i="1"/>
  <c r="B1449" i="1"/>
  <c r="B1433" i="1"/>
  <c r="B1329" i="1"/>
  <c r="B1281" i="1"/>
  <c r="B1249" i="1"/>
  <c r="B1193" i="1"/>
  <c r="B961" i="1"/>
  <c r="B821" i="1"/>
  <c r="B757" i="1"/>
  <c r="B733" i="1"/>
  <c r="B709" i="1"/>
  <c r="B53" i="1"/>
  <c r="B6711" i="1"/>
  <c r="B6671" i="1"/>
  <c r="B6615" i="1"/>
  <c r="B6575" i="1"/>
  <c r="B6503" i="1"/>
  <c r="B6447" i="1"/>
  <c r="B6375" i="1"/>
  <c r="B6359" i="1"/>
  <c r="B6071" i="1"/>
  <c r="B6055" i="1"/>
  <c r="B5999" i="1"/>
  <c r="B5879" i="1"/>
  <c r="B5871" i="1"/>
  <c r="B5807" i="1"/>
  <c r="B5587" i="1"/>
  <c r="B5498" i="1"/>
  <c r="B5325" i="1"/>
  <c r="B5237" i="1"/>
  <c r="B5221" i="1"/>
  <c r="B5181" i="1"/>
  <c r="B5165" i="1"/>
  <c r="B4776" i="1"/>
  <c r="B4688" i="1"/>
  <c r="B4648" i="1"/>
  <c r="B4624" i="1"/>
  <c r="B4456" i="1"/>
  <c r="B4448" i="1"/>
  <c r="B4400" i="1"/>
  <c r="B4376" i="1"/>
  <c r="B4032" i="1"/>
  <c r="B3976" i="1"/>
  <c r="B3968" i="1"/>
  <c r="B3880" i="1"/>
  <c r="B3752" i="1"/>
  <c r="B3720" i="1"/>
  <c r="B3680" i="1"/>
  <c r="B3656" i="1"/>
  <c r="B3648" i="1"/>
  <c r="B3632" i="1"/>
  <c r="B3480" i="1"/>
  <c r="B3408" i="1"/>
  <c r="B2976" i="1"/>
  <c r="B2952" i="1"/>
  <c r="B2928" i="1"/>
  <c r="B2912" i="1"/>
  <c r="B2896" i="1"/>
  <c r="B2888" i="1"/>
  <c r="B2504" i="1"/>
  <c r="B2248" i="1"/>
  <c r="B2232" i="1"/>
  <c r="B2216" i="1"/>
  <c r="B2208" i="1"/>
  <c r="B2200" i="1"/>
  <c r="B2168" i="1"/>
  <c r="B2064" i="1"/>
  <c r="B2024" i="1"/>
  <c r="B1808" i="1"/>
  <c r="B1632" i="1"/>
  <c r="B1528" i="1"/>
  <c r="B1512" i="1"/>
  <c r="B1504" i="1"/>
  <c r="B1488" i="1"/>
  <c r="B1480" i="1"/>
  <c r="B1448" i="1"/>
  <c r="B1248" i="1"/>
  <c r="B1216" i="1"/>
  <c r="B5004" i="1"/>
  <c r="B748" i="1"/>
  <c r="B700" i="1"/>
  <c r="B692" i="1"/>
  <c r="B676" i="1"/>
  <c r="B668" i="1"/>
  <c r="B84" i="1"/>
  <c r="B60" i="1"/>
  <c r="B52" i="1"/>
  <c r="B20" i="1"/>
  <c r="B4" i="1"/>
  <c r="B6774" i="1"/>
  <c r="B6686" i="1"/>
  <c r="B6606" i="1"/>
  <c r="B6590" i="1"/>
  <c r="B6534" i="1"/>
  <c r="B6390" i="1"/>
  <c r="B6318" i="1"/>
  <c r="B6270" i="1"/>
  <c r="B6126" i="1"/>
  <c r="B6110" i="1"/>
  <c r="B6078" i="1"/>
  <c r="B6070" i="1"/>
  <c r="B6054" i="1"/>
  <c r="B6030" i="1"/>
  <c r="B6014" i="1"/>
  <c r="B5902" i="1"/>
  <c r="B5862" i="1"/>
  <c r="B5806" i="1"/>
  <c r="B5764" i="1"/>
  <c r="B5691" i="1"/>
  <c r="B5634" i="1"/>
  <c r="B5562" i="1"/>
  <c r="B5546" i="1"/>
  <c r="B5252" i="1"/>
  <c r="B5236" i="1"/>
  <c r="B5180" i="1"/>
  <c r="B4575" i="1"/>
  <c r="B4463" i="1"/>
  <c r="B4415" i="1"/>
  <c r="B4367" i="1"/>
  <c r="B4263" i="1"/>
  <c r="B4223" i="1"/>
  <c r="B4007" i="1"/>
  <c r="B3831" i="1"/>
  <c r="B3727" i="1"/>
  <c r="B3711" i="1"/>
  <c r="B3703" i="1"/>
  <c r="B3687" i="1"/>
  <c r="B3679" i="1"/>
  <c r="B3647" i="1"/>
  <c r="B3535" i="1"/>
  <c r="B3479" i="1"/>
  <c r="B3431" i="1"/>
  <c r="B2967" i="1"/>
  <c r="B2919" i="1"/>
  <c r="B2903" i="1"/>
  <c r="B2647" i="1"/>
  <c r="B2503" i="1"/>
  <c r="B2471" i="1"/>
  <c r="B2247" i="1"/>
  <c r="B2167" i="1"/>
  <c r="B2007" i="1"/>
  <c r="B1711" i="1"/>
  <c r="B1511" i="1"/>
  <c r="B1495" i="1"/>
  <c r="B1487" i="1"/>
  <c r="B1415" i="1"/>
  <c r="B1391" i="1"/>
  <c r="B1319" i="1"/>
  <c r="B1303" i="1"/>
  <c r="B1279" i="1"/>
  <c r="B1247" i="1"/>
  <c r="B1231" i="1"/>
  <c r="B1215" i="1"/>
  <c r="B2727" i="1"/>
  <c r="B2527" i="1"/>
  <c r="B2286" i="1"/>
  <c r="B2713" i="1"/>
  <c r="B5035" i="1"/>
  <c r="B4974" i="1"/>
  <c r="B5136" i="1"/>
  <c r="B5030" i="1"/>
  <c r="B4903" i="1"/>
  <c r="B4975" i="1"/>
  <c r="B2" i="1"/>
  <c r="B927" i="1"/>
  <c r="B923" i="1"/>
  <c r="B919" i="1"/>
  <c r="B915" i="1"/>
  <c r="B911" i="1"/>
  <c r="B907" i="1"/>
  <c r="B903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1" i="1"/>
  <c r="B767" i="1"/>
  <c r="B754" i="1"/>
  <c r="B750" i="1"/>
  <c r="B738" i="1"/>
  <c r="B726" i="1"/>
  <c r="B718" i="1"/>
  <c r="B710" i="1"/>
  <c r="B706" i="1"/>
  <c r="B755" i="1"/>
  <c r="B743" i="1"/>
  <c r="B739" i="1"/>
  <c r="B731" i="1"/>
  <c r="B719" i="1"/>
  <c r="B711" i="1"/>
  <c r="B707" i="1"/>
  <c r="B703" i="1"/>
  <c r="B699" i="1"/>
  <c r="B691" i="1"/>
  <c r="B687" i="1"/>
  <c r="B675" i="1"/>
  <c r="B671" i="1"/>
  <c r="B667" i="1"/>
  <c r="B663" i="1"/>
  <c r="B659" i="1"/>
  <c r="B655" i="1"/>
  <c r="B651" i="1"/>
  <c r="B647" i="1"/>
  <c r="B643" i="1"/>
  <c r="B639" i="1"/>
  <c r="B635" i="1"/>
  <c r="B631" i="1"/>
  <c r="B627" i="1"/>
  <c r="B623" i="1"/>
  <c r="B619" i="1"/>
  <c r="B615" i="1"/>
  <c r="B611" i="1"/>
  <c r="B607" i="1"/>
  <c r="B603" i="1"/>
  <c r="B599" i="1"/>
  <c r="B595" i="1"/>
  <c r="B591" i="1"/>
  <c r="B587" i="1"/>
  <c r="B583" i="1"/>
  <c r="B579" i="1"/>
  <c r="B575" i="1"/>
  <c r="B571" i="1"/>
  <c r="B567" i="1"/>
  <c r="B563" i="1"/>
  <c r="B559" i="1"/>
  <c r="B555" i="1"/>
  <c r="B551" i="1"/>
  <c r="B547" i="1"/>
  <c r="B543" i="1"/>
  <c r="B539" i="1"/>
  <c r="B535" i="1"/>
  <c r="B531" i="1"/>
  <c r="B523" i="1"/>
  <c r="B519" i="1"/>
  <c r="B515" i="1"/>
  <c r="B511" i="1"/>
  <c r="B503" i="1"/>
  <c r="B499" i="1"/>
  <c r="B495" i="1"/>
  <c r="B491" i="1"/>
  <c r="B487" i="1"/>
  <c r="B483" i="1"/>
  <c r="B479" i="1"/>
  <c r="B475" i="1"/>
  <c r="B471" i="1"/>
  <c r="B467" i="1"/>
  <c r="B463" i="1"/>
  <c r="B459" i="1"/>
  <c r="B455" i="1"/>
  <c r="B451" i="1"/>
  <c r="B447" i="1"/>
  <c r="B443" i="1"/>
  <c r="B439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702" i="1"/>
  <c r="B698" i="1"/>
  <c r="B686" i="1"/>
  <c r="B682" i="1"/>
  <c r="B678" i="1"/>
  <c r="B674" i="1"/>
  <c r="B670" i="1"/>
  <c r="B666" i="1"/>
  <c r="B662" i="1"/>
  <c r="B658" i="1"/>
  <c r="B654" i="1"/>
  <c r="B650" i="1"/>
  <c r="B646" i="1"/>
  <c r="B642" i="1"/>
  <c r="B638" i="1"/>
  <c r="B634" i="1"/>
  <c r="B630" i="1"/>
  <c r="B626" i="1"/>
  <c r="B622" i="1"/>
  <c r="B618" i="1"/>
  <c r="B614" i="1"/>
  <c r="B610" i="1"/>
  <c r="B606" i="1"/>
  <c r="B602" i="1"/>
  <c r="B598" i="1"/>
  <c r="B594" i="1"/>
  <c r="B590" i="1"/>
  <c r="B586" i="1"/>
  <c r="B578" i="1"/>
  <c r="B574" i="1"/>
  <c r="B570" i="1"/>
  <c r="B566" i="1"/>
  <c r="B562" i="1"/>
  <c r="B558" i="1"/>
  <c r="B554" i="1"/>
  <c r="B550" i="1"/>
  <c r="B546" i="1"/>
  <c r="B542" i="1"/>
  <c r="B538" i="1"/>
  <c r="B534" i="1"/>
  <c r="B530" i="1"/>
  <c r="B522" i="1"/>
  <c r="B518" i="1"/>
  <c r="B514" i="1"/>
  <c r="B510" i="1"/>
  <c r="B506" i="1"/>
  <c r="B502" i="1"/>
  <c r="B498" i="1"/>
  <c r="B494" i="1"/>
  <c r="B490" i="1"/>
  <c r="B486" i="1"/>
  <c r="B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5" i="1"/>
  <c r="B111" i="1"/>
  <c r="B107" i="1"/>
  <c r="B103" i="1"/>
  <c r="B99" i="1"/>
  <c r="B95" i="1"/>
  <c r="B91" i="1"/>
  <c r="B87" i="1"/>
  <c r="B75" i="1"/>
  <c r="B67" i="1"/>
  <c r="B63" i="1"/>
  <c r="B51" i="1"/>
  <c r="B43" i="1"/>
  <c r="B19" i="1"/>
  <c r="B15" i="1"/>
  <c r="B3" i="1"/>
  <c r="B370" i="1"/>
  <c r="B366" i="1"/>
  <c r="B362" i="1"/>
  <c r="B358" i="1"/>
  <c r="B354" i="1"/>
  <c r="B350" i="1"/>
  <c r="B346" i="1"/>
  <c r="B342" i="1"/>
  <c r="B338" i="1"/>
  <c r="B334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102" i="1"/>
  <c r="B98" i="1"/>
  <c r="B94" i="1"/>
  <c r="B90" i="1"/>
  <c r="B86" i="1"/>
  <c r="B82" i="1"/>
  <c r="B78" i="1"/>
  <c r="B62" i="1"/>
  <c r="B54" i="1"/>
  <c r="B50" i="1"/>
  <c r="B46" i="1"/>
  <c r="B42" i="1"/>
  <c r="B38" i="1"/>
  <c r="B34" i="1"/>
  <c r="B30" i="1"/>
  <c r="B26" i="1"/>
  <c r="B14" i="1"/>
  <c r="B10" i="1"/>
  <c r="B6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53" i="1"/>
  <c r="B749" i="1"/>
  <c r="B745" i="1"/>
  <c r="B741" i="1"/>
  <c r="B737" i="1"/>
  <c r="B729" i="1"/>
  <c r="B725" i="1"/>
  <c r="B721" i="1"/>
  <c r="B717" i="1"/>
  <c r="B713" i="1"/>
  <c r="B705" i="1"/>
  <c r="B701" i="1"/>
  <c r="B697" i="1"/>
  <c r="B693" i="1"/>
  <c r="B689" i="1"/>
  <c r="B685" i="1"/>
  <c r="B677" i="1"/>
  <c r="B673" i="1"/>
  <c r="B669" i="1"/>
  <c r="B665" i="1"/>
  <c r="B661" i="1"/>
  <c r="B657" i="1"/>
  <c r="B653" i="1"/>
  <c r="B649" i="1"/>
  <c r="B645" i="1"/>
  <c r="B641" i="1"/>
  <c r="B637" i="1"/>
  <c r="B633" i="1"/>
  <c r="B629" i="1"/>
  <c r="B625" i="1"/>
  <c r="B621" i="1"/>
  <c r="B617" i="1"/>
  <c r="B613" i="1"/>
  <c r="B609" i="1"/>
  <c r="B605" i="1"/>
  <c r="B601" i="1"/>
  <c r="B597" i="1"/>
  <c r="B593" i="1"/>
  <c r="B589" i="1"/>
  <c r="B585" i="1"/>
  <c r="B581" i="1"/>
  <c r="B573" i="1"/>
  <c r="B569" i="1"/>
  <c r="B565" i="1"/>
  <c r="B561" i="1"/>
  <c r="B557" i="1"/>
  <c r="B553" i="1"/>
  <c r="B549" i="1"/>
  <c r="B545" i="1"/>
  <c r="B541" i="1"/>
  <c r="B533" i="1"/>
  <c r="B529" i="1"/>
  <c r="B525" i="1"/>
  <c r="B521" i="1"/>
  <c r="B517" i="1"/>
  <c r="B513" i="1"/>
  <c r="B509" i="1"/>
  <c r="B505" i="1"/>
  <c r="B501" i="1"/>
  <c r="B497" i="1"/>
  <c r="B493" i="1"/>
  <c r="B489" i="1"/>
  <c r="B485" i="1"/>
  <c r="B481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5" i="1"/>
  <c r="B101" i="1"/>
  <c r="B97" i="1"/>
  <c r="B93" i="1"/>
  <c r="B85" i="1"/>
  <c r="B77" i="1"/>
  <c r="B73" i="1"/>
  <c r="B69" i="1"/>
  <c r="B65" i="1"/>
  <c r="B61" i="1"/>
  <c r="B57" i="1"/>
  <c r="B49" i="1"/>
  <c r="B45" i="1"/>
  <c r="B41" i="1"/>
  <c r="B37" i="1"/>
  <c r="B33" i="1"/>
  <c r="B29" i="1"/>
  <c r="B25" i="1"/>
  <c r="B21" i="1"/>
  <c r="B17" i="1"/>
  <c r="B13" i="1"/>
  <c r="B5" i="1"/>
  <c r="B6787" i="1"/>
  <c r="B6783" i="1"/>
  <c r="B6779" i="1"/>
  <c r="B6775" i="1"/>
  <c r="B6771" i="1"/>
  <c r="B6767" i="1"/>
  <c r="B6763" i="1"/>
  <c r="B6759" i="1"/>
  <c r="B6755" i="1"/>
  <c r="B6751" i="1"/>
  <c r="B6747" i="1"/>
  <c r="B6743" i="1"/>
  <c r="B6739" i="1"/>
  <c r="B6735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796" i="1"/>
  <c r="B792" i="1"/>
  <c r="B788" i="1"/>
  <c r="B784" i="1"/>
  <c r="B780" i="1"/>
  <c r="B776" i="1"/>
  <c r="B772" i="1"/>
  <c r="B764" i="1"/>
  <c r="B760" i="1"/>
  <c r="B756" i="1"/>
  <c r="B752" i="1"/>
  <c r="B744" i="1"/>
  <c r="B740" i="1"/>
  <c r="B736" i="1"/>
  <c r="B732" i="1"/>
  <c r="B724" i="1"/>
  <c r="B720" i="1"/>
  <c r="B716" i="1"/>
  <c r="B712" i="1"/>
  <c r="B708" i="1"/>
  <c r="B696" i="1"/>
  <c r="B688" i="1"/>
  <c r="B684" i="1"/>
  <c r="B672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16" i="1"/>
  <c r="B512" i="1"/>
  <c r="B508" i="1"/>
  <c r="B504" i="1"/>
  <c r="B500" i="1"/>
  <c r="B492" i="1"/>
  <c r="B488" i="1"/>
  <c r="B484" i="1"/>
  <c r="B480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6785" i="1"/>
  <c r="B6777" i="1"/>
  <c r="B6773" i="1"/>
  <c r="B6769" i="1"/>
  <c r="B6765" i="1"/>
  <c r="B6761" i="1"/>
  <c r="B6757" i="1"/>
  <c r="B6753" i="1"/>
  <c r="B6741" i="1"/>
  <c r="B6737" i="1"/>
  <c r="B6733" i="1"/>
  <c r="B6729" i="1"/>
  <c r="B6725" i="1"/>
  <c r="B6717" i="1"/>
  <c r="B6713" i="1"/>
  <c r="B6709" i="1"/>
  <c r="B6705" i="1"/>
  <c r="B6701" i="1"/>
  <c r="B6697" i="1"/>
  <c r="B6693" i="1"/>
  <c r="B6689" i="1"/>
  <c r="B6685" i="1"/>
  <c r="B6677" i="1"/>
  <c r="B6669" i="1"/>
  <c r="B6665" i="1"/>
  <c r="B6661" i="1"/>
  <c r="B6657" i="1"/>
  <c r="B6653" i="1"/>
  <c r="B6649" i="1"/>
  <c r="B6645" i="1"/>
  <c r="B6641" i="1"/>
  <c r="B6637" i="1"/>
  <c r="B6633" i="1"/>
  <c r="B6629" i="1"/>
  <c r="B6625" i="1"/>
  <c r="B6621" i="1"/>
  <c r="B6617" i="1"/>
  <c r="B6613" i="1"/>
  <c r="B6605" i="1"/>
  <c r="B6601" i="1"/>
  <c r="B6597" i="1"/>
  <c r="B6593" i="1"/>
  <c r="B6585" i="1"/>
  <c r="B6581" i="1"/>
  <c r="B6573" i="1"/>
  <c r="B6569" i="1"/>
  <c r="B6565" i="1"/>
  <c r="B6561" i="1"/>
  <c r="B6553" i="1"/>
  <c r="B6549" i="1"/>
  <c r="B6545" i="1"/>
  <c r="B6541" i="1"/>
  <c r="B6537" i="1"/>
  <c r="B6533" i="1"/>
  <c r="B6529" i="1"/>
  <c r="B6525" i="1"/>
  <c r="B6521" i="1"/>
  <c r="B6517" i="1"/>
  <c r="B6513" i="1"/>
  <c r="B6509" i="1"/>
  <c r="B6505" i="1"/>
  <c r="B6501" i="1"/>
  <c r="B6497" i="1"/>
  <c r="B6493" i="1"/>
  <c r="B6489" i="1"/>
  <c r="B6485" i="1"/>
  <c r="B6481" i="1"/>
  <c r="B6477" i="1"/>
  <c r="B6473" i="1"/>
  <c r="B6469" i="1"/>
  <c r="B6465" i="1"/>
  <c r="B6461" i="1"/>
  <c r="B6457" i="1"/>
  <c r="B6453" i="1"/>
  <c r="B6449" i="1"/>
  <c r="B6445" i="1"/>
  <c r="B6441" i="1"/>
  <c r="B6437" i="1"/>
  <c r="B6433" i="1"/>
  <c r="B6429" i="1"/>
  <c r="B6425" i="1"/>
  <c r="B6421" i="1"/>
  <c r="B6413" i="1"/>
  <c r="B6409" i="1"/>
  <c r="B6405" i="1"/>
  <c r="B6401" i="1"/>
  <c r="B6397" i="1"/>
  <c r="B6393" i="1"/>
  <c r="B6389" i="1"/>
  <c r="B6385" i="1"/>
  <c r="B6381" i="1"/>
  <c r="B6377" i="1"/>
  <c r="B6373" i="1"/>
  <c r="B6369" i="1"/>
  <c r="B6365" i="1"/>
  <c r="B6361" i="1"/>
  <c r="B6357" i="1"/>
  <c r="B6353" i="1"/>
  <c r="B6345" i="1"/>
  <c r="B6341" i="1"/>
  <c r="B6337" i="1"/>
  <c r="B6333" i="1"/>
  <c r="B6329" i="1"/>
  <c r="B6325" i="1"/>
  <c r="B6321" i="1"/>
  <c r="B6317" i="1"/>
  <c r="B6313" i="1"/>
  <c r="B6309" i="1"/>
  <c r="B6305" i="1"/>
  <c r="B6301" i="1"/>
  <c r="B6297" i="1"/>
  <c r="B6293" i="1"/>
  <c r="B6289" i="1"/>
  <c r="B6277" i="1"/>
  <c r="B6273" i="1"/>
  <c r="B6269" i="1"/>
  <c r="B6265" i="1"/>
  <c r="B6261" i="1"/>
  <c r="B6257" i="1"/>
  <c r="B6253" i="1"/>
  <c r="B6241" i="1"/>
  <c r="B6237" i="1"/>
  <c r="B6233" i="1"/>
  <c r="B6229" i="1"/>
  <c r="B6225" i="1"/>
  <c r="B6221" i="1"/>
  <c r="B6217" i="1"/>
  <c r="B6213" i="1"/>
  <c r="B6209" i="1"/>
  <c r="B6205" i="1"/>
  <c r="B6201" i="1"/>
  <c r="B6193" i="1"/>
  <c r="B6189" i="1"/>
  <c r="B6181" i="1"/>
  <c r="B6177" i="1"/>
  <c r="B6173" i="1"/>
  <c r="B6169" i="1"/>
  <c r="B6165" i="1"/>
  <c r="B6161" i="1"/>
  <c r="B6157" i="1"/>
  <c r="B6153" i="1"/>
  <c r="B6149" i="1"/>
  <c r="B6145" i="1"/>
  <c r="B6141" i="1"/>
  <c r="B6129" i="1"/>
  <c r="B6125" i="1"/>
  <c r="B6121" i="1"/>
  <c r="B6117" i="1"/>
  <c r="B6113" i="1"/>
  <c r="B6109" i="1"/>
  <c r="B6105" i="1"/>
  <c r="B6101" i="1"/>
  <c r="B6097" i="1"/>
  <c r="B6093" i="1"/>
  <c r="B6089" i="1"/>
  <c r="B6081" i="1"/>
  <c r="B6077" i="1"/>
  <c r="B6073" i="1"/>
  <c r="B6069" i="1"/>
  <c r="B6065" i="1"/>
  <c r="B6061" i="1"/>
  <c r="B6057" i="1"/>
  <c r="B6045" i="1"/>
  <c r="B6033" i="1"/>
  <c r="B6025" i="1"/>
  <c r="B6017" i="1"/>
  <c r="B6013" i="1"/>
  <c r="B6001" i="1"/>
  <c r="B5993" i="1"/>
  <c r="B5989" i="1"/>
  <c r="B5977" i="1"/>
  <c r="B5973" i="1"/>
  <c r="B5969" i="1"/>
  <c r="B5961" i="1"/>
  <c r="B5957" i="1"/>
  <c r="B5953" i="1"/>
  <c r="B5949" i="1"/>
  <c r="B5945" i="1"/>
  <c r="B5941" i="1"/>
  <c r="B5937" i="1"/>
  <c r="B5933" i="1"/>
  <c r="B5929" i="1"/>
  <c r="B5925" i="1"/>
  <c r="B5921" i="1"/>
  <c r="B5917" i="1"/>
  <c r="B5913" i="1"/>
  <c r="B5909" i="1"/>
  <c r="B5905" i="1"/>
  <c r="B5901" i="1"/>
  <c r="B5897" i="1"/>
  <c r="B5893" i="1"/>
  <c r="B5889" i="1"/>
  <c r="B5885" i="1"/>
  <c r="B5881" i="1"/>
  <c r="B5873" i="1"/>
  <c r="B5869" i="1"/>
  <c r="B5861" i="1"/>
  <c r="B5853" i="1"/>
  <c r="B5849" i="1"/>
  <c r="B5845" i="1"/>
  <c r="B5841" i="1"/>
  <c r="B5837" i="1"/>
  <c r="B5833" i="1"/>
  <c r="B5829" i="1"/>
  <c r="B5825" i="1"/>
  <c r="B5821" i="1"/>
  <c r="B5813" i="1"/>
  <c r="B5809" i="1"/>
  <c r="B5805" i="1"/>
  <c r="B5801" i="1"/>
  <c r="B5792" i="1"/>
  <c r="B5788" i="1"/>
  <c r="B5783" i="1"/>
  <c r="B5771" i="1"/>
  <c r="B5767" i="1"/>
  <c r="B5763" i="1"/>
  <c r="B5759" i="1"/>
  <c r="B5755" i="1"/>
  <c r="B5751" i="1"/>
  <c r="B5747" i="1"/>
  <c r="B5743" i="1"/>
  <c r="B5739" i="1"/>
  <c r="B5735" i="1"/>
  <c r="B5731" i="1"/>
  <c r="B5727" i="1"/>
  <c r="B5719" i="1"/>
  <c r="B5715" i="1"/>
  <c r="B5711" i="1"/>
  <c r="B5707" i="1"/>
  <c r="B5703" i="1"/>
  <c r="B5699" i="1"/>
  <c r="B5694" i="1"/>
  <c r="B5690" i="1"/>
  <c r="B5686" i="1"/>
  <c r="B5682" i="1"/>
  <c r="B5678" i="1"/>
  <c r="B5674" i="1"/>
  <c r="B5670" i="1"/>
  <c r="B5666" i="1"/>
  <c r="B5662" i="1"/>
  <c r="B5658" i="1"/>
  <c r="B5654" i="1"/>
  <c r="B5650" i="1"/>
  <c r="B5645" i="1"/>
  <c r="B5641" i="1"/>
  <c r="B5637" i="1"/>
  <c r="B5633" i="1"/>
  <c r="B5629" i="1"/>
  <c r="B5625" i="1"/>
  <c r="B5621" i="1"/>
  <c r="B5617" i="1"/>
  <c r="B5613" i="1"/>
  <c r="B5609" i="1"/>
  <c r="B5605" i="1"/>
  <c r="B5601" i="1"/>
  <c r="B5597" i="1"/>
  <c r="B5593" i="1"/>
  <c r="B5589" i="1"/>
  <c r="B5585" i="1"/>
  <c r="B5581" i="1"/>
  <c r="B5573" i="1"/>
  <c r="B5569" i="1"/>
  <c r="B5565" i="1"/>
  <c r="B5561" i="1"/>
  <c r="B5557" i="1"/>
  <c r="B5553" i="1"/>
  <c r="B5549" i="1"/>
  <c r="B5545" i="1"/>
  <c r="B5541" i="1"/>
  <c r="B5537" i="1"/>
  <c r="B5532" i="1"/>
  <c r="B5528" i="1"/>
  <c r="B5524" i="1"/>
  <c r="B5520" i="1"/>
  <c r="B5516" i="1"/>
  <c r="B5512" i="1"/>
  <c r="B5508" i="1"/>
  <c r="B5500" i="1"/>
  <c r="B5496" i="1"/>
  <c r="B5492" i="1"/>
  <c r="B5488" i="1"/>
  <c r="B5484" i="1"/>
  <c r="B5479" i="1"/>
  <c r="B5475" i="1"/>
  <c r="B5471" i="1"/>
  <c r="B5467" i="1"/>
  <c r="B5463" i="1"/>
  <c r="B5459" i="1"/>
  <c r="B5447" i="1"/>
  <c r="B5443" i="1"/>
  <c r="B5439" i="1"/>
  <c r="B5434" i="1"/>
  <c r="B5430" i="1"/>
  <c r="B5426" i="1"/>
  <c r="B5422" i="1"/>
  <c r="B5418" i="1"/>
  <c r="B5414" i="1"/>
  <c r="B5410" i="1"/>
  <c r="B5406" i="1"/>
  <c r="B5402" i="1"/>
  <c r="B5398" i="1"/>
  <c r="B5394" i="1"/>
  <c r="B5390" i="1"/>
  <c r="B5385" i="1"/>
  <c r="B5381" i="1"/>
  <c r="B5377" i="1"/>
  <c r="B5373" i="1"/>
  <c r="B5368" i="1"/>
  <c r="B5364" i="1"/>
  <c r="B5360" i="1"/>
  <c r="B5356" i="1"/>
  <c r="B5352" i="1"/>
  <c r="B5348" i="1"/>
  <c r="B5344" i="1"/>
  <c r="B5340" i="1"/>
  <c r="B5336" i="1"/>
  <c r="B5332" i="1"/>
  <c r="B5327" i="1"/>
  <c r="B5323" i="1"/>
  <c r="B5319" i="1"/>
  <c r="B5315" i="1"/>
  <c r="B5311" i="1"/>
  <c r="B5303" i="1"/>
  <c r="B5295" i="1"/>
  <c r="B5287" i="1"/>
  <c r="B5283" i="1"/>
  <c r="B5279" i="1"/>
  <c r="B5275" i="1"/>
  <c r="B5271" i="1"/>
  <c r="B5267" i="1"/>
  <c r="B5263" i="1"/>
  <c r="B5255" i="1"/>
  <c r="B5243" i="1"/>
  <c r="B5239" i="1"/>
  <c r="B5231" i="1"/>
  <c r="B5227" i="1"/>
  <c r="B5219" i="1"/>
  <c r="B5207" i="1"/>
  <c r="B5203" i="1"/>
  <c r="B5199" i="1"/>
  <c r="B5191" i="1"/>
  <c r="B5187" i="1"/>
  <c r="B5183" i="1"/>
  <c r="B5179" i="1"/>
  <c r="B5175" i="1"/>
  <c r="B5171" i="1"/>
  <c r="B5163" i="1"/>
  <c r="B5157" i="1"/>
  <c r="B5153" i="1"/>
  <c r="B5149" i="1"/>
  <c r="B5145" i="1"/>
  <c r="B5141" i="1"/>
  <c r="B5137" i="1"/>
  <c r="B5133" i="1"/>
  <c r="B5129" i="1"/>
  <c r="B5124" i="1"/>
  <c r="B5117" i="1"/>
  <c r="B5112" i="1"/>
  <c r="B5108" i="1"/>
  <c r="B5104" i="1"/>
  <c r="B5100" i="1"/>
  <c r="B5096" i="1"/>
  <c r="B5091" i="1"/>
  <c r="B5086" i="1"/>
  <c r="B5081" i="1"/>
  <c r="B5077" i="1"/>
  <c r="B5073" i="1"/>
  <c r="B5069" i="1"/>
  <c r="B5065" i="1"/>
  <c r="B5061" i="1"/>
  <c r="B5053" i="1"/>
  <c r="B5048" i="1"/>
  <c r="B5043" i="1"/>
  <c r="B5039" i="1"/>
  <c r="B5034" i="1"/>
  <c r="B5025" i="1"/>
  <c r="B5020" i="1"/>
  <c r="B5014" i="1"/>
  <c r="B5010" i="1"/>
  <c r="B5006" i="1"/>
  <c r="B5001" i="1"/>
  <c r="B4997" i="1"/>
  <c r="B4993" i="1"/>
  <c r="B4989" i="1"/>
  <c r="B4981" i="1"/>
  <c r="B4977" i="1"/>
  <c r="B4973" i="1"/>
  <c r="B4969" i="1"/>
  <c r="B4965" i="1"/>
  <c r="B4961" i="1"/>
  <c r="B4957" i="1"/>
  <c r="B4953" i="1"/>
  <c r="B4949" i="1"/>
  <c r="B4945" i="1"/>
  <c r="B4937" i="1"/>
  <c r="B4933" i="1"/>
  <c r="B4929" i="1"/>
  <c r="B4921" i="1"/>
  <c r="B4917" i="1"/>
  <c r="B4913" i="1"/>
  <c r="B4909" i="1"/>
  <c r="B4905" i="1"/>
  <c r="B4901" i="1"/>
  <c r="B4897" i="1"/>
  <c r="B4893" i="1"/>
  <c r="B4889" i="1"/>
  <c r="B4885" i="1"/>
  <c r="B4881" i="1"/>
  <c r="B4877" i="1"/>
  <c r="B4873" i="1"/>
  <c r="B4869" i="1"/>
  <c r="B4865" i="1"/>
  <c r="B4861" i="1"/>
  <c r="B4857" i="1"/>
  <c r="B4853" i="1"/>
  <c r="B4849" i="1"/>
  <c r="B4845" i="1"/>
  <c r="B4841" i="1"/>
  <c r="B4837" i="1"/>
  <c r="B4833" i="1"/>
  <c r="B4829" i="1"/>
  <c r="B4825" i="1"/>
  <c r="B4821" i="1"/>
  <c r="B4817" i="1"/>
  <c r="B4813" i="1"/>
  <c r="B4809" i="1"/>
  <c r="B4805" i="1"/>
  <c r="B4801" i="1"/>
  <c r="B4797" i="1"/>
  <c r="B4789" i="1"/>
  <c r="B4785" i="1"/>
  <c r="B4781" i="1"/>
  <c r="B4777" i="1"/>
  <c r="B4773" i="1"/>
  <c r="B4769" i="1"/>
  <c r="B4765" i="1"/>
  <c r="B4761" i="1"/>
  <c r="B4753" i="1"/>
  <c r="B4749" i="1"/>
  <c r="B4745" i="1"/>
  <c r="B4741" i="1"/>
  <c r="B4737" i="1"/>
  <c r="B4729" i="1"/>
  <c r="B4725" i="1"/>
  <c r="B4717" i="1"/>
  <c r="B4713" i="1"/>
  <c r="B4709" i="1"/>
  <c r="B4705" i="1"/>
  <c r="B4701" i="1"/>
  <c r="B4697" i="1"/>
  <c r="B4693" i="1"/>
  <c r="B4689" i="1"/>
  <c r="B4685" i="1"/>
  <c r="B4681" i="1"/>
  <c r="B4677" i="1"/>
  <c r="B4673" i="1"/>
  <c r="B4669" i="1"/>
  <c r="B4665" i="1"/>
  <c r="B4661" i="1"/>
  <c r="B4657" i="1"/>
  <c r="B4653" i="1"/>
  <c r="B4649" i="1"/>
  <c r="B4645" i="1"/>
  <c r="B4641" i="1"/>
  <c r="B4637" i="1"/>
  <c r="B4633" i="1"/>
  <c r="B4625" i="1"/>
  <c r="B4621" i="1"/>
  <c r="B4617" i="1"/>
  <c r="B4613" i="1"/>
  <c r="B4609" i="1"/>
  <c r="B4605" i="1"/>
  <c r="B4601" i="1"/>
  <c r="B4597" i="1"/>
  <c r="B4593" i="1"/>
  <c r="B4589" i="1"/>
  <c r="B4585" i="1"/>
  <c r="B4581" i="1"/>
  <c r="B4577" i="1"/>
  <c r="B4573" i="1"/>
  <c r="B4569" i="1"/>
  <c r="B4565" i="1"/>
  <c r="B4561" i="1"/>
  <c r="B4557" i="1"/>
  <c r="B4553" i="1"/>
  <c r="B4549" i="1"/>
  <c r="B4545" i="1"/>
  <c r="B4541" i="1"/>
  <c r="B4537" i="1"/>
  <c r="B4533" i="1"/>
  <c r="B4529" i="1"/>
  <c r="B4525" i="1"/>
  <c r="B4521" i="1"/>
  <c r="B4517" i="1"/>
  <c r="B4509" i="1"/>
  <c r="B4501" i="1"/>
  <c r="B4493" i="1"/>
  <c r="B4485" i="1"/>
  <c r="B4481" i="1"/>
  <c r="B4477" i="1"/>
  <c r="B4473" i="1"/>
  <c r="B4469" i="1"/>
  <c r="B4465" i="1"/>
  <c r="B4461" i="1"/>
  <c r="B4457" i="1"/>
  <c r="B4453" i="1"/>
  <c r="B4441" i="1"/>
  <c r="B4437" i="1"/>
  <c r="B4425" i="1"/>
  <c r="B4413" i="1"/>
  <c r="B4405" i="1"/>
  <c r="B4397" i="1"/>
  <c r="B4393" i="1"/>
  <c r="B4389" i="1"/>
  <c r="B4385" i="1"/>
  <c r="B4377" i="1"/>
  <c r="B4373" i="1"/>
  <c r="B4361" i="1"/>
  <c r="B4357" i="1"/>
  <c r="B4353" i="1"/>
  <c r="B4349" i="1"/>
  <c r="B4345" i="1"/>
  <c r="B4341" i="1"/>
  <c r="B4337" i="1"/>
  <c r="B4333" i="1"/>
  <c r="B4329" i="1"/>
  <c r="B4325" i="1"/>
  <c r="B4321" i="1"/>
  <c r="B4317" i="1"/>
  <c r="B4313" i="1"/>
  <c r="B4309" i="1"/>
  <c r="B4305" i="1"/>
  <c r="B4301" i="1"/>
  <c r="B4297" i="1"/>
  <c r="B4293" i="1"/>
  <c r="B4289" i="1"/>
  <c r="B4285" i="1"/>
  <c r="B4281" i="1"/>
  <c r="B4277" i="1"/>
  <c r="B4273" i="1"/>
  <c r="B4269" i="1"/>
  <c r="B4265" i="1"/>
  <c r="B4261" i="1"/>
  <c r="B4257" i="1"/>
  <c r="B4253" i="1"/>
  <c r="B4249" i="1"/>
  <c r="B4245" i="1"/>
  <c r="B4241" i="1"/>
  <c r="B4237" i="1"/>
  <c r="B4233" i="1"/>
  <c r="B4229" i="1"/>
  <c r="B4225" i="1"/>
  <c r="B4221" i="1"/>
  <c r="B4217" i="1"/>
  <c r="B4209" i="1"/>
  <c r="B4205" i="1"/>
  <c r="B4201" i="1"/>
  <c r="B4197" i="1"/>
  <c r="B4189" i="1"/>
  <c r="B4185" i="1"/>
  <c r="B4181" i="1"/>
  <c r="B4177" i="1"/>
  <c r="B4173" i="1"/>
  <c r="B4169" i="1"/>
  <c r="B4165" i="1"/>
  <c r="B4161" i="1"/>
  <c r="B4157" i="1"/>
  <c r="B4153" i="1"/>
  <c r="B4149" i="1"/>
  <c r="B4145" i="1"/>
  <c r="B4137" i="1"/>
  <c r="B4133" i="1"/>
  <c r="B4129" i="1"/>
  <c r="B4125" i="1"/>
  <c r="B4121" i="1"/>
  <c r="B4117" i="1"/>
  <c r="B4109" i="1"/>
  <c r="B4105" i="1"/>
  <c r="B4101" i="1"/>
  <c r="B4097" i="1"/>
  <c r="B4093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6784" i="1"/>
  <c r="B6780" i="1"/>
  <c r="B6776" i="1"/>
  <c r="B6772" i="1"/>
  <c r="B6768" i="1"/>
  <c r="B6764" i="1"/>
  <c r="B6760" i="1"/>
  <c r="B6756" i="1"/>
  <c r="B6752" i="1"/>
  <c r="B6744" i="1"/>
  <c r="B6740" i="1"/>
  <c r="B6736" i="1"/>
  <c r="B6732" i="1"/>
  <c r="B6728" i="1"/>
  <c r="B6724" i="1"/>
  <c r="B6720" i="1"/>
  <c r="B6716" i="1"/>
  <c r="B6712" i="1"/>
  <c r="B6708" i="1"/>
  <c r="B6704" i="1"/>
  <c r="B6700" i="1"/>
  <c r="B6696" i="1"/>
  <c r="B6692" i="1"/>
  <c r="B6676" i="1"/>
  <c r="B6672" i="1"/>
  <c r="B6668" i="1"/>
  <c r="B6664" i="1"/>
  <c r="B6660" i="1"/>
  <c r="B6656" i="1"/>
  <c r="B6652" i="1"/>
  <c r="B6648" i="1"/>
  <c r="B6644" i="1"/>
  <c r="B6640" i="1"/>
  <c r="B6636" i="1"/>
  <c r="B6632" i="1"/>
  <c r="B6624" i="1"/>
  <c r="B6620" i="1"/>
  <c r="B6612" i="1"/>
  <c r="B6608" i="1"/>
  <c r="B6604" i="1"/>
  <c r="B6600" i="1"/>
  <c r="B6596" i="1"/>
  <c r="B6592" i="1"/>
  <c r="B6584" i="1"/>
  <c r="B6580" i="1"/>
  <c r="B6576" i="1"/>
  <c r="B6568" i="1"/>
  <c r="B6564" i="1"/>
  <c r="B6560" i="1"/>
  <c r="B6552" i="1"/>
  <c r="B6548" i="1"/>
  <c r="B6544" i="1"/>
  <c r="B6540" i="1"/>
  <c r="B6536" i="1"/>
  <c r="B6532" i="1"/>
  <c r="B6528" i="1"/>
  <c r="B6524" i="1"/>
  <c r="B6520" i="1"/>
  <c r="B6516" i="1"/>
  <c r="B6512" i="1"/>
  <c r="B6508" i="1"/>
  <c r="B6504" i="1"/>
  <c r="B6500" i="1"/>
  <c r="B6496" i="1"/>
  <c r="B6492" i="1"/>
  <c r="B6488" i="1"/>
  <c r="B6484" i="1"/>
  <c r="B6480" i="1"/>
  <c r="B6476" i="1"/>
  <c r="B6472" i="1"/>
  <c r="B6468" i="1"/>
  <c r="B6464" i="1"/>
  <c r="B6460" i="1"/>
  <c r="B6456" i="1"/>
  <c r="B6452" i="1"/>
  <c r="B6448" i="1"/>
  <c r="B6444" i="1"/>
  <c r="B6440" i="1"/>
  <c r="B6436" i="1"/>
  <c r="B6432" i="1"/>
  <c r="B6428" i="1"/>
  <c r="B6424" i="1"/>
  <c r="B6420" i="1"/>
  <c r="B6416" i="1"/>
  <c r="B6412" i="1"/>
  <c r="B6408" i="1"/>
  <c r="B6404" i="1"/>
  <c r="B6396" i="1"/>
  <c r="B6392" i="1"/>
  <c r="B6388" i="1"/>
  <c r="B6384" i="1"/>
  <c r="B6380" i="1"/>
  <c r="B6376" i="1"/>
  <c r="B6372" i="1"/>
  <c r="B6368" i="1"/>
  <c r="B6364" i="1"/>
  <c r="B6360" i="1"/>
  <c r="B6356" i="1"/>
  <c r="B6352" i="1"/>
  <c r="B6344" i="1"/>
  <c r="B6340" i="1"/>
  <c r="B6336" i="1"/>
  <c r="B6328" i="1"/>
  <c r="B6324" i="1"/>
  <c r="B6320" i="1"/>
  <c r="B6316" i="1"/>
  <c r="B6308" i="1"/>
  <c r="B6304" i="1"/>
  <c r="B6296" i="1"/>
  <c r="B6292" i="1"/>
  <c r="B6288" i="1"/>
  <c r="B6284" i="1"/>
  <c r="B6280" i="1"/>
  <c r="B6276" i="1"/>
  <c r="B6272" i="1"/>
  <c r="B6268" i="1"/>
  <c r="B6264" i="1"/>
  <c r="B6260" i="1"/>
  <c r="B6256" i="1"/>
  <c r="B6252" i="1"/>
  <c r="B6248" i="1"/>
  <c r="B6244" i="1"/>
  <c r="B6240" i="1"/>
  <c r="B6236" i="1"/>
  <c r="B6232" i="1"/>
  <c r="B6228" i="1"/>
  <c r="B6224" i="1"/>
  <c r="B6220" i="1"/>
  <c r="B6216" i="1"/>
  <c r="B6212" i="1"/>
  <c r="B6208" i="1"/>
  <c r="B6204" i="1"/>
  <c r="B6200" i="1"/>
  <c r="B6196" i="1"/>
  <c r="B6192" i="1"/>
  <c r="B6188" i="1"/>
  <c r="B6184" i="1"/>
  <c r="B6180" i="1"/>
  <c r="B6176" i="1"/>
  <c r="B6172" i="1"/>
  <c r="B6168" i="1"/>
  <c r="B6164" i="1"/>
  <c r="B6160" i="1"/>
  <c r="B6156" i="1"/>
  <c r="B6152" i="1"/>
  <c r="B6148" i="1"/>
  <c r="B6136" i="1"/>
  <c r="B6132" i="1"/>
  <c r="B6128" i="1"/>
  <c r="B6124" i="1"/>
  <c r="B6120" i="1"/>
  <c r="B6116" i="1"/>
  <c r="B6112" i="1"/>
  <c r="B6108" i="1"/>
  <c r="B6104" i="1"/>
  <c r="B6100" i="1"/>
  <c r="B6096" i="1"/>
  <c r="B6092" i="1"/>
  <c r="B6088" i="1"/>
  <c r="B6084" i="1"/>
  <c r="B6080" i="1"/>
  <c r="B6076" i="1"/>
  <c r="B6064" i="1"/>
  <c r="B6060" i="1"/>
  <c r="B6052" i="1"/>
  <c r="B6048" i="1"/>
  <c r="B6044" i="1"/>
  <c r="B6036" i="1"/>
  <c r="B6032" i="1"/>
  <c r="B6024" i="1"/>
  <c r="B6016" i="1"/>
  <c r="B6012" i="1"/>
  <c r="B6008" i="1"/>
  <c r="B6004" i="1"/>
  <c r="B5996" i="1"/>
  <c r="B5992" i="1"/>
  <c r="B5980" i="1"/>
  <c r="B5976" i="1"/>
  <c r="B5968" i="1"/>
  <c r="B5964" i="1"/>
  <c r="B5960" i="1"/>
  <c r="B5956" i="1"/>
  <c r="B5952" i="1"/>
  <c r="B5948" i="1"/>
  <c r="B5944" i="1"/>
  <c r="B5932" i="1"/>
  <c r="B5928" i="1"/>
  <c r="B5924" i="1"/>
  <c r="B5920" i="1"/>
  <c r="B5916" i="1"/>
  <c r="B5908" i="1"/>
  <c r="B5904" i="1"/>
  <c r="B5900" i="1"/>
  <c r="B5896" i="1"/>
  <c r="B5892" i="1"/>
  <c r="B5888" i="1"/>
  <c r="B5884" i="1"/>
  <c r="B5880" i="1"/>
  <c r="B5876" i="1"/>
  <c r="B5868" i="1"/>
  <c r="B5860" i="1"/>
  <c r="B5856" i="1"/>
  <c r="B5852" i="1"/>
  <c r="B5848" i="1"/>
  <c r="B5844" i="1"/>
  <c r="B5840" i="1"/>
  <c r="B5836" i="1"/>
  <c r="B5832" i="1"/>
  <c r="B5828" i="1"/>
  <c r="B5824" i="1"/>
  <c r="B5820" i="1"/>
  <c r="B5816" i="1"/>
  <c r="B5812" i="1"/>
  <c r="B5808" i="1"/>
  <c r="B5804" i="1"/>
  <c r="B5796" i="1"/>
  <c r="B5791" i="1"/>
  <c r="B5787" i="1"/>
  <c r="B5782" i="1"/>
  <c r="B5774" i="1"/>
  <c r="B5770" i="1"/>
  <c r="B5762" i="1"/>
  <c r="B5758" i="1"/>
  <c r="B5754" i="1"/>
  <c r="B5750" i="1"/>
  <c r="B5742" i="1"/>
  <c r="B5738" i="1"/>
  <c r="B5734" i="1"/>
  <c r="B5730" i="1"/>
  <c r="B5726" i="1"/>
  <c r="B5722" i="1"/>
  <c r="B5718" i="1"/>
  <c r="B5714" i="1"/>
  <c r="B5710" i="1"/>
  <c r="B5706" i="1"/>
  <c r="B5702" i="1"/>
  <c r="B5697" i="1"/>
  <c r="B5693" i="1"/>
  <c r="B5689" i="1"/>
  <c r="B5685" i="1"/>
  <c r="B5681" i="1"/>
  <c r="B5677" i="1"/>
  <c r="B5673" i="1"/>
  <c r="B5669" i="1"/>
  <c r="B5665" i="1"/>
  <c r="B5661" i="1"/>
  <c r="B5657" i="1"/>
  <c r="B5653" i="1"/>
  <c r="B5649" i="1"/>
  <c r="B5644" i="1"/>
  <c r="B5640" i="1"/>
  <c r="B5636" i="1"/>
  <c r="B5632" i="1"/>
  <c r="B5628" i="1"/>
  <c r="B5624" i="1"/>
  <c r="B5620" i="1"/>
  <c r="B5616" i="1"/>
  <c r="B5612" i="1"/>
  <c r="B5608" i="1"/>
  <c r="B5600" i="1"/>
  <c r="B5596" i="1"/>
  <c r="B5592" i="1"/>
  <c r="B5588" i="1"/>
  <c r="B5584" i="1"/>
  <c r="B5580" i="1"/>
  <c r="B5576" i="1"/>
  <c r="B5572" i="1"/>
  <c r="B5568" i="1"/>
  <c r="B5564" i="1"/>
  <c r="B5560" i="1"/>
  <c r="B5556" i="1"/>
  <c r="B5552" i="1"/>
  <c r="B5548" i="1"/>
  <c r="B5544" i="1"/>
  <c r="B5540" i="1"/>
  <c r="B5531" i="1"/>
  <c r="B5527" i="1"/>
  <c r="B5523" i="1"/>
  <c r="B5519" i="1"/>
  <c r="B5515" i="1"/>
  <c r="B5511" i="1"/>
  <c r="B5507" i="1"/>
  <c r="B5503" i="1"/>
  <c r="B5499" i="1"/>
  <c r="B5495" i="1"/>
  <c r="B5491" i="1"/>
  <c r="B5487" i="1"/>
  <c r="B5482" i="1"/>
  <c r="B5478" i="1"/>
  <c r="B5474" i="1"/>
  <c r="B5462" i="1"/>
  <c r="B5458" i="1"/>
  <c r="B5454" i="1"/>
  <c r="B5446" i="1"/>
  <c r="B5442" i="1"/>
  <c r="B5438" i="1"/>
  <c r="B5425" i="1"/>
  <c r="B5421" i="1"/>
  <c r="B5417" i="1"/>
  <c r="B5413" i="1"/>
  <c r="B5409" i="1"/>
  <c r="B5405" i="1"/>
  <c r="B5401" i="1"/>
  <c r="B5397" i="1"/>
  <c r="B5393" i="1"/>
  <c r="B5388" i="1"/>
  <c r="B5384" i="1"/>
  <c r="B5376" i="1"/>
  <c r="B5372" i="1"/>
  <c r="B5363" i="1"/>
  <c r="B5359" i="1"/>
  <c r="B5355" i="1"/>
  <c r="B5351" i="1"/>
  <c r="B5347" i="1"/>
  <c r="B5343" i="1"/>
  <c r="B5339" i="1"/>
  <c r="B5335" i="1"/>
  <c r="B5331" i="1"/>
  <c r="B5326" i="1"/>
  <c r="B5322" i="1"/>
  <c r="B5310" i="1"/>
  <c r="B5306" i="1"/>
  <c r="B5302" i="1"/>
  <c r="B5298" i="1"/>
  <c r="B5294" i="1"/>
  <c r="B5290" i="1"/>
  <c r="B5286" i="1"/>
  <c r="B5282" i="1"/>
  <c r="B5278" i="1"/>
  <c r="B5274" i="1"/>
  <c r="B5270" i="1"/>
  <c r="B5262" i="1"/>
  <c r="B5258" i="1"/>
  <c r="B5254" i="1"/>
  <c r="B5250" i="1"/>
  <c r="B5246" i="1"/>
  <c r="B5242" i="1"/>
  <c r="B5238" i="1"/>
  <c r="B5226" i="1"/>
  <c r="B5214" i="1"/>
  <c r="B5206" i="1"/>
  <c r="B5198" i="1"/>
  <c r="B5194" i="1"/>
  <c r="B5182" i="1"/>
  <c r="B5174" i="1"/>
  <c r="B5170" i="1"/>
  <c r="B5156" i="1"/>
  <c r="B5152" i="1"/>
  <c r="B5148" i="1"/>
  <c r="B5144" i="1"/>
  <c r="B5140" i="1"/>
  <c r="B5132" i="1"/>
  <c r="B5127" i="1"/>
  <c r="B5123" i="1"/>
  <c r="B5115" i="1"/>
  <c r="B5111" i="1"/>
  <c r="B5107" i="1"/>
  <c r="B5103" i="1"/>
  <c r="B5099" i="1"/>
  <c r="B5095" i="1"/>
  <c r="B5090" i="1"/>
  <c r="B5085" i="1"/>
  <c r="B5080" i="1"/>
  <c r="B5076" i="1"/>
  <c r="B5072" i="1"/>
  <c r="B5068" i="1"/>
  <c r="B5064" i="1"/>
  <c r="B5059" i="1"/>
  <c r="B5052" i="1"/>
  <c r="B5046" i="1"/>
  <c r="B5042" i="1"/>
  <c r="B5037" i="1"/>
  <c r="B5033" i="1"/>
  <c r="B5029" i="1"/>
  <c r="B5024" i="1"/>
  <c r="B5019" i="1"/>
  <c r="B5013" i="1"/>
  <c r="B5009" i="1"/>
  <c r="B5005" i="1"/>
  <c r="B5000" i="1"/>
  <c r="B4996" i="1"/>
  <c r="B4992" i="1"/>
  <c r="B4988" i="1"/>
  <c r="B4984" i="1"/>
  <c r="B4980" i="1"/>
  <c r="B4976" i="1"/>
  <c r="B4972" i="1"/>
  <c r="B4964" i="1"/>
  <c r="B4960" i="1"/>
  <c r="B4956" i="1"/>
  <c r="B4952" i="1"/>
  <c r="B4948" i="1"/>
  <c r="B4944" i="1"/>
  <c r="B4940" i="1"/>
  <c r="B4936" i="1"/>
  <c r="B4932" i="1"/>
  <c r="B4928" i="1"/>
  <c r="B4924" i="1"/>
  <c r="B4920" i="1"/>
  <c r="B4916" i="1"/>
  <c r="B4912" i="1"/>
  <c r="B4908" i="1"/>
  <c r="B4904" i="1"/>
  <c r="B4900" i="1"/>
  <c r="B4896" i="1"/>
  <c r="B4892" i="1"/>
  <c r="B4888" i="1"/>
  <c r="B4884" i="1"/>
  <c r="B4880" i="1"/>
  <c r="B4876" i="1"/>
  <c r="B4872" i="1"/>
  <c r="B4868" i="1"/>
  <c r="B4864" i="1"/>
  <c r="B4860" i="1"/>
  <c r="B4856" i="1"/>
  <c r="B4852" i="1"/>
  <c r="B4848" i="1"/>
  <c r="B4844" i="1"/>
  <c r="B4840" i="1"/>
  <c r="B4836" i="1"/>
  <c r="B4832" i="1"/>
  <c r="B4828" i="1"/>
  <c r="B4824" i="1"/>
  <c r="B4820" i="1"/>
  <c r="B4816" i="1"/>
  <c r="B4812" i="1"/>
  <c r="B4808" i="1"/>
  <c r="B4804" i="1"/>
  <c r="B4800" i="1"/>
  <c r="B4796" i="1"/>
  <c r="B4792" i="1"/>
  <c r="B4788" i="1"/>
  <c r="B4784" i="1"/>
  <c r="B4780" i="1"/>
  <c r="B4772" i="1"/>
  <c r="B4768" i="1"/>
  <c r="B4764" i="1"/>
  <c r="B4760" i="1"/>
  <c r="B4756" i="1"/>
  <c r="B4752" i="1"/>
  <c r="B4748" i="1"/>
  <c r="B4744" i="1"/>
  <c r="B4740" i="1"/>
  <c r="B4736" i="1"/>
  <c r="B4732" i="1"/>
  <c r="B4728" i="1"/>
  <c r="B4724" i="1"/>
  <c r="B4720" i="1"/>
  <c r="B4716" i="1"/>
  <c r="B4712" i="1"/>
  <c r="B4708" i="1"/>
  <c r="B4704" i="1"/>
  <c r="B4700" i="1"/>
  <c r="B4696" i="1"/>
  <c r="B4692" i="1"/>
  <c r="B4684" i="1"/>
  <c r="B4680" i="1"/>
  <c r="B4676" i="1"/>
  <c r="B4672" i="1"/>
  <c r="B4668" i="1"/>
  <c r="B4664" i="1"/>
  <c r="B4660" i="1"/>
  <c r="B4656" i="1"/>
  <c r="B4652" i="1"/>
  <c r="B4644" i="1"/>
  <c r="B4640" i="1"/>
  <c r="B4636" i="1"/>
  <c r="B4632" i="1"/>
  <c r="B4628" i="1"/>
  <c r="B4620" i="1"/>
  <c r="B4616" i="1"/>
  <c r="B4612" i="1"/>
  <c r="B4608" i="1"/>
  <c r="B4604" i="1"/>
  <c r="B4600" i="1"/>
  <c r="B4596" i="1"/>
  <c r="B4592" i="1"/>
  <c r="B4588" i="1"/>
  <c r="B4584" i="1"/>
  <c r="B4580" i="1"/>
  <c r="B4576" i="1"/>
  <c r="B4572" i="1"/>
  <c r="B4568" i="1"/>
  <c r="B4564" i="1"/>
  <c r="B4560" i="1"/>
  <c r="B4556" i="1"/>
  <c r="B4552" i="1"/>
  <c r="B4548" i="1"/>
  <c r="B4544" i="1"/>
  <c r="B4540" i="1"/>
  <c r="B4536" i="1"/>
  <c r="B4532" i="1"/>
  <c r="B4528" i="1"/>
  <c r="B4520" i="1"/>
  <c r="B4516" i="1"/>
  <c r="B4512" i="1"/>
  <c r="B4508" i="1"/>
  <c r="B4504" i="1"/>
  <c r="B4500" i="1"/>
  <c r="B4496" i="1"/>
  <c r="B4492" i="1"/>
  <c r="B4488" i="1"/>
  <c r="B4484" i="1"/>
  <c r="B4480" i="1"/>
  <c r="B4476" i="1"/>
  <c r="B4472" i="1"/>
  <c r="B4468" i="1"/>
  <c r="B4464" i="1"/>
  <c r="B4460" i="1"/>
  <c r="B4452" i="1"/>
  <c r="B4440" i="1"/>
  <c r="B4436" i="1"/>
  <c r="B4432" i="1"/>
  <c r="B4428" i="1"/>
  <c r="B4424" i="1"/>
  <c r="B4416" i="1"/>
  <c r="B4412" i="1"/>
  <c r="B4408" i="1"/>
  <c r="B4404" i="1"/>
  <c r="B4396" i="1"/>
  <c r="B4392" i="1"/>
  <c r="B4388" i="1"/>
  <c r="B4384" i="1"/>
  <c r="B4372" i="1"/>
  <c r="B4368" i="1"/>
  <c r="B4364" i="1"/>
  <c r="B4360" i="1"/>
  <c r="B4356" i="1"/>
  <c r="B4352" i="1"/>
  <c r="B4348" i="1"/>
  <c r="B4344" i="1"/>
  <c r="B4340" i="1"/>
  <c r="B4336" i="1"/>
  <c r="B4332" i="1"/>
  <c r="B4328" i="1"/>
  <c r="B4324" i="1"/>
  <c r="B4320" i="1"/>
  <c r="B4316" i="1"/>
  <c r="B4312" i="1"/>
  <c r="B4308" i="1"/>
  <c r="B4304" i="1"/>
  <c r="B4300" i="1"/>
  <c r="B4296" i="1"/>
  <c r="B4292" i="1"/>
  <c r="B4288" i="1"/>
  <c r="B6731" i="1"/>
  <c r="B6727" i="1"/>
  <c r="B6723" i="1"/>
  <c r="B6719" i="1"/>
  <c r="B6715" i="1"/>
  <c r="B6707" i="1"/>
  <c r="B6703" i="1"/>
  <c r="B6699" i="1"/>
  <c r="B6695" i="1"/>
  <c r="B6691" i="1"/>
  <c r="B6687" i="1"/>
  <c r="B6679" i="1"/>
  <c r="B6667" i="1"/>
  <c r="B6663" i="1"/>
  <c r="B6659" i="1"/>
  <c r="B6655" i="1"/>
  <c r="B6647" i="1"/>
  <c r="B6643" i="1"/>
  <c r="B6639" i="1"/>
  <c r="B6635" i="1"/>
  <c r="B6631" i="1"/>
  <c r="B6627" i="1"/>
  <c r="B6623" i="1"/>
  <c r="B6619" i="1"/>
  <c r="B6611" i="1"/>
  <c r="B6607" i="1"/>
  <c r="B6603" i="1"/>
  <c r="B6599" i="1"/>
  <c r="B6595" i="1"/>
  <c r="B6591" i="1"/>
  <c r="B6583" i="1"/>
  <c r="B6571" i="1"/>
  <c r="B6567" i="1"/>
  <c r="B6563" i="1"/>
  <c r="B6559" i="1"/>
  <c r="B6555" i="1"/>
  <c r="B6551" i="1"/>
  <c r="B6547" i="1"/>
  <c r="B6543" i="1"/>
  <c r="B6539" i="1"/>
  <c r="B6535" i="1"/>
  <c r="B6531" i="1"/>
  <c r="B6527" i="1"/>
  <c r="B6523" i="1"/>
  <c r="B6519" i="1"/>
  <c r="B6515" i="1"/>
  <c r="B6511" i="1"/>
  <c r="B6507" i="1"/>
  <c r="B6499" i="1"/>
  <c r="B6495" i="1"/>
  <c r="B6491" i="1"/>
  <c r="B6487" i="1"/>
  <c r="B6483" i="1"/>
  <c r="B6479" i="1"/>
  <c r="B6475" i="1"/>
  <c r="B6471" i="1"/>
  <c r="B6467" i="1"/>
  <c r="B6463" i="1"/>
  <c r="B6455" i="1"/>
  <c r="B6451" i="1"/>
  <c r="B6443" i="1"/>
  <c r="B6439" i="1"/>
  <c r="B6431" i="1"/>
  <c r="B6427" i="1"/>
  <c r="B6423" i="1"/>
  <c r="B6419" i="1"/>
  <c r="B6415" i="1"/>
  <c r="B6411" i="1"/>
  <c r="B6407" i="1"/>
  <c r="B6403" i="1"/>
  <c r="B6399" i="1"/>
  <c r="B6395" i="1"/>
  <c r="B6391" i="1"/>
  <c r="B6387" i="1"/>
  <c r="B6383" i="1"/>
  <c r="B6379" i="1"/>
  <c r="B6371" i="1"/>
  <c r="B6367" i="1"/>
  <c r="B6363" i="1"/>
  <c r="B6351" i="1"/>
  <c r="B6343" i="1"/>
  <c r="B6339" i="1"/>
  <c r="B6335" i="1"/>
  <c r="B6331" i="1"/>
  <c r="B6327" i="1"/>
  <c r="B6323" i="1"/>
  <c r="B6319" i="1"/>
  <c r="B6315" i="1"/>
  <c r="B6311" i="1"/>
  <c r="B6307" i="1"/>
  <c r="B6303" i="1"/>
  <c r="B6299" i="1"/>
  <c r="B6295" i="1"/>
  <c r="B6291" i="1"/>
  <c r="B6287" i="1"/>
  <c r="B6283" i="1"/>
  <c r="B6279" i="1"/>
  <c r="B6275" i="1"/>
  <c r="B6271" i="1"/>
  <c r="B6267" i="1"/>
  <c r="B6263" i="1"/>
  <c r="B6259" i="1"/>
  <c r="B6255" i="1"/>
  <c r="B6251" i="1"/>
  <c r="B6247" i="1"/>
  <c r="B6243" i="1"/>
  <c r="B6239" i="1"/>
  <c r="B6235" i="1"/>
  <c r="B6231" i="1"/>
  <c r="B6227" i="1"/>
  <c r="B6223" i="1"/>
  <c r="B6219" i="1"/>
  <c r="B6215" i="1"/>
  <c r="B6211" i="1"/>
  <c r="B6207" i="1"/>
  <c r="B6203" i="1"/>
  <c r="B6199" i="1"/>
  <c r="B6195" i="1"/>
  <c r="B6191" i="1"/>
  <c r="B6187" i="1"/>
  <c r="B6183" i="1"/>
  <c r="B6179" i="1"/>
  <c r="B6175" i="1"/>
  <c r="B6171" i="1"/>
  <c r="B6167" i="1"/>
  <c r="B6163" i="1"/>
  <c r="B6159" i="1"/>
  <c r="B6155" i="1"/>
  <c r="B6151" i="1"/>
  <c r="B6147" i="1"/>
  <c r="B6143" i="1"/>
  <c r="B6139" i="1"/>
  <c r="B6135" i="1"/>
  <c r="B6131" i="1"/>
  <c r="B6127" i="1"/>
  <c r="B6123" i="1"/>
  <c r="B6119" i="1"/>
  <c r="B6115" i="1"/>
  <c r="B6111" i="1"/>
  <c r="B6107" i="1"/>
  <c r="B6103" i="1"/>
  <c r="B6099" i="1"/>
  <c r="B6095" i="1"/>
  <c r="B6091" i="1"/>
  <c r="B6087" i="1"/>
  <c r="B6083" i="1"/>
  <c r="B6079" i="1"/>
  <c r="B6075" i="1"/>
  <c r="B6063" i="1"/>
  <c r="B6051" i="1"/>
  <c r="B6047" i="1"/>
  <c r="B6043" i="1"/>
  <c r="B6039" i="1"/>
  <c r="B6031" i="1"/>
  <c r="B6027" i="1"/>
  <c r="B6023" i="1"/>
  <c r="B6015" i="1"/>
  <c r="B6011" i="1"/>
  <c r="B6007" i="1"/>
  <c r="B6003" i="1"/>
  <c r="B5991" i="1"/>
  <c r="B5987" i="1"/>
  <c r="B5983" i="1"/>
  <c r="B5979" i="1"/>
  <c r="B5975" i="1"/>
  <c r="B5971" i="1"/>
  <c r="B5967" i="1"/>
  <c r="B5963" i="1"/>
  <c r="B5959" i="1"/>
  <c r="B5955" i="1"/>
  <c r="B5951" i="1"/>
  <c r="B5947" i="1"/>
  <c r="B5943" i="1"/>
  <c r="B5935" i="1"/>
  <c r="B5931" i="1"/>
  <c r="B5927" i="1"/>
  <c r="B5923" i="1"/>
  <c r="B5919" i="1"/>
  <c r="B5915" i="1"/>
  <c r="B5911" i="1"/>
  <c r="B5907" i="1"/>
  <c r="B5903" i="1"/>
  <c r="B5899" i="1"/>
  <c r="B5895" i="1"/>
  <c r="B5891" i="1"/>
  <c r="B5887" i="1"/>
  <c r="B5883" i="1"/>
  <c r="B5867" i="1"/>
  <c r="B5863" i="1"/>
  <c r="B5859" i="1"/>
  <c r="B5855" i="1"/>
  <c r="B5851" i="1"/>
  <c r="B5847" i="1"/>
  <c r="B5843" i="1"/>
  <c r="B5839" i="1"/>
  <c r="B5835" i="1"/>
  <c r="B5831" i="1"/>
  <c r="B5827" i="1"/>
  <c r="B5823" i="1"/>
  <c r="B5815" i="1"/>
  <c r="B5811" i="1"/>
  <c r="B5803" i="1"/>
  <c r="B5799" i="1"/>
  <c r="B5795" i="1"/>
  <c r="B5790" i="1"/>
  <c r="B5785" i="1"/>
  <c r="B5781" i="1"/>
  <c r="B5773" i="1"/>
  <c r="B5769" i="1"/>
  <c r="B5765" i="1"/>
  <c r="B5757" i="1"/>
  <c r="B5753" i="1"/>
  <c r="B5749" i="1"/>
  <c r="B5741" i="1"/>
  <c r="B5737" i="1"/>
  <c r="B5733" i="1"/>
  <c r="B5729" i="1"/>
  <c r="B5725" i="1"/>
  <c r="B5721" i="1"/>
  <c r="B5717" i="1"/>
  <c r="B5713" i="1"/>
  <c r="B5709" i="1"/>
  <c r="B5705" i="1"/>
  <c r="B5701" i="1"/>
  <c r="B5696" i="1"/>
  <c r="B5692" i="1"/>
  <c r="B5688" i="1"/>
  <c r="B5684" i="1"/>
  <c r="B5680" i="1"/>
  <c r="B5676" i="1"/>
  <c r="B5672" i="1"/>
  <c r="B5668" i="1"/>
  <c r="B5664" i="1"/>
  <c r="B5660" i="1"/>
  <c r="B5656" i="1"/>
  <c r="B5652" i="1"/>
  <c r="B5648" i="1"/>
  <c r="B5643" i="1"/>
  <c r="B5639" i="1"/>
  <c r="B5635" i="1"/>
  <c r="B5631" i="1"/>
  <c r="B5627" i="1"/>
  <c r="B5623" i="1"/>
  <c r="B5619" i="1"/>
  <c r="B5615" i="1"/>
  <c r="B5611" i="1"/>
  <c r="B5607" i="1"/>
  <c r="B5603" i="1"/>
  <c r="B5599" i="1"/>
  <c r="B5595" i="1"/>
  <c r="B5591" i="1"/>
  <c r="B5583" i="1"/>
  <c r="B5579" i="1"/>
  <c r="B5575" i="1"/>
  <c r="B5571" i="1"/>
  <c r="B5567" i="1"/>
  <c r="B5563" i="1"/>
  <c r="B5559" i="1"/>
  <c r="B5555" i="1"/>
  <c r="B5551" i="1"/>
  <c r="B5547" i="1"/>
  <c r="B5543" i="1"/>
  <c r="B5539" i="1"/>
  <c r="B5530" i="1"/>
  <c r="B5526" i="1"/>
  <c r="B5522" i="1"/>
  <c r="B5514" i="1"/>
  <c r="B5510" i="1"/>
  <c r="B5506" i="1"/>
  <c r="B5502" i="1"/>
  <c r="B5494" i="1"/>
  <c r="B5490" i="1"/>
  <c r="B5481" i="1"/>
  <c r="B5477" i="1"/>
  <c r="B5473" i="1"/>
  <c r="B5469" i="1"/>
  <c r="B5465" i="1"/>
  <c r="B5461" i="1"/>
  <c r="B5457" i="1"/>
  <c r="B5453" i="1"/>
  <c r="B5449" i="1"/>
  <c r="B5445" i="1"/>
  <c r="B5441" i="1"/>
  <c r="B5436" i="1"/>
  <c r="B5432" i="1"/>
  <c r="B5428" i="1"/>
  <c r="B5424" i="1"/>
  <c r="B5420" i="1"/>
  <c r="B5416" i="1"/>
  <c r="B5412" i="1"/>
  <c r="B5408" i="1"/>
  <c r="B5404" i="1"/>
  <c r="B5400" i="1"/>
  <c r="B5396" i="1"/>
  <c r="B5392" i="1"/>
  <c r="B5387" i="1"/>
  <c r="B5383" i="1"/>
  <c r="B5379" i="1"/>
  <c r="B5375" i="1"/>
  <c r="B5370" i="1"/>
  <c r="B5366" i="1"/>
  <c r="B5362" i="1"/>
  <c r="B5358" i="1"/>
  <c r="B5354" i="1"/>
  <c r="B5350" i="1"/>
  <c r="B5346" i="1"/>
  <c r="B5342" i="1"/>
  <c r="B5338" i="1"/>
  <c r="B5334" i="1"/>
  <c r="B5330" i="1"/>
  <c r="B5317" i="1"/>
  <c r="B5313" i="1"/>
  <c r="B5309" i="1"/>
  <c r="B5305" i="1"/>
  <c r="B5301" i="1"/>
  <c r="B5297" i="1"/>
  <c r="B5293" i="1"/>
  <c r="B5289" i="1"/>
  <c r="B5285" i="1"/>
  <c r="B5281" i="1"/>
  <c r="B5277" i="1"/>
  <c r="B5273" i="1"/>
  <c r="B5269" i="1"/>
  <c r="B5265" i="1"/>
  <c r="B5261" i="1"/>
  <c r="B5257" i="1"/>
  <c r="B5245" i="1"/>
  <c r="B5241" i="1"/>
  <c r="B5233" i="1"/>
  <c r="B5229" i="1"/>
  <c r="B5225" i="1"/>
  <c r="B5217" i="1"/>
  <c r="B5213" i="1"/>
  <c r="B5205" i="1"/>
  <c r="B5197" i="1"/>
  <c r="B5193" i="1"/>
  <c r="B5189" i="1"/>
  <c r="B5185" i="1"/>
  <c r="B5177" i="1"/>
  <c r="B5173" i="1"/>
  <c r="B5161" i="1"/>
  <c r="B172" i="1"/>
  <c r="B168" i="1"/>
  <c r="B164" i="1"/>
  <c r="B160" i="1"/>
  <c r="B156" i="1"/>
  <c r="B152" i="1"/>
  <c r="B148" i="1"/>
  <c r="B140" i="1"/>
  <c r="B136" i="1"/>
  <c r="B132" i="1"/>
  <c r="B128" i="1"/>
  <c r="B124" i="1"/>
  <c r="B120" i="1"/>
  <c r="B116" i="1"/>
  <c r="B112" i="1"/>
  <c r="B108" i="1"/>
  <c r="B104" i="1"/>
  <c r="B100" i="1"/>
  <c r="B92" i="1"/>
  <c r="B88" i="1"/>
  <c r="B76" i="1"/>
  <c r="B68" i="1"/>
  <c r="B64" i="1"/>
  <c r="B56" i="1"/>
  <c r="B44" i="1"/>
  <c r="B36" i="1"/>
  <c r="B32" i="1"/>
  <c r="B28" i="1"/>
  <c r="B24" i="1"/>
  <c r="B16" i="1"/>
  <c r="B12" i="1"/>
  <c r="B6786" i="1"/>
  <c r="B6782" i="1"/>
  <c r="B6778" i="1"/>
  <c r="B6770" i="1"/>
  <c r="B6766" i="1"/>
  <c r="B6762" i="1"/>
  <c r="B6758" i="1"/>
  <c r="B6754" i="1"/>
  <c r="B6750" i="1"/>
  <c r="B6746" i="1"/>
  <c r="B6742" i="1"/>
  <c r="B6738" i="1"/>
  <c r="B6734" i="1"/>
  <c r="B6730" i="1"/>
  <c r="B6726" i="1"/>
  <c r="B6722" i="1"/>
  <c r="B6718" i="1"/>
  <c r="B6714" i="1"/>
  <c r="B6710" i="1"/>
  <c r="B6706" i="1"/>
  <c r="B6702" i="1"/>
  <c r="B6698" i="1"/>
  <c r="B6694" i="1"/>
  <c r="B6690" i="1"/>
  <c r="B6682" i="1"/>
  <c r="B6678" i="1"/>
  <c r="B6670" i="1"/>
  <c r="B6662" i="1"/>
  <c r="B6658" i="1"/>
  <c r="B6654" i="1"/>
  <c r="B6650" i="1"/>
  <c r="B6646" i="1"/>
  <c r="B6642" i="1"/>
  <c r="B6638" i="1"/>
  <c r="B6634" i="1"/>
  <c r="B6630" i="1"/>
  <c r="B6622" i="1"/>
  <c r="B6618" i="1"/>
  <c r="B6614" i="1"/>
  <c r="B6610" i="1"/>
  <c r="B6602" i="1"/>
  <c r="B6598" i="1"/>
  <c r="B6594" i="1"/>
  <c r="B6582" i="1"/>
  <c r="B6578" i="1"/>
  <c r="B6574" i="1"/>
  <c r="B6570" i="1"/>
  <c r="B6566" i="1"/>
  <c r="B6562" i="1"/>
  <c r="B6558" i="1"/>
  <c r="B6554" i="1"/>
  <c r="B6550" i="1"/>
  <c r="B6546" i="1"/>
  <c r="B6542" i="1"/>
  <c r="B6538" i="1"/>
  <c r="B6530" i="1"/>
  <c r="B6526" i="1"/>
  <c r="B6522" i="1"/>
  <c r="B6518" i="1"/>
  <c r="B6514" i="1"/>
  <c r="B6510" i="1"/>
  <c r="B6506" i="1"/>
  <c r="B6502" i="1"/>
  <c r="B6498" i="1"/>
  <c r="B6494" i="1"/>
  <c r="B6490" i="1"/>
  <c r="B6486" i="1"/>
  <c r="B6482" i="1"/>
  <c r="B6478" i="1"/>
  <c r="B6474" i="1"/>
  <c r="B6470" i="1"/>
  <c r="B6466" i="1"/>
  <c r="B6462" i="1"/>
  <c r="B6458" i="1"/>
  <c r="B6454" i="1"/>
  <c r="B6450" i="1"/>
  <c r="B6446" i="1"/>
  <c r="B6442" i="1"/>
  <c r="B6438" i="1"/>
  <c r="B6434" i="1"/>
  <c r="B6430" i="1"/>
  <c r="B6426" i="1"/>
  <c r="B6422" i="1"/>
  <c r="B6418" i="1"/>
  <c r="B6414" i="1"/>
  <c r="B6410" i="1"/>
  <c r="B6406" i="1"/>
  <c r="B6402" i="1"/>
  <c r="B6398" i="1"/>
  <c r="B6394" i="1"/>
  <c r="B6386" i="1"/>
  <c r="B6382" i="1"/>
  <c r="B6378" i="1"/>
  <c r="B6374" i="1"/>
  <c r="B6370" i="1"/>
  <c r="B6366" i="1"/>
  <c r="B6362" i="1"/>
  <c r="B6358" i="1"/>
  <c r="B6354" i="1"/>
  <c r="B6350" i="1"/>
  <c r="B6346" i="1"/>
  <c r="B6342" i="1"/>
  <c r="B6338" i="1"/>
  <c r="B6334" i="1"/>
  <c r="B6330" i="1"/>
  <c r="B6326" i="1"/>
  <c r="B6322" i="1"/>
  <c r="B6314" i="1"/>
  <c r="B6310" i="1"/>
  <c r="B6306" i="1"/>
  <c r="B6302" i="1"/>
  <c r="B6298" i="1"/>
  <c r="B6294" i="1"/>
  <c r="B6290" i="1"/>
  <c r="B6286" i="1"/>
  <c r="B6282" i="1"/>
  <c r="B6278" i="1"/>
  <c r="B6274" i="1"/>
  <c r="B6266" i="1"/>
  <c r="B6262" i="1"/>
  <c r="B6258" i="1"/>
  <c r="B6254" i="1"/>
  <c r="B6250" i="1"/>
  <c r="B6246" i="1"/>
  <c r="B6242" i="1"/>
  <c r="B6238" i="1"/>
  <c r="B6234" i="1"/>
  <c r="B6230" i="1"/>
  <c r="B6226" i="1"/>
  <c r="B6222" i="1"/>
  <c r="B6218" i="1"/>
  <c r="B6214" i="1"/>
  <c r="B6210" i="1"/>
  <c r="B6206" i="1"/>
  <c r="B6202" i="1"/>
  <c r="B6198" i="1"/>
  <c r="B6194" i="1"/>
  <c r="B6190" i="1"/>
  <c r="B6186" i="1"/>
  <c r="B6182" i="1"/>
  <c r="B6178" i="1"/>
  <c r="B6174" i="1"/>
  <c r="B6170" i="1"/>
  <c r="B6166" i="1"/>
  <c r="B6162" i="1"/>
  <c r="B6158" i="1"/>
  <c r="B6154" i="1"/>
  <c r="B6150" i="1"/>
  <c r="B6146" i="1"/>
  <c r="B6142" i="1"/>
  <c r="B6138" i="1"/>
  <c r="B6134" i="1"/>
  <c r="B6130" i="1"/>
  <c r="B6122" i="1"/>
  <c r="B6114" i="1"/>
  <c r="B6106" i="1"/>
  <c r="B6102" i="1"/>
  <c r="B6098" i="1"/>
  <c r="B6094" i="1"/>
  <c r="B6090" i="1"/>
  <c r="B6086" i="1"/>
  <c r="B6082" i="1"/>
  <c r="B6074" i="1"/>
  <c r="B6062" i="1"/>
  <c r="B6058" i="1"/>
  <c r="B6050" i="1"/>
  <c r="B6046" i="1"/>
  <c r="B6038" i="1"/>
  <c r="B6026" i="1"/>
  <c r="B6022" i="1"/>
  <c r="B6018" i="1"/>
  <c r="B6010" i="1"/>
  <c r="B6006" i="1"/>
  <c r="B6002" i="1"/>
  <c r="B5998" i="1"/>
  <c r="B5994" i="1"/>
  <c r="B5990" i="1"/>
  <c r="B5982" i="1"/>
  <c r="B5978" i="1"/>
  <c r="B5974" i="1"/>
  <c r="B5970" i="1"/>
  <c r="B5966" i="1"/>
  <c r="B5962" i="1"/>
  <c r="B5958" i="1"/>
  <c r="B5954" i="1"/>
  <c r="B5950" i="1"/>
  <c r="B5946" i="1"/>
  <c r="B5942" i="1"/>
  <c r="B5938" i="1"/>
  <c r="B5934" i="1"/>
  <c r="B5930" i="1"/>
  <c r="B5926" i="1"/>
  <c r="B5922" i="1"/>
  <c r="B5918" i="1"/>
  <c r="B5914" i="1"/>
  <c r="B5910" i="1"/>
  <c r="B5906" i="1"/>
  <c r="B5898" i="1"/>
  <c r="B5894" i="1"/>
  <c r="B5890" i="1"/>
  <c r="B5886" i="1"/>
  <c r="B5882" i="1"/>
  <c r="B5878" i="1"/>
  <c r="B5870" i="1"/>
  <c r="B5858" i="1"/>
  <c r="B5854" i="1"/>
  <c r="B5850" i="1"/>
  <c r="B5846" i="1"/>
  <c r="B5838" i="1"/>
  <c r="B5834" i="1"/>
  <c r="B5830" i="1"/>
  <c r="B5826" i="1"/>
  <c r="B5822" i="1"/>
  <c r="B5818" i="1"/>
  <c r="B5814" i="1"/>
  <c r="B5810" i="1"/>
  <c r="B5802" i="1"/>
  <c r="B5798" i="1"/>
  <c r="B5794" i="1"/>
  <c r="B5789" i="1"/>
  <c r="B5784" i="1"/>
  <c r="B5780" i="1"/>
  <c r="B5772" i="1"/>
  <c r="B5760" i="1"/>
  <c r="B5756" i="1"/>
  <c r="B5752" i="1"/>
  <c r="B5748" i="1"/>
  <c r="B5744" i="1"/>
  <c r="B5740" i="1"/>
  <c r="B5736" i="1"/>
  <c r="B5732" i="1"/>
  <c r="B5728" i="1"/>
  <c r="B5724" i="1"/>
  <c r="B5720" i="1"/>
  <c r="B5716" i="1"/>
  <c r="B5712" i="1"/>
  <c r="B5708" i="1"/>
  <c r="B5704" i="1"/>
  <c r="B5700" i="1"/>
  <c r="B5695" i="1"/>
  <c r="B5687" i="1"/>
  <c r="B5683" i="1"/>
  <c r="B5679" i="1"/>
  <c r="B5675" i="1"/>
  <c r="B5671" i="1"/>
  <c r="B5667" i="1"/>
  <c r="B5663" i="1"/>
  <c r="B5659" i="1"/>
  <c r="B5655" i="1"/>
  <c r="B5651" i="1"/>
  <c r="B5642" i="1"/>
  <c r="B5638" i="1"/>
  <c r="B5630" i="1"/>
  <c r="B5626" i="1"/>
  <c r="B5618" i="1"/>
  <c r="B5614" i="1"/>
  <c r="B5610" i="1"/>
  <c r="B5606" i="1"/>
  <c r="B5602" i="1"/>
  <c r="B5598" i="1"/>
  <c r="B5594" i="1"/>
  <c r="B5590" i="1"/>
  <c r="B5586" i="1"/>
  <c r="B5582" i="1"/>
  <c r="B5578" i="1"/>
  <c r="B5574" i="1"/>
  <c r="B5570" i="1"/>
  <c r="B5566" i="1"/>
  <c r="B5558" i="1"/>
  <c r="B5554" i="1"/>
  <c r="B5550" i="1"/>
  <c r="B5538" i="1"/>
  <c r="B5529" i="1"/>
  <c r="B5525" i="1"/>
  <c r="B5521" i="1"/>
  <c r="B5517" i="1"/>
  <c r="B5513" i="1"/>
  <c r="B5509" i="1"/>
  <c r="B5505" i="1"/>
  <c r="B5501" i="1"/>
  <c r="B5497" i="1"/>
  <c r="B5493" i="1"/>
  <c r="B5489" i="1"/>
  <c r="B5485" i="1"/>
  <c r="B5480" i="1"/>
  <c r="B5476" i="1"/>
  <c r="B5472" i="1"/>
  <c r="B5468" i="1"/>
  <c r="B5464" i="1"/>
  <c r="B5460" i="1"/>
  <c r="B5456" i="1"/>
  <c r="B5452" i="1"/>
  <c r="B5448" i="1"/>
  <c r="B5444" i="1"/>
  <c r="B5440" i="1"/>
  <c r="B5435" i="1"/>
  <c r="B5431" i="1"/>
  <c r="B5427" i="1"/>
  <c r="B5423" i="1"/>
  <c r="B5419" i="1"/>
  <c r="B5415" i="1"/>
  <c r="B5411" i="1"/>
  <c r="B5407" i="1"/>
  <c r="B5403" i="1"/>
  <c r="B5399" i="1"/>
  <c r="B5395" i="1"/>
  <c r="B5391" i="1"/>
  <c r="B5386" i="1"/>
  <c r="B5382" i="1"/>
  <c r="B5378" i="1"/>
  <c r="B5374" i="1"/>
  <c r="B5369" i="1"/>
  <c r="B5365" i="1"/>
  <c r="B5361" i="1"/>
  <c r="B5357" i="1"/>
  <c r="B5353" i="1"/>
  <c r="B5349" i="1"/>
  <c r="B5345" i="1"/>
  <c r="B5341" i="1"/>
  <c r="B5337" i="1"/>
  <c r="B5333" i="1"/>
  <c r="B5328" i="1"/>
  <c r="B5324" i="1"/>
  <c r="B5320" i="1"/>
  <c r="B5316" i="1"/>
  <c r="B5312" i="1"/>
  <c r="B5308" i="1"/>
  <c r="B5304" i="1"/>
  <c r="B5300" i="1"/>
  <c r="B5296" i="1"/>
  <c r="B5292" i="1"/>
  <c r="B5288" i="1"/>
  <c r="B5284" i="1"/>
  <c r="B5280" i="1"/>
  <c r="B5276" i="1"/>
  <c r="B5272" i="1"/>
  <c r="B5268" i="1"/>
  <c r="B5264" i="1"/>
  <c r="B5260" i="1"/>
  <c r="B5256" i="1"/>
  <c r="B5244" i="1"/>
  <c r="B5232" i="1"/>
  <c r="B5228" i="1"/>
  <c r="B5224" i="1"/>
  <c r="B5220" i="1"/>
  <c r="B5212" i="1"/>
  <c r="B5208" i="1"/>
  <c r="B5204" i="1"/>
  <c r="B5196" i="1"/>
  <c r="B5192" i="1"/>
  <c r="B5188" i="1"/>
  <c r="B5184" i="1"/>
  <c r="B5172" i="1"/>
  <c r="B5168" i="1"/>
  <c r="B5164" i="1"/>
  <c r="B5160" i="1"/>
  <c r="B4089" i="1"/>
  <c r="B4085" i="1"/>
  <c r="B4081" i="1"/>
  <c r="B4077" i="1"/>
  <c r="B4073" i="1"/>
  <c r="B4069" i="1"/>
  <c r="B4065" i="1"/>
  <c r="B4061" i="1"/>
  <c r="B4057" i="1"/>
  <c r="B4053" i="1"/>
  <c r="B4049" i="1"/>
  <c r="B4045" i="1"/>
  <c r="B4041" i="1"/>
  <c r="B4037" i="1"/>
  <c r="B4033" i="1"/>
  <c r="B4029" i="1"/>
  <c r="B4025" i="1"/>
  <c r="B4021" i="1"/>
  <c r="B4017" i="1"/>
  <c r="B4013" i="1"/>
  <c r="B4009" i="1"/>
  <c r="B4005" i="1"/>
  <c r="B4001" i="1"/>
  <c r="B3997" i="1"/>
  <c r="B3989" i="1"/>
  <c r="B3985" i="1"/>
  <c r="B3981" i="1"/>
  <c r="B3977" i="1"/>
  <c r="B3973" i="1"/>
  <c r="B3965" i="1"/>
  <c r="B3961" i="1"/>
  <c r="B3957" i="1"/>
  <c r="B3953" i="1"/>
  <c r="B3949" i="1"/>
  <c r="B3945" i="1"/>
  <c r="B3941" i="1"/>
  <c r="B3933" i="1"/>
  <c r="B3929" i="1"/>
  <c r="B3925" i="1"/>
  <c r="B3921" i="1"/>
  <c r="B3917" i="1"/>
  <c r="B3913" i="1"/>
  <c r="B3909" i="1"/>
  <c r="B3905" i="1"/>
  <c r="B3901" i="1"/>
  <c r="B3897" i="1"/>
  <c r="B3893" i="1"/>
  <c r="B3889" i="1"/>
  <c r="B3885" i="1"/>
  <c r="B3881" i="1"/>
  <c r="B3877" i="1"/>
  <c r="B3873" i="1"/>
  <c r="B3869" i="1"/>
  <c r="B3865" i="1"/>
  <c r="B3861" i="1"/>
  <c r="B3857" i="1"/>
  <c r="B3853" i="1"/>
  <c r="B3849" i="1"/>
  <c r="B3845" i="1"/>
  <c r="B3841" i="1"/>
  <c r="B3837" i="1"/>
  <c r="B3833" i="1"/>
  <c r="B3829" i="1"/>
  <c r="B3825" i="1"/>
  <c r="B3821" i="1"/>
  <c r="B3817" i="1"/>
  <c r="B3813" i="1"/>
  <c r="B3809" i="1"/>
  <c r="B3805" i="1"/>
  <c r="B3801" i="1"/>
  <c r="B3797" i="1"/>
  <c r="B3793" i="1"/>
  <c r="B3789" i="1"/>
  <c r="B3785" i="1"/>
  <c r="B3781" i="1"/>
  <c r="B3777" i="1"/>
  <c r="B3773" i="1"/>
  <c r="B3769" i="1"/>
  <c r="B3765" i="1"/>
  <c r="B3761" i="1"/>
  <c r="B3757" i="1"/>
  <c r="B3753" i="1"/>
  <c r="B3749" i="1"/>
  <c r="B3745" i="1"/>
  <c r="B3741" i="1"/>
  <c r="B3737" i="1"/>
  <c r="B3733" i="1"/>
  <c r="B3729" i="1"/>
  <c r="B3725" i="1"/>
  <c r="B3721" i="1"/>
  <c r="B3717" i="1"/>
  <c r="B3705" i="1"/>
  <c r="B3701" i="1"/>
  <c r="B3697" i="1"/>
  <c r="B3693" i="1"/>
  <c r="B3689" i="1"/>
  <c r="B3681" i="1"/>
  <c r="B3677" i="1"/>
  <c r="B3673" i="1"/>
  <c r="B3669" i="1"/>
  <c r="B3665" i="1"/>
  <c r="B3657" i="1"/>
  <c r="B3653" i="1"/>
  <c r="B3649" i="1"/>
  <c r="B3641" i="1"/>
  <c r="B3637" i="1"/>
  <c r="B3625" i="1"/>
  <c r="B3617" i="1"/>
  <c r="B3613" i="1"/>
  <c r="B3609" i="1"/>
  <c r="B3605" i="1"/>
  <c r="B3601" i="1"/>
  <c r="B3597" i="1"/>
  <c r="B3593" i="1"/>
  <c r="B3589" i="1"/>
  <c r="B3585" i="1"/>
  <c r="B3581" i="1"/>
  <c r="B3577" i="1"/>
  <c r="B3573" i="1"/>
  <c r="B3569" i="1"/>
  <c r="B3565" i="1"/>
  <c r="B3561" i="1"/>
  <c r="B3557" i="1"/>
  <c r="B3553" i="1"/>
  <c r="B3549" i="1"/>
  <c r="B3545" i="1"/>
  <c r="B3541" i="1"/>
  <c r="B3537" i="1"/>
  <c r="B3533" i="1"/>
  <c r="B3529" i="1"/>
  <c r="B3525" i="1"/>
  <c r="B3521" i="1"/>
  <c r="B3517" i="1"/>
  <c r="B3513" i="1"/>
  <c r="B3509" i="1"/>
  <c r="B3505" i="1"/>
  <c r="B3501" i="1"/>
  <c r="B3497" i="1"/>
  <c r="B3493" i="1"/>
  <c r="B3489" i="1"/>
  <c r="B3485" i="1"/>
  <c r="B3481" i="1"/>
  <c r="B3477" i="1"/>
  <c r="B3469" i="1"/>
  <c r="B3465" i="1"/>
  <c r="B3461" i="1"/>
  <c r="B3457" i="1"/>
  <c r="B3453" i="1"/>
  <c r="B3449" i="1"/>
  <c r="B3445" i="1"/>
  <c r="B3441" i="1"/>
  <c r="B3437" i="1"/>
  <c r="B3433" i="1"/>
  <c r="B3429" i="1"/>
  <c r="B3425" i="1"/>
  <c r="B3421" i="1"/>
  <c r="B3417" i="1"/>
  <c r="B3413" i="1"/>
  <c r="B3409" i="1"/>
  <c r="B3405" i="1"/>
  <c r="B3401" i="1"/>
  <c r="B3397" i="1"/>
  <c r="B3393" i="1"/>
  <c r="B3389" i="1"/>
  <c r="B3385" i="1"/>
  <c r="B3381" i="1"/>
  <c r="B3377" i="1"/>
  <c r="B3373" i="1"/>
  <c r="B3369" i="1"/>
  <c r="B3365" i="1"/>
  <c r="B3361" i="1"/>
  <c r="B3357" i="1"/>
  <c r="B3353" i="1"/>
  <c r="B3349" i="1"/>
  <c r="B3345" i="1"/>
  <c r="B3341" i="1"/>
  <c r="B3337" i="1"/>
  <c r="B3333" i="1"/>
  <c r="B3329" i="1"/>
  <c r="B3325" i="1"/>
  <c r="B3321" i="1"/>
  <c r="B3317" i="1"/>
  <c r="B3313" i="1"/>
  <c r="B3309" i="1"/>
  <c r="B3305" i="1"/>
  <c r="B3301" i="1"/>
  <c r="B3297" i="1"/>
  <c r="B3293" i="1"/>
  <c r="B3289" i="1"/>
  <c r="B3285" i="1"/>
  <c r="B3281" i="1"/>
  <c r="B3277" i="1"/>
  <c r="B3273" i="1"/>
  <c r="B3269" i="1"/>
  <c r="B3265" i="1"/>
  <c r="B3261" i="1"/>
  <c r="B3257" i="1"/>
  <c r="B3253" i="1"/>
  <c r="B3249" i="1"/>
  <c r="B3245" i="1"/>
  <c r="B3241" i="1"/>
  <c r="B3233" i="1"/>
  <c r="B3229" i="1"/>
  <c r="B3225" i="1"/>
  <c r="B3221" i="1"/>
  <c r="B3217" i="1"/>
  <c r="B3213" i="1"/>
  <c r="B3209" i="1"/>
  <c r="B3205" i="1"/>
  <c r="B3201" i="1"/>
  <c r="B3197" i="1"/>
  <c r="B3193" i="1"/>
  <c r="B3189" i="1"/>
  <c r="B3185" i="1"/>
  <c r="B3181" i="1"/>
  <c r="B3173" i="1"/>
  <c r="B3169" i="1"/>
  <c r="B3165" i="1"/>
  <c r="B3161" i="1"/>
  <c r="B3157" i="1"/>
  <c r="B3153" i="1"/>
  <c r="B3149" i="1"/>
  <c r="B3145" i="1"/>
  <c r="B3141" i="1"/>
  <c r="B3137" i="1"/>
  <c r="B3133" i="1"/>
  <c r="B3129" i="1"/>
  <c r="B3125" i="1"/>
  <c r="B3121" i="1"/>
  <c r="B3117" i="1"/>
  <c r="B3113" i="1"/>
  <c r="B3109" i="1"/>
  <c r="B3105" i="1"/>
  <c r="B3101" i="1"/>
  <c r="B3097" i="1"/>
  <c r="B3093" i="1"/>
  <c r="B3089" i="1"/>
  <c r="B3085" i="1"/>
  <c r="B3081" i="1"/>
  <c r="B3077" i="1"/>
  <c r="B3073" i="1"/>
  <c r="B3069" i="1"/>
  <c r="B3065" i="1"/>
  <c r="B3061" i="1"/>
  <c r="B3057" i="1"/>
  <c r="B3053" i="1"/>
  <c r="B3049" i="1"/>
  <c r="B3045" i="1"/>
  <c r="B3041" i="1"/>
  <c r="B3037" i="1"/>
  <c r="B3033" i="1"/>
  <c r="B3029" i="1"/>
  <c r="B3025" i="1"/>
  <c r="B3021" i="1"/>
  <c r="B3017" i="1"/>
  <c r="B3013" i="1"/>
  <c r="B3009" i="1"/>
  <c r="B3005" i="1"/>
  <c r="B3001" i="1"/>
  <c r="B2997" i="1"/>
  <c r="B2993" i="1"/>
  <c r="B2989" i="1"/>
  <c r="B2985" i="1"/>
  <c r="B2973" i="1"/>
  <c r="B2969" i="1"/>
  <c r="B2957" i="1"/>
  <c r="B2945" i="1"/>
  <c r="B2937" i="1"/>
  <c r="B2929" i="1"/>
  <c r="B2925" i="1"/>
  <c r="B2921" i="1"/>
  <c r="B2917" i="1"/>
  <c r="B2913" i="1"/>
  <c r="B2909" i="1"/>
  <c r="B2905" i="1"/>
  <c r="B2897" i="1"/>
  <c r="B2893" i="1"/>
  <c r="B2889" i="1"/>
  <c r="B2885" i="1"/>
  <c r="B2881" i="1"/>
  <c r="B2877" i="1"/>
  <c r="B2873" i="1"/>
  <c r="B2869" i="1"/>
  <c r="B2865" i="1"/>
  <c r="B2861" i="1"/>
  <c r="B2857" i="1"/>
  <c r="B2853" i="1"/>
  <c r="B2849" i="1"/>
  <c r="B2845" i="1"/>
  <c r="B2841" i="1"/>
  <c r="B2837" i="1"/>
  <c r="B2833" i="1"/>
  <c r="B2829" i="1"/>
  <c r="B2825" i="1"/>
  <c r="B2821" i="1"/>
  <c r="B2817" i="1"/>
  <c r="B2813" i="1"/>
  <c r="B2809" i="1"/>
  <c r="B2805" i="1"/>
  <c r="B2801" i="1"/>
  <c r="B2793" i="1"/>
  <c r="B2789" i="1"/>
  <c r="B2785" i="1"/>
  <c r="B2781" i="1"/>
  <c r="B2777" i="1"/>
  <c r="B2773" i="1"/>
  <c r="B2769" i="1"/>
  <c r="B2765" i="1"/>
  <c r="B2761" i="1"/>
  <c r="B2753" i="1"/>
  <c r="B2749" i="1"/>
  <c r="B2745" i="1"/>
  <c r="B2741" i="1"/>
  <c r="B2737" i="1"/>
  <c r="B2733" i="1"/>
  <c r="B2729" i="1"/>
  <c r="B2725" i="1"/>
  <c r="B2721" i="1"/>
  <c r="B2717" i="1"/>
  <c r="B2709" i="1"/>
  <c r="B2705" i="1"/>
  <c r="B2701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37" i="1"/>
  <c r="B2533" i="1"/>
  <c r="B2529" i="1"/>
  <c r="B2525" i="1"/>
  <c r="B2521" i="1"/>
  <c r="B2517" i="1"/>
  <c r="B2509" i="1"/>
  <c r="B2505" i="1"/>
  <c r="B2501" i="1"/>
  <c r="B2497" i="1"/>
  <c r="B2493" i="1"/>
  <c r="B2489" i="1"/>
  <c r="B2485" i="1"/>
  <c r="B2481" i="1"/>
  <c r="B2477" i="1"/>
  <c r="B2473" i="1"/>
  <c r="B2469" i="1"/>
  <c r="B2465" i="1"/>
  <c r="B2461" i="1"/>
  <c r="B2457" i="1"/>
  <c r="B2453" i="1"/>
  <c r="B2449" i="1"/>
  <c r="B2445" i="1"/>
  <c r="B2441" i="1"/>
  <c r="B2437" i="1"/>
  <c r="B2429" i="1"/>
  <c r="B2425" i="1"/>
  <c r="B2421" i="1"/>
  <c r="B2417" i="1"/>
  <c r="B2413" i="1"/>
  <c r="B2409" i="1"/>
  <c r="B2405" i="1"/>
  <c r="B2401" i="1"/>
  <c r="B2397" i="1"/>
  <c r="B2393" i="1"/>
  <c r="B2389" i="1"/>
  <c r="B2385" i="1"/>
  <c r="B2381" i="1"/>
  <c r="B2377" i="1"/>
  <c r="B2373" i="1"/>
  <c r="B2369" i="1"/>
  <c r="B2361" i="1"/>
  <c r="B2357" i="1"/>
  <c r="B2353" i="1"/>
  <c r="B2349" i="1"/>
  <c r="B2345" i="1"/>
  <c r="B2341" i="1"/>
  <c r="B2337" i="1"/>
  <c r="B2333" i="1"/>
  <c r="B2329" i="1"/>
  <c r="B2325" i="1"/>
  <c r="B2321" i="1"/>
  <c r="B2317" i="1"/>
  <c r="B2309" i="1"/>
  <c r="B2305" i="1"/>
  <c r="B2301" i="1"/>
  <c r="B2297" i="1"/>
  <c r="B2293" i="1"/>
  <c r="B2289" i="1"/>
  <c r="B2285" i="1"/>
  <c r="B2281" i="1"/>
  <c r="B2277" i="1"/>
  <c r="B2273" i="1"/>
  <c r="B2269" i="1"/>
  <c r="B2265" i="1"/>
  <c r="B2257" i="1"/>
  <c r="B2253" i="1"/>
  <c r="B2241" i="1"/>
  <c r="B2229" i="1"/>
  <c r="B2225" i="1"/>
  <c r="B2217" i="1"/>
  <c r="B2205" i="1"/>
  <c r="B2197" i="1"/>
  <c r="B2193" i="1"/>
  <c r="B2189" i="1"/>
  <c r="B2185" i="1"/>
  <c r="B2173" i="1"/>
  <c r="B2169" i="1"/>
  <c r="B2165" i="1"/>
  <c r="B2161" i="1"/>
  <c r="B2157" i="1"/>
  <c r="B2153" i="1"/>
  <c r="B2149" i="1"/>
  <c r="B2145" i="1"/>
  <c r="B2141" i="1"/>
  <c r="B2137" i="1"/>
  <c r="B2133" i="1"/>
  <c r="B2129" i="1"/>
  <c r="B2125" i="1"/>
  <c r="B2121" i="1"/>
  <c r="B2117" i="1"/>
  <c r="B2113" i="1"/>
  <c r="B2109" i="1"/>
  <c r="B2105" i="1"/>
  <c r="B2101" i="1"/>
  <c r="B2097" i="1"/>
  <c r="B2093" i="1"/>
  <c r="B2089" i="1"/>
  <c r="B2085" i="1"/>
  <c r="B2081" i="1"/>
  <c r="B2077" i="1"/>
  <c r="B2073" i="1"/>
  <c r="B2065" i="1"/>
  <c r="B2061" i="1"/>
  <c r="B2057" i="1"/>
  <c r="B2053" i="1"/>
  <c r="B2049" i="1"/>
  <c r="B2045" i="1"/>
  <c r="B2041" i="1"/>
  <c r="B2037" i="1"/>
  <c r="B2033" i="1"/>
  <c r="B2029" i="1"/>
  <c r="B2025" i="1"/>
  <c r="B2021" i="1"/>
  <c r="B2017" i="1"/>
  <c r="B2009" i="1"/>
  <c r="B2005" i="1"/>
  <c r="B2001" i="1"/>
  <c r="B1997" i="1"/>
  <c r="B1989" i="1"/>
  <c r="B1985" i="1"/>
  <c r="B1981" i="1"/>
  <c r="B4284" i="1"/>
  <c r="B4280" i="1"/>
  <c r="B4276" i="1"/>
  <c r="B4272" i="1"/>
  <c r="B4264" i="1"/>
  <c r="B4260" i="1"/>
  <c r="B4256" i="1"/>
  <c r="B4252" i="1"/>
  <c r="B4248" i="1"/>
  <c r="B4244" i="1"/>
  <c r="B4240" i="1"/>
  <c r="B4236" i="1"/>
  <c r="B4232" i="1"/>
  <c r="B4228" i="1"/>
  <c r="B4224" i="1"/>
  <c r="B4220" i="1"/>
  <c r="B4216" i="1"/>
  <c r="B4208" i="1"/>
  <c r="B4204" i="1"/>
  <c r="B4200" i="1"/>
  <c r="B4196" i="1"/>
  <c r="B4188" i="1"/>
  <c r="B4184" i="1"/>
  <c r="B4180" i="1"/>
  <c r="B4176" i="1"/>
  <c r="B4172" i="1"/>
  <c r="B4168" i="1"/>
  <c r="B4160" i="1"/>
  <c r="B4156" i="1"/>
  <c r="B4152" i="1"/>
  <c r="B4148" i="1"/>
  <c r="B4144" i="1"/>
  <c r="B4140" i="1"/>
  <c r="B4136" i="1"/>
  <c r="B4132" i="1"/>
  <c r="B4128" i="1"/>
  <c r="B4124" i="1"/>
  <c r="B4120" i="1"/>
  <c r="B4116" i="1"/>
  <c r="B4112" i="1"/>
  <c r="B4108" i="1"/>
  <c r="B4104" i="1"/>
  <c r="B4100" i="1"/>
  <c r="B4096" i="1"/>
  <c r="B4092" i="1"/>
  <c r="B4088" i="1"/>
  <c r="B4084" i="1"/>
  <c r="B4080" i="1"/>
  <c r="B4076" i="1"/>
  <c r="B4072" i="1"/>
  <c r="B4068" i="1"/>
  <c r="B4064" i="1"/>
  <c r="B4060" i="1"/>
  <c r="B4056" i="1"/>
  <c r="B4052" i="1"/>
  <c r="B4048" i="1"/>
  <c r="B4044" i="1"/>
  <c r="B4040" i="1"/>
  <c r="B4036" i="1"/>
  <c r="B4028" i="1"/>
  <c r="B4024" i="1"/>
  <c r="B4020" i="1"/>
  <c r="B4016" i="1"/>
  <c r="B4012" i="1"/>
  <c r="B4008" i="1"/>
  <c r="B4004" i="1"/>
  <c r="B4000" i="1"/>
  <c r="B3996" i="1"/>
  <c r="B3992" i="1"/>
  <c r="B3988" i="1"/>
  <c r="B3984" i="1"/>
  <c r="B3980" i="1"/>
  <c r="B3972" i="1"/>
  <c r="B3964" i="1"/>
  <c r="B3960" i="1"/>
  <c r="B3956" i="1"/>
  <c r="B3952" i="1"/>
  <c r="B3948" i="1"/>
  <c r="B3944" i="1"/>
  <c r="B3940" i="1"/>
  <c r="B3936" i="1"/>
  <c r="B3932" i="1"/>
  <c r="B3928" i="1"/>
  <c r="B3924" i="1"/>
  <c r="B3920" i="1"/>
  <c r="B3916" i="1"/>
  <c r="B3912" i="1"/>
  <c r="B3908" i="1"/>
  <c r="B3904" i="1"/>
  <c r="B3900" i="1"/>
  <c r="B3896" i="1"/>
  <c r="B3892" i="1"/>
  <c r="B3888" i="1"/>
  <c r="B3884" i="1"/>
  <c r="B3876" i="1"/>
  <c r="B3872" i="1"/>
  <c r="B3868" i="1"/>
  <c r="B3864" i="1"/>
  <c r="B3860" i="1"/>
  <c r="B3856" i="1"/>
  <c r="B3852" i="1"/>
  <c r="B3848" i="1"/>
  <c r="B3844" i="1"/>
  <c r="B3840" i="1"/>
  <c r="B3836" i="1"/>
  <c r="B3832" i="1"/>
  <c r="B3828" i="1"/>
  <c r="B3824" i="1"/>
  <c r="B3820" i="1"/>
  <c r="B3816" i="1"/>
  <c r="B3812" i="1"/>
  <c r="B3808" i="1"/>
  <c r="B3804" i="1"/>
  <c r="B3800" i="1"/>
  <c r="B3796" i="1"/>
  <c r="B3792" i="1"/>
  <c r="B3788" i="1"/>
  <c r="B3784" i="1"/>
  <c r="B3780" i="1"/>
  <c r="B3776" i="1"/>
  <c r="B3772" i="1"/>
  <c r="B3768" i="1"/>
  <c r="B3764" i="1"/>
  <c r="B3760" i="1"/>
  <c r="B3756" i="1"/>
  <c r="B3748" i="1"/>
  <c r="B3744" i="1"/>
  <c r="B3740" i="1"/>
  <c r="B3736" i="1"/>
  <c r="B3732" i="1"/>
  <c r="B3728" i="1"/>
  <c r="B3724" i="1"/>
  <c r="B3716" i="1"/>
  <c r="B3712" i="1"/>
  <c r="B3708" i="1"/>
  <c r="B3704" i="1"/>
  <c r="B3696" i="1"/>
  <c r="B3692" i="1"/>
  <c r="B3688" i="1"/>
  <c r="B3684" i="1"/>
  <c r="B3676" i="1"/>
  <c r="B3672" i="1"/>
  <c r="B3668" i="1"/>
  <c r="B3664" i="1"/>
  <c r="B3660" i="1"/>
  <c r="B3644" i="1"/>
  <c r="B3640" i="1"/>
  <c r="B3628" i="1"/>
  <c r="B3624" i="1"/>
  <c r="B3620" i="1"/>
  <c r="B3616" i="1"/>
  <c r="B3612" i="1"/>
  <c r="B3608" i="1"/>
  <c r="B3604" i="1"/>
  <c r="B3600" i="1"/>
  <c r="B3596" i="1"/>
  <c r="B3592" i="1"/>
  <c r="B3588" i="1"/>
  <c r="B3584" i="1"/>
  <c r="B3580" i="1"/>
  <c r="B3576" i="1"/>
  <c r="B3572" i="1"/>
  <c r="B3568" i="1"/>
  <c r="B3564" i="1"/>
  <c r="B3560" i="1"/>
  <c r="B3556" i="1"/>
  <c r="B3552" i="1"/>
  <c r="B3548" i="1"/>
  <c r="B3544" i="1"/>
  <c r="B3540" i="1"/>
  <c r="B3536" i="1"/>
  <c r="B3532" i="1"/>
  <c r="B3528" i="1"/>
  <c r="B3524" i="1"/>
  <c r="B3520" i="1"/>
  <c r="B3516" i="1"/>
  <c r="B3512" i="1"/>
  <c r="B3508" i="1"/>
  <c r="B3504" i="1"/>
  <c r="B3500" i="1"/>
  <c r="B3496" i="1"/>
  <c r="B3492" i="1"/>
  <c r="B3488" i="1"/>
  <c r="B3484" i="1"/>
  <c r="B3476" i="1"/>
  <c r="B3472" i="1"/>
  <c r="B3468" i="1"/>
  <c r="B3464" i="1"/>
  <c r="B3456" i="1"/>
  <c r="B3452" i="1"/>
  <c r="B3448" i="1"/>
  <c r="B3444" i="1"/>
  <c r="B3440" i="1"/>
  <c r="B3436" i="1"/>
  <c r="B3432" i="1"/>
  <c r="B3428" i="1"/>
  <c r="B3424" i="1"/>
  <c r="B3420" i="1"/>
  <c r="B3416" i="1"/>
  <c r="B3412" i="1"/>
  <c r="B3404" i="1"/>
  <c r="B3400" i="1"/>
  <c r="B3396" i="1"/>
  <c r="B3392" i="1"/>
  <c r="B3388" i="1"/>
  <c r="B3384" i="1"/>
  <c r="B3376" i="1"/>
  <c r="B3372" i="1"/>
  <c r="B3368" i="1"/>
  <c r="B3364" i="1"/>
  <c r="B3360" i="1"/>
  <c r="B3356" i="1"/>
  <c r="B3352" i="1"/>
  <c r="B3348" i="1"/>
  <c r="B3344" i="1"/>
  <c r="B3340" i="1"/>
  <c r="B3336" i="1"/>
  <c r="B3332" i="1"/>
  <c r="B3328" i="1"/>
  <c r="B3324" i="1"/>
  <c r="B3320" i="1"/>
  <c r="B3316" i="1"/>
  <c r="B3312" i="1"/>
  <c r="B3308" i="1"/>
  <c r="B3304" i="1"/>
  <c r="B3300" i="1"/>
  <c r="B3296" i="1"/>
  <c r="B3292" i="1"/>
  <c r="B3288" i="1"/>
  <c r="B3284" i="1"/>
  <c r="B3280" i="1"/>
  <c r="B3276" i="1"/>
  <c r="B3272" i="1"/>
  <c r="B3268" i="1"/>
  <c r="B3264" i="1"/>
  <c r="B3256" i="1"/>
  <c r="B3252" i="1"/>
  <c r="B3248" i="1"/>
  <c r="B3244" i="1"/>
  <c r="B3240" i="1"/>
  <c r="B3232" i="1"/>
  <c r="B3228" i="1"/>
  <c r="B3224" i="1"/>
  <c r="B3220" i="1"/>
  <c r="B3216" i="1"/>
  <c r="B3212" i="1"/>
  <c r="B3208" i="1"/>
  <c r="B3200" i="1"/>
  <c r="B3196" i="1"/>
  <c r="B3192" i="1"/>
  <c r="B3188" i="1"/>
  <c r="B3184" i="1"/>
  <c r="B3180" i="1"/>
  <c r="B3176" i="1"/>
  <c r="B3172" i="1"/>
  <c r="B3168" i="1"/>
  <c r="B3164" i="1"/>
  <c r="B3160" i="1"/>
  <c r="B3156" i="1"/>
  <c r="B3152" i="1"/>
  <c r="B3148" i="1"/>
  <c r="B3144" i="1"/>
  <c r="B3140" i="1"/>
  <c r="B3136" i="1"/>
  <c r="B3132" i="1"/>
  <c r="B3128" i="1"/>
  <c r="B3124" i="1"/>
  <c r="B3120" i="1"/>
  <c r="B3116" i="1"/>
  <c r="B3112" i="1"/>
  <c r="B3108" i="1"/>
  <c r="B3104" i="1"/>
  <c r="B3100" i="1"/>
  <c r="B3096" i="1"/>
  <c r="B3092" i="1"/>
  <c r="B3088" i="1"/>
  <c r="B3084" i="1"/>
  <c r="B3080" i="1"/>
  <c r="B3076" i="1"/>
  <c r="B3072" i="1"/>
  <c r="B3068" i="1"/>
  <c r="B3064" i="1"/>
  <c r="B3060" i="1"/>
  <c r="B3056" i="1"/>
  <c r="B3052" i="1"/>
  <c r="B3048" i="1"/>
  <c r="B3044" i="1"/>
  <c r="B3040" i="1"/>
  <c r="B3036" i="1"/>
  <c r="B3032" i="1"/>
  <c r="B3028" i="1"/>
  <c r="B3024" i="1"/>
  <c r="B3020" i="1"/>
  <c r="B3016" i="1"/>
  <c r="B3012" i="1"/>
  <c r="B3008" i="1"/>
  <c r="B3004" i="1"/>
  <c r="B3000" i="1"/>
  <c r="B2996" i="1"/>
  <c r="B2992" i="1"/>
  <c r="B2988" i="1"/>
  <c r="B2984" i="1"/>
  <c r="B2972" i="1"/>
  <c r="B2968" i="1"/>
  <c r="B2964" i="1"/>
  <c r="B2960" i="1"/>
  <c r="B2956" i="1"/>
  <c r="B2948" i="1"/>
  <c r="B2944" i="1"/>
  <c r="B2940" i="1"/>
  <c r="B2936" i="1"/>
  <c r="B2932" i="1"/>
  <c r="B2924" i="1"/>
  <c r="B2920" i="1"/>
  <c r="B2916" i="1"/>
  <c r="B2908" i="1"/>
  <c r="B2904" i="1"/>
  <c r="B2892" i="1"/>
  <c r="B2884" i="1"/>
  <c r="B2880" i="1"/>
  <c r="B2876" i="1"/>
  <c r="B2872" i="1"/>
  <c r="B2868" i="1"/>
  <c r="B2864" i="1"/>
  <c r="B2860" i="1"/>
  <c r="B2856" i="1"/>
  <c r="B2852" i="1"/>
  <c r="B2848" i="1"/>
  <c r="B2844" i="1"/>
  <c r="B2840" i="1"/>
  <c r="B2836" i="1"/>
  <c r="B2832" i="1"/>
  <c r="B2828" i="1"/>
  <c r="B2824" i="1"/>
  <c r="B2820" i="1"/>
  <c r="B2816" i="1"/>
  <c r="B2812" i="1"/>
  <c r="B2808" i="1"/>
  <c r="B2804" i="1"/>
  <c r="B2800" i="1"/>
  <c r="B2796" i="1"/>
  <c r="B2792" i="1"/>
  <c r="B2788" i="1"/>
  <c r="B2784" i="1"/>
  <c r="B2780" i="1"/>
  <c r="B2776" i="1"/>
  <c r="B2772" i="1"/>
  <c r="B2768" i="1"/>
  <c r="B2764" i="1"/>
  <c r="B2760" i="1"/>
  <c r="B2756" i="1"/>
  <c r="B2752" i="1"/>
  <c r="B2748" i="1"/>
  <c r="B2744" i="1"/>
  <c r="B2736" i="1"/>
  <c r="B2732" i="1"/>
  <c r="B2728" i="1"/>
  <c r="B2724" i="1"/>
  <c r="B2720" i="1"/>
  <c r="B2716" i="1"/>
  <c r="B2712" i="1"/>
  <c r="B2708" i="1"/>
  <c r="B2704" i="1"/>
  <c r="B2700" i="1"/>
  <c r="B2696" i="1"/>
  <c r="B2692" i="1"/>
  <c r="B2688" i="1"/>
  <c r="B2684" i="1"/>
  <c r="B2680" i="1"/>
  <c r="B2676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6" i="1"/>
  <c r="B2552" i="1"/>
  <c r="B2548" i="1"/>
  <c r="B2544" i="1"/>
  <c r="B2540" i="1"/>
  <c r="B2536" i="1"/>
  <c r="B2532" i="1"/>
  <c r="B2528" i="1"/>
  <c r="B2524" i="1"/>
  <c r="B2520" i="1"/>
  <c r="B2516" i="1"/>
  <c r="B2512" i="1"/>
  <c r="B2508" i="1"/>
  <c r="B2500" i="1"/>
  <c r="B2496" i="1"/>
  <c r="B2492" i="1"/>
  <c r="B2488" i="1"/>
  <c r="B2484" i="1"/>
  <c r="B2480" i="1"/>
  <c r="B2476" i="1"/>
  <c r="B2472" i="1"/>
  <c r="B2468" i="1"/>
  <c r="B2464" i="1"/>
  <c r="B2460" i="1"/>
  <c r="B2456" i="1"/>
  <c r="B2452" i="1"/>
  <c r="B2448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76" i="1"/>
  <c r="B2272" i="1"/>
  <c r="B2268" i="1"/>
  <c r="B2264" i="1"/>
  <c r="B2260" i="1"/>
  <c r="B2256" i="1"/>
  <c r="B2252" i="1"/>
  <c r="B2240" i="1"/>
  <c r="B2236" i="1"/>
  <c r="B2224" i="1"/>
  <c r="B2212" i="1"/>
  <c r="B2204" i="1"/>
  <c r="B2196" i="1"/>
  <c r="B2192" i="1"/>
  <c r="B5158" i="1"/>
  <c r="B5154" i="1"/>
  <c r="B5150" i="1"/>
  <c r="B5146" i="1"/>
  <c r="B5142" i="1"/>
  <c r="B5138" i="1"/>
  <c r="B5134" i="1"/>
  <c r="B5130" i="1"/>
  <c r="B5125" i="1"/>
  <c r="B5119" i="1"/>
  <c r="B5113" i="1"/>
  <c r="B5109" i="1"/>
  <c r="B5105" i="1"/>
  <c r="B5101" i="1"/>
  <c r="B5097" i="1"/>
  <c r="B5092" i="1"/>
  <c r="B5087" i="1"/>
  <c r="B5082" i="1"/>
  <c r="B5078" i="1"/>
  <c r="B5074" i="1"/>
  <c r="B5070" i="1"/>
  <c r="B5066" i="1"/>
  <c r="B5062" i="1"/>
  <c r="B5056" i="1"/>
  <c r="B5049" i="1"/>
  <c r="B5044" i="1"/>
  <c r="B5040" i="1"/>
  <c r="B5031" i="1"/>
  <c r="B5026" i="1"/>
  <c r="B5022" i="1"/>
  <c r="B5016" i="1"/>
  <c r="B5011" i="1"/>
  <c r="B5007" i="1"/>
  <c r="B5002" i="1"/>
  <c r="B4998" i="1"/>
  <c r="B4994" i="1"/>
  <c r="B4990" i="1"/>
  <c r="B4986" i="1"/>
  <c r="B4982" i="1"/>
  <c r="B4978" i="1"/>
  <c r="B4970" i="1"/>
  <c r="B4966" i="1"/>
  <c r="B4962" i="1"/>
  <c r="B4958" i="1"/>
  <c r="B4950" i="1"/>
  <c r="B4946" i="1"/>
  <c r="B4942" i="1"/>
  <c r="B4938" i="1"/>
  <c r="B1977" i="1"/>
  <c r="B1973" i="1"/>
  <c r="B1969" i="1"/>
  <c r="B1961" i="1"/>
  <c r="B1957" i="1"/>
  <c r="B1953" i="1"/>
  <c r="B1949" i="1"/>
  <c r="B1945" i="1"/>
  <c r="B1941" i="1"/>
  <c r="B1937" i="1"/>
  <c r="B1933" i="1"/>
  <c r="B1929" i="1"/>
  <c r="B1925" i="1"/>
  <c r="B1921" i="1"/>
  <c r="B1917" i="1"/>
  <c r="B1913" i="1"/>
  <c r="B1909" i="1"/>
  <c r="B1905" i="1"/>
  <c r="B1901" i="1"/>
  <c r="B1897" i="1"/>
  <c r="B1893" i="1"/>
  <c r="B1889" i="1"/>
  <c r="B1885" i="1"/>
  <c r="B1881" i="1"/>
  <c r="B1877" i="1"/>
  <c r="B1873" i="1"/>
  <c r="B1869" i="1"/>
  <c r="B1865" i="1"/>
  <c r="B1861" i="1"/>
  <c r="B1857" i="1"/>
  <c r="B1853" i="1"/>
  <c r="B1849" i="1"/>
  <c r="B1845" i="1"/>
  <c r="B1841" i="1"/>
  <c r="B1837" i="1"/>
  <c r="B1829" i="1"/>
  <c r="B1825" i="1"/>
  <c r="B1821" i="1"/>
  <c r="B1817" i="1"/>
  <c r="B1813" i="1"/>
  <c r="B1809" i="1"/>
  <c r="B1805" i="1"/>
  <c r="B1801" i="1"/>
  <c r="B1797" i="1"/>
  <c r="B1793" i="1"/>
  <c r="B1789" i="1"/>
  <c r="B1785" i="1"/>
  <c r="B1781" i="1"/>
  <c r="B1773" i="1"/>
  <c r="B1765" i="1"/>
  <c r="B1761" i="1"/>
  <c r="B1757" i="1"/>
  <c r="B1753" i="1"/>
  <c r="B1749" i="1"/>
  <c r="B1745" i="1"/>
  <c r="B1741" i="1"/>
  <c r="B1737" i="1"/>
  <c r="B1733" i="1"/>
  <c r="B1729" i="1"/>
  <c r="B1725" i="1"/>
  <c r="B1721" i="1"/>
  <c r="B1717" i="1"/>
  <c r="B1713" i="1"/>
  <c r="B1709" i="1"/>
  <c r="B1705" i="1"/>
  <c r="B1701" i="1"/>
  <c r="B1697" i="1"/>
  <c r="B1693" i="1"/>
  <c r="B1689" i="1"/>
  <c r="B1685" i="1"/>
  <c r="B1677" i="1"/>
  <c r="B1673" i="1"/>
  <c r="B1669" i="1"/>
  <c r="B1665" i="1"/>
  <c r="B1661" i="1"/>
  <c r="B1657" i="1"/>
  <c r="B1653" i="1"/>
  <c r="B1649" i="1"/>
  <c r="B1645" i="1"/>
  <c r="B1641" i="1"/>
  <c r="B1637" i="1"/>
  <c r="B1633" i="1"/>
  <c r="B1629" i="1"/>
  <c r="B1625" i="1"/>
  <c r="B1621" i="1"/>
  <c r="B1617" i="1"/>
  <c r="B1613" i="1"/>
  <c r="B1609" i="1"/>
  <c r="B1605" i="1"/>
  <c r="B1601" i="1"/>
  <c r="B1597" i="1"/>
  <c r="B1593" i="1"/>
  <c r="B2188" i="1"/>
  <c r="B2184" i="1"/>
  <c r="B2180" i="1"/>
  <c r="B2176" i="1"/>
  <c r="B2172" i="1"/>
  <c r="B2164" i="1"/>
  <c r="B2160" i="1"/>
  <c r="B2156" i="1"/>
  <c r="B2152" i="1"/>
  <c r="B2148" i="1"/>
  <c r="B2144" i="1"/>
  <c r="B2140" i="1"/>
  <c r="B2136" i="1"/>
  <c r="B2132" i="1"/>
  <c r="B2128" i="1"/>
  <c r="B2124" i="1"/>
  <c r="B2120" i="1"/>
  <c r="B2116" i="1"/>
  <c r="B2112" i="1"/>
  <c r="B2108" i="1"/>
  <c r="B2104" i="1"/>
  <c r="B2100" i="1"/>
  <c r="B2096" i="1"/>
  <c r="B2092" i="1"/>
  <c r="B2088" i="1"/>
  <c r="B2084" i="1"/>
  <c r="B2080" i="1"/>
  <c r="B2076" i="1"/>
  <c r="B2072" i="1"/>
  <c r="B2068" i="1"/>
  <c r="B2060" i="1"/>
  <c r="B2056" i="1"/>
  <c r="B2052" i="1"/>
  <c r="B2048" i="1"/>
  <c r="B2044" i="1"/>
  <c r="B2040" i="1"/>
  <c r="B2036" i="1"/>
  <c r="B2032" i="1"/>
  <c r="B2028" i="1"/>
  <c r="B2020" i="1"/>
  <c r="B2016" i="1"/>
  <c r="B2012" i="1"/>
  <c r="B2008" i="1"/>
  <c r="B2004" i="1"/>
  <c r="B2000" i="1"/>
  <c r="B1996" i="1"/>
  <c r="B1992" i="1"/>
  <c r="B1988" i="1"/>
  <c r="B1984" i="1"/>
  <c r="B1976" i="1"/>
  <c r="B1972" i="1"/>
  <c r="B1968" i="1"/>
  <c r="B1960" i="1"/>
  <c r="B1956" i="1"/>
  <c r="B1952" i="1"/>
  <c r="B1948" i="1"/>
  <c r="B1944" i="1"/>
  <c r="B1940" i="1"/>
  <c r="B1936" i="1"/>
  <c r="B1932" i="1"/>
  <c r="B1928" i="1"/>
  <c r="B1924" i="1"/>
  <c r="B1920" i="1"/>
  <c r="B1916" i="1"/>
  <c r="B1912" i="1"/>
  <c r="B1908" i="1"/>
  <c r="B1904" i="1"/>
  <c r="B1900" i="1"/>
  <c r="B1896" i="1"/>
  <c r="B1892" i="1"/>
  <c r="B1888" i="1"/>
  <c r="B1884" i="1"/>
  <c r="B1880" i="1"/>
  <c r="B1876" i="1"/>
  <c r="B1872" i="1"/>
  <c r="B1868" i="1"/>
  <c r="B1864" i="1"/>
  <c r="B1860" i="1"/>
  <c r="B1856" i="1"/>
  <c r="B1852" i="1"/>
  <c r="B1848" i="1"/>
  <c r="B1844" i="1"/>
  <c r="B1840" i="1"/>
  <c r="B1836" i="1"/>
  <c r="B1832" i="1"/>
  <c r="B1828" i="1"/>
  <c r="B1824" i="1"/>
  <c r="B1820" i="1"/>
  <c r="B1816" i="1"/>
  <c r="B1812" i="1"/>
  <c r="B1804" i="1"/>
  <c r="B1800" i="1"/>
  <c r="B1796" i="1"/>
  <c r="B1792" i="1"/>
  <c r="B1788" i="1"/>
  <c r="B1784" i="1"/>
  <c r="B1776" i="1"/>
  <c r="B1772" i="1"/>
  <c r="B1768" i="1"/>
  <c r="B1764" i="1"/>
  <c r="B1760" i="1"/>
  <c r="B1756" i="1"/>
  <c r="B1752" i="1"/>
  <c r="B1748" i="1"/>
  <c r="B1744" i="1"/>
  <c r="B1740" i="1"/>
  <c r="B1736" i="1"/>
  <c r="B1732" i="1"/>
  <c r="B1728" i="1"/>
  <c r="B1724" i="1"/>
  <c r="B1720" i="1"/>
  <c r="B1716" i="1"/>
  <c r="B1712" i="1"/>
  <c r="B1708" i="1"/>
  <c r="B1704" i="1"/>
  <c r="B1696" i="1"/>
  <c r="B1692" i="1"/>
  <c r="B1688" i="1"/>
  <c r="B1684" i="1"/>
  <c r="B1680" i="1"/>
  <c r="B1676" i="1"/>
  <c r="B1672" i="1"/>
  <c r="B1668" i="1"/>
  <c r="B1664" i="1"/>
  <c r="B1660" i="1"/>
  <c r="B1656" i="1"/>
  <c r="B1652" i="1"/>
  <c r="B1648" i="1"/>
  <c r="B1644" i="1"/>
  <c r="B1640" i="1"/>
  <c r="B1636" i="1"/>
  <c r="B1628" i="1"/>
  <c r="B1624" i="1"/>
  <c r="B1620" i="1"/>
  <c r="B1616" i="1"/>
  <c r="B1612" i="1"/>
  <c r="B1608" i="1"/>
  <c r="B1604" i="1"/>
  <c r="B1600" i="1"/>
  <c r="B1596" i="1"/>
  <c r="B1592" i="1"/>
  <c r="B1588" i="1"/>
  <c r="B1584" i="1"/>
  <c r="B1576" i="1"/>
  <c r="B1572" i="1"/>
  <c r="B1568" i="1"/>
  <c r="B1564" i="1"/>
  <c r="B1560" i="1"/>
  <c r="B1556" i="1"/>
  <c r="B1552" i="1"/>
  <c r="B1548" i="1"/>
  <c r="B1544" i="1"/>
  <c r="B1540" i="1"/>
  <c r="B1536" i="1"/>
  <c r="B1532" i="1"/>
  <c r="B1524" i="1"/>
  <c r="B1520" i="1"/>
  <c r="B1589" i="1"/>
  <c r="B1585" i="1"/>
  <c r="B1581" i="1"/>
  <c r="B1577" i="1"/>
  <c r="B1573" i="1"/>
  <c r="B1569" i="1"/>
  <c r="B1565" i="1"/>
  <c r="B1561" i="1"/>
  <c r="B1557" i="1"/>
  <c r="B1549" i="1"/>
  <c r="B1545" i="1"/>
  <c r="B1541" i="1"/>
  <c r="B1537" i="1"/>
  <c r="B1533" i="1"/>
  <c r="B1529" i="1"/>
  <c r="B1525" i="1"/>
  <c r="B1517" i="1"/>
  <c r="B1513" i="1"/>
  <c r="B1509" i="1"/>
  <c r="B1505" i="1"/>
  <c r="B1497" i="1"/>
  <c r="B1493" i="1"/>
  <c r="B1489" i="1"/>
  <c r="B1485" i="1"/>
  <c r="B1477" i="1"/>
  <c r="B1473" i="1"/>
  <c r="B1469" i="1"/>
  <c r="B1465" i="1"/>
  <c r="B1461" i="1"/>
  <c r="B1445" i="1"/>
  <c r="B1441" i="1"/>
  <c r="B1429" i="1"/>
  <c r="B1425" i="1"/>
  <c r="B1421" i="1"/>
  <c r="B1417" i="1"/>
  <c r="B1413" i="1"/>
  <c r="B1409" i="1"/>
  <c r="B1405" i="1"/>
  <c r="B1401" i="1"/>
  <c r="B1397" i="1"/>
  <c r="B1393" i="1"/>
  <c r="B1389" i="1"/>
  <c r="B1385" i="1"/>
  <c r="B1381" i="1"/>
  <c r="B1377" i="1"/>
  <c r="B1373" i="1"/>
  <c r="B1369" i="1"/>
  <c r="B1361" i="1"/>
  <c r="B1357" i="1"/>
  <c r="B1353" i="1"/>
  <c r="B1349" i="1"/>
  <c r="B1345" i="1"/>
  <c r="B1341" i="1"/>
  <c r="B1337" i="1"/>
  <c r="B1333" i="1"/>
  <c r="B1321" i="1"/>
  <c r="B1317" i="1"/>
  <c r="B1313" i="1"/>
  <c r="B1309" i="1"/>
  <c r="B1305" i="1"/>
  <c r="B1301" i="1"/>
  <c r="B1297" i="1"/>
  <c r="B1293" i="1"/>
  <c r="B1289" i="1"/>
  <c r="B1285" i="1"/>
  <c r="B1277" i="1"/>
  <c r="B1273" i="1"/>
  <c r="B1265" i="1"/>
  <c r="B1261" i="1"/>
  <c r="B1257" i="1"/>
  <c r="B1253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89" i="1"/>
  <c r="B1185" i="1"/>
  <c r="B1181" i="1"/>
  <c r="B1177" i="1"/>
  <c r="B1173" i="1"/>
  <c r="B1169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17" i="1"/>
  <c r="B1013" i="1"/>
  <c r="B1009" i="1"/>
  <c r="B1005" i="1"/>
  <c r="B1508" i="1"/>
  <c r="B1496" i="1"/>
  <c r="B1492" i="1"/>
  <c r="B1484" i="1"/>
  <c r="B1472" i="1"/>
  <c r="B1464" i="1"/>
  <c r="B1460" i="1"/>
  <c r="B1456" i="1"/>
  <c r="B1452" i="1"/>
  <c r="B1440" i="1"/>
  <c r="B1436" i="1"/>
  <c r="B1432" i="1"/>
  <c r="B1428" i="1"/>
  <c r="B1424" i="1"/>
  <c r="B1420" i="1"/>
  <c r="B1416" i="1"/>
  <c r="B1412" i="1"/>
  <c r="B1408" i="1"/>
  <c r="B1404" i="1"/>
  <c r="B1400" i="1"/>
  <c r="B1396" i="1"/>
  <c r="B1392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4" i="1"/>
  <c r="B1260" i="1"/>
  <c r="B1256" i="1"/>
  <c r="B1252" i="1"/>
  <c r="B1240" i="1"/>
  <c r="B1236" i="1"/>
  <c r="B1232" i="1"/>
  <c r="B1228" i="1"/>
  <c r="B1224" i="1"/>
  <c r="B1220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0" i="1"/>
  <c r="B1076" i="1"/>
  <c r="B1072" i="1"/>
  <c r="B1068" i="1"/>
  <c r="B1064" i="1"/>
  <c r="B1060" i="1"/>
  <c r="B1056" i="1"/>
  <c r="B1052" i="1"/>
  <c r="B1048" i="1"/>
  <c r="B1040" i="1"/>
  <c r="B1036" i="1"/>
  <c r="B1032" i="1"/>
  <c r="B1028" i="1"/>
  <c r="B1024" i="1"/>
  <c r="B1016" i="1"/>
  <c r="B1012" i="1"/>
  <c r="B1008" i="1"/>
  <c r="B1004" i="1"/>
  <c r="B1000" i="1"/>
  <c r="B996" i="1"/>
  <c r="B992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5159" i="1"/>
  <c r="B5155" i="1"/>
  <c r="B5151" i="1"/>
  <c r="B5147" i="1"/>
  <c r="B5143" i="1"/>
  <c r="B5139" i="1"/>
  <c r="B5135" i="1"/>
  <c r="B5131" i="1"/>
  <c r="B5126" i="1"/>
  <c r="B5120" i="1"/>
  <c r="B5114" i="1"/>
  <c r="B5110" i="1"/>
  <c r="B5106" i="1"/>
  <c r="B5102" i="1"/>
  <c r="B5098" i="1"/>
  <c r="B5093" i="1"/>
  <c r="B5088" i="1"/>
  <c r="B5084" i="1"/>
  <c r="B5079" i="1"/>
  <c r="B5075" i="1"/>
  <c r="B5071" i="1"/>
  <c r="B5067" i="1"/>
  <c r="B5063" i="1"/>
  <c r="B5057" i="1"/>
  <c r="B5050" i="1"/>
  <c r="B5045" i="1"/>
  <c r="B5041" i="1"/>
  <c r="B5036" i="1"/>
  <c r="B5032" i="1"/>
  <c r="B5028" i="1"/>
  <c r="B5023" i="1"/>
  <c r="B5017" i="1"/>
  <c r="B5012" i="1"/>
  <c r="B5008" i="1"/>
  <c r="B5003" i="1"/>
  <c r="B4999" i="1"/>
  <c r="B4995" i="1"/>
  <c r="B4991" i="1"/>
  <c r="B4987" i="1"/>
  <c r="B4983" i="1"/>
  <c r="B4979" i="1"/>
  <c r="B4971" i="1"/>
  <c r="B4967" i="1"/>
  <c r="B4963" i="1"/>
  <c r="B4959" i="1"/>
  <c r="B4951" i="1"/>
  <c r="B4947" i="1"/>
  <c r="B4943" i="1"/>
  <c r="B4939" i="1"/>
  <c r="B4935" i="1"/>
  <c r="B4931" i="1"/>
  <c r="B4927" i="1"/>
  <c r="B4923" i="1"/>
  <c r="B4919" i="1"/>
  <c r="B4915" i="1"/>
  <c r="B4911" i="1"/>
  <c r="B4907" i="1"/>
  <c r="B4899" i="1"/>
  <c r="B4895" i="1"/>
  <c r="B4891" i="1"/>
  <c r="B4887" i="1"/>
  <c r="B4883" i="1"/>
  <c r="B4879" i="1"/>
  <c r="B4871" i="1"/>
  <c r="B4867" i="1"/>
  <c r="B4863" i="1"/>
  <c r="B4859" i="1"/>
  <c r="B4855" i="1"/>
  <c r="B4851" i="1"/>
  <c r="B4847" i="1"/>
  <c r="B4843" i="1"/>
  <c r="B4839" i="1"/>
  <c r="B4835" i="1"/>
  <c r="B4831" i="1"/>
  <c r="B4827" i="1"/>
  <c r="B4823" i="1"/>
  <c r="B4819" i="1"/>
  <c r="B4815" i="1"/>
  <c r="B4807" i="1"/>
  <c r="B4803" i="1"/>
  <c r="B4799" i="1"/>
  <c r="B4795" i="1"/>
  <c r="B4791" i="1"/>
  <c r="B4787" i="1"/>
  <c r="B4783" i="1"/>
  <c r="B4779" i="1"/>
  <c r="B4775" i="1"/>
  <c r="B4771" i="1"/>
  <c r="B4767" i="1"/>
  <c r="B4763" i="1"/>
  <c r="B4759" i="1"/>
  <c r="B4755" i="1"/>
  <c r="B4751" i="1"/>
  <c r="B4747" i="1"/>
  <c r="B4743" i="1"/>
  <c r="B4739" i="1"/>
  <c r="B4735" i="1"/>
  <c r="B4731" i="1"/>
  <c r="B4727" i="1"/>
  <c r="B4719" i="1"/>
  <c r="B4715" i="1"/>
  <c r="B4711" i="1"/>
  <c r="B4707" i="1"/>
  <c r="B4703" i="1"/>
  <c r="B4699" i="1"/>
  <c r="B4695" i="1"/>
  <c r="B4691" i="1"/>
  <c r="B4687" i="1"/>
  <c r="B4683" i="1"/>
  <c r="B4679" i="1"/>
  <c r="B4675" i="1"/>
  <c r="B4671" i="1"/>
  <c r="B4667" i="1"/>
  <c r="B4663" i="1"/>
  <c r="B4655" i="1"/>
  <c r="B4651" i="1"/>
  <c r="B4647" i="1"/>
  <c r="B4643" i="1"/>
  <c r="B4639" i="1"/>
  <c r="B4635" i="1"/>
  <c r="B4631" i="1"/>
  <c r="B4627" i="1"/>
  <c r="B4623" i="1"/>
  <c r="B4619" i="1"/>
  <c r="B4615" i="1"/>
  <c r="B4611" i="1"/>
  <c r="B4607" i="1"/>
  <c r="B4603" i="1"/>
  <c r="B4599" i="1"/>
  <c r="B4595" i="1"/>
  <c r="B4591" i="1"/>
  <c r="B4587" i="1"/>
  <c r="B4583" i="1"/>
  <c r="B4579" i="1"/>
  <c r="B4571" i="1"/>
  <c r="B4567" i="1"/>
  <c r="B4559" i="1"/>
  <c r="B4555" i="1"/>
  <c r="B4551" i="1"/>
  <c r="B4547" i="1"/>
  <c r="B4543" i="1"/>
  <c r="B4539" i="1"/>
  <c r="B4535" i="1"/>
  <c r="B4531" i="1"/>
  <c r="B4527" i="1"/>
  <c r="B4523" i="1"/>
  <c r="B4519" i="1"/>
  <c r="B4515" i="1"/>
  <c r="B4511" i="1"/>
  <c r="B4507" i="1"/>
  <c r="B4503" i="1"/>
  <c r="B4499" i="1"/>
  <c r="B4495" i="1"/>
  <c r="B4491" i="1"/>
  <c r="B4487" i="1"/>
  <c r="B4483" i="1"/>
  <c r="B4479" i="1"/>
  <c r="B4475" i="1"/>
  <c r="B4471" i="1"/>
  <c r="B4467" i="1"/>
  <c r="B4459" i="1"/>
  <c r="B4455" i="1"/>
  <c r="B4451" i="1"/>
  <c r="B4447" i="1"/>
  <c r="B4443" i="1"/>
  <c r="B4439" i="1"/>
  <c r="B4431" i="1"/>
  <c r="B4427" i="1"/>
  <c r="B4423" i="1"/>
  <c r="B4419" i="1"/>
  <c r="B4411" i="1"/>
  <c r="B4407" i="1"/>
  <c r="B4403" i="1"/>
  <c r="B4399" i="1"/>
  <c r="B4391" i="1"/>
  <c r="B4387" i="1"/>
  <c r="B4383" i="1"/>
  <c r="B4379" i="1"/>
  <c r="B4375" i="1"/>
  <c r="B4371" i="1"/>
  <c r="B4363" i="1"/>
  <c r="B4359" i="1"/>
  <c r="B4355" i="1"/>
  <c r="B4351" i="1"/>
  <c r="B4347" i="1"/>
  <c r="B4343" i="1"/>
  <c r="B4339" i="1"/>
  <c r="B4335" i="1"/>
  <c r="B4331" i="1"/>
  <c r="B4327" i="1"/>
  <c r="B4323" i="1"/>
  <c r="B4319" i="1"/>
  <c r="B4315" i="1"/>
  <c r="B4311" i="1"/>
  <c r="B4307" i="1"/>
  <c r="B4303" i="1"/>
  <c r="B4299" i="1"/>
  <c r="B4295" i="1"/>
  <c r="B4291" i="1"/>
  <c r="B4287" i="1"/>
  <c r="B4283" i="1"/>
  <c r="B4279" i="1"/>
  <c r="B4275" i="1"/>
  <c r="B4271" i="1"/>
  <c r="B4267" i="1"/>
  <c r="B4259" i="1"/>
  <c r="B4255" i="1"/>
  <c r="B4251" i="1"/>
  <c r="B4247" i="1"/>
  <c r="B4243" i="1"/>
  <c r="B4239" i="1"/>
  <c r="B4235" i="1"/>
  <c r="B4231" i="1"/>
  <c r="B4227" i="1"/>
  <c r="B4219" i="1"/>
  <c r="B4215" i="1"/>
  <c r="B4211" i="1"/>
  <c r="B4207" i="1"/>
  <c r="B4203" i="1"/>
  <c r="B4199" i="1"/>
  <c r="B4195" i="1"/>
  <c r="B4191" i="1"/>
  <c r="B4187" i="1"/>
  <c r="B4183" i="1"/>
  <c r="B4175" i="1"/>
  <c r="B4171" i="1"/>
  <c r="B4167" i="1"/>
  <c r="B4159" i="1"/>
  <c r="B4155" i="1"/>
  <c r="B4151" i="1"/>
  <c r="B4147" i="1"/>
  <c r="B4143" i="1"/>
  <c r="B4139" i="1"/>
  <c r="B4135" i="1"/>
  <c r="B4131" i="1"/>
  <c r="B4127" i="1"/>
  <c r="B4123" i="1"/>
  <c r="B4119" i="1"/>
  <c r="B4115" i="1"/>
  <c r="B4111" i="1"/>
  <c r="B4107" i="1"/>
  <c r="B4103" i="1"/>
  <c r="B4099" i="1"/>
  <c r="B4095" i="1"/>
  <c r="B4091" i="1"/>
  <c r="B4087" i="1"/>
  <c r="B4083" i="1"/>
  <c r="B4079" i="1"/>
  <c r="B4075" i="1"/>
  <c r="B4071" i="1"/>
  <c r="B4067" i="1"/>
  <c r="B4063" i="1"/>
  <c r="B4059" i="1"/>
  <c r="B4055" i="1"/>
  <c r="B4051" i="1"/>
  <c r="B4047" i="1"/>
  <c r="B4043" i="1"/>
  <c r="B4039" i="1"/>
  <c r="B4035" i="1"/>
  <c r="B4031" i="1"/>
  <c r="B4027" i="1"/>
  <c r="B4023" i="1"/>
  <c r="B4019" i="1"/>
  <c r="B4015" i="1"/>
  <c r="B4011" i="1"/>
  <c r="B4003" i="1"/>
  <c r="B3999" i="1"/>
  <c r="B3995" i="1"/>
  <c r="B3991" i="1"/>
  <c r="B3987" i="1"/>
  <c r="B3983" i="1"/>
  <c r="B3975" i="1"/>
  <c r="B3971" i="1"/>
  <c r="B3967" i="1"/>
  <c r="B3963" i="1"/>
  <c r="B3959" i="1"/>
  <c r="B3955" i="1"/>
  <c r="B3951" i="1"/>
  <c r="B3947" i="1"/>
  <c r="B3943" i="1"/>
  <c r="B3939" i="1"/>
  <c r="B3935" i="1"/>
  <c r="B3931" i="1"/>
  <c r="B3927" i="1"/>
  <c r="B3923" i="1"/>
  <c r="B3919" i="1"/>
  <c r="B3915" i="1"/>
  <c r="B3911" i="1"/>
  <c r="B3907" i="1"/>
  <c r="B3903" i="1"/>
  <c r="B3895" i="1"/>
  <c r="B3891" i="1"/>
  <c r="B3887" i="1"/>
  <c r="B3883" i="1"/>
  <c r="B3879" i="1"/>
  <c r="B3875" i="1"/>
  <c r="B3871" i="1"/>
  <c r="B3867" i="1"/>
  <c r="B3863" i="1"/>
  <c r="B3859" i="1"/>
  <c r="B3855" i="1"/>
  <c r="B3851" i="1"/>
  <c r="B3847" i="1"/>
  <c r="B3843" i="1"/>
  <c r="B3839" i="1"/>
  <c r="B3835" i="1"/>
  <c r="B3827" i="1"/>
  <c r="B3823" i="1"/>
  <c r="B3819" i="1"/>
  <c r="B3815" i="1"/>
  <c r="B3811" i="1"/>
  <c r="B3807" i="1"/>
  <c r="B3803" i="1"/>
  <c r="B3799" i="1"/>
  <c r="B3795" i="1"/>
  <c r="B3791" i="1"/>
  <c r="B3787" i="1"/>
  <c r="B3783" i="1"/>
  <c r="B3775" i="1"/>
  <c r="B3771" i="1"/>
  <c r="B3767" i="1"/>
  <c r="B3763" i="1"/>
  <c r="B3759" i="1"/>
  <c r="B3755" i="1"/>
  <c r="B3751" i="1"/>
  <c r="B3747" i="1"/>
  <c r="B3743" i="1"/>
  <c r="B3739" i="1"/>
  <c r="B3735" i="1"/>
  <c r="B3731" i="1"/>
  <c r="B3723" i="1"/>
  <c r="B3719" i="1"/>
  <c r="B3707" i="1"/>
  <c r="B3695" i="1"/>
  <c r="B3691" i="1"/>
  <c r="B3683" i="1"/>
  <c r="B3671" i="1"/>
  <c r="B3663" i="1"/>
  <c r="B3659" i="1"/>
  <c r="B3655" i="1"/>
  <c r="B3651" i="1"/>
  <c r="B3639" i="1"/>
  <c r="B3635" i="1"/>
  <c r="B3631" i="1"/>
  <c r="B3627" i="1"/>
  <c r="B3623" i="1"/>
  <c r="B3619" i="1"/>
  <c r="B3615" i="1"/>
  <c r="B3611" i="1"/>
  <c r="B3607" i="1"/>
  <c r="B3603" i="1"/>
  <c r="B3599" i="1"/>
  <c r="B3595" i="1"/>
  <c r="B3591" i="1"/>
  <c r="B3587" i="1"/>
  <c r="B3583" i="1"/>
  <c r="B3579" i="1"/>
  <c r="B3575" i="1"/>
  <c r="B3571" i="1"/>
  <c r="B3567" i="1"/>
  <c r="B3563" i="1"/>
  <c r="B3559" i="1"/>
  <c r="B3555" i="1"/>
  <c r="B3551" i="1"/>
  <c r="B3547" i="1"/>
  <c r="B3543" i="1"/>
  <c r="B3539" i="1"/>
  <c r="B3531" i="1"/>
  <c r="B3527" i="1"/>
  <c r="B3523" i="1"/>
  <c r="B3519" i="1"/>
  <c r="B3515" i="1"/>
  <c r="B3511" i="1"/>
  <c r="B3507" i="1"/>
  <c r="B3503" i="1"/>
  <c r="B3499" i="1"/>
  <c r="B3495" i="1"/>
  <c r="B3491" i="1"/>
  <c r="B3487" i="1"/>
  <c r="B3483" i="1"/>
  <c r="B3475" i="1"/>
  <c r="B3471" i="1"/>
  <c r="B3467" i="1"/>
  <c r="B3463" i="1"/>
  <c r="B3455" i="1"/>
  <c r="B3451" i="1"/>
  <c r="B3447" i="1"/>
  <c r="B3443" i="1"/>
  <c r="B3439" i="1"/>
  <c r="B3435" i="1"/>
  <c r="B3427" i="1"/>
  <c r="B3423" i="1"/>
  <c r="B3419" i="1"/>
  <c r="B3415" i="1"/>
  <c r="B3411" i="1"/>
  <c r="B3407" i="1"/>
  <c r="B3403" i="1"/>
  <c r="B3399" i="1"/>
  <c r="B3395" i="1"/>
  <c r="B3391" i="1"/>
  <c r="B3387" i="1"/>
  <c r="B3383" i="1"/>
  <c r="B3379" i="1"/>
  <c r="B3375" i="1"/>
  <c r="B3371" i="1"/>
  <c r="B3367" i="1"/>
  <c r="B3363" i="1"/>
  <c r="B3359" i="1"/>
  <c r="B3355" i="1"/>
  <c r="B3351" i="1"/>
  <c r="B3347" i="1"/>
  <c r="B3343" i="1"/>
  <c r="B3339" i="1"/>
  <c r="B3335" i="1"/>
  <c r="B3331" i="1"/>
  <c r="B3327" i="1"/>
  <c r="B3323" i="1"/>
  <c r="B3319" i="1"/>
  <c r="B3315" i="1"/>
  <c r="B3311" i="1"/>
  <c r="B3307" i="1"/>
  <c r="B3303" i="1"/>
  <c r="B3295" i="1"/>
  <c r="B3291" i="1"/>
  <c r="B3287" i="1"/>
  <c r="B3283" i="1"/>
  <c r="B3279" i="1"/>
  <c r="B3275" i="1"/>
  <c r="B3271" i="1"/>
  <c r="B3267" i="1"/>
  <c r="B3263" i="1"/>
  <c r="B3259" i="1"/>
  <c r="B3255" i="1"/>
  <c r="B3251" i="1"/>
  <c r="B3247" i="1"/>
  <c r="B3239" i="1"/>
  <c r="B3231" i="1"/>
  <c r="B3227" i="1"/>
  <c r="B3223" i="1"/>
  <c r="B3219" i="1"/>
  <c r="B3215" i="1"/>
  <c r="B3211" i="1"/>
  <c r="B3207" i="1"/>
  <c r="B3203" i="1"/>
  <c r="B3199" i="1"/>
  <c r="B3195" i="1"/>
  <c r="B3191" i="1"/>
  <c r="B3187" i="1"/>
  <c r="B3183" i="1"/>
  <c r="B3179" i="1"/>
  <c r="B3175" i="1"/>
  <c r="B3171" i="1"/>
  <c r="B3167" i="1"/>
  <c r="B3163" i="1"/>
  <c r="B3159" i="1"/>
  <c r="B3155" i="1"/>
  <c r="B3151" i="1"/>
  <c r="B3143" i="1"/>
  <c r="B3139" i="1"/>
  <c r="B3135" i="1"/>
  <c r="B3131" i="1"/>
  <c r="B3127" i="1"/>
  <c r="B3123" i="1"/>
  <c r="B3119" i="1"/>
  <c r="B3115" i="1"/>
  <c r="B3111" i="1"/>
  <c r="B3107" i="1"/>
  <c r="B3103" i="1"/>
  <c r="B3099" i="1"/>
  <c r="B3095" i="1"/>
  <c r="B3091" i="1"/>
  <c r="B3087" i="1"/>
  <c r="B3083" i="1"/>
  <c r="B3079" i="1"/>
  <c r="B3075" i="1"/>
  <c r="B3071" i="1"/>
  <c r="B3067" i="1"/>
  <c r="B3063" i="1"/>
  <c r="B3059" i="1"/>
  <c r="B3055" i="1"/>
  <c r="B3051" i="1"/>
  <c r="B3047" i="1"/>
  <c r="B3043" i="1"/>
  <c r="B3039" i="1"/>
  <c r="B3035" i="1"/>
  <c r="B3031" i="1"/>
  <c r="B3027" i="1"/>
  <c r="B3023" i="1"/>
  <c r="B3015" i="1"/>
  <c r="B3011" i="1"/>
  <c r="B3007" i="1"/>
  <c r="B3003" i="1"/>
  <c r="B2999" i="1"/>
  <c r="B2995" i="1"/>
  <c r="B2991" i="1"/>
  <c r="B2983" i="1"/>
  <c r="B2979" i="1"/>
  <c r="B2975" i="1"/>
  <c r="B2971" i="1"/>
  <c r="B2963" i="1"/>
  <c r="B2959" i="1"/>
  <c r="B2955" i="1"/>
  <c r="B2951" i="1"/>
  <c r="B2943" i="1"/>
  <c r="B2939" i="1"/>
  <c r="B2935" i="1"/>
  <c r="B2931" i="1"/>
  <c r="B2927" i="1"/>
  <c r="B2911" i="1"/>
  <c r="B2907" i="1"/>
  <c r="B2895" i="1"/>
  <c r="B2891" i="1"/>
  <c r="B2887" i="1"/>
  <c r="B2883" i="1"/>
  <c r="B2879" i="1"/>
  <c r="B2875" i="1"/>
  <c r="B2871" i="1"/>
  <c r="B2867" i="1"/>
  <c r="B2863" i="1"/>
  <c r="B2859" i="1"/>
  <c r="B2855" i="1"/>
  <c r="B2851" i="1"/>
  <c r="B2847" i="1"/>
  <c r="B2843" i="1"/>
  <c r="B2839" i="1"/>
  <c r="B2835" i="1"/>
  <c r="B2831" i="1"/>
  <c r="B2827" i="1"/>
  <c r="B2823" i="1"/>
  <c r="B2819" i="1"/>
  <c r="B2815" i="1"/>
  <c r="B2811" i="1"/>
  <c r="B2807" i="1"/>
  <c r="B2803" i="1"/>
  <c r="B2799" i="1"/>
  <c r="B2795" i="1"/>
  <c r="B2791" i="1"/>
  <c r="B2787" i="1"/>
  <c r="B2783" i="1"/>
  <c r="B2779" i="1"/>
  <c r="B2775" i="1"/>
  <c r="B2771" i="1"/>
  <c r="B2767" i="1"/>
  <c r="B2763" i="1"/>
  <c r="B2759" i="1"/>
  <c r="B2755" i="1"/>
  <c r="B2751" i="1"/>
  <c r="B2743" i="1"/>
  <c r="B2739" i="1"/>
  <c r="B2735" i="1"/>
  <c r="B2731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1" i="1"/>
  <c r="B2667" i="1"/>
  <c r="B2663" i="1"/>
  <c r="B2659" i="1"/>
  <c r="B2655" i="1"/>
  <c r="B2651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5" i="1"/>
  <c r="B2591" i="1"/>
  <c r="B2587" i="1"/>
  <c r="B2583" i="1"/>
  <c r="B2579" i="1"/>
  <c r="B2575" i="1"/>
  <c r="B2571" i="1"/>
  <c r="B2567" i="1"/>
  <c r="B2563" i="1"/>
  <c r="B2559" i="1"/>
  <c r="B2555" i="1"/>
  <c r="B2551" i="1"/>
  <c r="B2547" i="1"/>
  <c r="B2543" i="1"/>
  <c r="B2539" i="1"/>
  <c r="B2535" i="1"/>
  <c r="B2531" i="1"/>
  <c r="B2523" i="1"/>
  <c r="B2519" i="1"/>
  <c r="B2515" i="1"/>
  <c r="B2511" i="1"/>
  <c r="B2507" i="1"/>
  <c r="B2499" i="1"/>
  <c r="B2495" i="1"/>
  <c r="B2491" i="1"/>
  <c r="B2487" i="1"/>
  <c r="B2483" i="1"/>
  <c r="B2479" i="1"/>
  <c r="B2475" i="1"/>
  <c r="B2467" i="1"/>
  <c r="B2463" i="1"/>
  <c r="B2459" i="1"/>
  <c r="B2455" i="1"/>
  <c r="B2451" i="1"/>
  <c r="B2447" i="1"/>
  <c r="B2443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5" i="1"/>
  <c r="B2311" i="1"/>
  <c r="B2307" i="1"/>
  <c r="B2303" i="1"/>
  <c r="B2299" i="1"/>
  <c r="B2295" i="1"/>
  <c r="B2291" i="1"/>
  <c r="B2287" i="1"/>
  <c r="B2283" i="1"/>
  <c r="B2279" i="1"/>
  <c r="B2275" i="1"/>
  <c r="B2271" i="1"/>
  <c r="B2267" i="1"/>
  <c r="B2263" i="1"/>
  <c r="B2259" i="1"/>
  <c r="B2255" i="1"/>
  <c r="B2251" i="1"/>
  <c r="B2239" i="1"/>
  <c r="B2235" i="1"/>
  <c r="B2231" i="1"/>
  <c r="B2227" i="1"/>
  <c r="B2223" i="1"/>
  <c r="B2215" i="1"/>
  <c r="B2211" i="1"/>
  <c r="B2207" i="1"/>
  <c r="B2203" i="1"/>
  <c r="B2199" i="1"/>
  <c r="B2191" i="1"/>
  <c r="B2187" i="1"/>
  <c r="B2183" i="1"/>
  <c r="B2175" i="1"/>
  <c r="B2171" i="1"/>
  <c r="B2159" i="1"/>
  <c r="B2151" i="1"/>
  <c r="B2147" i="1"/>
  <c r="B2143" i="1"/>
  <c r="B2139" i="1"/>
  <c r="B2135" i="1"/>
  <c r="B2131" i="1"/>
  <c r="B2127" i="1"/>
  <c r="B2123" i="1"/>
  <c r="B2119" i="1"/>
  <c r="B2115" i="1"/>
  <c r="B2111" i="1"/>
  <c r="B2107" i="1"/>
  <c r="B2103" i="1"/>
  <c r="B2099" i="1"/>
  <c r="B2095" i="1"/>
  <c r="B2091" i="1"/>
  <c r="B2087" i="1"/>
  <c r="B2083" i="1"/>
  <c r="B2079" i="1"/>
  <c r="B2075" i="1"/>
  <c r="B2071" i="1"/>
  <c r="B2067" i="1"/>
  <c r="B2063" i="1"/>
  <c r="B2059" i="1"/>
  <c r="B2055" i="1"/>
  <c r="B2051" i="1"/>
  <c r="B2047" i="1"/>
  <c r="B2043" i="1"/>
  <c r="B2039" i="1"/>
  <c r="B2035" i="1"/>
  <c r="B2031" i="1"/>
  <c r="B2027" i="1"/>
  <c r="B2023" i="1"/>
  <c r="B2019" i="1"/>
  <c r="B2015" i="1"/>
  <c r="B2011" i="1"/>
  <c r="B2003" i="1"/>
  <c r="B1999" i="1"/>
  <c r="B1995" i="1"/>
  <c r="B1991" i="1"/>
  <c r="B1987" i="1"/>
  <c r="B1983" i="1"/>
  <c r="B1979" i="1"/>
  <c r="B1975" i="1"/>
  <c r="B1971" i="1"/>
  <c r="B1967" i="1"/>
  <c r="B1963" i="1"/>
  <c r="B1959" i="1"/>
  <c r="B1955" i="1"/>
  <c r="B1951" i="1"/>
  <c r="B1947" i="1"/>
  <c r="B1943" i="1"/>
  <c r="B1939" i="1"/>
  <c r="B1935" i="1"/>
  <c r="B1931" i="1"/>
  <c r="B1927" i="1"/>
  <c r="B1923" i="1"/>
  <c r="B1919" i="1"/>
  <c r="B1915" i="1"/>
  <c r="B1911" i="1"/>
  <c r="B1907" i="1"/>
  <c r="B1903" i="1"/>
  <c r="B1899" i="1"/>
  <c r="B1895" i="1"/>
  <c r="B1891" i="1"/>
  <c r="B1887" i="1"/>
  <c r="B1883" i="1"/>
  <c r="B1879" i="1"/>
  <c r="B1875" i="1"/>
  <c r="B1871" i="1"/>
  <c r="B1867" i="1"/>
  <c r="B1863" i="1"/>
  <c r="B1859" i="1"/>
  <c r="B1855" i="1"/>
  <c r="B1851" i="1"/>
  <c r="B1847" i="1"/>
  <c r="B1843" i="1"/>
  <c r="B1839" i="1"/>
  <c r="B1835" i="1"/>
  <c r="B1831" i="1"/>
  <c r="B1827" i="1"/>
  <c r="B1823" i="1"/>
  <c r="B1819" i="1"/>
  <c r="B1815" i="1"/>
  <c r="B1811" i="1"/>
  <c r="B1807" i="1"/>
  <c r="B1803" i="1"/>
  <c r="B1799" i="1"/>
  <c r="B1795" i="1"/>
  <c r="B1791" i="1"/>
  <c r="B1787" i="1"/>
  <c r="B1783" i="1"/>
  <c r="B1779" i="1"/>
  <c r="B1775" i="1"/>
  <c r="B1767" i="1"/>
  <c r="B1763" i="1"/>
  <c r="B1759" i="1"/>
  <c r="B1755" i="1"/>
  <c r="B1751" i="1"/>
  <c r="B1747" i="1"/>
  <c r="B1743" i="1"/>
  <c r="B1739" i="1"/>
  <c r="B1735" i="1"/>
  <c r="B1731" i="1"/>
  <c r="B1727" i="1"/>
  <c r="B1723" i="1"/>
  <c r="B1719" i="1"/>
  <c r="B1715" i="1"/>
  <c r="B1707" i="1"/>
  <c r="B1703" i="1"/>
  <c r="B1699" i="1"/>
  <c r="B1695" i="1"/>
  <c r="B1691" i="1"/>
  <c r="B1687" i="1"/>
  <c r="B1683" i="1"/>
  <c r="B1679" i="1"/>
  <c r="B1675" i="1"/>
  <c r="B1671" i="1"/>
  <c r="B1667" i="1"/>
  <c r="B1663" i="1"/>
  <c r="B1659" i="1"/>
  <c r="B1655" i="1"/>
  <c r="B1651" i="1"/>
  <c r="B1647" i="1"/>
  <c r="B1643" i="1"/>
  <c r="B1639" i="1"/>
  <c r="B1635" i="1"/>
  <c r="B1631" i="1"/>
  <c r="B1627" i="1"/>
  <c r="B1623" i="1"/>
  <c r="B1619" i="1"/>
  <c r="B1615" i="1"/>
  <c r="B1611" i="1"/>
  <c r="B1607" i="1"/>
  <c r="B1603" i="1"/>
  <c r="B1599" i="1"/>
  <c r="B1595" i="1"/>
  <c r="B1591" i="1"/>
  <c r="B1587" i="1"/>
  <c r="B1583" i="1"/>
  <c r="B1579" i="1"/>
  <c r="B1575" i="1"/>
  <c r="B1571" i="1"/>
  <c r="B1567" i="1"/>
  <c r="B1563" i="1"/>
  <c r="B1559" i="1"/>
  <c r="B1555" i="1"/>
  <c r="B1551" i="1"/>
  <c r="B1547" i="1"/>
  <c r="B1543" i="1"/>
  <c r="B1539" i="1"/>
  <c r="B1535" i="1"/>
  <c r="B1531" i="1"/>
  <c r="B1527" i="1"/>
  <c r="B1523" i="1"/>
  <c r="B1519" i="1"/>
  <c r="B1507" i="1"/>
  <c r="B1503" i="1"/>
  <c r="B1491" i="1"/>
  <c r="B1479" i="1"/>
  <c r="B1471" i="1"/>
  <c r="B1463" i="1"/>
  <c r="B1459" i="1"/>
  <c r="B1455" i="1"/>
  <c r="B1451" i="1"/>
  <c r="B1447" i="1"/>
  <c r="B1443" i="1"/>
  <c r="B1439" i="1"/>
  <c r="B1431" i="1"/>
  <c r="B1427" i="1"/>
  <c r="B1423" i="1"/>
  <c r="B1419" i="1"/>
  <c r="B1411" i="1"/>
  <c r="B1407" i="1"/>
  <c r="B1403" i="1"/>
  <c r="B1399" i="1"/>
  <c r="B1395" i="1"/>
  <c r="B1387" i="1"/>
  <c r="B1383" i="1"/>
  <c r="B1379" i="1"/>
  <c r="B1375" i="1"/>
  <c r="B1371" i="1"/>
  <c r="B1367" i="1"/>
  <c r="B1363" i="1"/>
  <c r="B1359" i="1"/>
  <c r="B1355" i="1"/>
  <c r="B1351" i="1"/>
  <c r="B1347" i="1"/>
  <c r="B1343" i="1"/>
  <c r="B1339" i="1"/>
  <c r="B1335" i="1"/>
  <c r="B1327" i="1"/>
  <c r="B1323" i="1"/>
  <c r="B1315" i="1"/>
  <c r="B1311" i="1"/>
  <c r="B1307" i="1"/>
  <c r="B1299" i="1"/>
  <c r="B1295" i="1"/>
  <c r="B1291" i="1"/>
  <c r="B1287" i="1"/>
  <c r="B1283" i="1"/>
  <c r="B1275" i="1"/>
  <c r="B1271" i="1"/>
  <c r="B1267" i="1"/>
  <c r="B1263" i="1"/>
  <c r="B1259" i="1"/>
  <c r="B1255" i="1"/>
  <c r="B1251" i="1"/>
  <c r="B1243" i="1"/>
  <c r="B1239" i="1"/>
  <c r="B1235" i="1"/>
  <c r="B1227" i="1"/>
  <c r="B1223" i="1"/>
  <c r="B1219" i="1"/>
  <c r="B1211" i="1"/>
  <c r="B1207" i="1"/>
  <c r="B1203" i="1"/>
  <c r="B1199" i="1"/>
  <c r="B1195" i="1"/>
  <c r="B1191" i="1"/>
  <c r="B1187" i="1"/>
  <c r="B1183" i="1"/>
  <c r="B1179" i="1"/>
  <c r="B1175" i="1"/>
  <c r="B1171" i="1"/>
  <c r="B1167" i="1"/>
  <c r="B1163" i="1"/>
  <c r="B1159" i="1"/>
  <c r="B1155" i="1"/>
  <c r="B1151" i="1"/>
  <c r="B1147" i="1"/>
  <c r="B1143" i="1"/>
  <c r="B1139" i="1"/>
  <c r="B1135" i="1"/>
  <c r="B1131" i="1"/>
  <c r="B1127" i="1"/>
  <c r="B1123" i="1"/>
  <c r="B1119" i="1"/>
  <c r="B1115" i="1"/>
  <c r="B1111" i="1"/>
  <c r="B1107" i="1"/>
  <c r="B1103" i="1"/>
  <c r="B1099" i="1"/>
  <c r="B1095" i="1"/>
  <c r="B1091" i="1"/>
  <c r="B1087" i="1"/>
  <c r="B1083" i="1"/>
  <c r="B1079" i="1"/>
  <c r="B1075" i="1"/>
  <c r="B1071" i="1"/>
  <c r="B1067" i="1"/>
  <c r="B1063" i="1"/>
  <c r="B1055" i="1"/>
  <c r="B1051" i="1"/>
  <c r="B1047" i="1"/>
  <c r="B1043" i="1"/>
  <c r="B1039" i="1"/>
  <c r="B1035" i="1"/>
  <c r="B1031" i="1"/>
  <c r="B1023" i="1"/>
  <c r="B1015" i="1"/>
  <c r="B1011" i="1"/>
  <c r="B1007" i="1"/>
  <c r="B1003" i="1"/>
  <c r="B999" i="1"/>
  <c r="B995" i="1"/>
  <c r="B991" i="1"/>
  <c r="B987" i="1"/>
  <c r="B983" i="1"/>
  <c r="B979" i="1"/>
  <c r="B975" i="1"/>
  <c r="B971" i="1"/>
  <c r="B967" i="1"/>
  <c r="B963" i="1"/>
  <c r="B959" i="1"/>
  <c r="B955" i="1"/>
  <c r="B951" i="1"/>
  <c r="B947" i="1"/>
  <c r="B943" i="1"/>
  <c r="B939" i="1"/>
  <c r="B4934" i="1"/>
  <c r="B4930" i="1"/>
  <c r="B4922" i="1"/>
  <c r="B4918" i="1"/>
  <c r="B4914" i="1"/>
  <c r="B4910" i="1"/>
  <c r="B4906" i="1"/>
  <c r="B4902" i="1"/>
  <c r="B4898" i="1"/>
  <c r="B4894" i="1"/>
  <c r="B4890" i="1"/>
  <c r="B4886" i="1"/>
  <c r="B4882" i="1"/>
  <c r="B4878" i="1"/>
  <c r="B4874" i="1"/>
  <c r="B4870" i="1"/>
  <c r="B4866" i="1"/>
  <c r="B4862" i="1"/>
  <c r="B4858" i="1"/>
  <c r="B4854" i="1"/>
  <c r="B4850" i="1"/>
  <c r="B4846" i="1"/>
  <c r="B4842" i="1"/>
  <c r="B4838" i="1"/>
  <c r="B4834" i="1"/>
  <c r="B4830" i="1"/>
  <c r="B4826" i="1"/>
  <c r="B4822" i="1"/>
  <c r="B4818" i="1"/>
  <c r="B4814" i="1"/>
  <c r="B4810" i="1"/>
  <c r="B4806" i="1"/>
  <c r="B4802" i="1"/>
  <c r="B4798" i="1"/>
  <c r="B4794" i="1"/>
  <c r="B4790" i="1"/>
  <c r="B4786" i="1"/>
  <c r="B4782" i="1"/>
  <c r="B4778" i="1"/>
  <c r="B4774" i="1"/>
  <c r="B4770" i="1"/>
  <c r="B4762" i="1"/>
  <c r="B4758" i="1"/>
  <c r="B4754" i="1"/>
  <c r="B4746" i="1"/>
  <c r="B4742" i="1"/>
  <c r="B4738" i="1"/>
  <c r="B4734" i="1"/>
  <c r="B4726" i="1"/>
  <c r="B4718" i="1"/>
  <c r="B4714" i="1"/>
  <c r="B4710" i="1"/>
  <c r="B4702" i="1"/>
  <c r="B4698" i="1"/>
  <c r="B4694" i="1"/>
  <c r="B4690" i="1"/>
  <c r="B4686" i="1"/>
  <c r="B4682" i="1"/>
  <c r="B4678" i="1"/>
  <c r="B4674" i="1"/>
  <c r="B4670" i="1"/>
  <c r="B4666" i="1"/>
  <c r="B4662" i="1"/>
  <c r="B4658" i="1"/>
  <c r="B4654" i="1"/>
  <c r="B4650" i="1"/>
  <c r="B4646" i="1"/>
  <c r="B4642" i="1"/>
  <c r="B4638" i="1"/>
  <c r="B4634" i="1"/>
  <c r="B4630" i="1"/>
  <c r="B4626" i="1"/>
  <c r="B4622" i="1"/>
  <c r="B4618" i="1"/>
  <c r="B4614" i="1"/>
  <c r="B4610" i="1"/>
  <c r="B4606" i="1"/>
  <c r="B4602" i="1"/>
  <c r="B4598" i="1"/>
  <c r="B4594" i="1"/>
  <c r="B4590" i="1"/>
  <c r="B4586" i="1"/>
  <c r="B4582" i="1"/>
  <c r="B4578" i="1"/>
  <c r="B4574" i="1"/>
  <c r="B4570" i="1"/>
  <c r="B4566" i="1"/>
  <c r="B4562" i="1"/>
  <c r="B4558" i="1"/>
  <c r="B4554" i="1"/>
  <c r="B4550" i="1"/>
  <c r="B4546" i="1"/>
  <c r="B4542" i="1"/>
  <c r="B4538" i="1"/>
  <c r="B4534" i="1"/>
  <c r="B4530" i="1"/>
  <c r="B4526" i="1"/>
  <c r="B4514" i="1"/>
  <c r="B4510" i="1"/>
  <c r="B4502" i="1"/>
  <c r="B4498" i="1"/>
  <c r="B4494" i="1"/>
  <c r="B4490" i="1"/>
  <c r="B4486" i="1"/>
  <c r="B4482" i="1"/>
  <c r="B4478" i="1"/>
  <c r="B4474" i="1"/>
  <c r="B4470" i="1"/>
  <c r="B4466" i="1"/>
  <c r="B4462" i="1"/>
  <c r="B4458" i="1"/>
  <c r="B4454" i="1"/>
  <c r="B4442" i="1"/>
  <c r="B4430" i="1"/>
  <c r="B4426" i="1"/>
  <c r="B4418" i="1"/>
  <c r="B4406" i="1"/>
  <c r="B4398" i="1"/>
  <c r="B4394" i="1"/>
  <c r="B4382" i="1"/>
  <c r="B4374" i="1"/>
  <c r="B4370" i="1"/>
  <c r="B4358" i="1"/>
  <c r="B4350" i="1"/>
  <c r="B4346" i="1"/>
  <c r="B4342" i="1"/>
  <c r="B4338" i="1"/>
  <c r="B4334" i="1"/>
  <c r="B4330" i="1"/>
  <c r="B4326" i="1"/>
  <c r="B4322" i="1"/>
  <c r="B4318" i="1"/>
  <c r="B4314" i="1"/>
  <c r="B4310" i="1"/>
  <c r="B4306" i="1"/>
  <c r="B4302" i="1"/>
  <c r="B4298" i="1"/>
  <c r="B4294" i="1"/>
  <c r="B4290" i="1"/>
  <c r="B4286" i="1"/>
  <c r="B4282" i="1"/>
  <c r="B4278" i="1"/>
  <c r="B4274" i="1"/>
  <c r="B4270" i="1"/>
  <c r="B4266" i="1"/>
  <c r="B4262" i="1"/>
  <c r="B4258" i="1"/>
  <c r="B4254" i="1"/>
  <c r="B4250" i="1"/>
  <c r="B4246" i="1"/>
  <c r="B4242" i="1"/>
  <c r="B4238" i="1"/>
  <c r="B4234" i="1"/>
  <c r="B4230" i="1"/>
  <c r="B4226" i="1"/>
  <c r="B4222" i="1"/>
  <c r="B4218" i="1"/>
  <c r="B4214" i="1"/>
  <c r="B4210" i="1"/>
  <c r="B4202" i="1"/>
  <c r="B4198" i="1"/>
  <c r="B4194" i="1"/>
  <c r="B4190" i="1"/>
  <c r="B4186" i="1"/>
  <c r="B4182" i="1"/>
  <c r="B4178" i="1"/>
  <c r="B4174" i="1"/>
  <c r="B4170" i="1"/>
  <c r="B4166" i="1"/>
  <c r="B4162" i="1"/>
  <c r="B4158" i="1"/>
  <c r="B4154" i="1"/>
  <c r="B4150" i="1"/>
  <c r="B4146" i="1"/>
  <c r="B4142" i="1"/>
  <c r="B4138" i="1"/>
  <c r="B4134" i="1"/>
  <c r="B4130" i="1"/>
  <c r="B4126" i="1"/>
  <c r="B4122" i="1"/>
  <c r="B4118" i="1"/>
  <c r="B4114" i="1"/>
  <c r="B4110" i="1"/>
  <c r="B4106" i="1"/>
  <c r="B4102" i="1"/>
  <c r="B4098" i="1"/>
  <c r="B4094" i="1"/>
  <c r="B4090" i="1"/>
  <c r="B4086" i="1"/>
  <c r="B4082" i="1"/>
  <c r="B4078" i="1"/>
  <c r="B4074" i="1"/>
  <c r="B4070" i="1"/>
  <c r="B4066" i="1"/>
  <c r="B4062" i="1"/>
  <c r="B4058" i="1"/>
  <c r="B4054" i="1"/>
  <c r="B4050" i="1"/>
  <c r="B4046" i="1"/>
  <c r="B4042" i="1"/>
  <c r="B4038" i="1"/>
  <c r="B4034" i="1"/>
  <c r="B4030" i="1"/>
  <c r="B4026" i="1"/>
  <c r="B4022" i="1"/>
  <c r="B4018" i="1"/>
  <c r="B4014" i="1"/>
  <c r="B4010" i="1"/>
  <c r="B4006" i="1"/>
  <c r="B4002" i="1"/>
  <c r="B3998" i="1"/>
  <c r="B3994" i="1"/>
  <c r="B3990" i="1"/>
  <c r="B3986" i="1"/>
  <c r="B3982" i="1"/>
  <c r="B3978" i="1"/>
  <c r="B3974" i="1"/>
  <c r="B3966" i="1"/>
  <c r="B3962" i="1"/>
  <c r="B3958" i="1"/>
  <c r="B3954" i="1"/>
  <c r="B3950" i="1"/>
  <c r="B3946" i="1"/>
  <c r="B3942" i="1"/>
  <c r="B3938" i="1"/>
  <c r="B3934" i="1"/>
  <c r="B3930" i="1"/>
  <c r="B3926" i="1"/>
  <c r="B3922" i="1"/>
  <c r="B3918" i="1"/>
  <c r="B3914" i="1"/>
  <c r="B3906" i="1"/>
  <c r="B3902" i="1"/>
  <c r="B3898" i="1"/>
  <c r="B3894" i="1"/>
  <c r="B3890" i="1"/>
  <c r="B3886" i="1"/>
  <c r="B3882" i="1"/>
  <c r="B3878" i="1"/>
  <c r="B3874" i="1"/>
  <c r="B3870" i="1"/>
  <c r="B3866" i="1"/>
  <c r="B3862" i="1"/>
  <c r="B3858" i="1"/>
  <c r="B3854" i="1"/>
  <c r="B3850" i="1"/>
  <c r="B3846" i="1"/>
  <c r="B3842" i="1"/>
  <c r="B3838" i="1"/>
  <c r="B3834" i="1"/>
  <c r="B3830" i="1"/>
  <c r="B3826" i="1"/>
  <c r="B3822" i="1"/>
  <c r="B3818" i="1"/>
  <c r="B3814" i="1"/>
  <c r="B3810" i="1"/>
  <c r="B3806" i="1"/>
  <c r="B3802" i="1"/>
  <c r="B3798" i="1"/>
  <c r="B3794" i="1"/>
  <c r="B3790" i="1"/>
  <c r="B3786" i="1"/>
  <c r="B3782" i="1"/>
  <c r="B3778" i="1"/>
  <c r="B3774" i="1"/>
  <c r="B3770" i="1"/>
  <c r="B3766" i="1"/>
  <c r="B3762" i="1"/>
  <c r="B3758" i="1"/>
  <c r="B3754" i="1"/>
  <c r="B3750" i="1"/>
  <c r="B3746" i="1"/>
  <c r="B3742" i="1"/>
  <c r="B3738" i="1"/>
  <c r="B3734" i="1"/>
  <c r="B3730" i="1"/>
  <c r="B3726" i="1"/>
  <c r="B3722" i="1"/>
  <c r="B3718" i="1"/>
  <c r="B3706" i="1"/>
  <c r="B3702" i="1"/>
  <c r="B3690" i="1"/>
  <c r="B3678" i="1"/>
  <c r="B3670" i="1"/>
  <c r="B3662" i="1"/>
  <c r="B3658" i="1"/>
  <c r="B3654" i="1"/>
  <c r="B3650" i="1"/>
  <c r="B3646" i="1"/>
  <c r="B3642" i="1"/>
  <c r="B3638" i="1"/>
  <c r="B3630" i="1"/>
  <c r="B3626" i="1"/>
  <c r="B3622" i="1"/>
  <c r="B3618" i="1"/>
  <c r="B3614" i="1"/>
  <c r="B3610" i="1"/>
  <c r="B3606" i="1"/>
  <c r="B3602" i="1"/>
  <c r="B3598" i="1"/>
  <c r="B3594" i="1"/>
  <c r="B3590" i="1"/>
  <c r="B3586" i="1"/>
  <c r="B3582" i="1"/>
  <c r="B3578" i="1"/>
  <c r="B3574" i="1"/>
  <c r="B3570" i="1"/>
  <c r="B3566" i="1"/>
  <c r="B3562" i="1"/>
  <c r="B3558" i="1"/>
  <c r="B3554" i="1"/>
  <c r="B3550" i="1"/>
  <c r="B3546" i="1"/>
  <c r="B3542" i="1"/>
  <c r="B3538" i="1"/>
  <c r="B3534" i="1"/>
  <c r="B3526" i="1"/>
  <c r="B3522" i="1"/>
  <c r="B3518" i="1"/>
  <c r="B3514" i="1"/>
  <c r="B3510" i="1"/>
  <c r="B3506" i="1"/>
  <c r="B3502" i="1"/>
  <c r="B3498" i="1"/>
  <c r="B3494" i="1"/>
  <c r="B3486" i="1"/>
  <c r="B3482" i="1"/>
  <c r="B3478" i="1"/>
  <c r="B3474" i="1"/>
  <c r="B3470" i="1"/>
  <c r="B3466" i="1"/>
  <c r="B3462" i="1"/>
  <c r="B3458" i="1"/>
  <c r="B3454" i="1"/>
  <c r="B3450" i="1"/>
  <c r="B3442" i="1"/>
  <c r="B3438" i="1"/>
  <c r="B3434" i="1"/>
  <c r="B3426" i="1"/>
  <c r="B3422" i="1"/>
  <c r="B3418" i="1"/>
  <c r="B3414" i="1"/>
  <c r="B3410" i="1"/>
  <c r="B3406" i="1"/>
  <c r="B3402" i="1"/>
  <c r="B3398" i="1"/>
  <c r="B3394" i="1"/>
  <c r="B3390" i="1"/>
  <c r="B3386" i="1"/>
  <c r="B3382" i="1"/>
  <c r="B3378" i="1"/>
  <c r="B3374" i="1"/>
  <c r="B3370" i="1"/>
  <c r="B3366" i="1"/>
  <c r="B3362" i="1"/>
  <c r="B3358" i="1"/>
  <c r="B3354" i="1"/>
  <c r="B3350" i="1"/>
  <c r="B3346" i="1"/>
  <c r="B3342" i="1"/>
  <c r="B3338" i="1"/>
  <c r="B3334" i="1"/>
  <c r="B3330" i="1"/>
  <c r="B3326" i="1"/>
  <c r="B3322" i="1"/>
  <c r="B3318" i="1"/>
  <c r="B3314" i="1"/>
  <c r="B3310" i="1"/>
  <c r="B3306" i="1"/>
  <c r="B3302" i="1"/>
  <c r="B3298" i="1"/>
  <c r="B3294" i="1"/>
  <c r="B3290" i="1"/>
  <c r="B3286" i="1"/>
  <c r="B3282" i="1"/>
  <c r="B3278" i="1"/>
  <c r="B3270" i="1"/>
  <c r="B3266" i="1"/>
  <c r="B3262" i="1"/>
  <c r="B3258" i="1"/>
  <c r="B3254" i="1"/>
  <c r="B3250" i="1"/>
  <c r="B3242" i="1"/>
  <c r="B3238" i="1"/>
  <c r="B3234" i="1"/>
  <c r="B3230" i="1"/>
  <c r="B3226" i="1"/>
  <c r="B3222" i="1"/>
  <c r="B3218" i="1"/>
  <c r="B3214" i="1"/>
  <c r="B3210" i="1"/>
  <c r="B3206" i="1"/>
  <c r="B3202" i="1"/>
  <c r="B3198" i="1"/>
  <c r="B3194" i="1"/>
  <c r="B3190" i="1"/>
  <c r="B3186" i="1"/>
  <c r="B3182" i="1"/>
  <c r="B3178" i="1"/>
  <c r="B3174" i="1"/>
  <c r="B3170" i="1"/>
  <c r="B3162" i="1"/>
  <c r="B3158" i="1"/>
  <c r="B3154" i="1"/>
  <c r="B3150" i="1"/>
  <c r="B3146" i="1"/>
  <c r="B3142" i="1"/>
  <c r="B3138" i="1"/>
  <c r="B3134" i="1"/>
  <c r="B3130" i="1"/>
  <c r="B3126" i="1"/>
  <c r="B3122" i="1"/>
  <c r="B3118" i="1"/>
  <c r="B3114" i="1"/>
  <c r="B3110" i="1"/>
  <c r="B3106" i="1"/>
  <c r="B3102" i="1"/>
  <c r="B3094" i="1"/>
  <c r="B3090" i="1"/>
  <c r="B3086" i="1"/>
  <c r="B3082" i="1"/>
  <c r="B3078" i="1"/>
  <c r="B3074" i="1"/>
  <c r="B3070" i="1"/>
  <c r="B3066" i="1"/>
  <c r="B3062" i="1"/>
  <c r="B3058" i="1"/>
  <c r="B3054" i="1"/>
  <c r="B3050" i="1"/>
  <c r="B3042" i="1"/>
  <c r="B3038" i="1"/>
  <c r="B3034" i="1"/>
  <c r="B3030" i="1"/>
  <c r="B3026" i="1"/>
  <c r="B3022" i="1"/>
  <c r="B3018" i="1"/>
  <c r="B3014" i="1"/>
  <c r="B3010" i="1"/>
  <c r="B3006" i="1"/>
  <c r="B3002" i="1"/>
  <c r="B2998" i="1"/>
  <c r="B2990" i="1"/>
  <c r="B2986" i="1"/>
  <c r="B2974" i="1"/>
  <c r="B2962" i="1"/>
  <c r="B2958" i="1"/>
  <c r="B2950" i="1"/>
  <c r="B2938" i="1"/>
  <c r="B2930" i="1"/>
  <c r="B2926" i="1"/>
  <c r="B2922" i="1"/>
  <c r="B2918" i="1"/>
  <c r="B2906" i="1"/>
  <c r="B2902" i="1"/>
  <c r="B2898" i="1"/>
  <c r="B2894" i="1"/>
  <c r="B2890" i="1"/>
  <c r="B2886" i="1"/>
  <c r="B2882" i="1"/>
  <c r="B2878" i="1"/>
  <c r="B2874" i="1"/>
  <c r="B2870" i="1"/>
  <c r="B2866" i="1"/>
  <c r="B2862" i="1"/>
  <c r="B2858" i="1"/>
  <c r="B2854" i="1"/>
  <c r="B2850" i="1"/>
  <c r="B2846" i="1"/>
  <c r="B2842" i="1"/>
  <c r="B2838" i="1"/>
  <c r="B2834" i="1"/>
  <c r="B2830" i="1"/>
  <c r="B2826" i="1"/>
  <c r="B2822" i="1"/>
  <c r="B2818" i="1"/>
  <c r="B2814" i="1"/>
  <c r="B2810" i="1"/>
  <c r="B2806" i="1"/>
  <c r="B2798" i="1"/>
  <c r="B2794" i="1"/>
  <c r="B2790" i="1"/>
  <c r="B2786" i="1"/>
  <c r="B2782" i="1"/>
  <c r="B2778" i="1"/>
  <c r="B2774" i="1"/>
  <c r="B2770" i="1"/>
  <c r="B2766" i="1"/>
  <c r="B2762" i="1"/>
  <c r="B2758" i="1"/>
  <c r="B2754" i="1"/>
  <c r="B2750" i="1"/>
  <c r="B2742" i="1"/>
  <c r="B2738" i="1"/>
  <c r="B2734" i="1"/>
  <c r="B2730" i="1"/>
  <c r="B2722" i="1"/>
  <c r="B2718" i="1"/>
  <c r="B2714" i="1"/>
  <c r="B2710" i="1"/>
  <c r="B2706" i="1"/>
  <c r="B2702" i="1"/>
  <c r="B2694" i="1"/>
  <c r="B2690" i="1"/>
  <c r="B2686" i="1"/>
  <c r="B2682" i="1"/>
  <c r="B2678" i="1"/>
  <c r="B2674" i="1"/>
  <c r="B2670" i="1"/>
  <c r="B2666" i="1"/>
  <c r="B2662" i="1"/>
  <c r="B2658" i="1"/>
  <c r="B2654" i="1"/>
  <c r="B2650" i="1"/>
  <c r="B2646" i="1"/>
  <c r="B2642" i="1"/>
  <c r="B2638" i="1"/>
  <c r="B2634" i="1"/>
  <c r="B2630" i="1"/>
  <c r="B2626" i="1"/>
  <c r="B2622" i="1"/>
  <c r="B2618" i="1"/>
  <c r="B2614" i="1"/>
  <c r="B2610" i="1"/>
  <c r="B2606" i="1"/>
  <c r="B2602" i="1"/>
  <c r="B2598" i="1"/>
  <c r="B2594" i="1"/>
  <c r="B2590" i="1"/>
  <c r="B2586" i="1"/>
  <c r="B2582" i="1"/>
  <c r="B2578" i="1"/>
  <c r="B2574" i="1"/>
  <c r="B2570" i="1"/>
  <c r="B2562" i="1"/>
  <c r="B2558" i="1"/>
  <c r="B2554" i="1"/>
  <c r="B2550" i="1"/>
  <c r="B2546" i="1"/>
  <c r="B2542" i="1"/>
  <c r="B2538" i="1"/>
  <c r="B2534" i="1"/>
  <c r="B2530" i="1"/>
  <c r="B2526" i="1"/>
  <c r="B2522" i="1"/>
  <c r="B2518" i="1"/>
  <c r="B2514" i="1"/>
  <c r="B2506" i="1"/>
  <c r="B2498" i="1"/>
  <c r="B2494" i="1"/>
  <c r="B2490" i="1"/>
  <c r="B2486" i="1"/>
  <c r="B2482" i="1"/>
  <c r="B2478" i="1"/>
  <c r="B2474" i="1"/>
  <c r="B2470" i="1"/>
  <c r="B2466" i="1"/>
  <c r="B2462" i="1"/>
  <c r="B2458" i="1"/>
  <c r="B2454" i="1"/>
  <c r="B2450" i="1"/>
  <c r="B2446" i="1"/>
  <c r="B2442" i="1"/>
  <c r="B2438" i="1"/>
  <c r="B2434" i="1"/>
  <c r="B2430" i="1"/>
  <c r="B2426" i="1"/>
  <c r="B2422" i="1"/>
  <c r="B2418" i="1"/>
  <c r="B2410" i="1"/>
  <c r="B2406" i="1"/>
  <c r="B2402" i="1"/>
  <c r="B2398" i="1"/>
  <c r="B2394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42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90" i="1"/>
  <c r="B2282" i="1"/>
  <c r="B2278" i="1"/>
  <c r="B2274" i="1"/>
  <c r="B2270" i="1"/>
  <c r="B2266" i="1"/>
  <c r="B2262" i="1"/>
  <c r="B2258" i="1"/>
  <c r="B2250" i="1"/>
  <c r="B2246" i="1"/>
  <c r="B2242" i="1"/>
  <c r="B2238" i="1"/>
  <c r="B2230" i="1"/>
  <c r="B2226" i="1"/>
  <c r="B2222" i="1"/>
  <c r="B2218" i="1"/>
  <c r="B2210" i="1"/>
  <c r="B2206" i="1"/>
  <c r="B2202" i="1"/>
  <c r="B2198" i="1"/>
  <c r="B2194" i="1"/>
  <c r="B2178" i="1"/>
  <c r="B2174" i="1"/>
  <c r="B2162" i="1"/>
  <c r="B2158" i="1"/>
  <c r="B2154" i="1"/>
  <c r="B2150" i="1"/>
  <c r="B2146" i="1"/>
  <c r="B2142" i="1"/>
  <c r="B2138" i="1"/>
  <c r="B2134" i="1"/>
  <c r="B2130" i="1"/>
  <c r="B2126" i="1"/>
  <c r="B2122" i="1"/>
  <c r="B2118" i="1"/>
  <c r="B2114" i="1"/>
  <c r="B2110" i="1"/>
  <c r="B2106" i="1"/>
  <c r="B2102" i="1"/>
  <c r="B2098" i="1"/>
  <c r="B2094" i="1"/>
  <c r="B2090" i="1"/>
  <c r="B2086" i="1"/>
  <c r="B2082" i="1"/>
  <c r="B2078" i="1"/>
  <c r="B2074" i="1"/>
  <c r="B2070" i="1"/>
  <c r="B2066" i="1"/>
  <c r="B2062" i="1"/>
  <c r="B2058" i="1"/>
  <c r="B2054" i="1"/>
  <c r="B2050" i="1"/>
  <c r="B2046" i="1"/>
  <c r="B2042" i="1"/>
  <c r="B2038" i="1"/>
  <c r="B2034" i="1"/>
  <c r="B2030" i="1"/>
  <c r="B2026" i="1"/>
  <c r="B2022" i="1"/>
  <c r="B2018" i="1"/>
  <c r="B2010" i="1"/>
  <c r="B2006" i="1"/>
  <c r="B2002" i="1"/>
  <c r="B1998" i="1"/>
  <c r="B1990" i="1"/>
  <c r="B1986" i="1"/>
  <c r="B1982" i="1"/>
  <c r="B1978" i="1"/>
  <c r="B1974" i="1"/>
  <c r="B1970" i="1"/>
  <c r="B1966" i="1"/>
  <c r="B1962" i="1"/>
  <c r="B1958" i="1"/>
  <c r="B1954" i="1"/>
  <c r="B1950" i="1"/>
  <c r="B1946" i="1"/>
  <c r="B1938" i="1"/>
  <c r="B1934" i="1"/>
  <c r="B1930" i="1"/>
  <c r="B1926" i="1"/>
  <c r="B1922" i="1"/>
  <c r="B1918" i="1"/>
  <c r="B1910" i="1"/>
  <c r="B1906" i="1"/>
  <c r="B1902" i="1"/>
  <c r="B1898" i="1"/>
  <c r="B1894" i="1"/>
  <c r="B1890" i="1"/>
  <c r="B1886" i="1"/>
  <c r="B1882" i="1"/>
  <c r="B1878" i="1"/>
  <c r="B1874" i="1"/>
  <c r="B1870" i="1"/>
  <c r="B1866" i="1"/>
  <c r="B1862" i="1"/>
  <c r="B1858" i="1"/>
  <c r="B1854" i="1"/>
  <c r="B1850" i="1"/>
  <c r="B1846" i="1"/>
  <c r="B1842" i="1"/>
  <c r="B1838" i="1"/>
  <c r="B1834" i="1"/>
  <c r="B1830" i="1"/>
  <c r="B1826" i="1"/>
  <c r="B1822" i="1"/>
  <c r="B1818" i="1"/>
  <c r="B1814" i="1"/>
  <c r="B1810" i="1"/>
  <c r="B1806" i="1"/>
  <c r="B1802" i="1"/>
  <c r="B1798" i="1"/>
  <c r="B1790" i="1"/>
  <c r="B1786" i="1"/>
  <c r="B1782" i="1"/>
  <c r="B1778" i="1"/>
  <c r="B1774" i="1"/>
  <c r="B1766" i="1"/>
  <c r="B1762" i="1"/>
  <c r="B1758" i="1"/>
  <c r="B1754" i="1"/>
  <c r="B1750" i="1"/>
  <c r="B1746" i="1"/>
  <c r="B1742" i="1"/>
  <c r="B1734" i="1"/>
  <c r="B1730" i="1"/>
  <c r="B1726" i="1"/>
  <c r="B1722" i="1"/>
  <c r="B1718" i="1"/>
  <c r="B1714" i="1"/>
  <c r="B1710" i="1"/>
  <c r="B1706" i="1"/>
  <c r="B1702" i="1"/>
  <c r="B1698" i="1"/>
  <c r="B1694" i="1"/>
  <c r="B1690" i="1"/>
  <c r="B1686" i="1"/>
  <c r="B1682" i="1"/>
  <c r="B1678" i="1"/>
  <c r="B1674" i="1"/>
  <c r="B1670" i="1"/>
  <c r="B1666" i="1"/>
  <c r="B1662" i="1"/>
  <c r="B1658" i="1"/>
  <c r="B1654" i="1"/>
  <c r="B1650" i="1"/>
  <c r="B1646" i="1"/>
  <c r="B1642" i="1"/>
  <c r="B1638" i="1"/>
  <c r="B1634" i="1"/>
  <c r="B1630" i="1"/>
  <c r="B1626" i="1"/>
  <c r="B1622" i="1"/>
  <c r="B1618" i="1"/>
  <c r="B1614" i="1"/>
  <c r="B1610" i="1"/>
  <c r="B1606" i="1"/>
  <c r="B1602" i="1"/>
  <c r="B1598" i="1"/>
  <c r="B1594" i="1"/>
  <c r="B1590" i="1"/>
  <c r="B1586" i="1"/>
  <c r="B1582" i="1"/>
  <c r="B1578" i="1"/>
  <c r="B1574" i="1"/>
  <c r="B1570" i="1"/>
  <c r="B1566" i="1"/>
  <c r="B1562" i="1"/>
  <c r="B1558" i="1"/>
  <c r="B1554" i="1"/>
  <c r="B1550" i="1"/>
  <c r="B1546" i="1"/>
  <c r="B1542" i="1"/>
  <c r="B1538" i="1"/>
  <c r="B1534" i="1"/>
  <c r="B1530" i="1"/>
  <c r="B1526" i="1"/>
  <c r="B1522" i="1"/>
  <c r="B1518" i="1"/>
  <c r="B1506" i="1"/>
  <c r="B1502" i="1"/>
  <c r="B1498" i="1"/>
  <c r="B1494" i="1"/>
  <c r="B1490" i="1"/>
  <c r="B1482" i="1"/>
  <c r="B1478" i="1"/>
  <c r="B1474" i="1"/>
  <c r="B1470" i="1"/>
  <c r="B1466" i="1"/>
  <c r="B1458" i="1"/>
  <c r="B1454" i="1"/>
  <c r="B1450" i="1"/>
  <c r="B1442" i="1"/>
  <c r="B1438" i="1"/>
  <c r="B1426" i="1"/>
  <c r="B1418" i="1"/>
  <c r="B1414" i="1"/>
  <c r="B1410" i="1"/>
  <c r="B1406" i="1"/>
  <c r="B1402" i="1"/>
  <c r="B1398" i="1"/>
  <c r="B1394" i="1"/>
  <c r="B1390" i="1"/>
  <c r="B1386" i="1"/>
  <c r="B1378" i="1"/>
  <c r="B1374" i="1"/>
  <c r="B1370" i="1"/>
  <c r="B1366" i="1"/>
  <c r="B1362" i="1"/>
  <c r="B1358" i="1"/>
  <c r="B1354" i="1"/>
  <c r="B1350" i="1"/>
  <c r="B1346" i="1"/>
  <c r="B1342" i="1"/>
  <c r="B1338" i="1"/>
  <c r="B1334" i="1"/>
  <c r="B1330" i="1"/>
  <c r="B1326" i="1"/>
  <c r="B1322" i="1"/>
  <c r="B1318" i="1"/>
  <c r="B1310" i="1"/>
  <c r="B1306" i="1"/>
  <c r="B1302" i="1"/>
  <c r="B1294" i="1"/>
  <c r="B1290" i="1"/>
  <c r="B1286" i="1"/>
  <c r="B1282" i="1"/>
  <c r="B1278" i="1"/>
  <c r="B1274" i="1"/>
  <c r="B1270" i="1"/>
  <c r="B1266" i="1"/>
  <c r="B1258" i="1"/>
  <c r="B1254" i="1"/>
  <c r="B1250" i="1"/>
  <c r="B1242" i="1"/>
  <c r="B1238" i="1"/>
  <c r="B1234" i="1"/>
  <c r="B1230" i="1"/>
  <c r="B1226" i="1"/>
  <c r="B1222" i="1"/>
  <c r="B1218" i="1"/>
  <c r="B1214" i="1"/>
  <c r="B1210" i="1"/>
  <c r="B1206" i="1"/>
  <c r="B1202" i="1"/>
  <c r="B1198" i="1"/>
  <c r="B1194" i="1"/>
  <c r="B1190" i="1"/>
  <c r="B1186" i="1"/>
  <c r="B1182" i="1"/>
  <c r="B1178" i="1"/>
  <c r="B1174" i="1"/>
  <c r="B1170" i="1"/>
  <c r="B1166" i="1"/>
  <c r="B1162" i="1"/>
  <c r="B1158" i="1"/>
  <c r="B1154" i="1"/>
  <c r="B1150" i="1"/>
  <c r="B1146" i="1"/>
  <c r="B1142" i="1"/>
  <c r="B1138" i="1"/>
  <c r="B1134" i="1"/>
  <c r="B1130" i="1"/>
  <c r="B1126" i="1"/>
  <c r="B1122" i="1"/>
  <c r="B1118" i="1"/>
  <c r="B1114" i="1"/>
  <c r="B1110" i="1"/>
  <c r="B1106" i="1"/>
  <c r="B1102" i="1"/>
  <c r="B1098" i="1"/>
  <c r="B1094" i="1"/>
  <c r="B1090" i="1"/>
  <c r="B1086" i="1"/>
  <c r="B1082" i="1"/>
  <c r="B1078" i="1"/>
  <c r="B1074" i="1"/>
  <c r="B1070" i="1"/>
  <c r="B1066" i="1"/>
  <c r="B1062" i="1"/>
  <c r="B1058" i="1"/>
  <c r="B1054" i="1"/>
  <c r="B1050" i="1"/>
  <c r="B1046" i="1"/>
  <c r="B1042" i="1"/>
  <c r="B1038" i="1"/>
  <c r="B1034" i="1"/>
  <c r="B1026" i="1"/>
  <c r="B1022" i="1"/>
  <c r="B1018" i="1"/>
  <c r="B1014" i="1"/>
  <c r="B1010" i="1"/>
  <c r="B1006" i="1"/>
  <c r="B1002" i="1"/>
  <c r="B998" i="1"/>
  <c r="B994" i="1"/>
  <c r="B1001" i="1"/>
  <c r="B997" i="1"/>
  <c r="B993" i="1"/>
  <c r="B932" i="1"/>
  <c r="B935" i="1"/>
  <c r="B990" i="1"/>
  <c r="B986" i="1"/>
  <c r="B982" i="1"/>
  <c r="B978" i="1"/>
  <c r="B974" i="1"/>
  <c r="B970" i="1"/>
  <c r="B966" i="1"/>
  <c r="B962" i="1"/>
  <c r="B958" i="1"/>
  <c r="B954" i="1"/>
  <c r="B946" i="1"/>
  <c r="B942" i="1"/>
  <c r="B938" i="1"/>
  <c r="B934" i="1"/>
  <c r="B989" i="1"/>
  <c r="B985" i="1"/>
  <c r="B981" i="1"/>
  <c r="B977" i="1"/>
  <c r="B973" i="1"/>
  <c r="B969" i="1"/>
  <c r="B965" i="1"/>
  <c r="B957" i="1"/>
  <c r="B953" i="1"/>
  <c r="B949" i="1"/>
  <c r="B945" i="1"/>
  <c r="B941" i="1"/>
  <c r="B937" i="1"/>
  <c r="B9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LIBIA</author>
  </authors>
  <commentList>
    <comment ref="J13" authorId="0" shapeId="0" xr:uid="{7D7AF390-007E-4750-9012-7706615FC025}">
      <text>
        <r>
          <rPr>
            <sz val="9"/>
            <color indexed="81"/>
            <rFont val="Tahoma"/>
            <family val="2"/>
          </rPr>
          <t xml:space="preserve">ES TAME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<sst xmlns="http://schemas.openxmlformats.org/spreadsheetml/2006/main" count="19403" uniqueCount="2552">
  <si>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</si>
  <si>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</si>
  <si>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</si>
  <si>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</si>
  <si>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</si>
  <si>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</si>
  <si>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</si>
  <si>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</si>
  <si>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</si>
  <si>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</si>
  <si>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</si>
  <si>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</si>
  <si>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</si>
  <si>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</si>
  <si>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</si>
  <si>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</si>
  <si>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</si>
  <si>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</si>
  <si>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</si>
  <si>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</si>
  <si>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</si>
  <si>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</si>
  <si>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</si>
  <si>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</si>
  <si>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</si>
  <si>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</si>
  <si>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</si>
  <si>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</si>
  <si>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</si>
  <si>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</si>
  <si>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</si>
  <si>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</si>
  <si>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</si>
  <si>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</si>
  <si>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</si>
  <si>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</si>
  <si>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</si>
  <si>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</si>
  <si>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</si>
  <si>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</si>
  <si>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</si>
  <si>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</si>
  <si>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</si>
  <si>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</si>
  <si>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</si>
  <si>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</si>
  <si>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</si>
  <si>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</si>
  <si>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</si>
  <si>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</si>
  <si>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</si>
  <si>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</si>
  <si>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</si>
  <si>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</si>
  <si>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</si>
  <si>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</si>
  <si>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</si>
  <si>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</si>
  <si>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</si>
  <si>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</si>
  <si>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</si>
  <si>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</si>
  <si>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</si>
  <si>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</si>
  <si>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</si>
  <si>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</si>
  <si>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</si>
  <si>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</si>
  <si>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</si>
  <si>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</si>
  <si>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</si>
  <si>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</si>
  <si>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</si>
  <si>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</si>
  <si>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</si>
  <si>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</si>
  <si>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</si>
  <si>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</si>
  <si>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</si>
  <si>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</si>
  <si>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</si>
  <si>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</si>
  <si>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</si>
  <si>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</si>
  <si>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</si>
  <si>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</si>
  <si>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</si>
  <si>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</si>
  <si>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</si>
  <si>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</si>
  <si>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</si>
  <si>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</si>
  <si>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</si>
  <si>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</si>
  <si>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</si>
  <si>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</si>
  <si>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</si>
  <si>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</si>
  <si>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</si>
  <si>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</si>
  <si>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</si>
  <si>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</si>
  <si>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</si>
  <si>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</si>
  <si>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</si>
  <si>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</si>
  <si>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</si>
  <si>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</si>
  <si>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</si>
  <si>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</si>
  <si>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</si>
  <si>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</si>
  <si>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</si>
  <si>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</si>
  <si>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</si>
  <si>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</si>
  <si>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</si>
  <si>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</si>
  <si>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</si>
  <si>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</si>
  <si>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</si>
  <si>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</si>
  <si>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</si>
  <si>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</si>
  <si>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</si>
  <si>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</si>
  <si>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</si>
  <si>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</si>
  <si>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</si>
  <si>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</si>
  <si>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</si>
  <si>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</si>
  <si>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</si>
  <si>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</si>
  <si>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</si>
  <si>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</si>
  <si>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</si>
  <si>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</si>
  <si>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</si>
  <si>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</si>
  <si>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</si>
  <si>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</si>
  <si>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</si>
  <si>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</si>
  <si>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</si>
  <si>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</si>
  <si>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</si>
  <si>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</si>
  <si>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</si>
  <si>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</si>
  <si>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</si>
  <si>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</si>
  <si>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</si>
  <si>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</si>
  <si>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</si>
  <si>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</si>
  <si>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</si>
  <si>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</si>
  <si>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</si>
  <si>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</si>
  <si>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</si>
  <si>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</si>
  <si>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</si>
  <si>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</si>
  <si>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</si>
  <si>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</si>
  <si>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</si>
  <si>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</si>
  <si>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</si>
  <si>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</si>
  <si>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</si>
  <si>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</si>
  <si>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</si>
  <si>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</si>
  <si>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</si>
  <si>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</si>
  <si>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</si>
  <si>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</si>
  <si>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</si>
  <si>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</si>
  <si>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</si>
  <si>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</si>
  <si>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</si>
  <si>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</si>
  <si>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</si>
  <si>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</si>
  <si>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</si>
  <si>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</si>
  <si>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</si>
  <si>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</si>
  <si>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</si>
  <si>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</si>
  <si>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</si>
  <si>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</si>
  <si>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</si>
  <si>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</si>
  <si>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</si>
  <si>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</si>
  <si>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</si>
  <si>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</si>
  <si>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</si>
  <si>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</si>
  <si>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</si>
  <si>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</si>
  <si>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</si>
  <si>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</si>
  <si>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</si>
  <si>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</si>
  <si>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</si>
  <si>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</si>
  <si>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</si>
  <si>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</si>
  <si>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</si>
  <si>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</si>
  <si>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</si>
  <si>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</si>
  <si>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</si>
  <si>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</si>
  <si>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</si>
  <si>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</si>
  <si>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</si>
  <si>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</si>
  <si>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</si>
  <si>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</si>
  <si>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</si>
  <si>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</si>
  <si>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</si>
  <si>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</si>
  <si>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</si>
  <si>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</si>
  <si>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</si>
  <si>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</si>
  <si>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</si>
  <si>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</si>
  <si>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</si>
  <si>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</si>
  <si>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</si>
  <si>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</si>
  <si>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</si>
  <si>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</si>
  <si>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</si>
  <si>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</si>
  <si>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</si>
  <si>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</si>
  <si>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</si>
  <si>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</si>
  <si>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</si>
  <si>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</si>
  <si>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</si>
  <si>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</si>
  <si>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</si>
  <si>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</si>
  <si>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</si>
  <si>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</si>
  <si>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</si>
  <si>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</si>
  <si>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</si>
  <si>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</si>
  <si>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</si>
  <si>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</si>
  <si>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</si>
  <si>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</si>
  <si>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</si>
  <si>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</si>
  <si>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</si>
  <si>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</si>
  <si>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</si>
  <si>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</si>
  <si>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</si>
  <si>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</si>
  <si>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</si>
  <si>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</si>
  <si>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</si>
  <si>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</si>
  <si>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</si>
  <si>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</si>
  <si>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</si>
  <si>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</si>
  <si>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</si>
  <si>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</si>
  <si>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</si>
  <si>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</si>
  <si>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</si>
  <si>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</si>
  <si>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</si>
  <si>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</si>
  <si>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</si>
  <si>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</si>
  <si>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</si>
  <si>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</si>
  <si>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</si>
  <si>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</si>
  <si>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</si>
  <si>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</si>
  <si>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</si>
  <si>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</si>
  <si>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</si>
  <si>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</si>
  <si>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</si>
  <si>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</si>
  <si>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</si>
  <si>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</si>
  <si>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</si>
  <si>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</si>
  <si>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</si>
  <si>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</si>
  <si>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</si>
  <si>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</si>
  <si>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</si>
  <si>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</si>
  <si>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</si>
  <si>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</si>
  <si>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</si>
  <si>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</si>
  <si>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</si>
  <si>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</si>
  <si>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</si>
  <si>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</si>
  <si>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</si>
  <si>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</si>
  <si>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</si>
  <si>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</si>
  <si>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</si>
  <si>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</si>
  <si>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</si>
  <si>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</si>
  <si>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</si>
  <si>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</si>
  <si>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</si>
  <si>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</si>
  <si>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</si>
  <si>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</si>
  <si>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</si>
  <si>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</si>
  <si>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</si>
  <si>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</si>
  <si>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</si>
  <si>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</si>
  <si>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</si>
  <si>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</si>
  <si>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</si>
  <si>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</si>
  <si>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</si>
  <si>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</si>
  <si>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</si>
  <si>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</si>
  <si>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</si>
  <si>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</si>
  <si>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</si>
  <si>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</si>
  <si>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</si>
  <si>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</si>
  <si>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</si>
  <si>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</si>
  <si>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</si>
  <si>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</si>
  <si>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</si>
  <si>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</si>
  <si>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</si>
  <si>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</si>
  <si>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</si>
  <si>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</si>
  <si>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</si>
  <si>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</si>
  <si>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</si>
  <si>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</si>
  <si>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</si>
  <si>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</si>
  <si>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</si>
  <si>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</si>
  <si>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</si>
  <si>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</si>
  <si>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</si>
  <si>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</si>
  <si>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</si>
  <si>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</si>
  <si>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</si>
  <si>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</si>
  <si>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</si>
  <si>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</si>
  <si>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</si>
  <si>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</si>
  <si>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</si>
  <si>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</si>
  <si>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</si>
  <si>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</si>
  <si>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</si>
  <si>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</si>
  <si>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</si>
  <si>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</si>
  <si>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</si>
  <si>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</si>
  <si>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</si>
  <si>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</si>
  <si>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</si>
  <si>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</si>
  <si>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</si>
  <si>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</si>
  <si>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</si>
  <si>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</si>
  <si>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</si>
  <si>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</si>
  <si>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</si>
  <si>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</si>
  <si>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</si>
  <si>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</si>
  <si>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</si>
  <si>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</si>
  <si>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</si>
  <si>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</si>
  <si>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</si>
  <si>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</si>
  <si>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</si>
  <si>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</si>
  <si>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</si>
  <si>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</si>
  <si>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</si>
  <si>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</si>
  <si>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</si>
  <si>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</si>
  <si>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</si>
  <si>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</si>
  <si>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</si>
  <si>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</si>
  <si>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</si>
  <si>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</si>
  <si>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</si>
  <si>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</si>
  <si>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</si>
  <si>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</si>
  <si>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</si>
  <si>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</si>
  <si>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</si>
  <si>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</si>
  <si>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</si>
  <si>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</si>
  <si>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</si>
  <si>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</si>
  <si>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</si>
  <si>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</si>
  <si>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</si>
  <si>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</si>
  <si>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</si>
  <si>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</si>
  <si>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</si>
  <si>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</si>
  <si>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</si>
  <si>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</si>
  <si>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</si>
  <si>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</si>
  <si>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</si>
  <si>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</si>
  <si>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</si>
  <si>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</si>
  <si>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</si>
  <si>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</si>
  <si>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</si>
  <si>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</si>
  <si>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</si>
  <si>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</si>
  <si>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</si>
  <si>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</si>
  <si>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</si>
  <si>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</si>
  <si>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</si>
  <si>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</si>
  <si>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</si>
  <si>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</si>
  <si>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</si>
  <si>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</si>
  <si>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</si>
  <si>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</si>
  <si>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</si>
  <si>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</si>
  <si>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</si>
  <si>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</si>
  <si>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</si>
  <si>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</si>
  <si>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</si>
  <si>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</si>
  <si>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</si>
  <si>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</si>
  <si>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</si>
  <si>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</si>
  <si>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</si>
  <si>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</si>
  <si>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</si>
  <si>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</si>
  <si>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</si>
  <si>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</si>
  <si>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</si>
  <si>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</si>
  <si>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</si>
  <si>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</si>
  <si>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</si>
  <si>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</si>
  <si>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</si>
  <si>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</si>
  <si>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</si>
  <si>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</si>
  <si>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</si>
  <si>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</si>
  <si>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</si>
  <si>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</si>
  <si>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</si>
  <si>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</si>
  <si>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</si>
  <si>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</si>
  <si>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</si>
  <si>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</si>
  <si>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</si>
  <si>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</si>
  <si>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</si>
  <si>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</si>
  <si>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</si>
  <si>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</si>
  <si>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</si>
  <si>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</si>
  <si>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</si>
  <si>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</si>
  <si>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</si>
  <si>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</si>
  <si>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</si>
  <si>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</si>
  <si>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</si>
  <si>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</si>
  <si>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</si>
  <si>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</si>
  <si>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</si>
  <si>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</si>
  <si>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</si>
  <si>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</si>
  <si>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</si>
  <si>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</si>
  <si>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</si>
  <si>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</si>
  <si>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</si>
  <si>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</si>
  <si>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</si>
  <si>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</si>
  <si>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</si>
  <si>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</si>
  <si>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</si>
  <si>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</si>
  <si>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</si>
  <si>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</si>
  <si>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</si>
  <si>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</si>
  <si>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</si>
  <si>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</si>
  <si>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</si>
  <si>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</si>
  <si>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</si>
  <si>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</si>
  <si>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</si>
  <si>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</si>
  <si>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</si>
  <si>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</si>
  <si>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</si>
  <si>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</si>
  <si>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</si>
  <si>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</si>
  <si>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</si>
  <si>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</si>
  <si>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</si>
  <si>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</si>
  <si>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</si>
  <si>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</si>
  <si>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</si>
  <si>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</si>
  <si>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</si>
  <si>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</si>
  <si>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</si>
  <si>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</si>
  <si>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</si>
  <si>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</si>
  <si>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</si>
  <si>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</si>
  <si>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</si>
  <si>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</si>
  <si>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</si>
  <si>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</si>
  <si>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</si>
  <si>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</si>
  <si>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</si>
  <si>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</si>
  <si>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</si>
  <si>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</si>
  <si>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</si>
  <si>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</si>
  <si>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</si>
  <si>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</si>
  <si>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</si>
  <si>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</si>
  <si>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</si>
  <si>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</si>
  <si>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</si>
  <si>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</si>
  <si>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</si>
  <si>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</si>
  <si>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</si>
  <si>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</si>
  <si>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</si>
  <si>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</si>
  <si>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</si>
  <si>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</si>
  <si>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</si>
  <si>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</si>
  <si>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</si>
  <si>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</si>
  <si>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</si>
  <si>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</si>
  <si>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</si>
  <si>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</si>
  <si>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</si>
  <si>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</si>
  <si>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</si>
  <si>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</si>
  <si>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</si>
  <si>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</si>
  <si>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</si>
  <si>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</si>
  <si>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</si>
  <si>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</si>
  <si>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</si>
  <si>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</si>
  <si>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</si>
  <si>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</si>
  <si>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</si>
  <si>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</si>
  <si>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</si>
  <si>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</si>
  <si>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</si>
  <si>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</si>
  <si>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</si>
  <si>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</si>
  <si>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</si>
  <si>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</si>
  <si>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</si>
  <si>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</si>
  <si>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</si>
  <si>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</si>
  <si>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</si>
  <si>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</si>
  <si>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</si>
  <si>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</si>
  <si>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</si>
  <si>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</si>
  <si>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</si>
  <si>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</si>
  <si>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</si>
  <si>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</si>
  <si>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</si>
  <si>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</si>
  <si>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</si>
  <si>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</si>
  <si>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</si>
  <si>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</si>
  <si>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</si>
  <si>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</si>
  <si>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</si>
  <si>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</si>
  <si>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</si>
  <si>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</si>
  <si>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</si>
  <si>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</si>
  <si>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</si>
  <si>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</si>
  <si>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</si>
  <si>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</si>
  <si>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</si>
  <si>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</si>
  <si>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</si>
  <si>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</si>
  <si>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</si>
  <si>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</si>
  <si>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</si>
  <si>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</si>
  <si>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</si>
  <si>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</si>
  <si>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</si>
  <si>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</si>
  <si>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</si>
  <si>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</si>
  <si>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</si>
  <si>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</si>
  <si>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</si>
  <si>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</si>
  <si>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</si>
  <si>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</si>
  <si>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</si>
  <si>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</si>
  <si>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</si>
  <si>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</si>
  <si>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</si>
  <si>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</si>
  <si>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</si>
  <si>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</si>
  <si>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</si>
  <si>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</si>
  <si>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</si>
  <si>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</si>
  <si>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</si>
  <si>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</si>
  <si>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</si>
  <si>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</si>
  <si>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</si>
  <si>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</si>
  <si>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</si>
  <si>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</si>
  <si>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</si>
  <si>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</si>
  <si>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</si>
  <si>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</si>
  <si>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</si>
  <si>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</si>
  <si>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</si>
  <si>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</si>
  <si>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</si>
  <si>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</si>
  <si>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</si>
  <si>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</si>
  <si>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</si>
  <si>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</si>
  <si>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</si>
  <si>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</si>
  <si>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</si>
  <si>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</si>
  <si>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</si>
  <si>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</si>
  <si>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</si>
  <si>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</si>
  <si>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</si>
  <si>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</si>
  <si>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</si>
  <si>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</si>
  <si>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</si>
  <si>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</si>
  <si>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</si>
  <si>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</si>
  <si>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</si>
  <si>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</si>
  <si>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</si>
  <si>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</si>
  <si>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</si>
  <si>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</si>
  <si>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</si>
  <si>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</si>
  <si>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</si>
  <si>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</si>
  <si>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</si>
  <si>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</si>
  <si>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</si>
  <si>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</si>
  <si>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</si>
  <si>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</si>
  <si>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</si>
  <si>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</si>
  <si>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</si>
  <si>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</si>
  <si>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</si>
  <si>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</si>
  <si>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</si>
  <si>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</si>
  <si>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</si>
  <si>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</si>
  <si>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</si>
  <si>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</si>
  <si>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</si>
  <si>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</si>
  <si>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</si>
  <si>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</si>
  <si>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</si>
  <si>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</si>
  <si>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</si>
  <si>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</si>
  <si>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</si>
  <si>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</si>
  <si>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</si>
  <si>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</si>
  <si>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</si>
  <si>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</si>
  <si>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</si>
  <si>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</si>
  <si>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</si>
  <si>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</si>
  <si>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</si>
  <si>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</si>
  <si>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</si>
  <si>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</si>
  <si>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</si>
  <si>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</si>
  <si>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</si>
  <si>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</si>
  <si>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</si>
  <si>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</si>
  <si>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</si>
  <si>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</si>
  <si>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</si>
  <si>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</si>
  <si>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</si>
  <si>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</si>
  <si>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</si>
  <si>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</si>
  <si>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</si>
  <si>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</si>
  <si>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</si>
  <si>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</si>
  <si>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</si>
  <si>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</si>
  <si>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</si>
  <si>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</si>
  <si>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</si>
  <si>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</si>
  <si>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</si>
  <si>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</si>
  <si>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</si>
  <si>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</si>
  <si>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</si>
  <si>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</si>
  <si>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</si>
  <si>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</si>
  <si>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</si>
  <si>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</si>
  <si>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</si>
  <si>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</si>
  <si>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</si>
  <si>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</si>
  <si>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</si>
  <si>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</si>
  <si>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</si>
  <si>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</si>
  <si>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</si>
  <si>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</si>
  <si>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</si>
  <si>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</si>
  <si>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</si>
  <si>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</si>
  <si>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</si>
  <si>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</si>
  <si>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</si>
  <si>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</si>
  <si>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</si>
  <si>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</si>
  <si>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</si>
  <si>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</si>
  <si>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</si>
  <si>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</si>
  <si>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</si>
  <si>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</si>
  <si>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</si>
  <si>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</si>
  <si>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</si>
  <si>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</si>
  <si>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</si>
  <si>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</si>
  <si>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</si>
  <si>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</si>
  <si>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</si>
  <si>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</si>
  <si>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</si>
  <si>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</si>
  <si>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</si>
  <si>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</si>
  <si>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</si>
  <si>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</si>
  <si>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</si>
  <si>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</si>
  <si>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</si>
  <si>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</si>
  <si>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</si>
  <si>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</si>
  <si>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</si>
  <si>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</si>
  <si>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</si>
  <si>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</si>
  <si>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</si>
  <si>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</si>
  <si>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</si>
  <si>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</si>
  <si>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</si>
  <si>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</si>
  <si>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</si>
  <si>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</si>
  <si>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</si>
  <si>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</si>
  <si>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</si>
  <si>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</si>
  <si>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</si>
  <si>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</si>
  <si>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</si>
  <si>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</si>
  <si>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</si>
  <si>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</si>
  <si>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</si>
  <si>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</si>
  <si>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</si>
  <si>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</si>
  <si>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</si>
  <si>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</si>
  <si>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</si>
  <si>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</si>
  <si>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</si>
  <si>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</si>
  <si>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</si>
  <si>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</si>
  <si>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</si>
  <si>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</si>
  <si>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</si>
  <si>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</si>
  <si>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</si>
  <si>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</si>
  <si>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</si>
  <si>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</si>
  <si>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</si>
  <si>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</si>
  <si>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</si>
  <si>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</si>
  <si>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</si>
  <si>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</si>
  <si>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</si>
  <si>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</si>
  <si>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</si>
  <si>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</si>
  <si>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</si>
  <si>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</si>
  <si>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</si>
  <si>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</si>
  <si>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</si>
  <si>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</si>
  <si>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</si>
  <si>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</si>
  <si>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</si>
  <si>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</si>
  <si>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</si>
  <si>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</si>
  <si>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</si>
  <si>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</si>
  <si>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</si>
  <si>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</si>
  <si>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</si>
  <si>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</si>
  <si>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</si>
  <si>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</si>
  <si>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</si>
  <si>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</si>
  <si>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</si>
  <si>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</si>
  <si>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</si>
  <si>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</si>
  <si>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</si>
  <si>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</si>
  <si>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</si>
  <si>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</si>
  <si>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</si>
  <si>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</si>
  <si>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</si>
  <si>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</si>
  <si>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</si>
  <si>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</si>
  <si>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</si>
  <si>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</si>
  <si>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</si>
  <si>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</si>
  <si>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</si>
  <si>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</si>
  <si>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</si>
  <si>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</si>
  <si>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</si>
  <si>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</si>
  <si>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</si>
  <si>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</si>
  <si>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</si>
  <si>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</si>
  <si>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</si>
  <si>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</si>
  <si>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</si>
  <si>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</si>
  <si>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</si>
  <si>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</si>
  <si>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</si>
  <si>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</si>
  <si>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</si>
  <si>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</si>
  <si>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</si>
  <si>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</si>
  <si>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</si>
  <si>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</si>
  <si>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</si>
  <si>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</si>
  <si>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</si>
  <si>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</si>
  <si>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</si>
  <si>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</si>
  <si>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</si>
  <si>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</si>
  <si>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</si>
  <si>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</si>
  <si>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</si>
  <si>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</si>
  <si>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</si>
  <si>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</si>
  <si>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</si>
  <si>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</si>
  <si>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</si>
  <si>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</si>
  <si>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</si>
  <si>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</si>
  <si>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</si>
  <si>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</si>
  <si>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</si>
  <si>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</si>
  <si>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</si>
  <si>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</si>
  <si>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</si>
  <si>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</si>
  <si>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</si>
  <si>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</si>
  <si>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</si>
  <si>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</si>
  <si>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</si>
  <si>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</si>
  <si>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</si>
  <si>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</si>
  <si>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</si>
  <si>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</si>
  <si>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</si>
  <si>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</si>
  <si>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</si>
  <si>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</si>
  <si>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</si>
  <si>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</si>
  <si>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</si>
  <si>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</si>
  <si>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</si>
  <si>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</si>
  <si>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</si>
  <si>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</si>
  <si>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</si>
  <si>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</si>
  <si>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</si>
  <si>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</si>
  <si>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</si>
  <si>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</si>
  <si>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</si>
  <si>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</si>
  <si>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</si>
  <si>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</si>
  <si>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</si>
  <si>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</si>
  <si>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</si>
  <si>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</si>
  <si>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</si>
  <si>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</si>
  <si>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</si>
  <si>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</si>
  <si>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</si>
  <si>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</si>
  <si>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</si>
  <si>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</si>
  <si>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</si>
  <si>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</si>
  <si>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</si>
  <si>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</si>
  <si>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</si>
  <si>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</si>
  <si>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</si>
  <si>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</si>
  <si>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</si>
  <si>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</si>
  <si>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</si>
  <si>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</si>
  <si>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</si>
  <si>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</si>
  <si>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</si>
  <si>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</si>
  <si>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</si>
  <si>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</si>
  <si>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</si>
  <si>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</si>
  <si>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</si>
  <si>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</si>
  <si>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</si>
  <si>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</si>
  <si>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</si>
  <si>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</si>
  <si>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</si>
  <si>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</si>
  <si>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</si>
  <si>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</si>
  <si>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</si>
  <si>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</si>
  <si>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</si>
  <si>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</si>
  <si>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</si>
  <si>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</si>
  <si>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</si>
  <si>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</si>
  <si>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</si>
  <si>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</si>
  <si>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</si>
  <si>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</si>
  <si>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</si>
  <si>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</si>
  <si>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</si>
  <si>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</si>
  <si>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</si>
  <si>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</si>
  <si>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</si>
  <si>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</si>
  <si>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</si>
  <si>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</si>
  <si>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</si>
  <si>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</si>
  <si>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</si>
  <si>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</si>
  <si>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</si>
  <si>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</si>
  <si>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</si>
  <si>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</si>
  <si>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</si>
  <si>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</si>
  <si>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</si>
  <si>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</si>
  <si>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</si>
  <si>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</si>
  <si>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</si>
  <si>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</si>
  <si>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</si>
  <si>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</si>
  <si>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</si>
  <si>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</si>
  <si>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</si>
  <si>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</si>
  <si>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</si>
  <si>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</si>
  <si>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</si>
  <si>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</si>
  <si>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</si>
  <si>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</si>
  <si>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</si>
  <si>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</si>
  <si>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</si>
  <si>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</si>
  <si>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</si>
  <si>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</si>
  <si>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</si>
  <si>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</si>
  <si>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</si>
  <si>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</si>
  <si>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</si>
  <si>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</si>
  <si>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</si>
  <si>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</si>
  <si>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</si>
  <si>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</si>
  <si>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</si>
  <si>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</si>
  <si>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</si>
  <si>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</si>
  <si>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</si>
  <si>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</si>
  <si>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</si>
  <si>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</si>
  <si>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</si>
  <si>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</si>
  <si>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</si>
  <si>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</si>
  <si>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</si>
  <si>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</si>
  <si>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</si>
  <si>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</si>
  <si>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</si>
  <si>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</si>
  <si>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</si>
  <si>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</si>
  <si>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</si>
  <si>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</si>
  <si>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</si>
  <si>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</si>
  <si>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</si>
  <si>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</si>
  <si>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</si>
  <si>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</si>
  <si>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</si>
  <si>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</si>
  <si>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</si>
  <si>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</si>
  <si>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</si>
  <si>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</si>
  <si>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</si>
  <si>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</si>
  <si>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</si>
  <si>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</si>
  <si>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</si>
  <si>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</si>
  <si>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</si>
  <si>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</si>
  <si>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</si>
  <si>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</si>
  <si>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</si>
  <si>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</si>
  <si>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</si>
  <si>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</si>
  <si>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</si>
  <si>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</si>
  <si>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</si>
  <si>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</si>
  <si>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</si>
  <si>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</si>
  <si>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</si>
  <si>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</si>
  <si>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</si>
  <si>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</si>
  <si>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</si>
  <si>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</si>
  <si>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</si>
  <si>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</si>
  <si>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</si>
  <si>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</si>
  <si>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</si>
  <si>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</si>
  <si>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</si>
  <si>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</si>
  <si>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</si>
  <si>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</si>
  <si>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</si>
  <si>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</si>
  <si>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</si>
  <si>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</si>
  <si>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</si>
  <si>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</si>
  <si>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</si>
  <si>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</si>
  <si>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</si>
  <si>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</si>
  <si>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</si>
  <si>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</si>
  <si>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</si>
  <si>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</si>
  <si>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</si>
  <si>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</si>
  <si>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</si>
  <si>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</si>
  <si>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</si>
  <si>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</si>
  <si>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</si>
  <si>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</si>
  <si>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</si>
  <si>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</si>
  <si>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</si>
  <si>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</si>
  <si>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</si>
  <si>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</si>
  <si>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</si>
  <si>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</si>
  <si>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</si>
  <si>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</si>
  <si>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</si>
  <si>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</si>
  <si>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</si>
  <si>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</si>
  <si>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</si>
  <si>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</si>
  <si>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</si>
  <si>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</si>
  <si>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</si>
  <si>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</si>
  <si>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</si>
  <si>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</si>
  <si>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</si>
  <si>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</si>
  <si>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</si>
  <si>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</si>
  <si>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</si>
  <si>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</si>
  <si>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</si>
  <si>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</si>
  <si>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</si>
  <si>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</si>
  <si>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</si>
  <si>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</si>
  <si>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</si>
  <si>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</si>
  <si>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</si>
  <si>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</si>
  <si>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</si>
  <si>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</si>
  <si>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</si>
  <si>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</si>
  <si>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</si>
  <si>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</si>
  <si>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</si>
  <si>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</si>
  <si>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</si>
  <si>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</si>
  <si>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</si>
  <si>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</si>
  <si>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</si>
  <si>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</si>
  <si>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</si>
  <si>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</si>
  <si>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</si>
  <si>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</si>
  <si>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</si>
  <si>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</si>
  <si>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</si>
  <si>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</si>
  <si>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</si>
  <si>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</si>
  <si>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</si>
  <si>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</si>
  <si>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</si>
  <si>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</si>
  <si>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</si>
  <si>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</si>
  <si>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</si>
  <si>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</si>
  <si>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</si>
  <si>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</si>
  <si>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</si>
  <si>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</si>
  <si>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</si>
  <si>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</si>
  <si>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</si>
  <si>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</si>
  <si>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</si>
  <si>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</si>
  <si>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</si>
  <si>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</si>
  <si>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</si>
  <si>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</si>
  <si>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</si>
  <si>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</si>
  <si>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</si>
  <si>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</si>
  <si>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</si>
  <si>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</si>
  <si>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</si>
  <si>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</si>
  <si>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</si>
  <si>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</si>
  <si>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</si>
  <si>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</si>
  <si>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</si>
  <si>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</si>
  <si>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</si>
  <si>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</si>
  <si>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</si>
  <si>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</si>
  <si>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</si>
  <si>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</si>
  <si>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</si>
  <si>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</si>
  <si>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</si>
  <si>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</si>
  <si>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</si>
  <si>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</si>
  <si>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</si>
  <si>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</si>
  <si>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</si>
  <si>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</si>
  <si>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</si>
  <si>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</si>
  <si>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</si>
  <si>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</si>
  <si>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</si>
  <si>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</si>
  <si>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</si>
  <si>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</si>
  <si>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</si>
  <si>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</si>
  <si>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</si>
  <si>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</si>
  <si>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</si>
  <si>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</si>
  <si>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</si>
  <si>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</si>
  <si>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</si>
  <si>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</si>
  <si>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</si>
  <si>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</si>
  <si>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</si>
  <si>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</si>
  <si>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</si>
  <si>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</si>
  <si>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</si>
  <si>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</si>
  <si>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</si>
  <si>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</si>
  <si>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</si>
  <si>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</si>
  <si>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</si>
  <si>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</si>
  <si>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</si>
  <si>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</si>
  <si>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</si>
  <si>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</si>
  <si>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</si>
  <si>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</si>
  <si>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</si>
  <si>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</si>
  <si>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</si>
  <si>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</si>
  <si>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</si>
  <si>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</si>
  <si>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</si>
  <si>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</si>
  <si>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</si>
  <si>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</si>
  <si>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</si>
  <si>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</si>
  <si>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</si>
  <si>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</si>
  <si>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</si>
  <si>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</si>
  <si>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</si>
  <si>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</si>
  <si>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</si>
  <si>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</si>
  <si>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</si>
  <si>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</si>
  <si>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</si>
  <si>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</si>
  <si>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</si>
  <si>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</si>
  <si>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</si>
  <si>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</si>
  <si>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</si>
  <si>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</si>
  <si>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</si>
  <si>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</si>
  <si>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</si>
  <si>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</si>
  <si>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</si>
  <si>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</si>
  <si>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</si>
  <si>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</si>
  <si>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</si>
  <si>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</si>
  <si>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</si>
  <si>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</si>
  <si>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</si>
  <si>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</si>
  <si>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</si>
  <si>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</si>
  <si>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</si>
  <si>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</si>
  <si>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</si>
  <si>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</si>
  <si>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</si>
  <si>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</si>
  <si>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</si>
  <si>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</si>
  <si>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</si>
  <si>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</si>
  <si>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</si>
  <si>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</si>
  <si>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</si>
  <si>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</si>
  <si>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</si>
  <si>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</si>
  <si>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</si>
  <si>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</si>
  <si>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</si>
  <si>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</si>
  <si>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</si>
  <si>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</si>
  <si>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</si>
  <si>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</si>
  <si>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</si>
  <si>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</si>
  <si>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</si>
  <si>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</si>
  <si>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</si>
  <si>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</si>
  <si>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</si>
  <si>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</si>
  <si>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</si>
  <si>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</si>
  <si>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</si>
  <si>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</si>
  <si>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</si>
  <si>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</si>
  <si>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</si>
  <si>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</si>
  <si>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</si>
  <si>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</si>
  <si>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</si>
  <si>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</si>
  <si>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</si>
  <si>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</si>
  <si>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</si>
  <si>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</si>
  <si>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</si>
  <si>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</si>
  <si>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</si>
  <si>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</si>
  <si>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</si>
  <si>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</si>
  <si>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</si>
  <si>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</si>
  <si>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</si>
  <si>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</si>
  <si>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</si>
  <si>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</si>
  <si>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</si>
  <si>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</si>
  <si>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</si>
  <si>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</si>
  <si>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</si>
  <si>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</si>
  <si>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</si>
  <si>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</si>
  <si>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</si>
  <si>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</si>
  <si>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</si>
  <si>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</si>
  <si>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</si>
  <si>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</si>
  <si>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</si>
  <si>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</si>
  <si>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</si>
  <si>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</si>
  <si>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</si>
  <si>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</si>
  <si>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</si>
  <si>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</si>
  <si>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</si>
  <si>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</si>
  <si>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</si>
  <si>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</si>
  <si>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</si>
  <si>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</si>
  <si>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</si>
  <si>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</si>
  <si>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</si>
  <si>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</si>
  <si>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</si>
  <si>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</si>
  <si>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</si>
  <si>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</si>
  <si>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</si>
  <si>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</si>
  <si>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</si>
  <si>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</si>
  <si>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</si>
  <si>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</si>
  <si>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</si>
  <si>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</si>
  <si>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</si>
  <si>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</si>
  <si>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</si>
  <si>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</si>
  <si>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</si>
  <si>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</si>
  <si>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</si>
  <si>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</si>
  <si>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</si>
  <si>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</si>
  <si>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</si>
  <si>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</si>
  <si>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</si>
  <si>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</si>
  <si>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</si>
  <si>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</si>
  <si>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</si>
  <si>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</si>
  <si>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</si>
  <si>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</si>
  <si>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</si>
  <si>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</si>
  <si>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</si>
  <si>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</si>
  <si>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</si>
  <si>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</si>
  <si>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</si>
  <si>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</si>
  <si>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</si>
  <si>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</si>
  <si>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</si>
  <si>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</si>
  <si>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</si>
  <si>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</si>
  <si>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</si>
  <si>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</si>
  <si>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</si>
  <si>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</si>
  <si>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</si>
  <si>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</si>
  <si>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</si>
  <si>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</si>
  <si>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</si>
  <si>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</si>
  <si>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</si>
  <si>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</si>
  <si>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</si>
  <si>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</si>
  <si>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</si>
  <si>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</si>
  <si>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</si>
  <si>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</si>
  <si>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</si>
  <si>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</si>
  <si>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</si>
  <si>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</si>
  <si>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</si>
  <si>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</si>
  <si>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</si>
  <si>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</si>
  <si>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</si>
  <si>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</si>
  <si>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</si>
  <si>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</si>
  <si>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</si>
  <si>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</si>
  <si>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</si>
  <si>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</si>
  <si>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</si>
  <si>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</si>
  <si>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</si>
  <si>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</si>
  <si>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</si>
  <si>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</si>
  <si>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</si>
  <si>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</si>
  <si>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</si>
  <si>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</si>
  <si>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</si>
  <si>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</si>
  <si>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</si>
  <si>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</si>
  <si>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</si>
  <si>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</si>
  <si>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</si>
  <si>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</si>
  <si>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</si>
  <si>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</si>
  <si>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</si>
  <si>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</si>
  <si>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</si>
  <si>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</si>
  <si>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</si>
  <si>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</si>
  <si>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</si>
  <si>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</si>
  <si>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</si>
  <si>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</si>
  <si>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</si>
  <si>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</si>
  <si>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</si>
  <si>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</si>
  <si>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</si>
  <si>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</si>
  <si>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</si>
  <si>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</si>
  <si>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</si>
  <si>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</si>
  <si>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</si>
  <si>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</si>
  <si>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</si>
  <si>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</si>
  <si>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</si>
  <si>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</si>
  <si>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</si>
  <si>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</si>
  <si>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</si>
  <si>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</si>
  <si>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</si>
  <si>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</si>
  <si>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</si>
  <si>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</si>
  <si>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</si>
  <si>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</si>
  <si>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</si>
  <si>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</si>
  <si>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</si>
  <si>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</si>
  <si>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</si>
  <si>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</si>
  <si>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</si>
  <si>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</si>
  <si>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</si>
  <si>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</si>
  <si>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</si>
  <si>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</si>
  <si>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</si>
  <si>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</si>
  <si>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</si>
  <si>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</si>
  <si>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</si>
  <si>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</si>
  <si>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</si>
  <si>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</si>
  <si>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</si>
  <si>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</si>
  <si>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</si>
  <si>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</si>
  <si>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</si>
  <si>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</si>
  <si>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</si>
  <si>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</si>
  <si>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</si>
  <si>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</si>
  <si>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</si>
  <si>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</si>
  <si>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</si>
  <si>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</si>
  <si>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</si>
  <si>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</si>
  <si>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</si>
  <si>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</si>
  <si>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</si>
  <si>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</si>
  <si>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</si>
  <si>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</si>
  <si>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</si>
  <si>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</si>
  <si>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</si>
  <si>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</si>
  <si>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</si>
  <si>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</si>
  <si>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</si>
  <si>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</si>
  <si>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</si>
  <si>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</si>
  <si>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</si>
  <si>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</si>
  <si>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</si>
  <si>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</si>
  <si>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</si>
  <si>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</si>
  <si>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</si>
  <si>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</si>
  <si>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</si>
  <si>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</si>
  <si>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</si>
  <si>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</si>
  <si>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</si>
  <si>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</si>
  <si>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</si>
  <si>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</si>
  <si>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</si>
  <si>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</si>
  <si>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</si>
  <si>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</si>
  <si>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</si>
  <si>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</si>
  <si>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</si>
  <si>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</si>
  <si>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</si>
  <si>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</si>
  <si>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</si>
  <si>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</si>
  <si>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</si>
  <si>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</si>
  <si>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</si>
  <si>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</si>
  <si>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</si>
  <si>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</si>
  <si>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</si>
  <si>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</si>
  <si>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</si>
  <si>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</si>
  <si>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</si>
  <si>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</si>
  <si>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</si>
  <si>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</si>
  <si>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</si>
  <si>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</si>
  <si>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</si>
  <si>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</si>
  <si>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</si>
  <si>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</si>
  <si>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</si>
  <si>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</si>
  <si>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</si>
  <si>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</si>
  <si>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</si>
  <si>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</si>
  <si>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</si>
  <si>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</si>
  <si>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</si>
  <si>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</si>
  <si>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</si>
  <si>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</si>
  <si>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</si>
  <si>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</si>
  <si>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</si>
  <si>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</si>
  <si>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</si>
  <si>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</si>
  <si>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</si>
  <si>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</si>
  <si>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</si>
  <si>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</si>
  <si>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</si>
  <si>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</si>
  <si>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</si>
  <si>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</si>
  <si>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</si>
  <si>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</si>
  <si>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</si>
  <si>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</si>
  <si>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</si>
  <si>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</si>
  <si>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</si>
  <si>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</si>
  <si>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</si>
  <si>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</si>
  <si>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</si>
  <si>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</si>
  <si>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</si>
  <si>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</si>
  <si>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</si>
  <si>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</si>
  <si>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</si>
  <si>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</si>
  <si>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</si>
  <si>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</si>
  <si>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</si>
  <si>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</si>
  <si>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</si>
  <si>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</si>
  <si>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</si>
  <si>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</si>
  <si>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</si>
  <si>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</si>
  <si>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</si>
  <si>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</si>
  <si>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</si>
  <si>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</si>
  <si>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</si>
  <si>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</si>
  <si>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</si>
  <si>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</si>
  <si>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</si>
  <si>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</si>
  <si>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</si>
  <si>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</si>
  <si>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</si>
  <si>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</si>
  <si>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</si>
  <si>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</si>
  <si>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</si>
  <si>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</si>
  <si>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</si>
  <si>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</si>
  <si>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</si>
  <si>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</si>
  <si>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</si>
  <si>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</si>
  <si>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</si>
  <si>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</si>
  <si>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</si>
  <si>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</si>
  <si>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</si>
  <si>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</si>
  <si>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</si>
  <si>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</si>
  <si>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</si>
  <si>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</si>
  <si>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</si>
  <si>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</si>
  <si>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</si>
  <si>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</si>
  <si>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</si>
  <si>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</si>
  <si>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</si>
  <si>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</si>
  <si>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</si>
  <si>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</si>
  <si>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</si>
  <si>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</si>
  <si>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</si>
  <si>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</si>
  <si>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</si>
  <si>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</si>
  <si>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</si>
  <si>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</si>
  <si>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</si>
  <si>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</si>
  <si>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</si>
  <si>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</si>
  <si>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</si>
  <si>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</si>
  <si>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</si>
  <si>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</si>
  <si>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</si>
  <si>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</si>
  <si>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</si>
  <si>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</si>
  <si>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</si>
  <si>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</si>
  <si>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</si>
  <si>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</si>
  <si>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</si>
  <si>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</si>
  <si>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</si>
  <si>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</si>
  <si>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</si>
  <si>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</si>
  <si>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</si>
  <si>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</si>
  <si>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</si>
  <si>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</si>
  <si>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</si>
  <si>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</si>
  <si>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</si>
  <si>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</si>
  <si>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</si>
  <si>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</si>
  <si>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</si>
  <si>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</si>
  <si>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</si>
  <si>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</si>
  <si>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</si>
  <si>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</si>
  <si>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</si>
  <si>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</si>
  <si>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</si>
  <si>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</si>
  <si>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</si>
  <si>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</si>
  <si>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</si>
  <si>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</si>
  <si>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</si>
  <si>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</si>
  <si>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</si>
  <si>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</si>
  <si>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</si>
  <si>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</si>
  <si>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</si>
  <si>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</si>
  <si>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</si>
  <si>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</si>
  <si>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</si>
  <si>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</si>
  <si>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</si>
  <si>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</si>
  <si>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</si>
  <si>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</si>
  <si>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</si>
  <si>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</si>
  <si>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</si>
  <si>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</si>
  <si>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</si>
  <si>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</si>
  <si>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</si>
  <si>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</si>
  <si>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</si>
  <si>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</si>
  <si>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</si>
  <si>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</si>
  <si>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</si>
  <si>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</si>
  <si>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</si>
  <si>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</si>
  <si>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</si>
  <si>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</si>
  <si>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</si>
  <si>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</si>
  <si>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</si>
  <si>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</si>
  <si>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</si>
  <si>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</si>
  <si>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</si>
  <si>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</si>
  <si>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</si>
  <si>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</si>
  <si>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</si>
  <si>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</si>
  <si>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</si>
  <si>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</si>
  <si>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</si>
  <si>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</si>
  <si>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</si>
  <si>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</si>
  <si>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</si>
  <si>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</si>
  <si>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</si>
  <si>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</si>
  <si>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</si>
  <si>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</si>
  <si>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</si>
  <si>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</si>
  <si>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</si>
  <si>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</si>
  <si>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</si>
  <si>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</si>
  <si>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</si>
  <si>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</si>
  <si>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</si>
  <si>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</si>
  <si>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</si>
  <si>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</si>
  <si>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</si>
  <si>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</si>
  <si>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</si>
  <si>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</si>
  <si>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</si>
  <si>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</si>
  <si>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</si>
  <si>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</si>
  <si>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</si>
  <si>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</si>
  <si>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</si>
  <si>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</si>
  <si>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</si>
  <si>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</si>
  <si>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</si>
  <si>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</si>
  <si>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</si>
  <si>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</si>
  <si>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</si>
  <si>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</si>
  <si>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</si>
  <si>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</si>
  <si>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</si>
  <si>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</si>
  <si>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</si>
  <si>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</si>
  <si>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</si>
  <si>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</si>
  <si>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</si>
  <si>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</si>
  <si>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</si>
  <si>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</si>
  <si>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</si>
  <si>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</si>
  <si>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</si>
  <si>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</si>
  <si>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</si>
  <si>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</si>
  <si>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</si>
  <si>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</si>
  <si>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</si>
  <si>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</si>
  <si>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</si>
  <si>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</si>
  <si>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</si>
  <si>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</si>
  <si>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</si>
  <si>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</si>
  <si>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</si>
  <si>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</si>
  <si>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</si>
  <si>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</si>
  <si>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</si>
  <si>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</si>
  <si>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</si>
  <si>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</si>
  <si>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</si>
  <si>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</si>
  <si>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</si>
  <si>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</si>
  <si>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</si>
  <si>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</si>
  <si>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</si>
  <si>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</si>
  <si>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</si>
  <si>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</si>
  <si>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</si>
  <si>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</si>
  <si>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</si>
  <si>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</si>
  <si>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</si>
  <si>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</si>
  <si>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</si>
  <si>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</si>
  <si>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</si>
  <si>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</si>
  <si>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</si>
  <si>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</si>
  <si>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</si>
  <si>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</si>
  <si>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</si>
  <si>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</si>
  <si>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</si>
  <si>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</si>
  <si>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</si>
  <si>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</si>
  <si>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</si>
  <si>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</si>
  <si>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</si>
  <si>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</si>
  <si>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</si>
  <si>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</si>
  <si>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</si>
  <si>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</si>
  <si>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</si>
  <si>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</si>
  <si>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</si>
  <si>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</si>
  <si>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</si>
  <si>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</si>
  <si>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</si>
  <si>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</si>
  <si>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</si>
  <si>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</si>
  <si>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</si>
  <si>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</si>
  <si>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</si>
  <si>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</si>
  <si>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</si>
  <si>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</si>
  <si>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</si>
  <si>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</si>
  <si>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</si>
  <si>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</si>
  <si>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</si>
  <si>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</si>
  <si>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</si>
  <si>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</si>
  <si>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</si>
  <si>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</si>
  <si>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</si>
  <si>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</si>
  <si>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</si>
  <si>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</si>
  <si>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</si>
  <si>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</si>
  <si>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</si>
  <si>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</si>
  <si>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</si>
  <si>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</si>
  <si>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</si>
  <si>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</si>
  <si>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</si>
  <si>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</si>
  <si>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</si>
  <si>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</si>
  <si>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</si>
  <si>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</si>
  <si>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</si>
  <si>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</si>
  <si>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</si>
  <si>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</si>
  <si>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</si>
  <si>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</si>
  <si>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</si>
  <si>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</si>
  <si>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</si>
  <si>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</si>
  <si>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</si>
  <si>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</si>
  <si>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</si>
  <si>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</si>
  <si>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</si>
  <si>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</si>
  <si>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</si>
  <si>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</si>
  <si>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</si>
  <si>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</si>
  <si>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</si>
  <si>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</si>
  <si>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</si>
  <si>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</si>
  <si>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</si>
  <si>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</si>
  <si>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</si>
  <si>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</si>
  <si>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</si>
  <si>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</si>
  <si>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</si>
  <si>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</si>
  <si>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</si>
  <si>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</si>
  <si>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</si>
  <si>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</si>
  <si>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</si>
  <si>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</si>
  <si>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</si>
  <si>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</si>
  <si>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</si>
  <si>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</si>
  <si>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</si>
  <si>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</si>
  <si>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</si>
  <si>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</si>
  <si>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</si>
  <si>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</si>
  <si>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</si>
  <si>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</si>
  <si>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</si>
  <si>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</si>
  <si>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</si>
  <si>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</si>
  <si>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</si>
  <si>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</si>
  <si>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</si>
  <si>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</si>
  <si>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</si>
  <si>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</si>
  <si>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</si>
  <si>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</si>
  <si>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</si>
  <si>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</si>
  <si>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</si>
  <si>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</si>
  <si>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</si>
  <si>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</si>
  <si>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</si>
  <si>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</si>
  <si>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</si>
  <si>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</si>
  <si>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</si>
  <si>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</si>
  <si>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</si>
  <si>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</si>
  <si>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</si>
  <si>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</si>
  <si>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</si>
  <si>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</si>
  <si>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</si>
  <si>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</si>
  <si>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</si>
  <si>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</si>
  <si>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</si>
  <si>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</si>
  <si>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</si>
  <si>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</si>
  <si>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</si>
  <si>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</si>
  <si>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</si>
  <si>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</si>
  <si>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</si>
  <si>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</si>
  <si>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</si>
  <si>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</si>
  <si>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</si>
  <si>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</si>
  <si>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</si>
  <si>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</si>
  <si>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</si>
  <si>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</si>
  <si>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</si>
  <si>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</si>
  <si>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</si>
  <si>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</si>
  <si>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</si>
  <si>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</si>
  <si>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</si>
  <si>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</si>
  <si>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</si>
  <si>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</si>
  <si>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</si>
  <si>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</si>
  <si>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</si>
  <si>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</si>
  <si>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</si>
  <si>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</si>
  <si>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</si>
  <si>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</si>
  <si>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</si>
  <si>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</si>
  <si>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</si>
  <si>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</si>
  <si>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</si>
  <si>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</si>
  <si>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</si>
  <si>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</si>
  <si>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</si>
  <si>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</si>
  <si>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</si>
  <si>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</si>
  <si>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</si>
  <si>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</si>
  <si>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</si>
  <si>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</si>
  <si>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</si>
  <si>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</si>
  <si>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</si>
  <si>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</si>
  <si>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</si>
  <si>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</si>
  <si>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</si>
  <si>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</si>
  <si>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</si>
  <si>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</si>
  <si>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</si>
  <si>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</si>
  <si>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</si>
  <si>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</si>
  <si>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</si>
  <si>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</si>
  <si>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</si>
  <si>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</si>
  <si>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</si>
  <si>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</si>
  <si>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</si>
  <si>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</si>
  <si>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</si>
  <si>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</si>
  <si>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</si>
  <si>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</si>
  <si>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</si>
  <si>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</si>
  <si>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</si>
  <si>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</si>
  <si>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</si>
  <si>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</si>
  <si>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</si>
  <si>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</si>
  <si>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</si>
  <si>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</si>
  <si>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</si>
  <si>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</si>
  <si>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</si>
  <si>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</si>
  <si>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</si>
  <si>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</si>
  <si>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</si>
  <si>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</si>
  <si>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</si>
  <si>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</si>
  <si>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</si>
  <si>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</si>
  <si>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</si>
  <si>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</si>
  <si>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</si>
  <si>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</si>
  <si>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</si>
  <si>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</si>
  <si>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</si>
  <si>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</si>
  <si>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</si>
  <si>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</si>
  <si>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</si>
  <si>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</si>
  <si>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</si>
  <si>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</si>
  <si>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</si>
  <si>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</si>
  <si>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</si>
  <si>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</si>
  <si>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</si>
  <si>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</si>
  <si>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</si>
  <si>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</si>
  <si>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</si>
  <si>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</si>
  <si>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</si>
  <si>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</si>
  <si>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</si>
  <si>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</si>
  <si>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</si>
  <si>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</si>
  <si>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</si>
  <si>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</si>
  <si>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</si>
  <si>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</si>
  <si>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</si>
  <si>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</si>
  <si>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</si>
  <si>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</si>
  <si>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</si>
  <si>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</si>
  <si>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</si>
  <si>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</si>
  <si>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</si>
  <si>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</si>
  <si>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</si>
  <si>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</si>
  <si>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</si>
  <si>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</si>
  <si>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</si>
  <si>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</si>
  <si>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</si>
  <si>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</si>
  <si>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</si>
  <si>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</si>
  <si>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</si>
  <si>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</si>
  <si>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</si>
  <si>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</si>
  <si>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</si>
  <si>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</si>
  <si>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</si>
  <si>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</si>
  <si>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</si>
  <si>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</si>
  <si>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</si>
  <si>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</si>
  <si>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</si>
  <si>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</si>
  <si>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</si>
  <si>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</si>
  <si>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</si>
  <si>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</si>
  <si>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</si>
  <si>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</si>
  <si>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</si>
  <si>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</si>
  <si>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</si>
  <si>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</si>
  <si>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</si>
  <si>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</si>
  <si>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</si>
  <si>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</si>
  <si>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</si>
  <si>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</si>
  <si>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</si>
  <si>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</si>
  <si>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</si>
  <si>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</si>
  <si>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</si>
  <si>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</si>
  <si>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</si>
  <si>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</si>
  <si>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</si>
  <si>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</si>
  <si>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</si>
  <si>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</si>
  <si>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</si>
  <si>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</si>
  <si>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</si>
  <si>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</si>
  <si>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</si>
  <si>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</si>
  <si>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</si>
  <si>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</si>
  <si>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</si>
  <si>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</si>
  <si>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</si>
  <si>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</si>
  <si>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</si>
  <si>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</si>
  <si>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</si>
  <si>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</si>
  <si>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</si>
  <si>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</si>
  <si>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</si>
  <si>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</si>
  <si>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</si>
  <si>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</si>
  <si>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</si>
  <si>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</si>
  <si>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</si>
  <si>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</si>
  <si>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</si>
  <si>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</si>
  <si>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</si>
  <si>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</si>
  <si>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</si>
  <si>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</si>
  <si>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</si>
  <si>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</si>
  <si>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</si>
  <si>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</si>
  <si>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</si>
  <si>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</si>
  <si>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</si>
  <si>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</si>
  <si>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</si>
  <si>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</si>
  <si>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</si>
  <si>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</si>
  <si>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</si>
  <si>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</si>
  <si>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</si>
  <si>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</si>
  <si>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</si>
  <si>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</si>
  <si>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</si>
  <si>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</si>
  <si>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</si>
  <si>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</si>
  <si>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</si>
  <si>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</si>
  <si>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</si>
  <si>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</si>
  <si>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</si>
  <si>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</si>
  <si>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</si>
  <si>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</si>
  <si>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</si>
  <si>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</si>
  <si>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</si>
  <si>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</si>
  <si>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</si>
  <si>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</si>
  <si>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</si>
  <si>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</si>
  <si>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</si>
  <si>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</si>
  <si>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</si>
  <si>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</si>
  <si>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</si>
  <si>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</si>
  <si>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</si>
  <si>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</si>
  <si>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</si>
  <si>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</si>
  <si>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</si>
  <si>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</si>
  <si>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</si>
  <si>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</si>
  <si>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</si>
  <si>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</si>
  <si>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</si>
  <si>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</si>
  <si>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</si>
  <si>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</si>
  <si>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</si>
  <si>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</si>
  <si>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</si>
  <si>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</si>
  <si>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</si>
  <si>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</si>
  <si>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</si>
  <si>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</si>
  <si>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</si>
  <si>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</si>
  <si>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</si>
  <si>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</si>
  <si>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</si>
  <si>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</si>
  <si>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</si>
  <si>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</si>
  <si>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</si>
  <si>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</si>
  <si>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</si>
  <si>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</si>
  <si>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</si>
  <si>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</si>
  <si>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</si>
  <si>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</si>
  <si>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</si>
  <si>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</si>
  <si>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</si>
  <si>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</si>
  <si>
    <t>Código DANE</t>
  </si>
  <si>
    <t>filtro</t>
  </si>
  <si>
    <t>SAN JOSÉ DE RÍO</t>
  </si>
  <si>
    <t>17748</t>
  </si>
  <si>
    <t>CODIGO</t>
  </si>
  <si>
    <t>codmpio corregido</t>
  </si>
  <si>
    <t>mpio corregido</t>
  </si>
  <si>
    <t>PUERTO GUZMAN</t>
  </si>
  <si>
    <t>RIO BLANCO</t>
  </si>
  <si>
    <t>SAN JOSE DE FRAGUA</t>
  </si>
  <si>
    <t>SAN JUAN DE URUBA</t>
  </si>
  <si>
    <t>SAN PABLO BORBUN</t>
  </si>
  <si>
    <t>CARMEN DE VIBORAL</t>
  </si>
  <si>
    <t>CARTAGENA DEL CHAI</t>
  </si>
  <si>
    <t>NUEVO COLON</t>
  </si>
  <si>
    <t>SUTATUSA</t>
  </si>
  <si>
    <t>TOTO</t>
  </si>
  <si>
    <t>VALDIVA</t>
  </si>
  <si>
    <t>VALLE GUAMUEZ</t>
  </si>
  <si>
    <t>VECHACHI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</si>
</sst>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5" borderId="0" xfId="0" applyFill="1" applyAlignment="1">
      <alignment vertical="center" wrapText="1"/>
    </xf>
    <xf numFmtId="0" fontId="4" fillId="0" borderId="0" xfId="0" applyFont="1"/>
    <xf numFmtId="0" fontId="0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sheetPr filterMode="1"/>
  <dimension ref="A1:C1123"/>
  <sheetViews>
    <sheetView workbookViewId="0">
      <selection activeCell="B281" sqref="A281:B281"/>
    </sheetView>
  </sheetViews>
  <sheetFormatPr baseColWidth="10" defaultColWidth="10.85546875" defaultRowHeight="15" x14ac:dyDescent="0.25"/>
  <cols>
    <col min="1" max="1" width="19" style="3" customWidth="1"/>
    <col min="2" max="2" width="23.5703125" style="3" customWidth="1"/>
    <col min="3" max="3" width="19" style="3" customWidth="1"/>
  </cols>
  <sheetData>
    <row r="1" spans="1:3" x14ac:dyDescent="0.25">
      <c r="A1" s="1" t="s">
        <v>9</v>
      </c>
      <c r="B1" s="2" t="s">
        <v>10</v>
      </c>
      <c r="C1" s="1" t="s">
        <v>9</v>
      </c>
    </row>
    <row r="2" spans="1:3" hidden="1" x14ac:dyDescent="0.25">
      <c r="A2" s="4" t="s">
        <v>11</v>
      </c>
      <c r="B2" s="5" t="s">
        <v>12</v>
      </c>
      <c r="C2" s="4" t="s">
        <v>11</v>
      </c>
    </row>
    <row r="3" spans="1:3" hidden="1" x14ac:dyDescent="0.25">
      <c r="A3" s="4" t="s">
        <v>13</v>
      </c>
      <c r="B3" s="5" t="s">
        <v>14</v>
      </c>
      <c r="C3" s="4" t="s">
        <v>13</v>
      </c>
    </row>
    <row r="4" spans="1:3" hidden="1" x14ac:dyDescent="0.25">
      <c r="A4" s="4" t="s">
        <v>15</v>
      </c>
      <c r="B4" s="5" t="s">
        <v>16</v>
      </c>
      <c r="C4" s="4" t="s">
        <v>15</v>
      </c>
    </row>
    <row r="5" spans="1:3" hidden="1" x14ac:dyDescent="0.25">
      <c r="A5" s="4" t="s">
        <v>17</v>
      </c>
      <c r="B5" s="5" t="s">
        <v>18</v>
      </c>
      <c r="C5" s="4" t="s">
        <v>17</v>
      </c>
    </row>
    <row r="6" spans="1:3" hidden="1" x14ac:dyDescent="0.25">
      <c r="A6" s="4" t="s">
        <v>19</v>
      </c>
      <c r="B6" s="5" t="s">
        <v>20</v>
      </c>
      <c r="C6" s="4" t="s">
        <v>19</v>
      </c>
    </row>
    <row r="7" spans="1:3" hidden="1" x14ac:dyDescent="0.25">
      <c r="A7" s="4" t="s">
        <v>21</v>
      </c>
      <c r="B7" s="5" t="s">
        <v>22</v>
      </c>
      <c r="C7" s="4" t="s">
        <v>21</v>
      </c>
    </row>
    <row r="8" spans="1:3" hidden="1" x14ac:dyDescent="0.25">
      <c r="A8" s="4" t="s">
        <v>23</v>
      </c>
      <c r="B8" s="5" t="s">
        <v>24</v>
      </c>
      <c r="C8" s="4" t="s">
        <v>23</v>
      </c>
    </row>
    <row r="9" spans="1:3" hidden="1" x14ac:dyDescent="0.25">
      <c r="A9" s="4" t="s">
        <v>25</v>
      </c>
      <c r="B9" s="5" t="s">
        <v>26</v>
      </c>
      <c r="C9" s="4" t="s">
        <v>25</v>
      </c>
    </row>
    <row r="10" spans="1:3" hidden="1" x14ac:dyDescent="0.25">
      <c r="A10" s="4" t="s">
        <v>27</v>
      </c>
      <c r="B10" s="5" t="s">
        <v>28</v>
      </c>
      <c r="C10" s="4" t="s">
        <v>27</v>
      </c>
    </row>
    <row r="11" spans="1:3" hidden="1" x14ac:dyDescent="0.25">
      <c r="A11" s="4" t="s">
        <v>29</v>
      </c>
      <c r="B11" s="5" t="s">
        <v>30</v>
      </c>
      <c r="C11" s="4" t="s">
        <v>29</v>
      </c>
    </row>
    <row r="12" spans="1:3" hidden="1" x14ac:dyDescent="0.25">
      <c r="A12" s="4" t="s">
        <v>31</v>
      </c>
      <c r="B12" s="5" t="s">
        <v>32</v>
      </c>
      <c r="C12" s="4" t="s">
        <v>31</v>
      </c>
    </row>
    <row r="13" spans="1:3" hidden="1" x14ac:dyDescent="0.25">
      <c r="A13" s="4" t="s">
        <v>33</v>
      </c>
      <c r="B13" s="5" t="s">
        <v>34</v>
      </c>
      <c r="C13" s="4" t="s">
        <v>33</v>
      </c>
    </row>
    <row r="14" spans="1:3" hidden="1" x14ac:dyDescent="0.25">
      <c r="A14" s="4" t="s">
        <v>35</v>
      </c>
      <c r="B14" s="5" t="s">
        <v>36</v>
      </c>
      <c r="C14" s="4" t="s">
        <v>35</v>
      </c>
    </row>
    <row r="15" spans="1:3" hidden="1" x14ac:dyDescent="0.25">
      <c r="A15" s="4" t="s">
        <v>37</v>
      </c>
      <c r="B15" s="5" t="s">
        <v>38</v>
      </c>
      <c r="C15" s="4" t="s">
        <v>37</v>
      </c>
    </row>
    <row r="16" spans="1:3" hidden="1" x14ac:dyDescent="0.25">
      <c r="A16" s="4" t="s">
        <v>39</v>
      </c>
      <c r="B16" s="5" t="s">
        <v>40</v>
      </c>
      <c r="C16" s="4" t="s">
        <v>39</v>
      </c>
    </row>
    <row r="17" spans="1:3" hidden="1" x14ac:dyDescent="0.25">
      <c r="A17" s="4" t="s">
        <v>41</v>
      </c>
      <c r="B17" s="5" t="s">
        <v>42</v>
      </c>
      <c r="C17" s="4" t="s">
        <v>41</v>
      </c>
    </row>
    <row r="18" spans="1:3" hidden="1" x14ac:dyDescent="0.25">
      <c r="A18" s="4" t="s">
        <v>43</v>
      </c>
      <c r="B18" s="5" t="s">
        <v>44</v>
      </c>
      <c r="C18" s="4" t="s">
        <v>43</v>
      </c>
    </row>
    <row r="19" spans="1:3" hidden="1" x14ac:dyDescent="0.25">
      <c r="A19" s="4" t="s">
        <v>45</v>
      </c>
      <c r="B19" s="5" t="s">
        <v>46</v>
      </c>
      <c r="C19" s="4" t="s">
        <v>45</v>
      </c>
    </row>
    <row r="20" spans="1:3" hidden="1" x14ac:dyDescent="0.25">
      <c r="A20" s="4" t="s">
        <v>47</v>
      </c>
      <c r="B20" s="5" t="s">
        <v>48</v>
      </c>
      <c r="C20" s="4" t="s">
        <v>47</v>
      </c>
    </row>
    <row r="21" spans="1:3" hidden="1" x14ac:dyDescent="0.25">
      <c r="A21" s="4" t="s">
        <v>49</v>
      </c>
      <c r="B21" s="5" t="s">
        <v>50</v>
      </c>
      <c r="C21" s="4" t="s">
        <v>49</v>
      </c>
    </row>
    <row r="22" spans="1:3" hidden="1" x14ac:dyDescent="0.25">
      <c r="A22" s="4" t="s">
        <v>51</v>
      </c>
      <c r="B22" s="5" t="s">
        <v>52</v>
      </c>
      <c r="C22" s="4" t="s">
        <v>51</v>
      </c>
    </row>
    <row r="23" spans="1:3" hidden="1" x14ac:dyDescent="0.25">
      <c r="A23" s="4" t="s">
        <v>53</v>
      </c>
      <c r="B23" s="5" t="s">
        <v>54</v>
      </c>
      <c r="C23" s="4" t="s">
        <v>53</v>
      </c>
    </row>
    <row r="24" spans="1:3" hidden="1" x14ac:dyDescent="0.25">
      <c r="A24" s="4" t="s">
        <v>55</v>
      </c>
      <c r="B24" s="5" t="s">
        <v>56</v>
      </c>
      <c r="C24" s="4" t="s">
        <v>55</v>
      </c>
    </row>
    <row r="25" spans="1:3" hidden="1" x14ac:dyDescent="0.25">
      <c r="A25" s="4" t="s">
        <v>57</v>
      </c>
      <c r="B25" s="5" t="s">
        <v>58</v>
      </c>
      <c r="C25" s="4" t="s">
        <v>57</v>
      </c>
    </row>
    <row r="26" spans="1:3" hidden="1" x14ac:dyDescent="0.25">
      <c r="A26" s="4" t="s">
        <v>59</v>
      </c>
      <c r="B26" s="5" t="s">
        <v>60</v>
      </c>
      <c r="C26" s="4" t="s">
        <v>59</v>
      </c>
    </row>
    <row r="27" spans="1:3" hidden="1" x14ac:dyDescent="0.25">
      <c r="A27" s="4" t="s">
        <v>61</v>
      </c>
      <c r="B27" s="5" t="s">
        <v>62</v>
      </c>
      <c r="C27" s="4" t="s">
        <v>61</v>
      </c>
    </row>
    <row r="28" spans="1:3" hidden="1" x14ac:dyDescent="0.25">
      <c r="A28" s="4" t="s">
        <v>63</v>
      </c>
      <c r="B28" s="5" t="s">
        <v>64</v>
      </c>
      <c r="C28" s="4" t="s">
        <v>63</v>
      </c>
    </row>
    <row r="29" spans="1:3" hidden="1" x14ac:dyDescent="0.25">
      <c r="A29" s="4" t="s">
        <v>65</v>
      </c>
      <c r="B29" s="5" t="s">
        <v>66</v>
      </c>
      <c r="C29" s="4" t="s">
        <v>65</v>
      </c>
    </row>
    <row r="30" spans="1:3" hidden="1" x14ac:dyDescent="0.25">
      <c r="A30" s="4" t="s">
        <v>67</v>
      </c>
      <c r="B30" s="5" t="s">
        <v>68</v>
      </c>
      <c r="C30" s="4" t="s">
        <v>67</v>
      </c>
    </row>
    <row r="31" spans="1:3" hidden="1" x14ac:dyDescent="0.25">
      <c r="A31" s="4" t="s">
        <v>69</v>
      </c>
      <c r="B31" s="5" t="s">
        <v>70</v>
      </c>
      <c r="C31" s="4" t="s">
        <v>69</v>
      </c>
    </row>
    <row r="32" spans="1:3" hidden="1" x14ac:dyDescent="0.25">
      <c r="A32" s="4" t="s">
        <v>71</v>
      </c>
      <c r="B32" s="5" t="s">
        <v>72</v>
      </c>
      <c r="C32" s="4" t="s">
        <v>71</v>
      </c>
    </row>
    <row r="33" spans="1:3" hidden="1" x14ac:dyDescent="0.25">
      <c r="A33" s="4" t="s">
        <v>73</v>
      </c>
      <c r="B33" s="5" t="s">
        <v>74</v>
      </c>
      <c r="C33" s="4" t="s">
        <v>73</v>
      </c>
    </row>
    <row r="34" spans="1:3" hidden="1" x14ac:dyDescent="0.25">
      <c r="A34" s="4" t="s">
        <v>75</v>
      </c>
      <c r="B34" s="5" t="s">
        <v>76</v>
      </c>
      <c r="C34" s="4" t="s">
        <v>75</v>
      </c>
    </row>
    <row r="35" spans="1:3" hidden="1" x14ac:dyDescent="0.25">
      <c r="A35" s="4" t="s">
        <v>77</v>
      </c>
      <c r="B35" s="5" t="s">
        <v>78</v>
      </c>
      <c r="C35" s="4" t="s">
        <v>77</v>
      </c>
    </row>
    <row r="36" spans="1:3" hidden="1" x14ac:dyDescent="0.25">
      <c r="A36" s="4" t="s">
        <v>79</v>
      </c>
      <c r="B36" s="5" t="s">
        <v>80</v>
      </c>
      <c r="C36" s="4" t="s">
        <v>79</v>
      </c>
    </row>
    <row r="37" spans="1:3" hidden="1" x14ac:dyDescent="0.25">
      <c r="A37" s="4" t="s">
        <v>81</v>
      </c>
      <c r="B37" s="5" t="s">
        <v>82</v>
      </c>
      <c r="C37" s="4" t="s">
        <v>81</v>
      </c>
    </row>
    <row r="38" spans="1:3" hidden="1" x14ac:dyDescent="0.25">
      <c r="A38" s="4" t="s">
        <v>83</v>
      </c>
      <c r="B38" s="5" t="s">
        <v>84</v>
      </c>
      <c r="C38" s="4" t="s">
        <v>83</v>
      </c>
    </row>
    <row r="39" spans="1:3" hidden="1" x14ac:dyDescent="0.25">
      <c r="A39" s="4" t="s">
        <v>85</v>
      </c>
      <c r="B39" s="5" t="s">
        <v>86</v>
      </c>
      <c r="C39" s="4" t="s">
        <v>85</v>
      </c>
    </row>
    <row r="40" spans="1:3" hidden="1" x14ac:dyDescent="0.25">
      <c r="A40" s="4" t="s">
        <v>87</v>
      </c>
      <c r="B40" s="5" t="s">
        <v>88</v>
      </c>
      <c r="C40" s="4" t="s">
        <v>87</v>
      </c>
    </row>
    <row r="41" spans="1:3" hidden="1" x14ac:dyDescent="0.25">
      <c r="A41" s="4" t="s">
        <v>89</v>
      </c>
      <c r="B41" s="5" t="s">
        <v>90</v>
      </c>
      <c r="C41" s="4" t="s">
        <v>89</v>
      </c>
    </row>
    <row r="42" spans="1:3" hidden="1" x14ac:dyDescent="0.25">
      <c r="A42" s="4" t="s">
        <v>91</v>
      </c>
      <c r="B42" s="5" t="s">
        <v>92</v>
      </c>
      <c r="C42" s="4" t="s">
        <v>91</v>
      </c>
    </row>
    <row r="43" spans="1:3" hidden="1" x14ac:dyDescent="0.25">
      <c r="A43" s="4" t="s">
        <v>93</v>
      </c>
      <c r="B43" s="5" t="s">
        <v>94</v>
      </c>
      <c r="C43" s="4" t="s">
        <v>93</v>
      </c>
    </row>
    <row r="44" spans="1:3" hidden="1" x14ac:dyDescent="0.25">
      <c r="A44" s="4" t="s">
        <v>95</v>
      </c>
      <c r="B44" s="5" t="s">
        <v>96</v>
      </c>
      <c r="C44" s="4" t="s">
        <v>95</v>
      </c>
    </row>
    <row r="45" spans="1:3" hidden="1" x14ac:dyDescent="0.25">
      <c r="A45" s="4" t="s">
        <v>97</v>
      </c>
      <c r="B45" s="5" t="s">
        <v>98</v>
      </c>
      <c r="C45" s="4" t="s">
        <v>97</v>
      </c>
    </row>
    <row r="46" spans="1:3" hidden="1" x14ac:dyDescent="0.25">
      <c r="A46" s="4" t="s">
        <v>99</v>
      </c>
      <c r="B46" s="5" t="s">
        <v>100</v>
      </c>
      <c r="C46" s="4" t="s">
        <v>99</v>
      </c>
    </row>
    <row r="47" spans="1:3" hidden="1" x14ac:dyDescent="0.25">
      <c r="A47" s="4" t="s">
        <v>101</v>
      </c>
      <c r="B47" s="5" t="s">
        <v>102</v>
      </c>
      <c r="C47" s="4" t="s">
        <v>101</v>
      </c>
    </row>
    <row r="48" spans="1:3" hidden="1" x14ac:dyDescent="0.25">
      <c r="A48" s="4" t="s">
        <v>103</v>
      </c>
      <c r="B48" s="5" t="s">
        <v>104</v>
      </c>
      <c r="C48" s="4" t="s">
        <v>103</v>
      </c>
    </row>
    <row r="49" spans="1:3" hidden="1" x14ac:dyDescent="0.25">
      <c r="A49" s="4" t="s">
        <v>105</v>
      </c>
      <c r="B49" s="5" t="s">
        <v>106</v>
      </c>
      <c r="C49" s="4" t="s">
        <v>105</v>
      </c>
    </row>
    <row r="50" spans="1:3" hidden="1" x14ac:dyDescent="0.25">
      <c r="A50" s="4" t="s">
        <v>107</v>
      </c>
      <c r="B50" s="5" t="s">
        <v>108</v>
      </c>
      <c r="C50" s="4" t="s">
        <v>107</v>
      </c>
    </row>
    <row r="51" spans="1:3" hidden="1" x14ac:dyDescent="0.25">
      <c r="A51" s="4" t="s">
        <v>109</v>
      </c>
      <c r="B51" s="5" t="s">
        <v>110</v>
      </c>
      <c r="C51" s="4" t="s">
        <v>109</v>
      </c>
    </row>
    <row r="52" spans="1:3" hidden="1" x14ac:dyDescent="0.25">
      <c r="A52" s="4" t="s">
        <v>111</v>
      </c>
      <c r="B52" s="5" t="s">
        <v>112</v>
      </c>
      <c r="C52" s="4" t="s">
        <v>111</v>
      </c>
    </row>
    <row r="53" spans="1:3" hidden="1" x14ac:dyDescent="0.25">
      <c r="A53" s="4" t="s">
        <v>113</v>
      </c>
      <c r="B53" s="5" t="s">
        <v>114</v>
      </c>
      <c r="C53" s="4" t="s">
        <v>113</v>
      </c>
    </row>
    <row r="54" spans="1:3" hidden="1" x14ac:dyDescent="0.25">
      <c r="A54" s="4" t="s">
        <v>115</v>
      </c>
      <c r="B54" s="5" t="s">
        <v>116</v>
      </c>
      <c r="C54" s="4" t="s">
        <v>115</v>
      </c>
    </row>
    <row r="55" spans="1:3" hidden="1" x14ac:dyDescent="0.25">
      <c r="A55" s="4" t="s">
        <v>117</v>
      </c>
      <c r="B55" s="5" t="s">
        <v>118</v>
      </c>
      <c r="C55" s="4" t="s">
        <v>117</v>
      </c>
    </row>
    <row r="56" spans="1:3" hidden="1" x14ac:dyDescent="0.25">
      <c r="A56" s="4" t="s">
        <v>119</v>
      </c>
      <c r="B56" s="5" t="s">
        <v>120</v>
      </c>
      <c r="C56" s="4" t="s">
        <v>119</v>
      </c>
    </row>
    <row r="57" spans="1:3" hidden="1" x14ac:dyDescent="0.25">
      <c r="A57" s="4" t="s">
        <v>121</v>
      </c>
      <c r="B57" s="5" t="s">
        <v>122</v>
      </c>
      <c r="C57" s="4" t="s">
        <v>121</v>
      </c>
    </row>
    <row r="58" spans="1:3" hidden="1" x14ac:dyDescent="0.25">
      <c r="A58" s="4" t="s">
        <v>123</v>
      </c>
      <c r="B58" s="5" t="s">
        <v>124</v>
      </c>
      <c r="C58" s="4" t="s">
        <v>123</v>
      </c>
    </row>
    <row r="59" spans="1:3" hidden="1" x14ac:dyDescent="0.25">
      <c r="A59" s="4" t="s">
        <v>125</v>
      </c>
      <c r="B59" s="5" t="s">
        <v>126</v>
      </c>
      <c r="C59" s="4" t="s">
        <v>125</v>
      </c>
    </row>
    <row r="60" spans="1:3" hidden="1" x14ac:dyDescent="0.25">
      <c r="A60" s="4" t="s">
        <v>127</v>
      </c>
      <c r="B60" s="5" t="s">
        <v>128</v>
      </c>
      <c r="C60" s="4" t="s">
        <v>127</v>
      </c>
    </row>
    <row r="61" spans="1:3" hidden="1" x14ac:dyDescent="0.25">
      <c r="A61" s="4" t="s">
        <v>129</v>
      </c>
      <c r="B61" s="5" t="s">
        <v>130</v>
      </c>
      <c r="C61" s="4" t="s">
        <v>129</v>
      </c>
    </row>
    <row r="62" spans="1:3" hidden="1" x14ac:dyDescent="0.25">
      <c r="A62" s="4" t="s">
        <v>131</v>
      </c>
      <c r="B62" s="5" t="s">
        <v>132</v>
      </c>
      <c r="C62" s="4" t="s">
        <v>131</v>
      </c>
    </row>
    <row r="63" spans="1:3" hidden="1" x14ac:dyDescent="0.25">
      <c r="A63" s="4" t="s">
        <v>133</v>
      </c>
      <c r="B63" s="5" t="s">
        <v>134</v>
      </c>
      <c r="C63" s="4" t="s">
        <v>133</v>
      </c>
    </row>
    <row r="64" spans="1:3" hidden="1" x14ac:dyDescent="0.25">
      <c r="A64" s="4" t="s">
        <v>135</v>
      </c>
      <c r="B64" s="5" t="s">
        <v>136</v>
      </c>
      <c r="C64" s="4" t="s">
        <v>135</v>
      </c>
    </row>
    <row r="65" spans="1:3" hidden="1" x14ac:dyDescent="0.25">
      <c r="A65" s="4" t="s">
        <v>137</v>
      </c>
      <c r="B65" s="5" t="s">
        <v>138</v>
      </c>
      <c r="C65" s="4" t="s">
        <v>137</v>
      </c>
    </row>
    <row r="66" spans="1:3" hidden="1" x14ac:dyDescent="0.25">
      <c r="A66" s="4" t="s">
        <v>139</v>
      </c>
      <c r="B66" s="5" t="s">
        <v>140</v>
      </c>
      <c r="C66" s="4" t="s">
        <v>139</v>
      </c>
    </row>
    <row r="67" spans="1:3" hidden="1" x14ac:dyDescent="0.25">
      <c r="A67" s="4" t="s">
        <v>141</v>
      </c>
      <c r="B67" s="5" t="s">
        <v>142</v>
      </c>
      <c r="C67" s="4" t="s">
        <v>141</v>
      </c>
    </row>
    <row r="68" spans="1:3" hidden="1" x14ac:dyDescent="0.25">
      <c r="A68" s="4" t="s">
        <v>143</v>
      </c>
      <c r="B68" s="5" t="s">
        <v>144</v>
      </c>
      <c r="C68" s="4" t="s">
        <v>143</v>
      </c>
    </row>
    <row r="69" spans="1:3" hidden="1" x14ac:dyDescent="0.25">
      <c r="A69" s="4" t="s">
        <v>145</v>
      </c>
      <c r="B69" s="5" t="s">
        <v>146</v>
      </c>
      <c r="C69" s="4" t="s">
        <v>145</v>
      </c>
    </row>
    <row r="70" spans="1:3" hidden="1" x14ac:dyDescent="0.25">
      <c r="A70" s="4" t="s">
        <v>147</v>
      </c>
      <c r="B70" s="5" t="s">
        <v>148</v>
      </c>
      <c r="C70" s="4" t="s">
        <v>147</v>
      </c>
    </row>
    <row r="71" spans="1:3" hidden="1" x14ac:dyDescent="0.25">
      <c r="A71" s="4" t="s">
        <v>149</v>
      </c>
      <c r="B71" s="5" t="s">
        <v>150</v>
      </c>
      <c r="C71" s="4" t="s">
        <v>149</v>
      </c>
    </row>
    <row r="72" spans="1:3" hidden="1" x14ac:dyDescent="0.25">
      <c r="A72" s="4" t="s">
        <v>151</v>
      </c>
      <c r="B72" s="5" t="s">
        <v>152</v>
      </c>
      <c r="C72" s="4" t="s">
        <v>151</v>
      </c>
    </row>
    <row r="73" spans="1:3" hidden="1" x14ac:dyDescent="0.25">
      <c r="A73" s="4" t="s">
        <v>153</v>
      </c>
      <c r="B73" s="5" t="s">
        <v>154</v>
      </c>
      <c r="C73" s="4" t="s">
        <v>153</v>
      </c>
    </row>
    <row r="74" spans="1:3" hidden="1" x14ac:dyDescent="0.25">
      <c r="A74" s="4" t="s">
        <v>155</v>
      </c>
      <c r="B74" s="5" t="s">
        <v>156</v>
      </c>
      <c r="C74" s="4" t="s">
        <v>155</v>
      </c>
    </row>
    <row r="75" spans="1:3" hidden="1" x14ac:dyDescent="0.25">
      <c r="A75" s="4" t="s">
        <v>157</v>
      </c>
      <c r="B75" s="5" t="s">
        <v>158</v>
      </c>
      <c r="C75" s="4" t="s">
        <v>157</v>
      </c>
    </row>
    <row r="76" spans="1:3" hidden="1" x14ac:dyDescent="0.25">
      <c r="A76" s="4" t="s">
        <v>159</v>
      </c>
      <c r="B76" s="5" t="s">
        <v>160</v>
      </c>
      <c r="C76" s="4" t="s">
        <v>159</v>
      </c>
    </row>
    <row r="77" spans="1:3" hidden="1" x14ac:dyDescent="0.25">
      <c r="A77" s="4" t="s">
        <v>161</v>
      </c>
      <c r="B77" s="5" t="s">
        <v>162</v>
      </c>
      <c r="C77" s="4" t="s">
        <v>161</v>
      </c>
    </row>
    <row r="78" spans="1:3" hidden="1" x14ac:dyDescent="0.25">
      <c r="A78" s="4" t="s">
        <v>163</v>
      </c>
      <c r="B78" s="5" t="s">
        <v>164</v>
      </c>
      <c r="C78" s="4" t="s">
        <v>163</v>
      </c>
    </row>
    <row r="79" spans="1:3" hidden="1" x14ac:dyDescent="0.25">
      <c r="A79" s="4" t="s">
        <v>165</v>
      </c>
      <c r="B79" s="5" t="s">
        <v>166</v>
      </c>
      <c r="C79" s="4" t="s">
        <v>165</v>
      </c>
    </row>
    <row r="80" spans="1:3" hidden="1" x14ac:dyDescent="0.25">
      <c r="A80" s="4" t="s">
        <v>167</v>
      </c>
      <c r="B80" s="5" t="s">
        <v>168</v>
      </c>
      <c r="C80" s="4" t="s">
        <v>167</v>
      </c>
    </row>
    <row r="81" spans="1:3" hidden="1" x14ac:dyDescent="0.25">
      <c r="A81" s="4" t="s">
        <v>169</v>
      </c>
      <c r="B81" s="5" t="s">
        <v>170</v>
      </c>
      <c r="C81" s="4" t="s">
        <v>169</v>
      </c>
    </row>
    <row r="82" spans="1:3" hidden="1" x14ac:dyDescent="0.25">
      <c r="A82" s="4" t="s">
        <v>171</v>
      </c>
      <c r="B82" s="5" t="s">
        <v>172</v>
      </c>
      <c r="C82" s="4" t="s">
        <v>171</v>
      </c>
    </row>
    <row r="83" spans="1:3" hidden="1" x14ac:dyDescent="0.25">
      <c r="A83" s="4" t="s">
        <v>173</v>
      </c>
      <c r="B83" s="5" t="s">
        <v>174</v>
      </c>
      <c r="C83" s="4" t="s">
        <v>173</v>
      </c>
    </row>
    <row r="84" spans="1:3" hidden="1" x14ac:dyDescent="0.25">
      <c r="A84" s="4" t="s">
        <v>175</v>
      </c>
      <c r="B84" s="5" t="s">
        <v>176</v>
      </c>
      <c r="C84" s="4" t="s">
        <v>175</v>
      </c>
    </row>
    <row r="85" spans="1:3" hidden="1" x14ac:dyDescent="0.25">
      <c r="A85" s="4" t="s">
        <v>177</v>
      </c>
      <c r="B85" s="5" t="s">
        <v>178</v>
      </c>
      <c r="C85" s="4" t="s">
        <v>177</v>
      </c>
    </row>
    <row r="86" spans="1:3" hidden="1" x14ac:dyDescent="0.25">
      <c r="A86" s="4" t="s">
        <v>179</v>
      </c>
      <c r="B86" s="5" t="s">
        <v>180</v>
      </c>
      <c r="C86" s="4" t="s">
        <v>179</v>
      </c>
    </row>
    <row r="87" spans="1:3" hidden="1" x14ac:dyDescent="0.25">
      <c r="A87" s="4" t="s">
        <v>181</v>
      </c>
      <c r="B87" s="5" t="s">
        <v>182</v>
      </c>
      <c r="C87" s="4" t="s">
        <v>181</v>
      </c>
    </row>
    <row r="88" spans="1:3" hidden="1" x14ac:dyDescent="0.25">
      <c r="A88" s="4" t="s">
        <v>183</v>
      </c>
      <c r="B88" s="5" t="s">
        <v>184</v>
      </c>
      <c r="C88" s="4" t="s">
        <v>183</v>
      </c>
    </row>
    <row r="89" spans="1:3" hidden="1" x14ac:dyDescent="0.25">
      <c r="A89" s="4" t="s">
        <v>185</v>
      </c>
      <c r="B89" s="5" t="s">
        <v>186</v>
      </c>
      <c r="C89" s="4" t="s">
        <v>185</v>
      </c>
    </row>
    <row r="90" spans="1:3" hidden="1" x14ac:dyDescent="0.25">
      <c r="A90" s="4" t="s">
        <v>187</v>
      </c>
      <c r="B90" s="5" t="s">
        <v>188</v>
      </c>
      <c r="C90" s="4" t="s">
        <v>187</v>
      </c>
    </row>
    <row r="91" spans="1:3" hidden="1" x14ac:dyDescent="0.25">
      <c r="A91" s="4" t="s">
        <v>189</v>
      </c>
      <c r="B91" s="5" t="s">
        <v>190</v>
      </c>
      <c r="C91" s="4" t="s">
        <v>189</v>
      </c>
    </row>
    <row r="92" spans="1:3" hidden="1" x14ac:dyDescent="0.25">
      <c r="A92" s="4" t="s">
        <v>191</v>
      </c>
      <c r="B92" s="5" t="s">
        <v>192</v>
      </c>
      <c r="C92" s="4" t="s">
        <v>191</v>
      </c>
    </row>
    <row r="93" spans="1:3" hidden="1" x14ac:dyDescent="0.25">
      <c r="A93" s="4" t="s">
        <v>193</v>
      </c>
      <c r="B93" s="5" t="s">
        <v>194</v>
      </c>
      <c r="C93" s="4" t="s">
        <v>193</v>
      </c>
    </row>
    <row r="94" spans="1:3" hidden="1" x14ac:dyDescent="0.25">
      <c r="A94" s="4" t="s">
        <v>195</v>
      </c>
      <c r="B94" s="5" t="s">
        <v>196</v>
      </c>
      <c r="C94" s="4" t="s">
        <v>195</v>
      </c>
    </row>
    <row r="95" spans="1:3" hidden="1" x14ac:dyDescent="0.25">
      <c r="A95" s="4" t="s">
        <v>197</v>
      </c>
      <c r="B95" s="5" t="s">
        <v>198</v>
      </c>
      <c r="C95" s="4" t="s">
        <v>197</v>
      </c>
    </row>
    <row r="96" spans="1:3" hidden="1" x14ac:dyDescent="0.25">
      <c r="A96" s="4" t="s">
        <v>199</v>
      </c>
      <c r="B96" s="5" t="s">
        <v>200</v>
      </c>
      <c r="C96" s="4" t="s">
        <v>199</v>
      </c>
    </row>
    <row r="97" spans="1:3" hidden="1" x14ac:dyDescent="0.25">
      <c r="A97" s="4" t="s">
        <v>201</v>
      </c>
      <c r="B97" s="5" t="s">
        <v>202</v>
      </c>
      <c r="C97" s="4" t="s">
        <v>201</v>
      </c>
    </row>
    <row r="98" spans="1:3" hidden="1" x14ac:dyDescent="0.25">
      <c r="A98" s="4" t="s">
        <v>203</v>
      </c>
      <c r="B98" s="5" t="s">
        <v>204</v>
      </c>
      <c r="C98" s="4" t="s">
        <v>203</v>
      </c>
    </row>
    <row r="99" spans="1:3" hidden="1" x14ac:dyDescent="0.25">
      <c r="A99" s="4" t="s">
        <v>205</v>
      </c>
      <c r="B99" s="5" t="s">
        <v>206</v>
      </c>
      <c r="C99" s="4" t="s">
        <v>205</v>
      </c>
    </row>
    <row r="100" spans="1:3" hidden="1" x14ac:dyDescent="0.25">
      <c r="A100" s="4" t="s">
        <v>207</v>
      </c>
      <c r="B100" s="5" t="s">
        <v>208</v>
      </c>
      <c r="C100" s="4" t="s">
        <v>207</v>
      </c>
    </row>
    <row r="101" spans="1:3" hidden="1" x14ac:dyDescent="0.25">
      <c r="A101" s="4" t="s">
        <v>209</v>
      </c>
      <c r="B101" s="5" t="s">
        <v>210</v>
      </c>
      <c r="C101" s="4" t="s">
        <v>209</v>
      </c>
    </row>
    <row r="102" spans="1:3" hidden="1" x14ac:dyDescent="0.25">
      <c r="A102" s="4" t="s">
        <v>211</v>
      </c>
      <c r="B102" s="5" t="s">
        <v>212</v>
      </c>
      <c r="C102" s="4" t="s">
        <v>211</v>
      </c>
    </row>
    <row r="103" spans="1:3" hidden="1" x14ac:dyDescent="0.25">
      <c r="A103" s="4" t="s">
        <v>213</v>
      </c>
      <c r="B103" s="5" t="s">
        <v>214</v>
      </c>
      <c r="C103" s="4" t="s">
        <v>213</v>
      </c>
    </row>
    <row r="104" spans="1:3" hidden="1" x14ac:dyDescent="0.25">
      <c r="A104" s="4" t="s">
        <v>215</v>
      </c>
      <c r="B104" s="5" t="s">
        <v>216</v>
      </c>
      <c r="C104" s="4" t="s">
        <v>215</v>
      </c>
    </row>
    <row r="105" spans="1:3" hidden="1" x14ac:dyDescent="0.25">
      <c r="A105" s="4" t="s">
        <v>217</v>
      </c>
      <c r="B105" s="5" t="s">
        <v>218</v>
      </c>
      <c r="C105" s="4" t="s">
        <v>217</v>
      </c>
    </row>
    <row r="106" spans="1:3" hidden="1" x14ac:dyDescent="0.25">
      <c r="A106" s="4" t="s">
        <v>219</v>
      </c>
      <c r="B106" s="5" t="s">
        <v>220</v>
      </c>
      <c r="C106" s="4" t="s">
        <v>219</v>
      </c>
    </row>
    <row r="107" spans="1:3" hidden="1" x14ac:dyDescent="0.25">
      <c r="A107" s="4" t="s">
        <v>221</v>
      </c>
      <c r="B107" s="5" t="s">
        <v>222</v>
      </c>
      <c r="C107" s="4" t="s">
        <v>221</v>
      </c>
    </row>
    <row r="108" spans="1:3" hidden="1" x14ac:dyDescent="0.25">
      <c r="A108" s="4" t="s">
        <v>223</v>
      </c>
      <c r="B108" s="5" t="s">
        <v>224</v>
      </c>
      <c r="C108" s="4" t="s">
        <v>223</v>
      </c>
    </row>
    <row r="109" spans="1:3" hidden="1" x14ac:dyDescent="0.25">
      <c r="A109" s="4" t="s">
        <v>225</v>
      </c>
      <c r="B109" s="5" t="s">
        <v>226</v>
      </c>
      <c r="C109" s="4" t="s">
        <v>225</v>
      </c>
    </row>
    <row r="110" spans="1:3" hidden="1" x14ac:dyDescent="0.25">
      <c r="A110" s="4" t="s">
        <v>227</v>
      </c>
      <c r="B110" s="5" t="s">
        <v>228</v>
      </c>
      <c r="C110" s="4" t="s">
        <v>227</v>
      </c>
    </row>
    <row r="111" spans="1:3" hidden="1" x14ac:dyDescent="0.25">
      <c r="A111" s="4" t="s">
        <v>229</v>
      </c>
      <c r="B111" s="5" t="s">
        <v>230</v>
      </c>
      <c r="C111" s="4" t="s">
        <v>229</v>
      </c>
    </row>
    <row r="112" spans="1:3" hidden="1" x14ac:dyDescent="0.25">
      <c r="A112" s="4" t="s">
        <v>231</v>
      </c>
      <c r="B112" s="5" t="s">
        <v>232</v>
      </c>
      <c r="C112" s="4" t="s">
        <v>231</v>
      </c>
    </row>
    <row r="113" spans="1:3" hidden="1" x14ac:dyDescent="0.25">
      <c r="A113" s="4" t="s">
        <v>233</v>
      </c>
      <c r="B113" s="5" t="s">
        <v>234</v>
      </c>
      <c r="C113" s="4" t="s">
        <v>233</v>
      </c>
    </row>
    <row r="114" spans="1:3" hidden="1" x14ac:dyDescent="0.25">
      <c r="A114" s="4" t="s">
        <v>235</v>
      </c>
      <c r="B114" s="5" t="s">
        <v>236</v>
      </c>
      <c r="C114" s="4" t="s">
        <v>235</v>
      </c>
    </row>
    <row r="115" spans="1:3" hidden="1" x14ac:dyDescent="0.25">
      <c r="A115" s="4" t="s">
        <v>237</v>
      </c>
      <c r="B115" s="5" t="s">
        <v>238</v>
      </c>
      <c r="C115" s="4" t="s">
        <v>237</v>
      </c>
    </row>
    <row r="116" spans="1:3" hidden="1" x14ac:dyDescent="0.25">
      <c r="A116" s="4" t="s">
        <v>239</v>
      </c>
      <c r="B116" s="5" t="s">
        <v>240</v>
      </c>
      <c r="C116" s="4" t="s">
        <v>239</v>
      </c>
    </row>
    <row r="117" spans="1:3" hidden="1" x14ac:dyDescent="0.25">
      <c r="A117" s="4" t="s">
        <v>241</v>
      </c>
      <c r="B117" s="5" t="s">
        <v>242</v>
      </c>
      <c r="C117" s="4" t="s">
        <v>241</v>
      </c>
    </row>
    <row r="118" spans="1:3" hidden="1" x14ac:dyDescent="0.25">
      <c r="A118" s="4" t="s">
        <v>243</v>
      </c>
      <c r="B118" s="5" t="s">
        <v>244</v>
      </c>
      <c r="C118" s="4" t="s">
        <v>243</v>
      </c>
    </row>
    <row r="119" spans="1:3" hidden="1" x14ac:dyDescent="0.25">
      <c r="A119" s="4" t="s">
        <v>245</v>
      </c>
      <c r="B119" s="5" t="s">
        <v>246</v>
      </c>
      <c r="C119" s="4" t="s">
        <v>245</v>
      </c>
    </row>
    <row r="120" spans="1:3" hidden="1" x14ac:dyDescent="0.25">
      <c r="A120" s="4" t="s">
        <v>247</v>
      </c>
      <c r="B120" s="5" t="s">
        <v>248</v>
      </c>
      <c r="C120" s="4" t="s">
        <v>247</v>
      </c>
    </row>
    <row r="121" spans="1:3" hidden="1" x14ac:dyDescent="0.25">
      <c r="A121" s="4" t="s">
        <v>249</v>
      </c>
      <c r="B121" s="5" t="s">
        <v>250</v>
      </c>
      <c r="C121" s="4" t="s">
        <v>249</v>
      </c>
    </row>
    <row r="122" spans="1:3" hidden="1" x14ac:dyDescent="0.25">
      <c r="A122" s="4" t="s">
        <v>251</v>
      </c>
      <c r="B122" s="5" t="s">
        <v>252</v>
      </c>
      <c r="C122" s="4" t="s">
        <v>251</v>
      </c>
    </row>
    <row r="123" spans="1:3" hidden="1" x14ac:dyDescent="0.25">
      <c r="A123" s="4" t="s">
        <v>253</v>
      </c>
      <c r="B123" s="5" t="s">
        <v>254</v>
      </c>
      <c r="C123" s="4" t="s">
        <v>253</v>
      </c>
    </row>
    <row r="124" spans="1:3" hidden="1" x14ac:dyDescent="0.25">
      <c r="A124" s="4" t="s">
        <v>255</v>
      </c>
      <c r="B124" s="5" t="s">
        <v>256</v>
      </c>
      <c r="C124" s="4" t="s">
        <v>255</v>
      </c>
    </row>
    <row r="125" spans="1:3" hidden="1" x14ac:dyDescent="0.25">
      <c r="A125" s="4" t="s">
        <v>257</v>
      </c>
      <c r="B125" s="5" t="s">
        <v>258</v>
      </c>
      <c r="C125" s="4" t="s">
        <v>257</v>
      </c>
    </row>
    <row r="126" spans="1:3" hidden="1" x14ac:dyDescent="0.25">
      <c r="A126" s="4" t="s">
        <v>259</v>
      </c>
      <c r="B126" s="5" t="s">
        <v>260</v>
      </c>
      <c r="C126" s="4" t="s">
        <v>259</v>
      </c>
    </row>
    <row r="127" spans="1:3" hidden="1" x14ac:dyDescent="0.25">
      <c r="A127" s="4" t="s">
        <v>261</v>
      </c>
      <c r="B127" s="5" t="s">
        <v>262</v>
      </c>
      <c r="C127" s="4" t="s">
        <v>261</v>
      </c>
    </row>
    <row r="128" spans="1:3" hidden="1" x14ac:dyDescent="0.25">
      <c r="A128" s="4" t="s">
        <v>263</v>
      </c>
      <c r="B128" s="5" t="s">
        <v>264</v>
      </c>
      <c r="C128" s="4" t="s">
        <v>263</v>
      </c>
    </row>
    <row r="129" spans="1:3" hidden="1" x14ac:dyDescent="0.25">
      <c r="A129" s="4" t="s">
        <v>265</v>
      </c>
      <c r="B129" s="5" t="s">
        <v>266</v>
      </c>
      <c r="C129" s="4" t="s">
        <v>265</v>
      </c>
    </row>
    <row r="130" spans="1:3" hidden="1" x14ac:dyDescent="0.25">
      <c r="A130" s="4" t="s">
        <v>267</v>
      </c>
      <c r="B130" s="5" t="s">
        <v>268</v>
      </c>
      <c r="C130" s="4" t="s">
        <v>267</v>
      </c>
    </row>
    <row r="131" spans="1:3" hidden="1" x14ac:dyDescent="0.25">
      <c r="A131" s="4" t="s">
        <v>269</v>
      </c>
      <c r="B131" s="5" t="s">
        <v>270</v>
      </c>
      <c r="C131" s="4" t="s">
        <v>269</v>
      </c>
    </row>
    <row r="132" spans="1:3" hidden="1" x14ac:dyDescent="0.25">
      <c r="A132" s="4" t="s">
        <v>271</v>
      </c>
      <c r="B132" s="5" t="s">
        <v>272</v>
      </c>
      <c r="C132" s="4" t="s">
        <v>271</v>
      </c>
    </row>
    <row r="133" spans="1:3" hidden="1" x14ac:dyDescent="0.25">
      <c r="A133" s="4" t="s">
        <v>273</v>
      </c>
      <c r="B133" s="5" t="s">
        <v>274</v>
      </c>
      <c r="C133" s="4" t="s">
        <v>273</v>
      </c>
    </row>
    <row r="134" spans="1:3" hidden="1" x14ac:dyDescent="0.25">
      <c r="A134" s="4" t="s">
        <v>275</v>
      </c>
      <c r="B134" s="5" t="s">
        <v>276</v>
      </c>
      <c r="C134" s="4" t="s">
        <v>275</v>
      </c>
    </row>
    <row r="135" spans="1:3" hidden="1" x14ac:dyDescent="0.25">
      <c r="A135" s="4" t="s">
        <v>277</v>
      </c>
      <c r="B135" s="5" t="s">
        <v>278</v>
      </c>
      <c r="C135" s="4" t="s">
        <v>277</v>
      </c>
    </row>
    <row r="136" spans="1:3" hidden="1" x14ac:dyDescent="0.25">
      <c r="A136" s="4" t="s">
        <v>279</v>
      </c>
      <c r="B136" s="5" t="s">
        <v>280</v>
      </c>
      <c r="C136" s="4" t="s">
        <v>279</v>
      </c>
    </row>
    <row r="137" spans="1:3" hidden="1" x14ac:dyDescent="0.25">
      <c r="A137" s="4" t="s">
        <v>281</v>
      </c>
      <c r="B137" s="5" t="s">
        <v>282</v>
      </c>
      <c r="C137" s="4" t="s">
        <v>281</v>
      </c>
    </row>
    <row r="138" spans="1:3" hidden="1" x14ac:dyDescent="0.25">
      <c r="A138" s="4" t="s">
        <v>283</v>
      </c>
      <c r="B138" s="5" t="s">
        <v>284</v>
      </c>
      <c r="C138" s="4" t="s">
        <v>283</v>
      </c>
    </row>
    <row r="139" spans="1:3" hidden="1" x14ac:dyDescent="0.25">
      <c r="A139" s="4" t="s">
        <v>285</v>
      </c>
      <c r="B139" s="5" t="s">
        <v>286</v>
      </c>
      <c r="C139" s="4" t="s">
        <v>285</v>
      </c>
    </row>
    <row r="140" spans="1:3" hidden="1" x14ac:dyDescent="0.25">
      <c r="A140" s="4" t="s">
        <v>287</v>
      </c>
      <c r="B140" s="5" t="s">
        <v>288</v>
      </c>
      <c r="C140" s="4" t="s">
        <v>287</v>
      </c>
    </row>
    <row r="141" spans="1:3" hidden="1" x14ac:dyDescent="0.25">
      <c r="A141" s="4" t="s">
        <v>289</v>
      </c>
      <c r="B141" s="5" t="s">
        <v>290</v>
      </c>
      <c r="C141" s="4" t="s">
        <v>289</v>
      </c>
    </row>
    <row r="142" spans="1:3" hidden="1" x14ac:dyDescent="0.25">
      <c r="A142" s="4" t="s">
        <v>291</v>
      </c>
      <c r="B142" s="5" t="s">
        <v>292</v>
      </c>
      <c r="C142" s="4" t="s">
        <v>291</v>
      </c>
    </row>
    <row r="143" spans="1:3" hidden="1" x14ac:dyDescent="0.25">
      <c r="A143" s="4" t="s">
        <v>293</v>
      </c>
      <c r="B143" s="5" t="s">
        <v>182</v>
      </c>
      <c r="C143" s="4" t="s">
        <v>293</v>
      </c>
    </row>
    <row r="144" spans="1:3" hidden="1" x14ac:dyDescent="0.25">
      <c r="A144" s="4" t="s">
        <v>294</v>
      </c>
      <c r="B144" s="5" t="s">
        <v>295</v>
      </c>
      <c r="C144" s="4" t="s">
        <v>294</v>
      </c>
    </row>
    <row r="145" spans="1:3" hidden="1" x14ac:dyDescent="0.25">
      <c r="A145" s="4" t="s">
        <v>296</v>
      </c>
      <c r="B145" s="5" t="s">
        <v>297</v>
      </c>
      <c r="C145" s="4" t="s">
        <v>296</v>
      </c>
    </row>
    <row r="146" spans="1:3" hidden="1" x14ac:dyDescent="0.25">
      <c r="A146" s="4" t="s">
        <v>298</v>
      </c>
      <c r="B146" s="5" t="s">
        <v>299</v>
      </c>
      <c r="C146" s="4" t="s">
        <v>298</v>
      </c>
    </row>
    <row r="147" spans="1:3" hidden="1" x14ac:dyDescent="0.25">
      <c r="A147" s="4" t="s">
        <v>300</v>
      </c>
      <c r="B147" s="5" t="s">
        <v>301</v>
      </c>
      <c r="C147" s="4" t="s">
        <v>300</v>
      </c>
    </row>
    <row r="148" spans="1:3" hidden="1" x14ac:dyDescent="0.25">
      <c r="A148" s="4" t="s">
        <v>302</v>
      </c>
      <c r="B148" s="5" t="s">
        <v>303</v>
      </c>
      <c r="C148" s="4" t="s">
        <v>302</v>
      </c>
    </row>
    <row r="149" spans="1:3" hidden="1" x14ac:dyDescent="0.25">
      <c r="A149" s="4" t="s">
        <v>304</v>
      </c>
      <c r="B149" s="5" t="s">
        <v>305</v>
      </c>
      <c r="C149" s="4" t="s">
        <v>304</v>
      </c>
    </row>
    <row r="150" spans="1:3" hidden="1" x14ac:dyDescent="0.25">
      <c r="A150" s="4" t="s">
        <v>306</v>
      </c>
      <c r="B150" s="5" t="s">
        <v>307</v>
      </c>
      <c r="C150" s="4" t="s">
        <v>306</v>
      </c>
    </row>
    <row r="151" spans="1:3" hidden="1" x14ac:dyDescent="0.25">
      <c r="A151" s="4" t="s">
        <v>308</v>
      </c>
      <c r="B151" s="5" t="s">
        <v>309</v>
      </c>
      <c r="C151" s="4" t="s">
        <v>308</v>
      </c>
    </row>
    <row r="152" spans="1:3" hidden="1" x14ac:dyDescent="0.25">
      <c r="A152" s="4" t="s">
        <v>310</v>
      </c>
      <c r="B152" s="5" t="s">
        <v>311</v>
      </c>
      <c r="C152" s="4" t="s">
        <v>310</v>
      </c>
    </row>
    <row r="153" spans="1:3" hidden="1" x14ac:dyDescent="0.25">
      <c r="A153" s="4" t="s">
        <v>312</v>
      </c>
      <c r="B153" s="5" t="s">
        <v>313</v>
      </c>
      <c r="C153" s="4" t="s">
        <v>312</v>
      </c>
    </row>
    <row r="154" spans="1:3" hidden="1" x14ac:dyDescent="0.25">
      <c r="A154" s="4" t="s">
        <v>314</v>
      </c>
      <c r="B154" s="5" t="s">
        <v>315</v>
      </c>
      <c r="C154" s="4" t="s">
        <v>314</v>
      </c>
    </row>
    <row r="155" spans="1:3" hidden="1" x14ac:dyDescent="0.25">
      <c r="A155" s="4" t="s">
        <v>316</v>
      </c>
      <c r="B155" s="5" t="s">
        <v>317</v>
      </c>
      <c r="C155" s="4" t="s">
        <v>316</v>
      </c>
    </row>
    <row r="156" spans="1:3" hidden="1" x14ac:dyDescent="0.25">
      <c r="A156" s="4" t="s">
        <v>318</v>
      </c>
      <c r="B156" s="5" t="s">
        <v>319</v>
      </c>
      <c r="C156" s="4" t="s">
        <v>318</v>
      </c>
    </row>
    <row r="157" spans="1:3" hidden="1" x14ac:dyDescent="0.25">
      <c r="A157" s="4" t="s">
        <v>320</v>
      </c>
      <c r="B157" s="5" t="s">
        <v>321</v>
      </c>
      <c r="C157" s="4" t="s">
        <v>320</v>
      </c>
    </row>
    <row r="158" spans="1:3" hidden="1" x14ac:dyDescent="0.25">
      <c r="A158" s="4" t="s">
        <v>322</v>
      </c>
      <c r="B158" s="5" t="s">
        <v>323</v>
      </c>
      <c r="C158" s="4" t="s">
        <v>322</v>
      </c>
    </row>
    <row r="159" spans="1:3" hidden="1" x14ac:dyDescent="0.25">
      <c r="A159" s="4" t="s">
        <v>324</v>
      </c>
      <c r="B159" s="5" t="s">
        <v>325</v>
      </c>
      <c r="C159" s="4" t="s">
        <v>324</v>
      </c>
    </row>
    <row r="160" spans="1:3" hidden="1" x14ac:dyDescent="0.25">
      <c r="A160" s="4" t="s">
        <v>326</v>
      </c>
      <c r="B160" s="5" t="s">
        <v>327</v>
      </c>
      <c r="C160" s="4" t="s">
        <v>326</v>
      </c>
    </row>
    <row r="161" spans="1:3" hidden="1" x14ac:dyDescent="0.25">
      <c r="A161" s="4" t="s">
        <v>328</v>
      </c>
      <c r="B161" s="5" t="s">
        <v>329</v>
      </c>
      <c r="C161" s="4" t="s">
        <v>328</v>
      </c>
    </row>
    <row r="162" spans="1:3" hidden="1" x14ac:dyDescent="0.25">
      <c r="A162" s="4" t="s">
        <v>330</v>
      </c>
      <c r="B162" s="5" t="s">
        <v>331</v>
      </c>
      <c r="C162" s="4" t="s">
        <v>330</v>
      </c>
    </row>
    <row r="163" spans="1:3" hidden="1" x14ac:dyDescent="0.25">
      <c r="A163" s="4" t="s">
        <v>332</v>
      </c>
      <c r="B163" s="5" t="s">
        <v>333</v>
      </c>
      <c r="C163" s="4" t="s">
        <v>332</v>
      </c>
    </row>
    <row r="164" spans="1:3" hidden="1" x14ac:dyDescent="0.25">
      <c r="A164" s="4" t="s">
        <v>334</v>
      </c>
      <c r="B164" s="5" t="s">
        <v>335</v>
      </c>
      <c r="C164" s="4" t="s">
        <v>334</v>
      </c>
    </row>
    <row r="165" spans="1:3" hidden="1" x14ac:dyDescent="0.25">
      <c r="A165" s="4" t="s">
        <v>336</v>
      </c>
      <c r="B165" s="5" t="s">
        <v>337</v>
      </c>
      <c r="C165" s="4" t="s">
        <v>336</v>
      </c>
    </row>
    <row r="166" spans="1:3" hidden="1" x14ac:dyDescent="0.25">
      <c r="A166" s="4" t="s">
        <v>338</v>
      </c>
      <c r="B166" s="5" t="s">
        <v>339</v>
      </c>
      <c r="C166" s="4" t="s">
        <v>338</v>
      </c>
    </row>
    <row r="167" spans="1:3" hidden="1" x14ac:dyDescent="0.25">
      <c r="A167" s="4" t="s">
        <v>340</v>
      </c>
      <c r="B167" s="5" t="s">
        <v>341</v>
      </c>
      <c r="C167" s="4" t="s">
        <v>340</v>
      </c>
    </row>
    <row r="168" spans="1:3" hidden="1" x14ac:dyDescent="0.25">
      <c r="A168" s="4" t="s">
        <v>342</v>
      </c>
      <c r="B168" s="5" t="s">
        <v>343</v>
      </c>
      <c r="C168" s="4" t="s">
        <v>342</v>
      </c>
    </row>
    <row r="169" spans="1:3" hidden="1" x14ac:dyDescent="0.25">
      <c r="A169" s="4" t="s">
        <v>344</v>
      </c>
      <c r="B169" s="5" t="s">
        <v>345</v>
      </c>
      <c r="C169" s="4" t="s">
        <v>344</v>
      </c>
    </row>
    <row r="170" spans="1:3" hidden="1" x14ac:dyDescent="0.25">
      <c r="A170" s="4" t="s">
        <v>346</v>
      </c>
      <c r="B170" s="5" t="s">
        <v>347</v>
      </c>
      <c r="C170" s="4" t="s">
        <v>346</v>
      </c>
    </row>
    <row r="171" spans="1:3" hidden="1" x14ac:dyDescent="0.25">
      <c r="A171" s="4" t="s">
        <v>348</v>
      </c>
      <c r="B171" s="5" t="s">
        <v>349</v>
      </c>
      <c r="C171" s="4" t="s">
        <v>348</v>
      </c>
    </row>
    <row r="172" spans="1:3" hidden="1" x14ac:dyDescent="0.25">
      <c r="A172" s="4" t="s">
        <v>350</v>
      </c>
      <c r="B172" s="5" t="s">
        <v>351</v>
      </c>
      <c r="C172" s="4" t="s">
        <v>350</v>
      </c>
    </row>
    <row r="173" spans="1:3" hidden="1" x14ac:dyDescent="0.25">
      <c r="A173" s="4" t="s">
        <v>352</v>
      </c>
      <c r="B173" s="5" t="s">
        <v>353</v>
      </c>
      <c r="C173" s="4" t="s">
        <v>352</v>
      </c>
    </row>
    <row r="174" spans="1:3" hidden="1" x14ac:dyDescent="0.25">
      <c r="A174" s="4" t="s">
        <v>354</v>
      </c>
      <c r="B174" s="5" t="s">
        <v>355</v>
      </c>
      <c r="C174" s="4" t="s">
        <v>354</v>
      </c>
    </row>
    <row r="175" spans="1:3" hidden="1" x14ac:dyDescent="0.25">
      <c r="A175" s="4" t="s">
        <v>356</v>
      </c>
      <c r="B175" s="5" t="s">
        <v>357</v>
      </c>
      <c r="C175" s="4" t="s">
        <v>356</v>
      </c>
    </row>
    <row r="176" spans="1:3" hidden="1" x14ac:dyDescent="0.25">
      <c r="A176" s="4" t="s">
        <v>358</v>
      </c>
      <c r="B176" s="5" t="s">
        <v>359</v>
      </c>
      <c r="C176" s="4" t="s">
        <v>358</v>
      </c>
    </row>
    <row r="177" spans="1:3" hidden="1" x14ac:dyDescent="0.25">
      <c r="A177" s="4" t="s">
        <v>360</v>
      </c>
      <c r="B177" s="5" t="s">
        <v>361</v>
      </c>
      <c r="C177" s="4" t="s">
        <v>360</v>
      </c>
    </row>
    <row r="178" spans="1:3" hidden="1" x14ac:dyDescent="0.25">
      <c r="A178" s="4" t="s">
        <v>362</v>
      </c>
      <c r="B178" s="5" t="s">
        <v>363</v>
      </c>
      <c r="C178" s="4" t="s">
        <v>362</v>
      </c>
    </row>
    <row r="179" spans="1:3" hidden="1" x14ac:dyDescent="0.25">
      <c r="A179" s="4" t="s">
        <v>364</v>
      </c>
      <c r="B179" s="5" t="s">
        <v>365</v>
      </c>
      <c r="C179" s="4" t="s">
        <v>364</v>
      </c>
    </row>
    <row r="180" spans="1:3" hidden="1" x14ac:dyDescent="0.25">
      <c r="A180" s="4" t="s">
        <v>366</v>
      </c>
      <c r="B180" s="5" t="s">
        <v>367</v>
      </c>
      <c r="C180" s="4" t="s">
        <v>366</v>
      </c>
    </row>
    <row r="181" spans="1:3" hidden="1" x14ac:dyDescent="0.25">
      <c r="A181" s="4" t="s">
        <v>368</v>
      </c>
      <c r="B181" s="5" t="s">
        <v>369</v>
      </c>
      <c r="C181" s="4" t="s">
        <v>368</v>
      </c>
    </row>
    <row r="182" spans="1:3" hidden="1" x14ac:dyDescent="0.25">
      <c r="A182" s="4" t="s">
        <v>370</v>
      </c>
      <c r="B182" s="5" t="s">
        <v>371</v>
      </c>
      <c r="C182" s="4" t="s">
        <v>370</v>
      </c>
    </row>
    <row r="183" spans="1:3" hidden="1" x14ac:dyDescent="0.25">
      <c r="A183" s="4" t="s">
        <v>372</v>
      </c>
      <c r="B183" s="5" t="s">
        <v>373</v>
      </c>
      <c r="C183" s="4" t="s">
        <v>372</v>
      </c>
    </row>
    <row r="184" spans="1:3" hidden="1" x14ac:dyDescent="0.25">
      <c r="A184" s="4" t="s">
        <v>374</v>
      </c>
      <c r="B184" s="5" t="s">
        <v>375</v>
      </c>
      <c r="C184" s="4" t="s">
        <v>374</v>
      </c>
    </row>
    <row r="185" spans="1:3" hidden="1" x14ac:dyDescent="0.25">
      <c r="A185" s="4" t="s">
        <v>376</v>
      </c>
      <c r="B185" s="5" t="s">
        <v>377</v>
      </c>
      <c r="C185" s="4" t="s">
        <v>376</v>
      </c>
    </row>
    <row r="186" spans="1:3" hidden="1" x14ac:dyDescent="0.25">
      <c r="A186" s="4" t="s">
        <v>378</v>
      </c>
      <c r="B186" s="5" t="s">
        <v>379</v>
      </c>
      <c r="C186" s="4" t="s">
        <v>378</v>
      </c>
    </row>
    <row r="187" spans="1:3" hidden="1" x14ac:dyDescent="0.25">
      <c r="A187" s="4" t="s">
        <v>380</v>
      </c>
      <c r="B187" s="5" t="s">
        <v>381</v>
      </c>
      <c r="C187" s="4" t="s">
        <v>380</v>
      </c>
    </row>
    <row r="188" spans="1:3" hidden="1" x14ac:dyDescent="0.25">
      <c r="A188" s="4" t="s">
        <v>382</v>
      </c>
      <c r="B188" s="5" t="s">
        <v>383</v>
      </c>
      <c r="C188" s="4" t="s">
        <v>382</v>
      </c>
    </row>
    <row r="189" spans="1:3" hidden="1" x14ac:dyDescent="0.25">
      <c r="A189" s="4" t="s">
        <v>384</v>
      </c>
      <c r="B189" s="5" t="s">
        <v>385</v>
      </c>
      <c r="C189" s="4" t="s">
        <v>384</v>
      </c>
    </row>
    <row r="190" spans="1:3" hidden="1" x14ac:dyDescent="0.25">
      <c r="A190" s="4" t="s">
        <v>386</v>
      </c>
      <c r="B190" s="5" t="s">
        <v>387</v>
      </c>
      <c r="C190" s="4" t="s">
        <v>386</v>
      </c>
    </row>
    <row r="191" spans="1:3" hidden="1" x14ac:dyDescent="0.25">
      <c r="A191" s="4" t="s">
        <v>388</v>
      </c>
      <c r="B191" s="5" t="s">
        <v>389</v>
      </c>
      <c r="C191" s="4" t="s">
        <v>388</v>
      </c>
    </row>
    <row r="192" spans="1:3" hidden="1" x14ac:dyDescent="0.25">
      <c r="A192" s="4" t="s">
        <v>390</v>
      </c>
      <c r="B192" s="5" t="s">
        <v>391</v>
      </c>
      <c r="C192" s="4" t="s">
        <v>390</v>
      </c>
    </row>
    <row r="193" spans="1:3" hidden="1" x14ac:dyDescent="0.25">
      <c r="A193" s="4" t="s">
        <v>392</v>
      </c>
      <c r="B193" s="5" t="s">
        <v>393</v>
      </c>
      <c r="C193" s="4" t="s">
        <v>392</v>
      </c>
    </row>
    <row r="194" spans="1:3" hidden="1" x14ac:dyDescent="0.25">
      <c r="A194" s="4" t="s">
        <v>394</v>
      </c>
      <c r="B194" s="5" t="s">
        <v>395</v>
      </c>
      <c r="C194" s="4" t="s">
        <v>394</v>
      </c>
    </row>
    <row r="195" spans="1:3" hidden="1" x14ac:dyDescent="0.25">
      <c r="A195" s="4" t="s">
        <v>396</v>
      </c>
      <c r="B195" s="5" t="s">
        <v>397</v>
      </c>
      <c r="C195" s="4" t="s">
        <v>396</v>
      </c>
    </row>
    <row r="196" spans="1:3" hidden="1" x14ac:dyDescent="0.25">
      <c r="A196" s="4" t="s">
        <v>398</v>
      </c>
      <c r="B196" s="5" t="s">
        <v>399</v>
      </c>
      <c r="C196" s="4" t="s">
        <v>398</v>
      </c>
    </row>
    <row r="197" spans="1:3" hidden="1" x14ac:dyDescent="0.25">
      <c r="A197" s="4" t="s">
        <v>400</v>
      </c>
      <c r="B197" s="5" t="s">
        <v>401</v>
      </c>
      <c r="C197" s="4" t="s">
        <v>400</v>
      </c>
    </row>
    <row r="198" spans="1:3" hidden="1" x14ac:dyDescent="0.25">
      <c r="A198" s="4" t="s">
        <v>402</v>
      </c>
      <c r="B198" s="5" t="s">
        <v>403</v>
      </c>
      <c r="C198" s="4" t="s">
        <v>402</v>
      </c>
    </row>
    <row r="199" spans="1:3" hidden="1" x14ac:dyDescent="0.25">
      <c r="A199" s="4" t="s">
        <v>404</v>
      </c>
      <c r="B199" s="5" t="s">
        <v>405</v>
      </c>
      <c r="C199" s="4" t="s">
        <v>404</v>
      </c>
    </row>
    <row r="200" spans="1:3" hidden="1" x14ac:dyDescent="0.25">
      <c r="A200" s="4" t="s">
        <v>406</v>
      </c>
      <c r="B200" s="5" t="s">
        <v>407</v>
      </c>
      <c r="C200" s="4" t="s">
        <v>406</v>
      </c>
    </row>
    <row r="201" spans="1:3" hidden="1" x14ac:dyDescent="0.25">
      <c r="A201" s="4" t="s">
        <v>408</v>
      </c>
      <c r="B201" s="5" t="s">
        <v>409</v>
      </c>
      <c r="C201" s="4" t="s">
        <v>408</v>
      </c>
    </row>
    <row r="202" spans="1:3" hidden="1" x14ac:dyDescent="0.25">
      <c r="A202" s="4" t="s">
        <v>410</v>
      </c>
      <c r="B202" s="5" t="s">
        <v>411</v>
      </c>
      <c r="C202" s="4" t="s">
        <v>410</v>
      </c>
    </row>
    <row r="203" spans="1:3" hidden="1" x14ac:dyDescent="0.25">
      <c r="A203" s="4" t="s">
        <v>412</v>
      </c>
      <c r="B203" s="5" t="s">
        <v>413</v>
      </c>
      <c r="C203" s="4" t="s">
        <v>412</v>
      </c>
    </row>
    <row r="204" spans="1:3" hidden="1" x14ac:dyDescent="0.25">
      <c r="A204" s="4" t="s">
        <v>414</v>
      </c>
      <c r="B204" s="5" t="s">
        <v>415</v>
      </c>
      <c r="C204" s="4" t="s">
        <v>414</v>
      </c>
    </row>
    <row r="205" spans="1:3" hidden="1" x14ac:dyDescent="0.25">
      <c r="A205" s="4" t="s">
        <v>416</v>
      </c>
      <c r="B205" s="5" t="s">
        <v>417</v>
      </c>
      <c r="C205" s="4" t="s">
        <v>416</v>
      </c>
    </row>
    <row r="206" spans="1:3" hidden="1" x14ac:dyDescent="0.25">
      <c r="A206" s="4" t="s">
        <v>418</v>
      </c>
      <c r="B206" s="5" t="s">
        <v>56</v>
      </c>
      <c r="C206" s="4" t="s">
        <v>418</v>
      </c>
    </row>
    <row r="207" spans="1:3" hidden="1" x14ac:dyDescent="0.25">
      <c r="A207" s="4" t="s">
        <v>419</v>
      </c>
      <c r="B207" s="5" t="s">
        <v>420</v>
      </c>
      <c r="C207" s="4" t="s">
        <v>419</v>
      </c>
    </row>
    <row r="208" spans="1:3" hidden="1" x14ac:dyDescent="0.25">
      <c r="A208" s="4" t="s">
        <v>421</v>
      </c>
      <c r="B208" s="5" t="s">
        <v>422</v>
      </c>
      <c r="C208" s="4" t="s">
        <v>421</v>
      </c>
    </row>
    <row r="209" spans="1:3" hidden="1" x14ac:dyDescent="0.25">
      <c r="A209" s="4" t="s">
        <v>423</v>
      </c>
      <c r="B209" s="5" t="s">
        <v>64</v>
      </c>
      <c r="C209" s="4" t="s">
        <v>423</v>
      </c>
    </row>
    <row r="210" spans="1:3" hidden="1" x14ac:dyDescent="0.25">
      <c r="A210" s="4" t="s">
        <v>424</v>
      </c>
      <c r="B210" s="5" t="s">
        <v>425</v>
      </c>
      <c r="C210" s="4" t="s">
        <v>424</v>
      </c>
    </row>
    <row r="211" spans="1:3" hidden="1" x14ac:dyDescent="0.25">
      <c r="A211" s="4" t="s">
        <v>426</v>
      </c>
      <c r="B211" s="5" t="s">
        <v>427</v>
      </c>
      <c r="C211" s="4" t="s">
        <v>426</v>
      </c>
    </row>
    <row r="212" spans="1:3" hidden="1" x14ac:dyDescent="0.25">
      <c r="A212" s="4" t="s">
        <v>428</v>
      </c>
      <c r="B212" s="5" t="s">
        <v>429</v>
      </c>
      <c r="C212" s="4" t="s">
        <v>428</v>
      </c>
    </row>
    <row r="213" spans="1:3" hidden="1" x14ac:dyDescent="0.25">
      <c r="A213" s="4" t="s">
        <v>430</v>
      </c>
      <c r="B213" s="5" t="s">
        <v>431</v>
      </c>
      <c r="C213" s="4" t="s">
        <v>430</v>
      </c>
    </row>
    <row r="214" spans="1:3" hidden="1" x14ac:dyDescent="0.25">
      <c r="A214" s="4" t="s">
        <v>432</v>
      </c>
      <c r="B214" s="5" t="s">
        <v>433</v>
      </c>
      <c r="C214" s="4" t="s">
        <v>432</v>
      </c>
    </row>
    <row r="215" spans="1:3" hidden="1" x14ac:dyDescent="0.25">
      <c r="A215" s="4" t="s">
        <v>434</v>
      </c>
      <c r="B215" s="5" t="s">
        <v>435</v>
      </c>
      <c r="C215" s="4" t="s">
        <v>434</v>
      </c>
    </row>
    <row r="216" spans="1:3" hidden="1" x14ac:dyDescent="0.25">
      <c r="A216" s="4" t="s">
        <v>436</v>
      </c>
      <c r="B216" s="5" t="s">
        <v>437</v>
      </c>
      <c r="C216" s="4" t="s">
        <v>436</v>
      </c>
    </row>
    <row r="217" spans="1:3" hidden="1" x14ac:dyDescent="0.25">
      <c r="A217" s="4" t="s">
        <v>438</v>
      </c>
      <c r="B217" s="5" t="s">
        <v>439</v>
      </c>
      <c r="C217" s="4" t="s">
        <v>438</v>
      </c>
    </row>
    <row r="218" spans="1:3" hidden="1" x14ac:dyDescent="0.25">
      <c r="A218" s="4" t="s">
        <v>440</v>
      </c>
      <c r="B218" s="5" t="s">
        <v>441</v>
      </c>
      <c r="C218" s="4" t="s">
        <v>440</v>
      </c>
    </row>
    <row r="219" spans="1:3" hidden="1" x14ac:dyDescent="0.25">
      <c r="A219" s="4" t="s">
        <v>442</v>
      </c>
      <c r="B219" s="5" t="s">
        <v>443</v>
      </c>
      <c r="C219" s="4" t="s">
        <v>442</v>
      </c>
    </row>
    <row r="220" spans="1:3" hidden="1" x14ac:dyDescent="0.25">
      <c r="A220" s="4" t="s">
        <v>444</v>
      </c>
      <c r="B220" s="5" t="s">
        <v>445</v>
      </c>
      <c r="C220" s="4" t="s">
        <v>444</v>
      </c>
    </row>
    <row r="221" spans="1:3" hidden="1" x14ac:dyDescent="0.25">
      <c r="A221" s="4" t="s">
        <v>446</v>
      </c>
      <c r="B221" s="5" t="s">
        <v>447</v>
      </c>
      <c r="C221" s="4" t="s">
        <v>446</v>
      </c>
    </row>
    <row r="222" spans="1:3" hidden="1" x14ac:dyDescent="0.25">
      <c r="A222" s="4" t="s">
        <v>448</v>
      </c>
      <c r="B222" s="5" t="s">
        <v>449</v>
      </c>
      <c r="C222" s="4" t="s">
        <v>448</v>
      </c>
    </row>
    <row r="223" spans="1:3" hidden="1" x14ac:dyDescent="0.25">
      <c r="A223" s="4" t="s">
        <v>450</v>
      </c>
      <c r="B223" s="5" t="s">
        <v>451</v>
      </c>
      <c r="C223" s="4" t="s">
        <v>450</v>
      </c>
    </row>
    <row r="224" spans="1:3" hidden="1" x14ac:dyDescent="0.25">
      <c r="A224" s="4" t="s">
        <v>452</v>
      </c>
      <c r="B224" s="5" t="s">
        <v>453</v>
      </c>
      <c r="C224" s="4" t="s">
        <v>452</v>
      </c>
    </row>
    <row r="225" spans="1:3" hidden="1" x14ac:dyDescent="0.25">
      <c r="A225" s="4" t="s">
        <v>454</v>
      </c>
      <c r="B225" s="5" t="s">
        <v>455</v>
      </c>
      <c r="C225" s="4" t="s">
        <v>454</v>
      </c>
    </row>
    <row r="226" spans="1:3" hidden="1" x14ac:dyDescent="0.25">
      <c r="A226" s="4" t="s">
        <v>456</v>
      </c>
      <c r="B226" s="5" t="s">
        <v>457</v>
      </c>
      <c r="C226" s="4" t="s">
        <v>456</v>
      </c>
    </row>
    <row r="227" spans="1:3" hidden="1" x14ac:dyDescent="0.25">
      <c r="A227" s="4" t="s">
        <v>458</v>
      </c>
      <c r="B227" s="5" t="s">
        <v>459</v>
      </c>
      <c r="C227" s="4" t="s">
        <v>458</v>
      </c>
    </row>
    <row r="228" spans="1:3" hidden="1" x14ac:dyDescent="0.25">
      <c r="A228" s="4" t="s">
        <v>460</v>
      </c>
      <c r="B228" s="5" t="s">
        <v>461</v>
      </c>
      <c r="C228" s="4" t="s">
        <v>460</v>
      </c>
    </row>
    <row r="229" spans="1:3" hidden="1" x14ac:dyDescent="0.25">
      <c r="A229" s="4" t="s">
        <v>462</v>
      </c>
      <c r="B229" s="5" t="s">
        <v>463</v>
      </c>
      <c r="C229" s="4" t="s">
        <v>462</v>
      </c>
    </row>
    <row r="230" spans="1:3" hidden="1" x14ac:dyDescent="0.25">
      <c r="A230" s="4" t="s">
        <v>464</v>
      </c>
      <c r="B230" s="5" t="s">
        <v>465</v>
      </c>
      <c r="C230" s="4" t="s">
        <v>464</v>
      </c>
    </row>
    <row r="231" spans="1:3" hidden="1" x14ac:dyDescent="0.25">
      <c r="A231" s="4" t="s">
        <v>466</v>
      </c>
      <c r="B231" s="5" t="s">
        <v>467</v>
      </c>
      <c r="C231" s="4" t="s">
        <v>466</v>
      </c>
    </row>
    <row r="232" spans="1:3" hidden="1" x14ac:dyDescent="0.25">
      <c r="A232" s="4" t="s">
        <v>468</v>
      </c>
      <c r="B232" s="5" t="s">
        <v>469</v>
      </c>
      <c r="C232" s="4" t="s">
        <v>468</v>
      </c>
    </row>
    <row r="233" spans="1:3" hidden="1" x14ac:dyDescent="0.25">
      <c r="A233" s="4" t="s">
        <v>470</v>
      </c>
      <c r="B233" s="5" t="s">
        <v>471</v>
      </c>
      <c r="C233" s="4" t="s">
        <v>470</v>
      </c>
    </row>
    <row r="234" spans="1:3" hidden="1" x14ac:dyDescent="0.25">
      <c r="A234" s="4" t="s">
        <v>472</v>
      </c>
      <c r="B234" s="5" t="s">
        <v>473</v>
      </c>
      <c r="C234" s="4" t="s">
        <v>472</v>
      </c>
    </row>
    <row r="235" spans="1:3" hidden="1" x14ac:dyDescent="0.25">
      <c r="A235" s="4" t="s">
        <v>474</v>
      </c>
      <c r="B235" s="5" t="s">
        <v>475</v>
      </c>
      <c r="C235" s="4" t="s">
        <v>474</v>
      </c>
    </row>
    <row r="236" spans="1:3" hidden="1" x14ac:dyDescent="0.25">
      <c r="A236" s="4" t="s">
        <v>476</v>
      </c>
      <c r="B236" s="5" t="s">
        <v>477</v>
      </c>
      <c r="C236" s="4" t="s">
        <v>476</v>
      </c>
    </row>
    <row r="237" spans="1:3" hidden="1" x14ac:dyDescent="0.25">
      <c r="A237" s="4" t="s">
        <v>478</v>
      </c>
      <c r="B237" s="5" t="s">
        <v>479</v>
      </c>
      <c r="C237" s="4" t="s">
        <v>478</v>
      </c>
    </row>
    <row r="238" spans="1:3" hidden="1" x14ac:dyDescent="0.25">
      <c r="A238" s="4" t="s">
        <v>480</v>
      </c>
      <c r="B238" s="5" t="s">
        <v>481</v>
      </c>
      <c r="C238" s="4" t="s">
        <v>480</v>
      </c>
    </row>
    <row r="239" spans="1:3" hidden="1" x14ac:dyDescent="0.25">
      <c r="A239" s="4" t="s">
        <v>482</v>
      </c>
      <c r="B239" s="5" t="s">
        <v>483</v>
      </c>
      <c r="C239" s="4" t="s">
        <v>482</v>
      </c>
    </row>
    <row r="240" spans="1:3" hidden="1" x14ac:dyDescent="0.25">
      <c r="A240" s="4" t="s">
        <v>484</v>
      </c>
      <c r="B240" s="5" t="s">
        <v>485</v>
      </c>
      <c r="C240" s="4" t="s">
        <v>484</v>
      </c>
    </row>
    <row r="241" spans="1:3" hidden="1" x14ac:dyDescent="0.25">
      <c r="A241" s="4" t="s">
        <v>486</v>
      </c>
      <c r="B241" s="5" t="s">
        <v>487</v>
      </c>
      <c r="C241" s="4" t="s">
        <v>486</v>
      </c>
    </row>
    <row r="242" spans="1:3" hidden="1" x14ac:dyDescent="0.25">
      <c r="A242" s="4" t="s">
        <v>488</v>
      </c>
      <c r="B242" s="5" t="s">
        <v>134</v>
      </c>
      <c r="C242" s="4" t="s">
        <v>488</v>
      </c>
    </row>
    <row r="243" spans="1:3" hidden="1" x14ac:dyDescent="0.25">
      <c r="A243" s="4" t="s">
        <v>489</v>
      </c>
      <c r="B243" s="5" t="s">
        <v>490</v>
      </c>
      <c r="C243" s="4" t="s">
        <v>489</v>
      </c>
    </row>
    <row r="244" spans="1:3" hidden="1" x14ac:dyDescent="0.25">
      <c r="A244" s="4" t="s">
        <v>491</v>
      </c>
      <c r="B244" s="5" t="s">
        <v>492</v>
      </c>
      <c r="C244" s="4" t="s">
        <v>491</v>
      </c>
    </row>
    <row r="245" spans="1:3" hidden="1" x14ac:dyDescent="0.25">
      <c r="A245" s="4" t="s">
        <v>493</v>
      </c>
      <c r="B245" s="5" t="s">
        <v>494</v>
      </c>
      <c r="C245" s="4" t="s">
        <v>493</v>
      </c>
    </row>
    <row r="246" spans="1:3" hidden="1" x14ac:dyDescent="0.25">
      <c r="A246" s="4" t="s">
        <v>495</v>
      </c>
      <c r="B246" s="5" t="s">
        <v>496</v>
      </c>
      <c r="C246" s="4" t="s">
        <v>495</v>
      </c>
    </row>
    <row r="247" spans="1:3" hidden="1" x14ac:dyDescent="0.25">
      <c r="A247" s="4" t="s">
        <v>497</v>
      </c>
      <c r="B247" s="5" t="s">
        <v>498</v>
      </c>
      <c r="C247" s="4" t="s">
        <v>497</v>
      </c>
    </row>
    <row r="248" spans="1:3" hidden="1" x14ac:dyDescent="0.25">
      <c r="A248" s="4" t="s">
        <v>499</v>
      </c>
      <c r="B248" s="5" t="s">
        <v>500</v>
      </c>
      <c r="C248" s="4" t="s">
        <v>499</v>
      </c>
    </row>
    <row r="249" spans="1:3" hidden="1" x14ac:dyDescent="0.25">
      <c r="A249" s="4" t="s">
        <v>501</v>
      </c>
      <c r="B249" s="5" t="s">
        <v>502</v>
      </c>
      <c r="C249" s="4" t="s">
        <v>501</v>
      </c>
    </row>
    <row r="250" spans="1:3" hidden="1" x14ac:dyDescent="0.25">
      <c r="A250" s="4" t="s">
        <v>503</v>
      </c>
      <c r="B250" s="5" t="s">
        <v>504</v>
      </c>
      <c r="C250" s="4" t="s">
        <v>503</v>
      </c>
    </row>
    <row r="251" spans="1:3" hidden="1" x14ac:dyDescent="0.25">
      <c r="A251" s="4" t="s">
        <v>505</v>
      </c>
      <c r="B251" s="5" t="s">
        <v>506</v>
      </c>
      <c r="C251" s="4" t="s">
        <v>505</v>
      </c>
    </row>
    <row r="252" spans="1:3" hidden="1" x14ac:dyDescent="0.25">
      <c r="A252" s="4" t="s">
        <v>507</v>
      </c>
      <c r="B252" s="5" t="s">
        <v>508</v>
      </c>
      <c r="C252" s="4" t="s">
        <v>507</v>
      </c>
    </row>
    <row r="253" spans="1:3" hidden="1" x14ac:dyDescent="0.25">
      <c r="A253" s="4" t="s">
        <v>509</v>
      </c>
      <c r="B253" s="5" t="s">
        <v>510</v>
      </c>
      <c r="C253" s="4" t="s">
        <v>509</v>
      </c>
    </row>
    <row r="254" spans="1:3" hidden="1" x14ac:dyDescent="0.25">
      <c r="A254" s="4" t="s">
        <v>511</v>
      </c>
      <c r="B254" s="5" t="s">
        <v>512</v>
      </c>
      <c r="C254" s="4" t="s">
        <v>511</v>
      </c>
    </row>
    <row r="255" spans="1:3" hidden="1" x14ac:dyDescent="0.25">
      <c r="A255" s="4" t="s">
        <v>513</v>
      </c>
      <c r="B255" s="5" t="s">
        <v>514</v>
      </c>
      <c r="C255" s="4" t="s">
        <v>513</v>
      </c>
    </row>
    <row r="256" spans="1:3" hidden="1" x14ac:dyDescent="0.25">
      <c r="A256" s="4" t="s">
        <v>515</v>
      </c>
      <c r="B256" s="5" t="s">
        <v>516</v>
      </c>
      <c r="C256" s="4" t="s">
        <v>515</v>
      </c>
    </row>
    <row r="257" spans="1:3" hidden="1" x14ac:dyDescent="0.25">
      <c r="A257" s="4" t="s">
        <v>517</v>
      </c>
      <c r="B257" s="5" t="s">
        <v>518</v>
      </c>
      <c r="C257" s="4" t="s">
        <v>517</v>
      </c>
    </row>
    <row r="258" spans="1:3" hidden="1" x14ac:dyDescent="0.25">
      <c r="A258" s="4" t="s">
        <v>519</v>
      </c>
      <c r="B258" s="5" t="s">
        <v>520</v>
      </c>
      <c r="C258" s="4" t="s">
        <v>519</v>
      </c>
    </row>
    <row r="259" spans="1:3" hidden="1" x14ac:dyDescent="0.25">
      <c r="A259" s="4" t="s">
        <v>521</v>
      </c>
      <c r="B259" s="5" t="s">
        <v>522</v>
      </c>
      <c r="C259" s="4" t="s">
        <v>521</v>
      </c>
    </row>
    <row r="260" spans="1:3" hidden="1" x14ac:dyDescent="0.25">
      <c r="A260" s="4" t="s">
        <v>523</v>
      </c>
      <c r="B260" s="5" t="s">
        <v>524</v>
      </c>
      <c r="C260" s="4" t="s">
        <v>523</v>
      </c>
    </row>
    <row r="261" spans="1:3" hidden="1" x14ac:dyDescent="0.25">
      <c r="A261" s="4" t="s">
        <v>525</v>
      </c>
      <c r="B261" s="5" t="s">
        <v>526</v>
      </c>
      <c r="C261" s="4" t="s">
        <v>525</v>
      </c>
    </row>
    <row r="262" spans="1:3" hidden="1" x14ac:dyDescent="0.25">
      <c r="A262" s="4" t="s">
        <v>527</v>
      </c>
      <c r="B262" s="5" t="s">
        <v>528</v>
      </c>
      <c r="C262" s="4" t="s">
        <v>527</v>
      </c>
    </row>
    <row r="263" spans="1:3" hidden="1" x14ac:dyDescent="0.25">
      <c r="A263" s="4" t="s">
        <v>529</v>
      </c>
      <c r="B263" s="5" t="s">
        <v>530</v>
      </c>
      <c r="C263" s="4" t="s">
        <v>529</v>
      </c>
    </row>
    <row r="264" spans="1:3" hidden="1" x14ac:dyDescent="0.25">
      <c r="A264" s="4" t="s">
        <v>531</v>
      </c>
      <c r="B264" s="5" t="s">
        <v>532</v>
      </c>
      <c r="C264" s="4" t="s">
        <v>531</v>
      </c>
    </row>
    <row r="265" spans="1:3" hidden="1" x14ac:dyDescent="0.25">
      <c r="A265" s="4" t="s">
        <v>533</v>
      </c>
      <c r="B265" s="5" t="s">
        <v>534</v>
      </c>
      <c r="C265" s="4" t="s">
        <v>533</v>
      </c>
    </row>
    <row r="266" spans="1:3" hidden="1" x14ac:dyDescent="0.25">
      <c r="A266" s="4" t="s">
        <v>535</v>
      </c>
      <c r="B266" s="5" t="s">
        <v>536</v>
      </c>
      <c r="C266" s="4" t="s">
        <v>535</v>
      </c>
    </row>
    <row r="267" spans="1:3" hidden="1" x14ac:dyDescent="0.25">
      <c r="A267" s="4" t="s">
        <v>537</v>
      </c>
      <c r="B267" s="5" t="s">
        <v>538</v>
      </c>
      <c r="C267" s="4" t="s">
        <v>537</v>
      </c>
    </row>
    <row r="268" spans="1:3" hidden="1" x14ac:dyDescent="0.25">
      <c r="A268" s="4" t="s">
        <v>539</v>
      </c>
      <c r="B268" s="5" t="s">
        <v>540</v>
      </c>
      <c r="C268" s="4" t="s">
        <v>539</v>
      </c>
    </row>
    <row r="269" spans="1:3" hidden="1" x14ac:dyDescent="0.25">
      <c r="A269" s="4" t="s">
        <v>541</v>
      </c>
      <c r="B269" s="5" t="s">
        <v>542</v>
      </c>
      <c r="C269" s="4" t="s">
        <v>541</v>
      </c>
    </row>
    <row r="270" spans="1:3" hidden="1" x14ac:dyDescent="0.25">
      <c r="A270" s="4" t="s">
        <v>543</v>
      </c>
      <c r="B270" s="5" t="s">
        <v>544</v>
      </c>
      <c r="C270" s="4" t="s">
        <v>543</v>
      </c>
    </row>
    <row r="271" spans="1:3" hidden="1" x14ac:dyDescent="0.25">
      <c r="A271" s="4" t="s">
        <v>545</v>
      </c>
      <c r="B271" s="5" t="s">
        <v>546</v>
      </c>
      <c r="C271" s="4" t="s">
        <v>545</v>
      </c>
    </row>
    <row r="272" spans="1:3" hidden="1" x14ac:dyDescent="0.25">
      <c r="A272" s="4" t="s">
        <v>547</v>
      </c>
      <c r="B272" s="5" t="s">
        <v>548</v>
      </c>
      <c r="C272" s="4" t="s">
        <v>547</v>
      </c>
    </row>
    <row r="273" spans="1:3" hidden="1" x14ac:dyDescent="0.25">
      <c r="A273" s="4" t="s">
        <v>549</v>
      </c>
      <c r="B273" s="5" t="s">
        <v>550</v>
      </c>
      <c r="C273" s="4" t="s">
        <v>549</v>
      </c>
    </row>
    <row r="274" spans="1:3" hidden="1" x14ac:dyDescent="0.25">
      <c r="A274" s="4" t="s">
        <v>551</v>
      </c>
      <c r="B274" s="5" t="s">
        <v>552</v>
      </c>
      <c r="C274" s="4" t="s">
        <v>551</v>
      </c>
    </row>
    <row r="275" spans="1:3" hidden="1" x14ac:dyDescent="0.25">
      <c r="A275" s="4" t="s">
        <v>553</v>
      </c>
      <c r="B275" s="5" t="s">
        <v>554</v>
      </c>
      <c r="C275" s="4" t="s">
        <v>553</v>
      </c>
    </row>
    <row r="276" spans="1:3" hidden="1" x14ac:dyDescent="0.25">
      <c r="A276" s="4" t="s">
        <v>555</v>
      </c>
      <c r="B276" s="5" t="s">
        <v>556</v>
      </c>
      <c r="C276" s="4" t="s">
        <v>555</v>
      </c>
    </row>
    <row r="277" spans="1:3" hidden="1" x14ac:dyDescent="0.25">
      <c r="A277" s="4" t="s">
        <v>557</v>
      </c>
      <c r="B277" s="5" t="s">
        <v>558</v>
      </c>
      <c r="C277" s="4" t="s">
        <v>557</v>
      </c>
    </row>
    <row r="278" spans="1:3" hidden="1" x14ac:dyDescent="0.25">
      <c r="A278" s="4" t="s">
        <v>559</v>
      </c>
      <c r="B278" s="5" t="s">
        <v>560</v>
      </c>
      <c r="C278" s="4" t="s">
        <v>559</v>
      </c>
    </row>
    <row r="279" spans="1:3" hidden="1" x14ac:dyDescent="0.25">
      <c r="A279" s="4" t="s">
        <v>561</v>
      </c>
      <c r="B279" s="5" t="s">
        <v>562</v>
      </c>
      <c r="C279" s="4" t="s">
        <v>561</v>
      </c>
    </row>
    <row r="280" spans="1:3" hidden="1" x14ac:dyDescent="0.25">
      <c r="A280" s="4" t="s">
        <v>563</v>
      </c>
      <c r="B280" s="5" t="s">
        <v>564</v>
      </c>
      <c r="C280" s="4" t="s">
        <v>563</v>
      </c>
    </row>
    <row r="281" spans="1:3" x14ac:dyDescent="0.25">
      <c r="A281" s="4" t="s">
        <v>565</v>
      </c>
      <c r="B281" s="5" t="s">
        <v>566</v>
      </c>
      <c r="C281" s="4" t="s">
        <v>565</v>
      </c>
    </row>
    <row r="282" spans="1:3" hidden="1" x14ac:dyDescent="0.25">
      <c r="A282" s="4" t="s">
        <v>567</v>
      </c>
      <c r="B282" s="5" t="s">
        <v>568</v>
      </c>
      <c r="C282" s="4" t="s">
        <v>567</v>
      </c>
    </row>
    <row r="283" spans="1:3" hidden="1" x14ac:dyDescent="0.25">
      <c r="A283" s="4" t="s">
        <v>569</v>
      </c>
      <c r="B283" s="5" t="s">
        <v>570</v>
      </c>
      <c r="C283" s="4" t="s">
        <v>569</v>
      </c>
    </row>
    <row r="284" spans="1:3" hidden="1" x14ac:dyDescent="0.25">
      <c r="A284" s="4" t="s">
        <v>571</v>
      </c>
      <c r="B284" s="5" t="s">
        <v>572</v>
      </c>
      <c r="C284" s="4" t="s">
        <v>571</v>
      </c>
    </row>
    <row r="285" spans="1:3" hidden="1" x14ac:dyDescent="0.25">
      <c r="A285" s="4" t="s">
        <v>573</v>
      </c>
      <c r="B285" s="5" t="s">
        <v>574</v>
      </c>
      <c r="C285" s="4" t="s">
        <v>573</v>
      </c>
    </row>
    <row r="286" spans="1:3" hidden="1" x14ac:dyDescent="0.25">
      <c r="A286" s="4" t="s">
        <v>575</v>
      </c>
      <c r="B286" s="5" t="s">
        <v>576</v>
      </c>
      <c r="C286" s="4" t="s">
        <v>575</v>
      </c>
    </row>
    <row r="287" spans="1:3" hidden="1" x14ac:dyDescent="0.25">
      <c r="A287" s="4" t="s">
        <v>577</v>
      </c>
      <c r="B287" s="5" t="s">
        <v>578</v>
      </c>
      <c r="C287" s="4" t="s">
        <v>577</v>
      </c>
    </row>
    <row r="288" spans="1:3" hidden="1" x14ac:dyDescent="0.25">
      <c r="A288" s="4" t="s">
        <v>579</v>
      </c>
      <c r="B288" s="5" t="s">
        <v>580</v>
      </c>
      <c r="C288" s="4" t="s">
        <v>579</v>
      </c>
    </row>
    <row r="289" spans="1:3" hidden="1" x14ac:dyDescent="0.25">
      <c r="A289" s="4" t="s">
        <v>581</v>
      </c>
      <c r="B289" s="5" t="s">
        <v>582</v>
      </c>
      <c r="C289" s="4" t="s">
        <v>581</v>
      </c>
    </row>
    <row r="290" spans="1:3" hidden="1" x14ac:dyDescent="0.25">
      <c r="A290" s="4" t="s">
        <v>583</v>
      </c>
      <c r="B290" s="5" t="s">
        <v>584</v>
      </c>
      <c r="C290" s="4" t="s">
        <v>583</v>
      </c>
    </row>
    <row r="291" spans="1:3" hidden="1" x14ac:dyDescent="0.25">
      <c r="A291" s="4" t="s">
        <v>585</v>
      </c>
      <c r="B291" s="5" t="s">
        <v>586</v>
      </c>
      <c r="C291" s="4" t="s">
        <v>585</v>
      </c>
    </row>
    <row r="292" spans="1:3" hidden="1" x14ac:dyDescent="0.25">
      <c r="A292" s="4" t="s">
        <v>587</v>
      </c>
      <c r="B292" s="5" t="s">
        <v>588</v>
      </c>
      <c r="C292" s="4" t="s">
        <v>587</v>
      </c>
    </row>
    <row r="293" spans="1:3" hidden="1" x14ac:dyDescent="0.25">
      <c r="A293" s="4" t="s">
        <v>589</v>
      </c>
      <c r="B293" s="5" t="s">
        <v>590</v>
      </c>
      <c r="C293" s="4" t="s">
        <v>589</v>
      </c>
    </row>
    <row r="294" spans="1:3" hidden="1" x14ac:dyDescent="0.25">
      <c r="A294" s="4" t="s">
        <v>591</v>
      </c>
      <c r="B294" s="5" t="s">
        <v>592</v>
      </c>
      <c r="C294" s="4" t="s">
        <v>591</v>
      </c>
    </row>
    <row r="295" spans="1:3" hidden="1" x14ac:dyDescent="0.25">
      <c r="A295" s="4" t="s">
        <v>593</v>
      </c>
      <c r="B295" s="5" t="s">
        <v>594</v>
      </c>
      <c r="C295" s="4" t="s">
        <v>593</v>
      </c>
    </row>
    <row r="296" spans="1:3" hidden="1" x14ac:dyDescent="0.25">
      <c r="A296" s="4" t="s">
        <v>595</v>
      </c>
      <c r="B296" s="5" t="s">
        <v>596</v>
      </c>
      <c r="C296" s="4" t="s">
        <v>595</v>
      </c>
    </row>
    <row r="297" spans="1:3" hidden="1" x14ac:dyDescent="0.25">
      <c r="A297" s="4" t="s">
        <v>597</v>
      </c>
      <c r="B297" s="5" t="s">
        <v>598</v>
      </c>
      <c r="C297" s="4" t="s">
        <v>597</v>
      </c>
    </row>
    <row r="298" spans="1:3" hidden="1" x14ac:dyDescent="0.25">
      <c r="A298" s="4" t="s">
        <v>599</v>
      </c>
      <c r="B298" s="5" t="s">
        <v>600</v>
      </c>
      <c r="C298" s="4" t="s">
        <v>599</v>
      </c>
    </row>
    <row r="299" spans="1:3" hidden="1" x14ac:dyDescent="0.25">
      <c r="A299" s="4" t="s">
        <v>601</v>
      </c>
      <c r="B299" s="5" t="s">
        <v>602</v>
      </c>
      <c r="C299" s="4" t="s">
        <v>601</v>
      </c>
    </row>
    <row r="300" spans="1:3" hidden="1" x14ac:dyDescent="0.25">
      <c r="A300" s="4" t="s">
        <v>603</v>
      </c>
      <c r="B300" s="5" t="s">
        <v>604</v>
      </c>
      <c r="C300" s="4" t="s">
        <v>603</v>
      </c>
    </row>
    <row r="301" spans="1:3" hidden="1" x14ac:dyDescent="0.25">
      <c r="A301" s="4" t="s">
        <v>605</v>
      </c>
      <c r="B301" s="5" t="s">
        <v>606</v>
      </c>
      <c r="C301" s="4" t="s">
        <v>605</v>
      </c>
    </row>
    <row r="302" spans="1:3" hidden="1" x14ac:dyDescent="0.25">
      <c r="A302" s="4" t="s">
        <v>607</v>
      </c>
      <c r="B302" s="5" t="s">
        <v>608</v>
      </c>
      <c r="C302" s="4" t="s">
        <v>607</v>
      </c>
    </row>
    <row r="303" spans="1:3" hidden="1" x14ac:dyDescent="0.25">
      <c r="A303" s="4" t="s">
        <v>609</v>
      </c>
      <c r="B303" s="5" t="s">
        <v>610</v>
      </c>
      <c r="C303" s="4" t="s">
        <v>609</v>
      </c>
    </row>
    <row r="304" spans="1:3" hidden="1" x14ac:dyDescent="0.25">
      <c r="A304" s="4" t="s">
        <v>611</v>
      </c>
      <c r="B304" s="5" t="s">
        <v>612</v>
      </c>
      <c r="C304" s="4" t="s">
        <v>611</v>
      </c>
    </row>
    <row r="305" spans="1:3" hidden="1" x14ac:dyDescent="0.25">
      <c r="A305" s="4" t="s">
        <v>613</v>
      </c>
      <c r="B305" s="5" t="s">
        <v>614</v>
      </c>
      <c r="C305" s="4" t="s">
        <v>613</v>
      </c>
    </row>
    <row r="306" spans="1:3" hidden="1" x14ac:dyDescent="0.25">
      <c r="A306" s="4" t="s">
        <v>615</v>
      </c>
      <c r="B306" s="5" t="s">
        <v>616</v>
      </c>
      <c r="C306" s="4" t="s">
        <v>615</v>
      </c>
    </row>
    <row r="307" spans="1:3" hidden="1" x14ac:dyDescent="0.25">
      <c r="A307" s="4" t="s">
        <v>617</v>
      </c>
      <c r="B307" s="5" t="s">
        <v>618</v>
      </c>
      <c r="C307" s="4" t="s">
        <v>617</v>
      </c>
    </row>
    <row r="308" spans="1:3" hidden="1" x14ac:dyDescent="0.25">
      <c r="A308" s="4" t="s">
        <v>619</v>
      </c>
      <c r="B308" s="5" t="s">
        <v>620</v>
      </c>
      <c r="C308" s="4" t="s">
        <v>619</v>
      </c>
    </row>
    <row r="309" spans="1:3" hidden="1" x14ac:dyDescent="0.25">
      <c r="A309" s="4" t="s">
        <v>621</v>
      </c>
      <c r="B309" s="5" t="s">
        <v>622</v>
      </c>
      <c r="C309" s="4" t="s">
        <v>621</v>
      </c>
    </row>
    <row r="310" spans="1:3" hidden="1" x14ac:dyDescent="0.25">
      <c r="A310" s="4" t="s">
        <v>623</v>
      </c>
      <c r="B310" s="5" t="s">
        <v>624</v>
      </c>
      <c r="C310" s="4" t="s">
        <v>623</v>
      </c>
    </row>
    <row r="311" spans="1:3" hidden="1" x14ac:dyDescent="0.25">
      <c r="A311" s="4" t="s">
        <v>625</v>
      </c>
      <c r="B311" s="5" t="s">
        <v>626</v>
      </c>
      <c r="C311" s="4" t="s">
        <v>625</v>
      </c>
    </row>
    <row r="312" spans="1:3" hidden="1" x14ac:dyDescent="0.25">
      <c r="A312" s="4" t="s">
        <v>627</v>
      </c>
      <c r="B312" s="5" t="s">
        <v>628</v>
      </c>
      <c r="C312" s="4" t="s">
        <v>627</v>
      </c>
    </row>
    <row r="313" spans="1:3" hidden="1" x14ac:dyDescent="0.25">
      <c r="A313" s="4" t="s">
        <v>629</v>
      </c>
      <c r="B313" s="5" t="s">
        <v>630</v>
      </c>
      <c r="C313" s="4" t="s">
        <v>629</v>
      </c>
    </row>
    <row r="314" spans="1:3" hidden="1" x14ac:dyDescent="0.25">
      <c r="A314" s="4" t="s">
        <v>631</v>
      </c>
      <c r="B314" s="5" t="s">
        <v>632</v>
      </c>
      <c r="C314" s="4" t="s">
        <v>631</v>
      </c>
    </row>
    <row r="315" spans="1:3" hidden="1" x14ac:dyDescent="0.25">
      <c r="A315" s="4" t="s">
        <v>633</v>
      </c>
      <c r="B315" s="5" t="s">
        <v>634</v>
      </c>
      <c r="C315" s="4" t="s">
        <v>633</v>
      </c>
    </row>
    <row r="316" spans="1:3" hidden="1" x14ac:dyDescent="0.25">
      <c r="A316" s="4" t="s">
        <v>635</v>
      </c>
      <c r="B316" s="5" t="s">
        <v>636</v>
      </c>
      <c r="C316" s="4" t="s">
        <v>635</v>
      </c>
    </row>
    <row r="317" spans="1:3" hidden="1" x14ac:dyDescent="0.25">
      <c r="A317" s="4" t="s">
        <v>637</v>
      </c>
      <c r="B317" s="5" t="s">
        <v>638</v>
      </c>
      <c r="C317" s="4" t="s">
        <v>637</v>
      </c>
    </row>
    <row r="318" spans="1:3" hidden="1" x14ac:dyDescent="0.25">
      <c r="A318" s="4" t="s">
        <v>639</v>
      </c>
      <c r="B318" s="5" t="s">
        <v>640</v>
      </c>
      <c r="C318" s="4" t="s">
        <v>639</v>
      </c>
    </row>
    <row r="319" spans="1:3" hidden="1" x14ac:dyDescent="0.25">
      <c r="A319" s="4" t="s">
        <v>641</v>
      </c>
      <c r="B319" s="5" t="s">
        <v>642</v>
      </c>
      <c r="C319" s="4" t="s">
        <v>641</v>
      </c>
    </row>
    <row r="320" spans="1:3" hidden="1" x14ac:dyDescent="0.25">
      <c r="A320" s="4" t="s">
        <v>643</v>
      </c>
      <c r="B320" s="5" t="s">
        <v>644</v>
      </c>
      <c r="C320" s="4" t="s">
        <v>643</v>
      </c>
    </row>
    <row r="321" spans="1:3" hidden="1" x14ac:dyDescent="0.25">
      <c r="A321" s="4" t="s">
        <v>645</v>
      </c>
      <c r="B321" s="5" t="s">
        <v>646</v>
      </c>
      <c r="C321" s="4" t="s">
        <v>645</v>
      </c>
    </row>
    <row r="322" spans="1:3" hidden="1" x14ac:dyDescent="0.25">
      <c r="A322" s="4" t="s">
        <v>647</v>
      </c>
      <c r="B322" s="5" t="s">
        <v>648</v>
      </c>
      <c r="C322" s="4" t="s">
        <v>647</v>
      </c>
    </row>
    <row r="323" spans="1:3" hidden="1" x14ac:dyDescent="0.25">
      <c r="A323" s="4" t="s">
        <v>649</v>
      </c>
      <c r="B323" s="5" t="s">
        <v>650</v>
      </c>
      <c r="C323" s="4" t="s">
        <v>649</v>
      </c>
    </row>
    <row r="324" spans="1:3" hidden="1" x14ac:dyDescent="0.25">
      <c r="A324" s="4" t="s">
        <v>651</v>
      </c>
      <c r="B324" s="5" t="s">
        <v>652</v>
      </c>
      <c r="C324" s="4" t="s">
        <v>651</v>
      </c>
    </row>
    <row r="325" spans="1:3" hidden="1" x14ac:dyDescent="0.25">
      <c r="A325" s="4" t="s">
        <v>653</v>
      </c>
      <c r="B325" s="5" t="s">
        <v>654</v>
      </c>
      <c r="C325" s="4" t="s">
        <v>653</v>
      </c>
    </row>
    <row r="326" spans="1:3" hidden="1" x14ac:dyDescent="0.25">
      <c r="A326" s="4" t="s">
        <v>655</v>
      </c>
      <c r="B326" s="5" t="s">
        <v>656</v>
      </c>
      <c r="C326" s="4" t="s">
        <v>655</v>
      </c>
    </row>
    <row r="327" spans="1:3" hidden="1" x14ac:dyDescent="0.25">
      <c r="A327" s="4" t="s">
        <v>657</v>
      </c>
      <c r="B327" s="5" t="s">
        <v>658</v>
      </c>
      <c r="C327" s="4" t="s">
        <v>657</v>
      </c>
    </row>
    <row r="328" spans="1:3" hidden="1" x14ac:dyDescent="0.25">
      <c r="A328" s="4" t="s">
        <v>659</v>
      </c>
      <c r="B328" s="5" t="s">
        <v>660</v>
      </c>
      <c r="C328" s="4" t="s">
        <v>659</v>
      </c>
    </row>
    <row r="329" spans="1:3" hidden="1" x14ac:dyDescent="0.25">
      <c r="A329" s="4" t="s">
        <v>661</v>
      </c>
      <c r="B329" s="5" t="s">
        <v>662</v>
      </c>
      <c r="C329" s="4" t="s">
        <v>661</v>
      </c>
    </row>
    <row r="330" spans="1:3" hidden="1" x14ac:dyDescent="0.25">
      <c r="A330" s="4" t="s">
        <v>663</v>
      </c>
      <c r="B330" s="5" t="s">
        <v>664</v>
      </c>
      <c r="C330" s="4" t="s">
        <v>663</v>
      </c>
    </row>
    <row r="331" spans="1:3" hidden="1" x14ac:dyDescent="0.25">
      <c r="A331" s="4" t="s">
        <v>665</v>
      </c>
      <c r="B331" s="5" t="s">
        <v>666</v>
      </c>
      <c r="C331" s="4" t="s">
        <v>665</v>
      </c>
    </row>
    <row r="332" spans="1:3" hidden="1" x14ac:dyDescent="0.25">
      <c r="A332" s="4" t="s">
        <v>667</v>
      </c>
      <c r="B332" s="5" t="s">
        <v>668</v>
      </c>
      <c r="C332" s="4" t="s">
        <v>667</v>
      </c>
    </row>
    <row r="333" spans="1:3" hidden="1" x14ac:dyDescent="0.25">
      <c r="A333" s="4" t="s">
        <v>669</v>
      </c>
      <c r="B333" s="5" t="s">
        <v>670</v>
      </c>
      <c r="C333" s="4" t="s">
        <v>669</v>
      </c>
    </row>
    <row r="334" spans="1:3" hidden="1" x14ac:dyDescent="0.25">
      <c r="A334" s="4" t="s">
        <v>671</v>
      </c>
      <c r="B334" s="5" t="s">
        <v>672</v>
      </c>
      <c r="C334" s="4" t="s">
        <v>671</v>
      </c>
    </row>
    <row r="335" spans="1:3" hidden="1" x14ac:dyDescent="0.25">
      <c r="A335" s="4" t="s">
        <v>673</v>
      </c>
      <c r="B335" s="5" t="s">
        <v>674</v>
      </c>
      <c r="C335" s="4" t="s">
        <v>673</v>
      </c>
    </row>
    <row r="336" spans="1:3" hidden="1" x14ac:dyDescent="0.25">
      <c r="A336" s="4" t="s">
        <v>675</v>
      </c>
      <c r="B336" s="5" t="s">
        <v>676</v>
      </c>
      <c r="C336" s="4" t="s">
        <v>675</v>
      </c>
    </row>
    <row r="337" spans="1:3" hidden="1" x14ac:dyDescent="0.25">
      <c r="A337" s="4" t="s">
        <v>677</v>
      </c>
      <c r="B337" s="5" t="s">
        <v>678</v>
      </c>
      <c r="C337" s="4" t="s">
        <v>677</v>
      </c>
    </row>
    <row r="338" spans="1:3" hidden="1" x14ac:dyDescent="0.25">
      <c r="A338" s="4" t="s">
        <v>679</v>
      </c>
      <c r="B338" s="5" t="s">
        <v>680</v>
      </c>
      <c r="C338" s="4" t="s">
        <v>679</v>
      </c>
    </row>
    <row r="339" spans="1:3" hidden="1" x14ac:dyDescent="0.25">
      <c r="A339" s="4" t="s">
        <v>681</v>
      </c>
      <c r="B339" s="5" t="s">
        <v>682</v>
      </c>
      <c r="C339" s="4" t="s">
        <v>681</v>
      </c>
    </row>
    <row r="340" spans="1:3" hidden="1" x14ac:dyDescent="0.25">
      <c r="A340" s="4" t="s">
        <v>683</v>
      </c>
      <c r="B340" s="5" t="s">
        <v>684</v>
      </c>
      <c r="C340" s="4" t="s">
        <v>683</v>
      </c>
    </row>
    <row r="341" spans="1:3" hidden="1" x14ac:dyDescent="0.25">
      <c r="A341" s="4" t="s">
        <v>685</v>
      </c>
      <c r="B341" s="5" t="s">
        <v>686</v>
      </c>
      <c r="C341" s="4" t="s">
        <v>685</v>
      </c>
    </row>
    <row r="342" spans="1:3" hidden="1" x14ac:dyDescent="0.25">
      <c r="A342" s="4" t="s">
        <v>687</v>
      </c>
      <c r="B342" s="5" t="s">
        <v>688</v>
      </c>
      <c r="C342" s="4" t="s">
        <v>687</v>
      </c>
    </row>
    <row r="343" spans="1:3" hidden="1" x14ac:dyDescent="0.25">
      <c r="A343" s="4" t="s">
        <v>689</v>
      </c>
      <c r="B343" s="5" t="s">
        <v>690</v>
      </c>
      <c r="C343" s="4" t="s">
        <v>689</v>
      </c>
    </row>
    <row r="344" spans="1:3" hidden="1" x14ac:dyDescent="0.25">
      <c r="A344" s="4" t="s">
        <v>691</v>
      </c>
      <c r="B344" s="5" t="s">
        <v>692</v>
      </c>
      <c r="C344" s="4" t="s">
        <v>691</v>
      </c>
    </row>
    <row r="345" spans="1:3" hidden="1" x14ac:dyDescent="0.25">
      <c r="A345" s="4" t="s">
        <v>693</v>
      </c>
      <c r="B345" s="5" t="s">
        <v>694</v>
      </c>
      <c r="C345" s="4" t="s">
        <v>693</v>
      </c>
    </row>
    <row r="346" spans="1:3" hidden="1" x14ac:dyDescent="0.25">
      <c r="A346" s="4" t="s">
        <v>695</v>
      </c>
      <c r="B346" s="5" t="s">
        <v>696</v>
      </c>
      <c r="C346" s="4" t="s">
        <v>695</v>
      </c>
    </row>
    <row r="347" spans="1:3" hidden="1" x14ac:dyDescent="0.25">
      <c r="A347" s="4" t="s">
        <v>697</v>
      </c>
      <c r="B347" s="5" t="s">
        <v>698</v>
      </c>
      <c r="C347" s="4" t="s">
        <v>697</v>
      </c>
    </row>
    <row r="348" spans="1:3" hidden="1" x14ac:dyDescent="0.25">
      <c r="A348" s="4" t="s">
        <v>699</v>
      </c>
      <c r="B348" s="5" t="s">
        <v>700</v>
      </c>
      <c r="C348" s="4" t="s">
        <v>699</v>
      </c>
    </row>
    <row r="349" spans="1:3" hidden="1" x14ac:dyDescent="0.25">
      <c r="A349" s="4" t="s">
        <v>701</v>
      </c>
      <c r="B349" s="5" t="s">
        <v>702</v>
      </c>
      <c r="C349" s="4" t="s">
        <v>701</v>
      </c>
    </row>
    <row r="350" spans="1:3" hidden="1" x14ac:dyDescent="0.25">
      <c r="A350" s="4" t="s">
        <v>703</v>
      </c>
      <c r="B350" s="5" t="s">
        <v>704</v>
      </c>
      <c r="C350" s="4" t="s">
        <v>703</v>
      </c>
    </row>
    <row r="351" spans="1:3" hidden="1" x14ac:dyDescent="0.25">
      <c r="A351" s="4" t="s">
        <v>705</v>
      </c>
      <c r="B351" s="5" t="s">
        <v>706</v>
      </c>
      <c r="C351" s="4" t="s">
        <v>705</v>
      </c>
    </row>
    <row r="352" spans="1:3" hidden="1" x14ac:dyDescent="0.25">
      <c r="A352" s="4" t="s">
        <v>707</v>
      </c>
      <c r="B352" s="5" t="s">
        <v>708</v>
      </c>
      <c r="C352" s="4" t="s">
        <v>707</v>
      </c>
    </row>
    <row r="353" spans="1:3" hidden="1" x14ac:dyDescent="0.25">
      <c r="A353" s="4" t="s">
        <v>709</v>
      </c>
      <c r="B353" s="5" t="s">
        <v>710</v>
      </c>
      <c r="C353" s="4" t="s">
        <v>709</v>
      </c>
    </row>
    <row r="354" spans="1:3" hidden="1" x14ac:dyDescent="0.25">
      <c r="A354" s="4" t="s">
        <v>711</v>
      </c>
      <c r="B354" s="5" t="s">
        <v>712</v>
      </c>
      <c r="C354" s="4" t="s">
        <v>711</v>
      </c>
    </row>
    <row r="355" spans="1:3" hidden="1" x14ac:dyDescent="0.25">
      <c r="A355" s="4" t="s">
        <v>713</v>
      </c>
      <c r="B355" s="5" t="s">
        <v>714</v>
      </c>
      <c r="C355" s="4" t="s">
        <v>713</v>
      </c>
    </row>
    <row r="356" spans="1:3" hidden="1" x14ac:dyDescent="0.25">
      <c r="A356" s="4" t="s">
        <v>715</v>
      </c>
      <c r="B356" s="5" t="s">
        <v>716</v>
      </c>
      <c r="C356" s="4" t="s">
        <v>715</v>
      </c>
    </row>
    <row r="357" spans="1:3" hidden="1" x14ac:dyDescent="0.25">
      <c r="A357" s="4" t="s">
        <v>717</v>
      </c>
      <c r="B357" s="5" t="s">
        <v>718</v>
      </c>
      <c r="C357" s="4" t="s">
        <v>717</v>
      </c>
    </row>
    <row r="358" spans="1:3" hidden="1" x14ac:dyDescent="0.25">
      <c r="A358" s="4" t="s">
        <v>719</v>
      </c>
      <c r="B358" s="5" t="s">
        <v>720</v>
      </c>
      <c r="C358" s="4" t="s">
        <v>719</v>
      </c>
    </row>
    <row r="359" spans="1:3" hidden="1" x14ac:dyDescent="0.25">
      <c r="A359" s="4" t="s">
        <v>721</v>
      </c>
      <c r="B359" s="5" t="s">
        <v>722</v>
      </c>
      <c r="C359" s="4" t="s">
        <v>721</v>
      </c>
    </row>
    <row r="360" spans="1:3" hidden="1" x14ac:dyDescent="0.25">
      <c r="A360" s="4" t="s">
        <v>723</v>
      </c>
      <c r="B360" s="5" t="s">
        <v>724</v>
      </c>
      <c r="C360" s="4" t="s">
        <v>723</v>
      </c>
    </row>
    <row r="361" spans="1:3" hidden="1" x14ac:dyDescent="0.25">
      <c r="A361" s="4" t="s">
        <v>725</v>
      </c>
      <c r="B361" s="5" t="s">
        <v>726</v>
      </c>
      <c r="C361" s="4" t="s">
        <v>725</v>
      </c>
    </row>
    <row r="362" spans="1:3" hidden="1" x14ac:dyDescent="0.25">
      <c r="A362" s="4" t="s">
        <v>727</v>
      </c>
      <c r="B362" s="5" t="s">
        <v>244</v>
      </c>
      <c r="C362" s="4" t="s">
        <v>727</v>
      </c>
    </row>
    <row r="363" spans="1:3" hidden="1" x14ac:dyDescent="0.25">
      <c r="A363" s="4" t="s">
        <v>728</v>
      </c>
      <c r="B363" s="5" t="s">
        <v>729</v>
      </c>
      <c r="C363" s="4" t="s">
        <v>728</v>
      </c>
    </row>
    <row r="364" spans="1:3" hidden="1" x14ac:dyDescent="0.25">
      <c r="A364" s="4" t="s">
        <v>730</v>
      </c>
      <c r="B364" s="5" t="s">
        <v>731</v>
      </c>
      <c r="C364" s="4" t="s">
        <v>730</v>
      </c>
    </row>
    <row r="365" spans="1:3" hidden="1" x14ac:dyDescent="0.25">
      <c r="A365" s="4" t="s">
        <v>732</v>
      </c>
      <c r="B365" s="5" t="s">
        <v>40</v>
      </c>
      <c r="C365" s="4" t="s">
        <v>732</v>
      </c>
    </row>
    <row r="366" spans="1:3" hidden="1" x14ac:dyDescent="0.25">
      <c r="A366" s="4" t="s">
        <v>733</v>
      </c>
      <c r="B366" s="5" t="s">
        <v>734</v>
      </c>
      <c r="C366" s="4" t="s">
        <v>733</v>
      </c>
    </row>
    <row r="367" spans="1:3" hidden="1" x14ac:dyDescent="0.25">
      <c r="A367" s="4" t="s">
        <v>735</v>
      </c>
      <c r="B367" s="5" t="s">
        <v>736</v>
      </c>
      <c r="C367" s="4" t="s">
        <v>735</v>
      </c>
    </row>
    <row r="368" spans="1:3" hidden="1" x14ac:dyDescent="0.25">
      <c r="A368" s="4" t="s">
        <v>737</v>
      </c>
      <c r="B368" s="5" t="s">
        <v>738</v>
      </c>
      <c r="C368" s="4" t="s">
        <v>737</v>
      </c>
    </row>
    <row r="369" spans="1:3" hidden="1" x14ac:dyDescent="0.25">
      <c r="A369" s="4" t="s">
        <v>739</v>
      </c>
      <c r="B369" s="5" t="s">
        <v>740</v>
      </c>
      <c r="C369" s="4" t="s">
        <v>739</v>
      </c>
    </row>
    <row r="370" spans="1:3" hidden="1" x14ac:dyDescent="0.25">
      <c r="A370" s="4" t="s">
        <v>741</v>
      </c>
      <c r="B370" s="5" t="s">
        <v>742</v>
      </c>
      <c r="C370" s="4" t="s">
        <v>741</v>
      </c>
    </row>
    <row r="371" spans="1:3" hidden="1" x14ac:dyDescent="0.25">
      <c r="A371" s="4" t="s">
        <v>743</v>
      </c>
      <c r="B371" s="5" t="s">
        <v>744</v>
      </c>
      <c r="C371" s="4" t="s">
        <v>743</v>
      </c>
    </row>
    <row r="372" spans="1:3" hidden="1" x14ac:dyDescent="0.25">
      <c r="A372" s="4" t="s">
        <v>745</v>
      </c>
      <c r="B372" s="5" t="s">
        <v>746</v>
      </c>
      <c r="C372" s="4" t="s">
        <v>745</v>
      </c>
    </row>
    <row r="373" spans="1:3" hidden="1" x14ac:dyDescent="0.25">
      <c r="A373" s="4" t="s">
        <v>747</v>
      </c>
      <c r="B373" s="5" t="s">
        <v>748</v>
      </c>
      <c r="C373" s="4" t="s">
        <v>747</v>
      </c>
    </row>
    <row r="374" spans="1:3" hidden="1" x14ac:dyDescent="0.25">
      <c r="A374" s="4" t="s">
        <v>749</v>
      </c>
      <c r="B374" s="5" t="s">
        <v>698</v>
      </c>
      <c r="C374" s="4" t="s">
        <v>749</v>
      </c>
    </row>
    <row r="375" spans="1:3" hidden="1" x14ac:dyDescent="0.25">
      <c r="A375" s="4" t="s">
        <v>750</v>
      </c>
      <c r="B375" s="5" t="s">
        <v>751</v>
      </c>
      <c r="C375" s="4" t="s">
        <v>750</v>
      </c>
    </row>
    <row r="376" spans="1:3" hidden="1" x14ac:dyDescent="0.25">
      <c r="A376" s="4" t="s">
        <v>752</v>
      </c>
      <c r="B376" s="5" t="s">
        <v>753</v>
      </c>
      <c r="C376" s="4" t="s">
        <v>752</v>
      </c>
    </row>
    <row r="377" spans="1:3" hidden="1" x14ac:dyDescent="0.25">
      <c r="A377" s="4" t="s">
        <v>754</v>
      </c>
      <c r="B377" s="5" t="s">
        <v>755</v>
      </c>
      <c r="C377" s="4" t="s">
        <v>754</v>
      </c>
    </row>
    <row r="378" spans="1:3" hidden="1" x14ac:dyDescent="0.25">
      <c r="A378" s="4" t="s">
        <v>756</v>
      </c>
      <c r="B378" s="5" t="s">
        <v>757</v>
      </c>
      <c r="C378" s="4" t="s">
        <v>756</v>
      </c>
    </row>
    <row r="379" spans="1:3" hidden="1" x14ac:dyDescent="0.25">
      <c r="A379" s="4" t="s">
        <v>758</v>
      </c>
      <c r="B379" s="5" t="s">
        <v>759</v>
      </c>
      <c r="C379" s="4" t="s">
        <v>758</v>
      </c>
    </row>
    <row r="380" spans="1:3" hidden="1" x14ac:dyDescent="0.25">
      <c r="A380" s="4" t="s">
        <v>760</v>
      </c>
      <c r="B380" s="5" t="s">
        <v>761</v>
      </c>
      <c r="C380" s="4" t="s">
        <v>760</v>
      </c>
    </row>
    <row r="381" spans="1:3" hidden="1" x14ac:dyDescent="0.25">
      <c r="A381" s="4" t="s">
        <v>762</v>
      </c>
      <c r="B381" s="5" t="s">
        <v>763</v>
      </c>
      <c r="C381" s="4" t="s">
        <v>762</v>
      </c>
    </row>
    <row r="382" spans="1:3" hidden="1" x14ac:dyDescent="0.25">
      <c r="A382" s="4" t="s">
        <v>764</v>
      </c>
      <c r="B382" s="5" t="s">
        <v>765</v>
      </c>
      <c r="C382" s="4" t="s">
        <v>764</v>
      </c>
    </row>
    <row r="383" spans="1:3" hidden="1" x14ac:dyDescent="0.25">
      <c r="A383" s="4" t="s">
        <v>766</v>
      </c>
      <c r="B383" s="5" t="s">
        <v>767</v>
      </c>
      <c r="C383" s="4" t="s">
        <v>766</v>
      </c>
    </row>
    <row r="384" spans="1:3" hidden="1" x14ac:dyDescent="0.25">
      <c r="A384" s="4" t="s">
        <v>768</v>
      </c>
      <c r="B384" s="5" t="s">
        <v>353</v>
      </c>
      <c r="C384" s="4" t="s">
        <v>768</v>
      </c>
    </row>
    <row r="385" spans="1:3" hidden="1" x14ac:dyDescent="0.25">
      <c r="A385" s="4" t="s">
        <v>769</v>
      </c>
      <c r="B385" s="5" t="s">
        <v>770</v>
      </c>
      <c r="C385" s="4" t="s">
        <v>769</v>
      </c>
    </row>
    <row r="386" spans="1:3" hidden="1" x14ac:dyDescent="0.25">
      <c r="A386" s="4" t="s">
        <v>771</v>
      </c>
      <c r="B386" s="5" t="s">
        <v>526</v>
      </c>
      <c r="C386" s="4" t="s">
        <v>771</v>
      </c>
    </row>
    <row r="387" spans="1:3" hidden="1" x14ac:dyDescent="0.25">
      <c r="A387" s="4" t="s">
        <v>772</v>
      </c>
      <c r="B387" s="5" t="s">
        <v>773</v>
      </c>
      <c r="C387" s="4" t="s">
        <v>772</v>
      </c>
    </row>
    <row r="388" spans="1:3" hidden="1" x14ac:dyDescent="0.25">
      <c r="A388" s="4" t="s">
        <v>774</v>
      </c>
      <c r="B388" s="5" t="s">
        <v>775</v>
      </c>
      <c r="C388" s="4" t="s">
        <v>774</v>
      </c>
    </row>
    <row r="389" spans="1:3" hidden="1" x14ac:dyDescent="0.25">
      <c r="A389" s="4" t="s">
        <v>776</v>
      </c>
      <c r="B389" s="5" t="s">
        <v>777</v>
      </c>
      <c r="C389" s="4" t="s">
        <v>776</v>
      </c>
    </row>
    <row r="390" spans="1:3" hidden="1" x14ac:dyDescent="0.25">
      <c r="A390" s="4" t="s">
        <v>778</v>
      </c>
      <c r="B390" s="5" t="s">
        <v>779</v>
      </c>
      <c r="C390" s="4" t="s">
        <v>778</v>
      </c>
    </row>
    <row r="391" spans="1:3" hidden="1" x14ac:dyDescent="0.25">
      <c r="A391" s="4" t="s">
        <v>780</v>
      </c>
      <c r="B391" s="5" t="s">
        <v>781</v>
      </c>
      <c r="C391" s="4" t="s">
        <v>780</v>
      </c>
    </row>
    <row r="392" spans="1:3" hidden="1" x14ac:dyDescent="0.25">
      <c r="A392" s="4" t="s">
        <v>782</v>
      </c>
      <c r="B392" s="5" t="s">
        <v>783</v>
      </c>
      <c r="C392" s="4" t="s">
        <v>782</v>
      </c>
    </row>
    <row r="393" spans="1:3" hidden="1" x14ac:dyDescent="0.25">
      <c r="A393" s="4" t="s">
        <v>784</v>
      </c>
      <c r="B393" s="5" t="s">
        <v>785</v>
      </c>
      <c r="C393" s="4" t="s">
        <v>784</v>
      </c>
    </row>
    <row r="394" spans="1:3" hidden="1" x14ac:dyDescent="0.25">
      <c r="A394" s="4" t="s">
        <v>786</v>
      </c>
      <c r="B394" s="5" t="s">
        <v>787</v>
      </c>
      <c r="C394" s="4" t="s">
        <v>786</v>
      </c>
    </row>
    <row r="395" spans="1:3" hidden="1" x14ac:dyDescent="0.25">
      <c r="A395" s="4" t="s">
        <v>788</v>
      </c>
      <c r="B395" s="5" t="s">
        <v>381</v>
      </c>
      <c r="C395" s="4" t="s">
        <v>788</v>
      </c>
    </row>
    <row r="396" spans="1:3" hidden="1" x14ac:dyDescent="0.25">
      <c r="A396" s="4" t="s">
        <v>789</v>
      </c>
      <c r="B396" s="5" t="s">
        <v>790</v>
      </c>
      <c r="C396" s="4" t="s">
        <v>789</v>
      </c>
    </row>
    <row r="397" spans="1:3" hidden="1" x14ac:dyDescent="0.25">
      <c r="A397" s="4" t="s">
        <v>791</v>
      </c>
      <c r="B397" s="5" t="s">
        <v>792</v>
      </c>
      <c r="C397" s="4" t="s">
        <v>791</v>
      </c>
    </row>
    <row r="398" spans="1:3" hidden="1" x14ac:dyDescent="0.25">
      <c r="A398" s="4" t="s">
        <v>793</v>
      </c>
      <c r="B398" s="5" t="s">
        <v>794</v>
      </c>
      <c r="C398" s="4" t="s">
        <v>793</v>
      </c>
    </row>
    <row r="399" spans="1:3" hidden="1" x14ac:dyDescent="0.25">
      <c r="A399" s="4" t="s">
        <v>795</v>
      </c>
      <c r="B399" s="5" t="s">
        <v>796</v>
      </c>
      <c r="C399" s="4" t="s">
        <v>795</v>
      </c>
    </row>
    <row r="400" spans="1:3" hidden="1" x14ac:dyDescent="0.25">
      <c r="A400" s="4" t="s">
        <v>797</v>
      </c>
      <c r="B400" s="5" t="s">
        <v>798</v>
      </c>
      <c r="C400" s="4" t="s">
        <v>797</v>
      </c>
    </row>
    <row r="401" spans="1:3" hidden="1" x14ac:dyDescent="0.25">
      <c r="A401" s="4" t="s">
        <v>799</v>
      </c>
      <c r="B401" s="5" t="s">
        <v>800</v>
      </c>
      <c r="C401" s="4" t="s">
        <v>799</v>
      </c>
    </row>
    <row r="402" spans="1:3" hidden="1" x14ac:dyDescent="0.25">
      <c r="A402" s="4" t="s">
        <v>801</v>
      </c>
      <c r="B402" s="5" t="s">
        <v>802</v>
      </c>
      <c r="C402" s="4" t="s">
        <v>801</v>
      </c>
    </row>
    <row r="403" spans="1:3" hidden="1" x14ac:dyDescent="0.25">
      <c r="A403" s="4" t="s">
        <v>803</v>
      </c>
      <c r="B403" s="5" t="s">
        <v>804</v>
      </c>
      <c r="C403" s="4" t="s">
        <v>803</v>
      </c>
    </row>
    <row r="404" spans="1:3" hidden="1" x14ac:dyDescent="0.25">
      <c r="A404" s="4" t="s">
        <v>805</v>
      </c>
      <c r="B404" s="5" t="s">
        <v>806</v>
      </c>
      <c r="C404" s="4" t="s">
        <v>805</v>
      </c>
    </row>
    <row r="405" spans="1:3" hidden="1" x14ac:dyDescent="0.25">
      <c r="A405" s="4" t="s">
        <v>807</v>
      </c>
      <c r="B405" s="5" t="s">
        <v>808</v>
      </c>
      <c r="C405" s="4" t="s">
        <v>807</v>
      </c>
    </row>
    <row r="406" spans="1:3" hidden="1" x14ac:dyDescent="0.25">
      <c r="A406" s="4" t="s">
        <v>809</v>
      </c>
      <c r="B406" s="5" t="s">
        <v>810</v>
      </c>
      <c r="C406" s="4" t="s">
        <v>809</v>
      </c>
    </row>
    <row r="407" spans="1:3" hidden="1" x14ac:dyDescent="0.25">
      <c r="A407" s="4" t="s">
        <v>811</v>
      </c>
      <c r="B407" s="5" t="s">
        <v>812</v>
      </c>
      <c r="C407" s="4" t="s">
        <v>811</v>
      </c>
    </row>
    <row r="408" spans="1:3" hidden="1" x14ac:dyDescent="0.25">
      <c r="A408" s="4" t="s">
        <v>813</v>
      </c>
      <c r="B408" s="5" t="s">
        <v>814</v>
      </c>
      <c r="C408" s="4" t="s">
        <v>813</v>
      </c>
    </row>
    <row r="409" spans="1:3" hidden="1" x14ac:dyDescent="0.25">
      <c r="A409" s="4" t="s">
        <v>815</v>
      </c>
      <c r="B409" s="5" t="s">
        <v>816</v>
      </c>
      <c r="C409" s="4" t="s">
        <v>815</v>
      </c>
    </row>
    <row r="410" spans="1:3" hidden="1" x14ac:dyDescent="0.25">
      <c r="A410" s="4" t="s">
        <v>817</v>
      </c>
      <c r="B410" s="5" t="s">
        <v>818</v>
      </c>
      <c r="C410" s="4" t="s">
        <v>817</v>
      </c>
    </row>
    <row r="411" spans="1:3" hidden="1" x14ac:dyDescent="0.25">
      <c r="A411" s="4" t="s">
        <v>819</v>
      </c>
      <c r="B411" s="5" t="s">
        <v>820</v>
      </c>
      <c r="C411" s="4" t="s">
        <v>819</v>
      </c>
    </row>
    <row r="412" spans="1:3" hidden="1" x14ac:dyDescent="0.25">
      <c r="A412" s="4" t="s">
        <v>821</v>
      </c>
      <c r="B412" s="5" t="s">
        <v>822</v>
      </c>
      <c r="C412" s="4" t="s">
        <v>821</v>
      </c>
    </row>
    <row r="413" spans="1:3" hidden="1" x14ac:dyDescent="0.25">
      <c r="A413" s="4" t="s">
        <v>823</v>
      </c>
      <c r="B413" s="5" t="s">
        <v>824</v>
      </c>
      <c r="C413" s="4" t="s">
        <v>823</v>
      </c>
    </row>
    <row r="414" spans="1:3" hidden="1" x14ac:dyDescent="0.25">
      <c r="A414" s="4" t="s">
        <v>825</v>
      </c>
      <c r="B414" s="5" t="s">
        <v>826</v>
      </c>
      <c r="C414" s="4" t="s">
        <v>825</v>
      </c>
    </row>
    <row r="415" spans="1:3" hidden="1" x14ac:dyDescent="0.25">
      <c r="A415" s="4" t="s">
        <v>827</v>
      </c>
      <c r="B415" s="5" t="s">
        <v>828</v>
      </c>
      <c r="C415" s="4" t="s">
        <v>827</v>
      </c>
    </row>
    <row r="416" spans="1:3" hidden="1" x14ac:dyDescent="0.25">
      <c r="A416" s="4" t="s">
        <v>829</v>
      </c>
      <c r="B416" s="5" t="s">
        <v>830</v>
      </c>
      <c r="C416" s="4" t="s">
        <v>829</v>
      </c>
    </row>
    <row r="417" spans="1:3" hidden="1" x14ac:dyDescent="0.25">
      <c r="A417" s="4" t="s">
        <v>831</v>
      </c>
      <c r="B417" s="5" t="s">
        <v>832</v>
      </c>
      <c r="C417" s="4" t="s">
        <v>831</v>
      </c>
    </row>
    <row r="418" spans="1:3" hidden="1" x14ac:dyDescent="0.25">
      <c r="A418" s="4" t="s">
        <v>833</v>
      </c>
      <c r="B418" s="5" t="s">
        <v>834</v>
      </c>
      <c r="C418" s="4" t="s">
        <v>833</v>
      </c>
    </row>
    <row r="419" spans="1:3" hidden="1" x14ac:dyDescent="0.25">
      <c r="A419" s="4" t="s">
        <v>835</v>
      </c>
      <c r="B419" s="5" t="s">
        <v>836</v>
      </c>
      <c r="C419" s="4" t="s">
        <v>835</v>
      </c>
    </row>
    <row r="420" spans="1:3" hidden="1" x14ac:dyDescent="0.25">
      <c r="A420" s="4" t="s">
        <v>837</v>
      </c>
      <c r="B420" s="5" t="s">
        <v>838</v>
      </c>
      <c r="C420" s="4" t="s">
        <v>837</v>
      </c>
    </row>
    <row r="421" spans="1:3" hidden="1" x14ac:dyDescent="0.25">
      <c r="A421" s="4" t="s">
        <v>839</v>
      </c>
      <c r="B421" s="5" t="s">
        <v>840</v>
      </c>
      <c r="C421" s="4" t="s">
        <v>839</v>
      </c>
    </row>
    <row r="422" spans="1:3" hidden="1" x14ac:dyDescent="0.25">
      <c r="A422" s="4" t="s">
        <v>841</v>
      </c>
      <c r="B422" s="5" t="s">
        <v>842</v>
      </c>
      <c r="C422" s="4" t="s">
        <v>841</v>
      </c>
    </row>
    <row r="423" spans="1:3" hidden="1" x14ac:dyDescent="0.25">
      <c r="A423" s="4" t="s">
        <v>843</v>
      </c>
      <c r="B423" s="5" t="s">
        <v>844</v>
      </c>
      <c r="C423" s="4" t="s">
        <v>843</v>
      </c>
    </row>
    <row r="424" spans="1:3" hidden="1" x14ac:dyDescent="0.25">
      <c r="A424" s="4" t="s">
        <v>845</v>
      </c>
      <c r="B424" s="5" t="s">
        <v>846</v>
      </c>
      <c r="C424" s="4" t="s">
        <v>845</v>
      </c>
    </row>
    <row r="425" spans="1:3" hidden="1" x14ac:dyDescent="0.25">
      <c r="A425" s="4" t="s">
        <v>847</v>
      </c>
      <c r="B425" s="5" t="s">
        <v>848</v>
      </c>
      <c r="C425" s="4" t="s">
        <v>847</v>
      </c>
    </row>
    <row r="426" spans="1:3" hidden="1" x14ac:dyDescent="0.25">
      <c r="A426" s="4" t="s">
        <v>849</v>
      </c>
      <c r="B426" s="5" t="s">
        <v>850</v>
      </c>
      <c r="C426" s="4" t="s">
        <v>849</v>
      </c>
    </row>
    <row r="427" spans="1:3" hidden="1" x14ac:dyDescent="0.25">
      <c r="A427" s="4" t="s">
        <v>851</v>
      </c>
      <c r="B427" s="5" t="s">
        <v>852</v>
      </c>
      <c r="C427" s="4" t="s">
        <v>851</v>
      </c>
    </row>
    <row r="428" spans="1:3" hidden="1" x14ac:dyDescent="0.25">
      <c r="A428" s="4" t="s">
        <v>853</v>
      </c>
      <c r="B428" s="5" t="s">
        <v>854</v>
      </c>
      <c r="C428" s="4" t="s">
        <v>853</v>
      </c>
    </row>
    <row r="429" spans="1:3" hidden="1" x14ac:dyDescent="0.25">
      <c r="A429" s="4" t="s">
        <v>855</v>
      </c>
      <c r="B429" s="5" t="s">
        <v>856</v>
      </c>
      <c r="C429" s="4" t="s">
        <v>855</v>
      </c>
    </row>
    <row r="430" spans="1:3" hidden="1" x14ac:dyDescent="0.25">
      <c r="A430" s="4" t="s">
        <v>857</v>
      </c>
      <c r="B430" s="5" t="s">
        <v>858</v>
      </c>
      <c r="C430" s="4" t="s">
        <v>857</v>
      </c>
    </row>
    <row r="431" spans="1:3" hidden="1" x14ac:dyDescent="0.25">
      <c r="A431" s="4" t="s">
        <v>859</v>
      </c>
      <c r="B431" s="5" t="s">
        <v>860</v>
      </c>
      <c r="C431" s="4" t="s">
        <v>859</v>
      </c>
    </row>
    <row r="432" spans="1:3" hidden="1" x14ac:dyDescent="0.25">
      <c r="A432" s="4" t="s">
        <v>861</v>
      </c>
      <c r="B432" s="5" t="s">
        <v>420</v>
      </c>
      <c r="C432" s="4" t="s">
        <v>861</v>
      </c>
    </row>
    <row r="433" spans="1:3" hidden="1" x14ac:dyDescent="0.25">
      <c r="A433" s="4" t="s">
        <v>862</v>
      </c>
      <c r="B433" s="5" t="s">
        <v>863</v>
      </c>
      <c r="C433" s="4" t="s">
        <v>862</v>
      </c>
    </row>
    <row r="434" spans="1:3" hidden="1" x14ac:dyDescent="0.25">
      <c r="A434" s="4" t="s">
        <v>864</v>
      </c>
      <c r="B434" s="5" t="s">
        <v>865</v>
      </c>
      <c r="C434" s="4" t="s">
        <v>864</v>
      </c>
    </row>
    <row r="435" spans="1:3" hidden="1" x14ac:dyDescent="0.25">
      <c r="A435" s="4" t="s">
        <v>866</v>
      </c>
      <c r="B435" s="5" t="s">
        <v>867</v>
      </c>
      <c r="C435" s="4" t="s">
        <v>866</v>
      </c>
    </row>
    <row r="436" spans="1:3" hidden="1" x14ac:dyDescent="0.25">
      <c r="A436" s="4" t="s">
        <v>868</v>
      </c>
      <c r="B436" s="5" t="s">
        <v>869</v>
      </c>
      <c r="C436" s="4" t="s">
        <v>868</v>
      </c>
    </row>
    <row r="437" spans="1:3" hidden="1" x14ac:dyDescent="0.25">
      <c r="A437" s="4" t="s">
        <v>870</v>
      </c>
      <c r="B437" s="5" t="s">
        <v>871</v>
      </c>
      <c r="C437" s="4" t="s">
        <v>870</v>
      </c>
    </row>
    <row r="438" spans="1:3" hidden="1" x14ac:dyDescent="0.25">
      <c r="A438" s="4" t="s">
        <v>872</v>
      </c>
      <c r="B438" s="5" t="s">
        <v>873</v>
      </c>
      <c r="C438" s="4" t="s">
        <v>872</v>
      </c>
    </row>
    <row r="439" spans="1:3" hidden="1" x14ac:dyDescent="0.25">
      <c r="A439" s="4" t="s">
        <v>874</v>
      </c>
      <c r="B439" s="5" t="s">
        <v>875</v>
      </c>
      <c r="C439" s="4" t="s">
        <v>874</v>
      </c>
    </row>
    <row r="440" spans="1:3" hidden="1" x14ac:dyDescent="0.25">
      <c r="A440" s="4" t="s">
        <v>876</v>
      </c>
      <c r="B440" s="5" t="s">
        <v>877</v>
      </c>
      <c r="C440" s="4" t="s">
        <v>876</v>
      </c>
    </row>
    <row r="441" spans="1:3" hidden="1" x14ac:dyDescent="0.25">
      <c r="A441" s="4" t="s">
        <v>878</v>
      </c>
      <c r="B441" s="5" t="s">
        <v>879</v>
      </c>
      <c r="C441" s="4" t="s">
        <v>878</v>
      </c>
    </row>
    <row r="442" spans="1:3" hidden="1" x14ac:dyDescent="0.25">
      <c r="A442" s="4" t="s">
        <v>880</v>
      </c>
      <c r="B442" s="5" t="s">
        <v>881</v>
      </c>
      <c r="C442" s="4" t="s">
        <v>880</v>
      </c>
    </row>
    <row r="443" spans="1:3" hidden="1" x14ac:dyDescent="0.25">
      <c r="A443" s="4" t="s">
        <v>882</v>
      </c>
      <c r="B443" s="5" t="s">
        <v>883</v>
      </c>
      <c r="C443" s="4" t="s">
        <v>882</v>
      </c>
    </row>
    <row r="444" spans="1:3" hidden="1" x14ac:dyDescent="0.25">
      <c r="A444" s="4" t="s">
        <v>884</v>
      </c>
      <c r="B444" s="5" t="s">
        <v>885</v>
      </c>
      <c r="C444" s="4" t="s">
        <v>884</v>
      </c>
    </row>
    <row r="445" spans="1:3" hidden="1" x14ac:dyDescent="0.25">
      <c r="A445" s="4" t="s">
        <v>886</v>
      </c>
      <c r="B445" s="5" t="s">
        <v>887</v>
      </c>
      <c r="C445" s="4" t="s">
        <v>886</v>
      </c>
    </row>
    <row r="446" spans="1:3" hidden="1" x14ac:dyDescent="0.25">
      <c r="A446" s="4" t="s">
        <v>888</v>
      </c>
      <c r="B446" s="5" t="s">
        <v>889</v>
      </c>
      <c r="C446" s="4" t="s">
        <v>888</v>
      </c>
    </row>
    <row r="447" spans="1:3" hidden="1" x14ac:dyDescent="0.25">
      <c r="A447" s="4" t="s">
        <v>890</v>
      </c>
      <c r="B447" s="5" t="s">
        <v>891</v>
      </c>
      <c r="C447" s="4" t="s">
        <v>890</v>
      </c>
    </row>
    <row r="448" spans="1:3" hidden="1" x14ac:dyDescent="0.25">
      <c r="A448" s="4" t="s">
        <v>892</v>
      </c>
      <c r="B448" s="5" t="s">
        <v>893</v>
      </c>
      <c r="C448" s="4" t="s">
        <v>892</v>
      </c>
    </row>
    <row r="449" spans="1:3" hidden="1" x14ac:dyDescent="0.25">
      <c r="A449" s="4" t="s">
        <v>894</v>
      </c>
      <c r="B449" s="5" t="s">
        <v>895</v>
      </c>
      <c r="C449" s="4" t="s">
        <v>894</v>
      </c>
    </row>
    <row r="450" spans="1:3" hidden="1" x14ac:dyDescent="0.25">
      <c r="A450" s="4" t="s">
        <v>896</v>
      </c>
      <c r="B450" s="5" t="s">
        <v>897</v>
      </c>
      <c r="C450" s="4" t="s">
        <v>896</v>
      </c>
    </row>
    <row r="451" spans="1:3" hidden="1" x14ac:dyDescent="0.25">
      <c r="A451" s="4" t="s">
        <v>898</v>
      </c>
      <c r="B451" s="5" t="s">
        <v>899</v>
      </c>
      <c r="C451" s="4" t="s">
        <v>898</v>
      </c>
    </row>
    <row r="452" spans="1:3" hidden="1" x14ac:dyDescent="0.25">
      <c r="A452" s="4" t="s">
        <v>900</v>
      </c>
      <c r="B452" s="5" t="s">
        <v>901</v>
      </c>
      <c r="C452" s="4" t="s">
        <v>900</v>
      </c>
    </row>
    <row r="453" spans="1:3" hidden="1" x14ac:dyDescent="0.25">
      <c r="A453" s="4" t="s">
        <v>902</v>
      </c>
      <c r="B453" s="5" t="s">
        <v>903</v>
      </c>
      <c r="C453" s="4" t="s">
        <v>902</v>
      </c>
    </row>
    <row r="454" spans="1:3" hidden="1" x14ac:dyDescent="0.25">
      <c r="A454" s="4" t="s">
        <v>904</v>
      </c>
      <c r="B454" s="5" t="s">
        <v>190</v>
      </c>
      <c r="C454" s="4" t="s">
        <v>904</v>
      </c>
    </row>
    <row r="455" spans="1:3" hidden="1" x14ac:dyDescent="0.25">
      <c r="A455" s="4" t="s">
        <v>905</v>
      </c>
      <c r="B455" s="5" t="s">
        <v>906</v>
      </c>
      <c r="C455" s="4" t="s">
        <v>905</v>
      </c>
    </row>
    <row r="456" spans="1:3" hidden="1" x14ac:dyDescent="0.25">
      <c r="A456" s="4" t="s">
        <v>907</v>
      </c>
      <c r="B456" s="5" t="s">
        <v>908</v>
      </c>
      <c r="C456" s="4" t="s">
        <v>907</v>
      </c>
    </row>
    <row r="457" spans="1:3" hidden="1" x14ac:dyDescent="0.25">
      <c r="A457" s="4" t="s">
        <v>909</v>
      </c>
      <c r="B457" s="5" t="s">
        <v>910</v>
      </c>
      <c r="C457" s="4" t="s">
        <v>909</v>
      </c>
    </row>
    <row r="458" spans="1:3" hidden="1" x14ac:dyDescent="0.25">
      <c r="A458" s="4" t="s">
        <v>911</v>
      </c>
      <c r="B458" s="5" t="s">
        <v>912</v>
      </c>
      <c r="C458" s="4" t="s">
        <v>911</v>
      </c>
    </row>
    <row r="459" spans="1:3" hidden="1" x14ac:dyDescent="0.25">
      <c r="A459" s="4" t="s">
        <v>913</v>
      </c>
      <c r="B459" s="5" t="s">
        <v>914</v>
      </c>
      <c r="C459" s="4" t="s">
        <v>913</v>
      </c>
    </row>
    <row r="460" spans="1:3" hidden="1" x14ac:dyDescent="0.25">
      <c r="A460" s="4" t="s">
        <v>915</v>
      </c>
      <c r="B460" s="5" t="s">
        <v>916</v>
      </c>
      <c r="C460" s="4" t="s">
        <v>915</v>
      </c>
    </row>
    <row r="461" spans="1:3" hidden="1" x14ac:dyDescent="0.25">
      <c r="A461" s="4" t="s">
        <v>917</v>
      </c>
      <c r="B461" s="5" t="s">
        <v>918</v>
      </c>
      <c r="C461" s="4" t="s">
        <v>917</v>
      </c>
    </row>
    <row r="462" spans="1:3" hidden="1" x14ac:dyDescent="0.25">
      <c r="A462" s="4" t="s">
        <v>919</v>
      </c>
      <c r="B462" s="5" t="s">
        <v>920</v>
      </c>
      <c r="C462" s="4" t="s">
        <v>919</v>
      </c>
    </row>
    <row r="463" spans="1:3" hidden="1" x14ac:dyDescent="0.25">
      <c r="A463" s="4" t="s">
        <v>921</v>
      </c>
      <c r="B463" s="5" t="s">
        <v>922</v>
      </c>
      <c r="C463" s="4" t="s">
        <v>921</v>
      </c>
    </row>
    <row r="464" spans="1:3" hidden="1" x14ac:dyDescent="0.25">
      <c r="A464" s="4" t="s">
        <v>923</v>
      </c>
      <c r="B464" s="5" t="s">
        <v>924</v>
      </c>
      <c r="C464" s="4" t="s">
        <v>923</v>
      </c>
    </row>
    <row r="465" spans="1:3" hidden="1" x14ac:dyDescent="0.25">
      <c r="A465" s="4" t="s">
        <v>925</v>
      </c>
      <c r="B465" s="5" t="s">
        <v>926</v>
      </c>
      <c r="C465" s="4" t="s">
        <v>925</v>
      </c>
    </row>
    <row r="466" spans="1:3" hidden="1" x14ac:dyDescent="0.25">
      <c r="A466" s="4" t="s">
        <v>927</v>
      </c>
      <c r="B466" s="5" t="s">
        <v>928</v>
      </c>
      <c r="C466" s="4" t="s">
        <v>927</v>
      </c>
    </row>
    <row r="467" spans="1:3" hidden="1" x14ac:dyDescent="0.25">
      <c r="A467" s="4" t="s">
        <v>929</v>
      </c>
      <c r="B467" s="5" t="s">
        <v>930</v>
      </c>
      <c r="C467" s="4" t="s">
        <v>929</v>
      </c>
    </row>
    <row r="468" spans="1:3" hidden="1" x14ac:dyDescent="0.25">
      <c r="A468" s="4" t="s">
        <v>931</v>
      </c>
      <c r="B468" s="5" t="s">
        <v>932</v>
      </c>
      <c r="C468" s="4" t="s">
        <v>931</v>
      </c>
    </row>
    <row r="469" spans="1:3" hidden="1" x14ac:dyDescent="0.25">
      <c r="A469" s="4" t="s">
        <v>933</v>
      </c>
      <c r="B469" s="5" t="s">
        <v>934</v>
      </c>
      <c r="C469" s="4" t="s">
        <v>933</v>
      </c>
    </row>
    <row r="470" spans="1:3" hidden="1" x14ac:dyDescent="0.25">
      <c r="A470" s="4" t="s">
        <v>935</v>
      </c>
      <c r="B470" s="5" t="s">
        <v>936</v>
      </c>
      <c r="C470" s="4" t="s">
        <v>935</v>
      </c>
    </row>
    <row r="471" spans="1:3" hidden="1" x14ac:dyDescent="0.25">
      <c r="A471" s="4" t="s">
        <v>937</v>
      </c>
      <c r="B471" s="5" t="s">
        <v>938</v>
      </c>
      <c r="C471" s="4" t="s">
        <v>937</v>
      </c>
    </row>
    <row r="472" spans="1:3" hidden="1" x14ac:dyDescent="0.25">
      <c r="A472" s="4" t="s">
        <v>939</v>
      </c>
      <c r="B472" s="5" t="s">
        <v>940</v>
      </c>
      <c r="C472" s="4" t="s">
        <v>939</v>
      </c>
    </row>
    <row r="473" spans="1:3" hidden="1" x14ac:dyDescent="0.25">
      <c r="A473" s="4" t="s">
        <v>941</v>
      </c>
      <c r="B473" s="5" t="s">
        <v>942</v>
      </c>
      <c r="C473" s="4" t="s">
        <v>941</v>
      </c>
    </row>
    <row r="474" spans="1:3" hidden="1" x14ac:dyDescent="0.25">
      <c r="A474" s="4" t="s">
        <v>943</v>
      </c>
      <c r="B474" s="5" t="s">
        <v>944</v>
      </c>
      <c r="C474" s="4" t="s">
        <v>943</v>
      </c>
    </row>
    <row r="475" spans="1:3" hidden="1" x14ac:dyDescent="0.25">
      <c r="A475" s="4" t="s">
        <v>945</v>
      </c>
      <c r="B475" s="5" t="s">
        <v>946</v>
      </c>
      <c r="C475" s="4" t="s">
        <v>945</v>
      </c>
    </row>
    <row r="476" spans="1:3" hidden="1" x14ac:dyDescent="0.25">
      <c r="A476" s="4" t="s">
        <v>947</v>
      </c>
      <c r="B476" s="5" t="s">
        <v>948</v>
      </c>
      <c r="C476" s="4" t="s">
        <v>947</v>
      </c>
    </row>
    <row r="477" spans="1:3" hidden="1" x14ac:dyDescent="0.25">
      <c r="A477" s="4" t="s">
        <v>949</v>
      </c>
      <c r="B477" s="5" t="s">
        <v>950</v>
      </c>
      <c r="C477" s="4" t="s">
        <v>949</v>
      </c>
    </row>
    <row r="478" spans="1:3" hidden="1" x14ac:dyDescent="0.25">
      <c r="A478" s="4" t="s">
        <v>951</v>
      </c>
      <c r="B478" s="5" t="s">
        <v>952</v>
      </c>
      <c r="C478" s="4" t="s">
        <v>951</v>
      </c>
    </row>
    <row r="479" spans="1:3" hidden="1" x14ac:dyDescent="0.25">
      <c r="A479" s="4" t="s">
        <v>953</v>
      </c>
      <c r="B479" s="5" t="s">
        <v>954</v>
      </c>
      <c r="C479" s="4" t="s">
        <v>953</v>
      </c>
    </row>
    <row r="480" spans="1:3" hidden="1" x14ac:dyDescent="0.25">
      <c r="A480" s="4" t="s">
        <v>955</v>
      </c>
      <c r="B480" s="5" t="s">
        <v>956</v>
      </c>
      <c r="C480" s="4" t="s">
        <v>955</v>
      </c>
    </row>
    <row r="481" spans="1:3" hidden="1" x14ac:dyDescent="0.25">
      <c r="A481" s="4" t="s">
        <v>957</v>
      </c>
      <c r="B481" s="5" t="s">
        <v>958</v>
      </c>
      <c r="C481" s="4" t="s">
        <v>957</v>
      </c>
    </row>
    <row r="482" spans="1:3" hidden="1" x14ac:dyDescent="0.25">
      <c r="A482" s="4" t="s">
        <v>959</v>
      </c>
      <c r="B482" s="5" t="s">
        <v>960</v>
      </c>
      <c r="C482" s="4" t="s">
        <v>959</v>
      </c>
    </row>
    <row r="483" spans="1:3" hidden="1" x14ac:dyDescent="0.25">
      <c r="A483" s="4" t="s">
        <v>961</v>
      </c>
      <c r="B483" s="5" t="s">
        <v>337</v>
      </c>
      <c r="C483" s="4" t="s">
        <v>961</v>
      </c>
    </row>
    <row r="484" spans="1:3" hidden="1" x14ac:dyDescent="0.25">
      <c r="A484" s="4" t="s">
        <v>962</v>
      </c>
      <c r="B484" s="5" t="s">
        <v>963</v>
      </c>
      <c r="C484" s="4" t="s">
        <v>962</v>
      </c>
    </row>
    <row r="485" spans="1:3" hidden="1" x14ac:dyDescent="0.25">
      <c r="A485" s="4" t="s">
        <v>964</v>
      </c>
      <c r="B485" s="5" t="s">
        <v>965</v>
      </c>
      <c r="C485" s="4" t="s">
        <v>964</v>
      </c>
    </row>
    <row r="486" spans="1:3" hidden="1" x14ac:dyDescent="0.25">
      <c r="A486" s="4" t="s">
        <v>966</v>
      </c>
      <c r="B486" s="5" t="s">
        <v>967</v>
      </c>
      <c r="C486" s="4" t="s">
        <v>966</v>
      </c>
    </row>
    <row r="487" spans="1:3" hidden="1" x14ac:dyDescent="0.25">
      <c r="A487" s="4" t="s">
        <v>968</v>
      </c>
      <c r="B487" s="5" t="s">
        <v>969</v>
      </c>
      <c r="C487" s="4" t="s">
        <v>968</v>
      </c>
    </row>
    <row r="488" spans="1:3" hidden="1" x14ac:dyDescent="0.25">
      <c r="A488" s="4" t="s">
        <v>970</v>
      </c>
      <c r="B488" s="5" t="s">
        <v>971</v>
      </c>
      <c r="C488" s="4" t="s">
        <v>970</v>
      </c>
    </row>
    <row r="489" spans="1:3" hidden="1" x14ac:dyDescent="0.25">
      <c r="A489" s="4" t="s">
        <v>972</v>
      </c>
      <c r="B489" s="5" t="s">
        <v>973</v>
      </c>
      <c r="C489" s="4" t="s">
        <v>972</v>
      </c>
    </row>
    <row r="490" spans="1:3" hidden="1" x14ac:dyDescent="0.25">
      <c r="A490" s="4" t="s">
        <v>974</v>
      </c>
      <c r="B490" s="5" t="s">
        <v>975</v>
      </c>
      <c r="C490" s="4" t="s">
        <v>974</v>
      </c>
    </row>
    <row r="491" spans="1:3" hidden="1" x14ac:dyDescent="0.25">
      <c r="A491" s="4" t="s">
        <v>976</v>
      </c>
      <c r="B491" s="5" t="s">
        <v>977</v>
      </c>
      <c r="C491" s="4" t="s">
        <v>976</v>
      </c>
    </row>
    <row r="492" spans="1:3" hidden="1" x14ac:dyDescent="0.25">
      <c r="A492" s="4" t="s">
        <v>978</v>
      </c>
      <c r="B492" s="5" t="s">
        <v>979</v>
      </c>
      <c r="C492" s="4" t="s">
        <v>978</v>
      </c>
    </row>
    <row r="493" spans="1:3" hidden="1" x14ac:dyDescent="0.25">
      <c r="A493" s="4" t="s">
        <v>980</v>
      </c>
      <c r="B493" s="5" t="s">
        <v>981</v>
      </c>
      <c r="C493" s="4" t="s">
        <v>980</v>
      </c>
    </row>
    <row r="494" spans="1:3" hidden="1" x14ac:dyDescent="0.25">
      <c r="A494" s="4" t="s">
        <v>982</v>
      </c>
      <c r="B494" s="5" t="s">
        <v>983</v>
      </c>
      <c r="C494" s="4" t="s">
        <v>982</v>
      </c>
    </row>
    <row r="495" spans="1:3" hidden="1" x14ac:dyDescent="0.25">
      <c r="A495" s="4" t="s">
        <v>984</v>
      </c>
      <c r="B495" s="5" t="s">
        <v>985</v>
      </c>
      <c r="C495" s="4" t="s">
        <v>984</v>
      </c>
    </row>
    <row r="496" spans="1:3" hidden="1" x14ac:dyDescent="0.25">
      <c r="A496" s="4" t="s">
        <v>986</v>
      </c>
      <c r="B496" s="5" t="s">
        <v>116</v>
      </c>
      <c r="C496" s="4" t="s">
        <v>986</v>
      </c>
    </row>
    <row r="497" spans="1:3" hidden="1" x14ac:dyDescent="0.25">
      <c r="A497" s="4" t="s">
        <v>987</v>
      </c>
      <c r="B497" s="5" t="s">
        <v>988</v>
      </c>
      <c r="C497" s="4" t="s">
        <v>987</v>
      </c>
    </row>
    <row r="498" spans="1:3" hidden="1" x14ac:dyDescent="0.25">
      <c r="A498" s="4" t="s">
        <v>989</v>
      </c>
      <c r="B498" s="5" t="s">
        <v>990</v>
      </c>
      <c r="C498" s="4" t="s">
        <v>989</v>
      </c>
    </row>
    <row r="499" spans="1:3" hidden="1" x14ac:dyDescent="0.25">
      <c r="A499" s="4" t="s">
        <v>991</v>
      </c>
      <c r="B499" s="5" t="s">
        <v>992</v>
      </c>
      <c r="C499" s="4" t="s">
        <v>991</v>
      </c>
    </row>
    <row r="500" spans="1:3" hidden="1" x14ac:dyDescent="0.25">
      <c r="A500" s="4" t="s">
        <v>993</v>
      </c>
      <c r="B500" s="5" t="s">
        <v>994</v>
      </c>
      <c r="C500" s="4" t="s">
        <v>993</v>
      </c>
    </row>
    <row r="501" spans="1:3" hidden="1" x14ac:dyDescent="0.25">
      <c r="A501" s="4" t="s">
        <v>995</v>
      </c>
      <c r="B501" s="5" t="s">
        <v>996</v>
      </c>
      <c r="C501" s="4" t="s">
        <v>995</v>
      </c>
    </row>
    <row r="502" spans="1:3" hidden="1" x14ac:dyDescent="0.25">
      <c r="A502" s="4" t="s">
        <v>997</v>
      </c>
      <c r="B502" s="5" t="s">
        <v>998</v>
      </c>
      <c r="C502" s="4" t="s">
        <v>997</v>
      </c>
    </row>
    <row r="503" spans="1:3" hidden="1" x14ac:dyDescent="0.25">
      <c r="A503" s="4" t="s">
        <v>999</v>
      </c>
      <c r="B503" s="5" t="s">
        <v>1000</v>
      </c>
      <c r="C503" s="4" t="s">
        <v>999</v>
      </c>
    </row>
    <row r="504" spans="1:3" hidden="1" x14ac:dyDescent="0.25">
      <c r="A504" s="4" t="s">
        <v>1001</v>
      </c>
      <c r="B504" s="5" t="s">
        <v>1002</v>
      </c>
      <c r="C504" s="4" t="s">
        <v>1001</v>
      </c>
    </row>
    <row r="505" spans="1:3" hidden="1" x14ac:dyDescent="0.25">
      <c r="A505" s="4" t="s">
        <v>1003</v>
      </c>
      <c r="B505" s="5" t="s">
        <v>1004</v>
      </c>
      <c r="C505" s="4" t="s">
        <v>1003</v>
      </c>
    </row>
    <row r="506" spans="1:3" hidden="1" x14ac:dyDescent="0.25">
      <c r="A506" s="4" t="s">
        <v>1005</v>
      </c>
      <c r="B506" s="5" t="s">
        <v>1006</v>
      </c>
      <c r="C506" s="4" t="s">
        <v>1005</v>
      </c>
    </row>
    <row r="507" spans="1:3" hidden="1" x14ac:dyDescent="0.25">
      <c r="A507" s="4" t="s">
        <v>1007</v>
      </c>
      <c r="B507" s="5" t="s">
        <v>1008</v>
      </c>
      <c r="C507" s="4" t="s">
        <v>1007</v>
      </c>
    </row>
    <row r="508" spans="1:3" hidden="1" x14ac:dyDescent="0.25">
      <c r="A508" s="4" t="s">
        <v>1009</v>
      </c>
      <c r="B508" s="5" t="s">
        <v>1010</v>
      </c>
      <c r="C508" s="4" t="s">
        <v>1009</v>
      </c>
    </row>
    <row r="509" spans="1:3" hidden="1" x14ac:dyDescent="0.25">
      <c r="A509" s="4" t="s">
        <v>1011</v>
      </c>
      <c r="B509" s="5" t="s">
        <v>1012</v>
      </c>
      <c r="C509" s="4" t="s">
        <v>1011</v>
      </c>
    </row>
    <row r="510" spans="1:3" hidden="1" x14ac:dyDescent="0.25">
      <c r="A510" s="4" t="s">
        <v>1013</v>
      </c>
      <c r="B510" s="5" t="s">
        <v>1014</v>
      </c>
      <c r="C510" s="4" t="s">
        <v>1013</v>
      </c>
    </row>
    <row r="511" spans="1:3" hidden="1" x14ac:dyDescent="0.25">
      <c r="A511" s="4" t="s">
        <v>1015</v>
      </c>
      <c r="B511" s="5" t="s">
        <v>761</v>
      </c>
      <c r="C511" s="4" t="s">
        <v>1015</v>
      </c>
    </row>
    <row r="512" spans="1:3" hidden="1" x14ac:dyDescent="0.25">
      <c r="A512" s="4" t="s">
        <v>1016</v>
      </c>
      <c r="B512" s="5" t="s">
        <v>1017</v>
      </c>
      <c r="C512" s="4" t="s">
        <v>1016</v>
      </c>
    </row>
    <row r="513" spans="1:3" hidden="1" x14ac:dyDescent="0.25">
      <c r="A513" s="4" t="s">
        <v>1018</v>
      </c>
      <c r="B513" s="5" t="s">
        <v>1019</v>
      </c>
      <c r="C513" s="4" t="s">
        <v>1018</v>
      </c>
    </row>
    <row r="514" spans="1:3" hidden="1" x14ac:dyDescent="0.25">
      <c r="A514" s="4" t="s">
        <v>1020</v>
      </c>
      <c r="B514" s="5" t="s">
        <v>1021</v>
      </c>
      <c r="C514" s="4" t="s">
        <v>1020</v>
      </c>
    </row>
    <row r="515" spans="1:3" hidden="1" x14ac:dyDescent="0.25">
      <c r="A515" s="4" t="s">
        <v>1022</v>
      </c>
      <c r="B515" s="5" t="s">
        <v>1023</v>
      </c>
      <c r="C515" s="4" t="s">
        <v>1022</v>
      </c>
    </row>
    <row r="516" spans="1:3" hidden="1" x14ac:dyDescent="0.25">
      <c r="A516" s="4" t="s">
        <v>1024</v>
      </c>
      <c r="B516" s="5" t="s">
        <v>1025</v>
      </c>
      <c r="C516" s="4" t="s">
        <v>1024</v>
      </c>
    </row>
    <row r="517" spans="1:3" hidden="1" x14ac:dyDescent="0.25">
      <c r="A517" s="4" t="s">
        <v>1026</v>
      </c>
      <c r="B517" s="5" t="s">
        <v>1027</v>
      </c>
      <c r="C517" s="4" t="s">
        <v>1026</v>
      </c>
    </row>
    <row r="518" spans="1:3" hidden="1" x14ac:dyDescent="0.25">
      <c r="A518" s="4" t="s">
        <v>1028</v>
      </c>
      <c r="B518" s="5" t="s">
        <v>156</v>
      </c>
      <c r="C518" s="4" t="s">
        <v>1028</v>
      </c>
    </row>
    <row r="519" spans="1:3" hidden="1" x14ac:dyDescent="0.25">
      <c r="A519" s="4" t="s">
        <v>1029</v>
      </c>
      <c r="B519" s="5" t="s">
        <v>1030</v>
      </c>
      <c r="C519" s="4" t="s">
        <v>1029</v>
      </c>
    </row>
    <row r="520" spans="1:3" hidden="1" x14ac:dyDescent="0.25">
      <c r="A520" s="4" t="s">
        <v>1031</v>
      </c>
      <c r="B520" s="5" t="s">
        <v>1032</v>
      </c>
      <c r="C520" s="4" t="s">
        <v>1031</v>
      </c>
    </row>
    <row r="521" spans="1:3" hidden="1" x14ac:dyDescent="0.25">
      <c r="A521" s="4" t="s">
        <v>1033</v>
      </c>
      <c r="B521" s="5" t="s">
        <v>1034</v>
      </c>
      <c r="C521" s="4" t="s">
        <v>1033</v>
      </c>
    </row>
    <row r="522" spans="1:3" hidden="1" x14ac:dyDescent="0.25">
      <c r="A522" s="4" t="s">
        <v>1035</v>
      </c>
      <c r="B522" s="5" t="s">
        <v>1036</v>
      </c>
      <c r="C522" s="4" t="s">
        <v>1035</v>
      </c>
    </row>
    <row r="523" spans="1:3" hidden="1" x14ac:dyDescent="0.25">
      <c r="A523" s="4" t="s">
        <v>1037</v>
      </c>
      <c r="B523" s="5" t="s">
        <v>248</v>
      </c>
      <c r="C523" s="4" t="s">
        <v>1037</v>
      </c>
    </row>
    <row r="524" spans="1:3" hidden="1" x14ac:dyDescent="0.25">
      <c r="A524" s="4" t="s">
        <v>1038</v>
      </c>
      <c r="B524" s="5" t="s">
        <v>1039</v>
      </c>
      <c r="C524" s="4" t="s">
        <v>1038</v>
      </c>
    </row>
    <row r="525" spans="1:3" hidden="1" x14ac:dyDescent="0.25">
      <c r="A525" s="4" t="s">
        <v>1040</v>
      </c>
      <c r="B525" s="5" t="s">
        <v>1041</v>
      </c>
      <c r="C525" s="4" t="s">
        <v>1040</v>
      </c>
    </row>
    <row r="526" spans="1:3" hidden="1" x14ac:dyDescent="0.25">
      <c r="A526" s="4" t="s">
        <v>1042</v>
      </c>
      <c r="B526" s="5" t="s">
        <v>1043</v>
      </c>
      <c r="C526" s="4" t="s">
        <v>1042</v>
      </c>
    </row>
    <row r="527" spans="1:3" hidden="1" x14ac:dyDescent="0.25">
      <c r="A527" s="4" t="s">
        <v>1044</v>
      </c>
      <c r="B527" s="5" t="s">
        <v>1045</v>
      </c>
      <c r="C527" s="4" t="s">
        <v>1044</v>
      </c>
    </row>
    <row r="528" spans="1:3" hidden="1" x14ac:dyDescent="0.25">
      <c r="A528" s="4" t="s">
        <v>1046</v>
      </c>
      <c r="B528" s="5" t="s">
        <v>1047</v>
      </c>
      <c r="C528" s="4" t="s">
        <v>1046</v>
      </c>
    </row>
    <row r="529" spans="1:3" hidden="1" x14ac:dyDescent="0.25">
      <c r="A529" s="4" t="s">
        <v>1048</v>
      </c>
      <c r="B529" s="5" t="s">
        <v>1049</v>
      </c>
      <c r="C529" s="4" t="s">
        <v>1048</v>
      </c>
    </row>
    <row r="530" spans="1:3" hidden="1" x14ac:dyDescent="0.25">
      <c r="A530" s="4" t="s">
        <v>1050</v>
      </c>
      <c r="B530" s="5" t="s">
        <v>1051</v>
      </c>
      <c r="C530" s="4" t="s">
        <v>1050</v>
      </c>
    </row>
    <row r="531" spans="1:3" hidden="1" x14ac:dyDescent="0.25">
      <c r="A531" s="4" t="s">
        <v>1052</v>
      </c>
      <c r="B531" s="5" t="s">
        <v>1053</v>
      </c>
      <c r="C531" s="4" t="s">
        <v>1052</v>
      </c>
    </row>
    <row r="532" spans="1:3" hidden="1" x14ac:dyDescent="0.25">
      <c r="A532" s="4" t="s">
        <v>1054</v>
      </c>
      <c r="B532" s="5" t="s">
        <v>1055</v>
      </c>
      <c r="C532" s="4" t="s">
        <v>1054</v>
      </c>
    </row>
    <row r="533" spans="1:3" hidden="1" x14ac:dyDescent="0.25">
      <c r="A533" s="4" t="s">
        <v>1056</v>
      </c>
      <c r="B533" s="5" t="s">
        <v>1057</v>
      </c>
      <c r="C533" s="4" t="s">
        <v>1056</v>
      </c>
    </row>
    <row r="534" spans="1:3" hidden="1" x14ac:dyDescent="0.25">
      <c r="A534" s="4" t="s">
        <v>1058</v>
      </c>
      <c r="B534" s="5" t="s">
        <v>1059</v>
      </c>
      <c r="C534" s="4" t="s">
        <v>1058</v>
      </c>
    </row>
    <row r="535" spans="1:3" hidden="1" x14ac:dyDescent="0.25">
      <c r="A535" s="4" t="s">
        <v>1060</v>
      </c>
      <c r="B535" s="5" t="s">
        <v>1061</v>
      </c>
      <c r="C535" s="4" t="s">
        <v>1060</v>
      </c>
    </row>
    <row r="536" spans="1:3" hidden="1" x14ac:dyDescent="0.25">
      <c r="A536" s="4" t="s">
        <v>1062</v>
      </c>
      <c r="B536" s="5" t="s">
        <v>1063</v>
      </c>
      <c r="C536" s="4" t="s">
        <v>1062</v>
      </c>
    </row>
    <row r="537" spans="1:3" hidden="1" x14ac:dyDescent="0.25">
      <c r="A537" s="4" t="s">
        <v>1064</v>
      </c>
      <c r="B537" s="5" t="s">
        <v>1065</v>
      </c>
      <c r="C537" s="4" t="s">
        <v>1064</v>
      </c>
    </row>
    <row r="538" spans="1:3" hidden="1" x14ac:dyDescent="0.25">
      <c r="A538" s="4" t="s">
        <v>1066</v>
      </c>
      <c r="B538" s="5" t="s">
        <v>1067</v>
      </c>
      <c r="C538" s="4" t="s">
        <v>1066</v>
      </c>
    </row>
    <row r="539" spans="1:3" hidden="1" x14ac:dyDescent="0.25">
      <c r="A539" s="4" t="s">
        <v>1068</v>
      </c>
      <c r="B539" s="5" t="s">
        <v>192</v>
      </c>
      <c r="C539" s="4" t="s">
        <v>1068</v>
      </c>
    </row>
    <row r="540" spans="1:3" hidden="1" x14ac:dyDescent="0.25">
      <c r="A540" s="4" t="s">
        <v>1069</v>
      </c>
      <c r="B540" s="5" t="s">
        <v>1070</v>
      </c>
      <c r="C540" s="4" t="s">
        <v>1069</v>
      </c>
    </row>
    <row r="541" spans="1:3" hidden="1" x14ac:dyDescent="0.25">
      <c r="A541" s="4" t="s">
        <v>1071</v>
      </c>
      <c r="B541" s="5" t="s">
        <v>1072</v>
      </c>
      <c r="C541" s="4" t="s">
        <v>1071</v>
      </c>
    </row>
    <row r="542" spans="1:3" hidden="1" x14ac:dyDescent="0.25">
      <c r="A542" s="4" t="s">
        <v>1073</v>
      </c>
      <c r="B542" s="5" t="s">
        <v>1074</v>
      </c>
      <c r="C542" s="4" t="s">
        <v>1073</v>
      </c>
    </row>
    <row r="543" spans="1:3" hidden="1" x14ac:dyDescent="0.25">
      <c r="A543" s="4" t="s">
        <v>1075</v>
      </c>
      <c r="B543" s="5" t="s">
        <v>1076</v>
      </c>
      <c r="C543" s="4" t="s">
        <v>1075</v>
      </c>
    </row>
    <row r="544" spans="1:3" hidden="1" x14ac:dyDescent="0.25">
      <c r="A544" s="4" t="s">
        <v>1077</v>
      </c>
      <c r="B544" s="5" t="s">
        <v>1078</v>
      </c>
      <c r="C544" s="4" t="s">
        <v>1077</v>
      </c>
    </row>
    <row r="545" spans="1:3" hidden="1" x14ac:dyDescent="0.25">
      <c r="A545" s="4" t="s">
        <v>1079</v>
      </c>
      <c r="B545" s="5" t="s">
        <v>1080</v>
      </c>
      <c r="C545" s="4" t="s">
        <v>1079</v>
      </c>
    </row>
    <row r="546" spans="1:3" hidden="1" x14ac:dyDescent="0.25">
      <c r="A546" s="4" t="s">
        <v>1081</v>
      </c>
      <c r="B546" s="5" t="s">
        <v>1082</v>
      </c>
      <c r="C546" s="4" t="s">
        <v>1081</v>
      </c>
    </row>
    <row r="547" spans="1:3" hidden="1" x14ac:dyDescent="0.25">
      <c r="A547" s="4" t="s">
        <v>1083</v>
      </c>
      <c r="B547" s="5" t="s">
        <v>1084</v>
      </c>
      <c r="C547" s="4" t="s">
        <v>1083</v>
      </c>
    </row>
    <row r="548" spans="1:3" hidden="1" x14ac:dyDescent="0.25">
      <c r="A548" s="4" t="s">
        <v>1085</v>
      </c>
      <c r="B548" s="5" t="s">
        <v>1086</v>
      </c>
      <c r="C548" s="4" t="s">
        <v>1085</v>
      </c>
    </row>
    <row r="549" spans="1:3" hidden="1" x14ac:dyDescent="0.25">
      <c r="A549" s="4" t="s">
        <v>1087</v>
      </c>
      <c r="B549" s="5" t="s">
        <v>1088</v>
      </c>
      <c r="C549" s="4" t="s">
        <v>1087</v>
      </c>
    </row>
    <row r="550" spans="1:3" hidden="1" x14ac:dyDescent="0.25">
      <c r="A550" s="4" t="s">
        <v>1089</v>
      </c>
      <c r="B550" s="5" t="s">
        <v>1090</v>
      </c>
      <c r="C550" s="4" t="s">
        <v>1089</v>
      </c>
    </row>
    <row r="551" spans="1:3" hidden="1" x14ac:dyDescent="0.25">
      <c r="A551" s="4" t="s">
        <v>1091</v>
      </c>
      <c r="B551" s="5" t="s">
        <v>1092</v>
      </c>
      <c r="C551" s="4" t="s">
        <v>1091</v>
      </c>
    </row>
    <row r="552" spans="1:3" hidden="1" x14ac:dyDescent="0.25">
      <c r="A552" s="4" t="s">
        <v>1093</v>
      </c>
      <c r="B552" s="5" t="s">
        <v>1094</v>
      </c>
      <c r="C552" s="4" t="s">
        <v>1093</v>
      </c>
    </row>
    <row r="553" spans="1:3" hidden="1" x14ac:dyDescent="0.25">
      <c r="A553" s="4" t="s">
        <v>1095</v>
      </c>
      <c r="B553" s="5" t="s">
        <v>1096</v>
      </c>
      <c r="C553" s="4" t="s">
        <v>1095</v>
      </c>
    </row>
    <row r="554" spans="1:3" hidden="1" x14ac:dyDescent="0.25">
      <c r="A554" s="4" t="s">
        <v>1097</v>
      </c>
      <c r="B554" s="5" t="s">
        <v>1098</v>
      </c>
      <c r="C554" s="4" t="s">
        <v>1097</v>
      </c>
    </row>
    <row r="555" spans="1:3" hidden="1" x14ac:dyDescent="0.25">
      <c r="A555" s="4" t="s">
        <v>1099</v>
      </c>
      <c r="B555" s="5" t="s">
        <v>1100</v>
      </c>
      <c r="C555" s="4" t="s">
        <v>1099</v>
      </c>
    </row>
    <row r="556" spans="1:3" hidden="1" x14ac:dyDescent="0.25">
      <c r="A556" s="4" t="s">
        <v>1101</v>
      </c>
      <c r="B556" s="5" t="s">
        <v>1102</v>
      </c>
      <c r="C556" s="4" t="s">
        <v>1101</v>
      </c>
    </row>
    <row r="557" spans="1:3" hidden="1" x14ac:dyDescent="0.25">
      <c r="A557" s="4" t="s">
        <v>1103</v>
      </c>
      <c r="B557" s="5" t="s">
        <v>1104</v>
      </c>
      <c r="C557" s="4" t="s">
        <v>1103</v>
      </c>
    </row>
    <row r="558" spans="1:3" hidden="1" x14ac:dyDescent="0.25">
      <c r="A558" s="4" t="s">
        <v>1105</v>
      </c>
      <c r="B558" s="5" t="s">
        <v>1106</v>
      </c>
      <c r="C558" s="4" t="s">
        <v>1105</v>
      </c>
    </row>
    <row r="559" spans="1:3" hidden="1" x14ac:dyDescent="0.25">
      <c r="A559" s="4" t="s">
        <v>1107</v>
      </c>
      <c r="B559" s="5" t="s">
        <v>1108</v>
      </c>
      <c r="C559" s="4" t="s">
        <v>1107</v>
      </c>
    </row>
    <row r="560" spans="1:3" hidden="1" x14ac:dyDescent="0.25">
      <c r="A560" s="4" t="s">
        <v>1109</v>
      </c>
      <c r="B560" s="5" t="s">
        <v>1110</v>
      </c>
      <c r="C560" s="4" t="s">
        <v>1109</v>
      </c>
    </row>
    <row r="561" spans="1:3" hidden="1" x14ac:dyDescent="0.25">
      <c r="A561" s="4" t="s">
        <v>1111</v>
      </c>
      <c r="B561" s="5" t="s">
        <v>1112</v>
      </c>
      <c r="C561" s="4" t="s">
        <v>1111</v>
      </c>
    </row>
    <row r="562" spans="1:3" hidden="1" x14ac:dyDescent="0.25">
      <c r="A562" s="4" t="s">
        <v>1113</v>
      </c>
      <c r="B562" s="5" t="s">
        <v>1114</v>
      </c>
      <c r="C562" s="4" t="s">
        <v>1113</v>
      </c>
    </row>
    <row r="563" spans="1:3" hidden="1" x14ac:dyDescent="0.25">
      <c r="A563" s="4" t="s">
        <v>1115</v>
      </c>
      <c r="B563" s="5" t="s">
        <v>1116</v>
      </c>
      <c r="C563" s="4" t="s">
        <v>1115</v>
      </c>
    </row>
    <row r="564" spans="1:3" hidden="1" x14ac:dyDescent="0.25">
      <c r="A564" s="4" t="s">
        <v>1117</v>
      </c>
      <c r="B564" s="5" t="s">
        <v>1118</v>
      </c>
      <c r="C564" s="4" t="s">
        <v>1117</v>
      </c>
    </row>
    <row r="565" spans="1:3" hidden="1" x14ac:dyDescent="0.25">
      <c r="A565" s="4" t="s">
        <v>1119</v>
      </c>
      <c r="B565" s="5" t="s">
        <v>1120</v>
      </c>
      <c r="C565" s="4" t="s">
        <v>1119</v>
      </c>
    </row>
    <row r="566" spans="1:3" hidden="1" x14ac:dyDescent="0.25">
      <c r="A566" s="4" t="s">
        <v>1121</v>
      </c>
      <c r="B566" s="5" t="s">
        <v>1122</v>
      </c>
      <c r="C566" s="4" t="s">
        <v>1121</v>
      </c>
    </row>
    <row r="567" spans="1:3" hidden="1" x14ac:dyDescent="0.25">
      <c r="A567" s="4" t="s">
        <v>1123</v>
      </c>
      <c r="B567" s="5" t="s">
        <v>1124</v>
      </c>
      <c r="C567" s="4" t="s">
        <v>1123</v>
      </c>
    </row>
    <row r="568" spans="1:3" hidden="1" x14ac:dyDescent="0.25">
      <c r="A568" s="4" t="s">
        <v>1125</v>
      </c>
      <c r="B568" s="5" t="s">
        <v>1126</v>
      </c>
      <c r="C568" s="4" t="s">
        <v>1125</v>
      </c>
    </row>
    <row r="569" spans="1:3" hidden="1" x14ac:dyDescent="0.25">
      <c r="A569" s="4" t="s">
        <v>1127</v>
      </c>
      <c r="B569" s="5" t="s">
        <v>1128</v>
      </c>
      <c r="C569" s="4" t="s">
        <v>1127</v>
      </c>
    </row>
    <row r="570" spans="1:3" hidden="1" x14ac:dyDescent="0.25">
      <c r="A570" s="4" t="s">
        <v>1129</v>
      </c>
      <c r="B570" s="5" t="s">
        <v>1130</v>
      </c>
      <c r="C570" s="4" t="s">
        <v>1129</v>
      </c>
    </row>
    <row r="571" spans="1:3" hidden="1" x14ac:dyDescent="0.25">
      <c r="A571" s="4" t="s">
        <v>1131</v>
      </c>
      <c r="B571" s="5" t="s">
        <v>1132</v>
      </c>
      <c r="C571" s="4" t="s">
        <v>1131</v>
      </c>
    </row>
    <row r="572" spans="1:3" hidden="1" x14ac:dyDescent="0.25">
      <c r="A572" s="4" t="s">
        <v>1133</v>
      </c>
      <c r="B572" s="5" t="s">
        <v>1134</v>
      </c>
      <c r="C572" s="4" t="s">
        <v>1133</v>
      </c>
    </row>
    <row r="573" spans="1:3" hidden="1" x14ac:dyDescent="0.25">
      <c r="A573" s="4" t="s">
        <v>1135</v>
      </c>
      <c r="B573" s="5" t="s">
        <v>1136</v>
      </c>
      <c r="C573" s="4" t="s">
        <v>1135</v>
      </c>
    </row>
    <row r="574" spans="1:3" hidden="1" x14ac:dyDescent="0.25">
      <c r="A574" s="4" t="s">
        <v>1137</v>
      </c>
      <c r="B574" s="5" t="s">
        <v>1138</v>
      </c>
      <c r="C574" s="4" t="s">
        <v>1137</v>
      </c>
    </row>
    <row r="575" spans="1:3" hidden="1" x14ac:dyDescent="0.25">
      <c r="A575" s="4" t="s">
        <v>1139</v>
      </c>
      <c r="B575" s="5" t="s">
        <v>1140</v>
      </c>
      <c r="C575" s="4" t="s">
        <v>1139</v>
      </c>
    </row>
    <row r="576" spans="1:3" hidden="1" x14ac:dyDescent="0.25">
      <c r="A576" s="4" t="s">
        <v>1141</v>
      </c>
      <c r="B576" s="5" t="s">
        <v>1142</v>
      </c>
      <c r="C576" s="4" t="s">
        <v>1141</v>
      </c>
    </row>
    <row r="577" spans="1:3" hidden="1" x14ac:dyDescent="0.25">
      <c r="A577" s="4" t="s">
        <v>1143</v>
      </c>
      <c r="B577" s="5" t="s">
        <v>1144</v>
      </c>
      <c r="C577" s="4" t="s">
        <v>1143</v>
      </c>
    </row>
    <row r="578" spans="1:3" hidden="1" x14ac:dyDescent="0.25">
      <c r="A578" s="4" t="s">
        <v>1145</v>
      </c>
      <c r="B578" s="5" t="s">
        <v>1146</v>
      </c>
      <c r="C578" s="4" t="s">
        <v>1145</v>
      </c>
    </row>
    <row r="579" spans="1:3" hidden="1" x14ac:dyDescent="0.25">
      <c r="A579" s="4" t="s">
        <v>1147</v>
      </c>
      <c r="B579" s="5" t="s">
        <v>1148</v>
      </c>
      <c r="C579" s="4" t="s">
        <v>1147</v>
      </c>
    </row>
    <row r="580" spans="1:3" hidden="1" x14ac:dyDescent="0.25">
      <c r="A580" s="4" t="s">
        <v>1149</v>
      </c>
      <c r="B580" s="5" t="s">
        <v>1150</v>
      </c>
      <c r="C580" s="4" t="s">
        <v>1149</v>
      </c>
    </row>
    <row r="581" spans="1:3" hidden="1" x14ac:dyDescent="0.25">
      <c r="A581" s="4" t="s">
        <v>1151</v>
      </c>
      <c r="B581" s="5" t="s">
        <v>1152</v>
      </c>
      <c r="C581" s="4" t="s">
        <v>1151</v>
      </c>
    </row>
    <row r="582" spans="1:3" hidden="1" x14ac:dyDescent="0.25">
      <c r="A582" s="4" t="s">
        <v>1153</v>
      </c>
      <c r="B582" s="5" t="s">
        <v>1154</v>
      </c>
      <c r="C582" s="4" t="s">
        <v>1153</v>
      </c>
    </row>
    <row r="583" spans="1:3" hidden="1" x14ac:dyDescent="0.25">
      <c r="A583" s="4" t="s">
        <v>1155</v>
      </c>
      <c r="B583" s="5" t="s">
        <v>1156</v>
      </c>
      <c r="C583" s="4" t="s">
        <v>1155</v>
      </c>
    </row>
    <row r="584" spans="1:3" hidden="1" x14ac:dyDescent="0.25">
      <c r="A584" s="4" t="s">
        <v>1157</v>
      </c>
      <c r="B584" s="5" t="s">
        <v>1158</v>
      </c>
      <c r="C584" s="4" t="s">
        <v>1157</v>
      </c>
    </row>
    <row r="585" spans="1:3" hidden="1" x14ac:dyDescent="0.25">
      <c r="A585" s="4" t="s">
        <v>1159</v>
      </c>
      <c r="B585" s="5" t="s">
        <v>1160</v>
      </c>
      <c r="C585" s="4" t="s">
        <v>1159</v>
      </c>
    </row>
    <row r="586" spans="1:3" hidden="1" x14ac:dyDescent="0.25">
      <c r="A586" s="4" t="s">
        <v>1161</v>
      </c>
      <c r="B586" s="5" t="s">
        <v>1162</v>
      </c>
      <c r="C586" s="4" t="s">
        <v>1161</v>
      </c>
    </row>
    <row r="587" spans="1:3" hidden="1" x14ac:dyDescent="0.25">
      <c r="A587" s="4" t="s">
        <v>1163</v>
      </c>
      <c r="B587" s="5" t="s">
        <v>1164</v>
      </c>
      <c r="C587" s="4" t="s">
        <v>1163</v>
      </c>
    </row>
    <row r="588" spans="1:3" hidden="1" x14ac:dyDescent="0.25">
      <c r="A588" s="4" t="s">
        <v>1165</v>
      </c>
      <c r="B588" s="5" t="s">
        <v>1166</v>
      </c>
      <c r="C588" s="4" t="s">
        <v>1165</v>
      </c>
    </row>
    <row r="589" spans="1:3" hidden="1" x14ac:dyDescent="0.25">
      <c r="A589" s="4" t="s">
        <v>1167</v>
      </c>
      <c r="B589" s="5" t="s">
        <v>1168</v>
      </c>
      <c r="C589" s="4" t="s">
        <v>1167</v>
      </c>
    </row>
    <row r="590" spans="1:3" hidden="1" x14ac:dyDescent="0.25">
      <c r="A590" s="4" t="s">
        <v>1169</v>
      </c>
      <c r="B590" s="5" t="s">
        <v>1170</v>
      </c>
      <c r="C590" s="4" t="s">
        <v>1169</v>
      </c>
    </row>
    <row r="591" spans="1:3" hidden="1" x14ac:dyDescent="0.25">
      <c r="A591" s="4" t="s">
        <v>1171</v>
      </c>
      <c r="B591" s="5" t="s">
        <v>1172</v>
      </c>
      <c r="C591" s="4" t="s">
        <v>1171</v>
      </c>
    </row>
    <row r="592" spans="1:3" hidden="1" x14ac:dyDescent="0.25">
      <c r="A592" s="4" t="s">
        <v>1173</v>
      </c>
      <c r="B592" s="5" t="s">
        <v>1174</v>
      </c>
      <c r="C592" s="4" t="s">
        <v>1173</v>
      </c>
    </row>
    <row r="593" spans="1:3" hidden="1" x14ac:dyDescent="0.25">
      <c r="A593" s="4" t="s">
        <v>1175</v>
      </c>
      <c r="B593" s="5" t="s">
        <v>1176</v>
      </c>
      <c r="C593" s="4" t="s">
        <v>1175</v>
      </c>
    </row>
    <row r="594" spans="1:3" hidden="1" x14ac:dyDescent="0.25">
      <c r="A594" s="4" t="s">
        <v>1177</v>
      </c>
      <c r="B594" s="5" t="s">
        <v>1178</v>
      </c>
      <c r="C594" s="4" t="s">
        <v>1177</v>
      </c>
    </row>
    <row r="595" spans="1:3" hidden="1" x14ac:dyDescent="0.25">
      <c r="A595" s="4" t="s">
        <v>1179</v>
      </c>
      <c r="B595" s="5" t="s">
        <v>1180</v>
      </c>
      <c r="C595" s="4" t="s">
        <v>1179</v>
      </c>
    </row>
    <row r="596" spans="1:3" hidden="1" x14ac:dyDescent="0.25">
      <c r="A596" s="4" t="s">
        <v>1181</v>
      </c>
      <c r="B596" s="5" t="s">
        <v>1182</v>
      </c>
      <c r="C596" s="4" t="s">
        <v>1181</v>
      </c>
    </row>
    <row r="597" spans="1:3" hidden="1" x14ac:dyDescent="0.25">
      <c r="A597" s="4" t="s">
        <v>1183</v>
      </c>
      <c r="B597" s="5" t="s">
        <v>1184</v>
      </c>
      <c r="C597" s="4" t="s">
        <v>1183</v>
      </c>
    </row>
    <row r="598" spans="1:3" hidden="1" x14ac:dyDescent="0.25">
      <c r="A598" s="4" t="s">
        <v>1185</v>
      </c>
      <c r="B598" s="5" t="s">
        <v>1186</v>
      </c>
      <c r="C598" s="4" t="s">
        <v>1185</v>
      </c>
    </row>
    <row r="599" spans="1:3" hidden="1" x14ac:dyDescent="0.25">
      <c r="A599" s="4" t="s">
        <v>1187</v>
      </c>
      <c r="B599" s="5" t="s">
        <v>1188</v>
      </c>
      <c r="C599" s="4" t="s">
        <v>1187</v>
      </c>
    </row>
    <row r="600" spans="1:3" hidden="1" x14ac:dyDescent="0.25">
      <c r="A600" s="4" t="s">
        <v>1189</v>
      </c>
      <c r="B600" s="5" t="s">
        <v>680</v>
      </c>
      <c r="C600" s="4" t="s">
        <v>1189</v>
      </c>
    </row>
    <row r="601" spans="1:3" hidden="1" x14ac:dyDescent="0.25">
      <c r="A601" s="4" t="s">
        <v>1190</v>
      </c>
      <c r="B601" s="5" t="s">
        <v>1191</v>
      </c>
      <c r="C601" s="4" t="s">
        <v>1190</v>
      </c>
    </row>
    <row r="602" spans="1:3" hidden="1" x14ac:dyDescent="0.25">
      <c r="A602" s="4" t="s">
        <v>1192</v>
      </c>
      <c r="B602" s="5" t="s">
        <v>1193</v>
      </c>
      <c r="C602" s="4" t="s">
        <v>1192</v>
      </c>
    </row>
    <row r="603" spans="1:3" hidden="1" x14ac:dyDescent="0.25">
      <c r="A603" s="4" t="s">
        <v>1194</v>
      </c>
      <c r="B603" s="5" t="s">
        <v>1195</v>
      </c>
      <c r="C603" s="4" t="s">
        <v>1194</v>
      </c>
    </row>
    <row r="604" spans="1:3" hidden="1" x14ac:dyDescent="0.25">
      <c r="A604" s="4" t="s">
        <v>1196</v>
      </c>
      <c r="B604" s="5" t="s">
        <v>1197</v>
      </c>
      <c r="C604" s="4" t="s">
        <v>1196</v>
      </c>
    </row>
    <row r="605" spans="1:3" hidden="1" x14ac:dyDescent="0.25">
      <c r="A605" s="4" t="s">
        <v>1198</v>
      </c>
      <c r="B605" s="5" t="s">
        <v>1199</v>
      </c>
      <c r="C605" s="4" t="s">
        <v>1198</v>
      </c>
    </row>
    <row r="606" spans="1:3" hidden="1" x14ac:dyDescent="0.25">
      <c r="A606" s="4" t="s">
        <v>1200</v>
      </c>
      <c r="B606" s="5" t="s">
        <v>1201</v>
      </c>
      <c r="C606" s="4" t="s">
        <v>1200</v>
      </c>
    </row>
    <row r="607" spans="1:3" hidden="1" x14ac:dyDescent="0.25">
      <c r="A607" s="4" t="s">
        <v>1202</v>
      </c>
      <c r="B607" s="5" t="s">
        <v>1203</v>
      </c>
      <c r="C607" s="4" t="s">
        <v>1202</v>
      </c>
    </row>
    <row r="608" spans="1:3" hidden="1" x14ac:dyDescent="0.25">
      <c r="A608" s="4" t="s">
        <v>1204</v>
      </c>
      <c r="B608" s="5" t="s">
        <v>1205</v>
      </c>
      <c r="C608" s="4" t="s">
        <v>1204</v>
      </c>
    </row>
    <row r="609" spans="1:3" hidden="1" x14ac:dyDescent="0.25">
      <c r="A609" s="4" t="s">
        <v>1206</v>
      </c>
      <c r="B609" s="5" t="s">
        <v>1207</v>
      </c>
      <c r="C609" s="4" t="s">
        <v>1206</v>
      </c>
    </row>
    <row r="610" spans="1:3" hidden="1" x14ac:dyDescent="0.25">
      <c r="A610" s="4" t="s">
        <v>1208</v>
      </c>
      <c r="B610" s="5" t="s">
        <v>1209</v>
      </c>
      <c r="C610" s="4" t="s">
        <v>1208</v>
      </c>
    </row>
    <row r="611" spans="1:3" hidden="1" x14ac:dyDescent="0.25">
      <c r="A611" s="4" t="s">
        <v>1210</v>
      </c>
      <c r="B611" s="5" t="s">
        <v>1211</v>
      </c>
      <c r="C611" s="4" t="s">
        <v>1210</v>
      </c>
    </row>
    <row r="612" spans="1:3" hidden="1" x14ac:dyDescent="0.25">
      <c r="A612" s="4" t="s">
        <v>1212</v>
      </c>
      <c r="B612" s="5" t="s">
        <v>1213</v>
      </c>
      <c r="C612" s="4" t="s">
        <v>1212</v>
      </c>
    </row>
    <row r="613" spans="1:3" hidden="1" x14ac:dyDescent="0.25">
      <c r="A613" s="4" t="s">
        <v>1214</v>
      </c>
      <c r="B613" s="5" t="s">
        <v>1215</v>
      </c>
      <c r="C613" s="4" t="s">
        <v>1214</v>
      </c>
    </row>
    <row r="614" spans="1:3" hidden="1" x14ac:dyDescent="0.25">
      <c r="A614" s="4" t="s">
        <v>1216</v>
      </c>
      <c r="B614" s="5" t="s">
        <v>1217</v>
      </c>
      <c r="C614" s="4" t="s">
        <v>1216</v>
      </c>
    </row>
    <row r="615" spans="1:3" hidden="1" x14ac:dyDescent="0.25">
      <c r="A615" s="4" t="s">
        <v>1218</v>
      </c>
      <c r="B615" s="5" t="s">
        <v>1219</v>
      </c>
      <c r="C615" s="4" t="s">
        <v>1218</v>
      </c>
    </row>
    <row r="616" spans="1:3" hidden="1" x14ac:dyDescent="0.25">
      <c r="A616" s="4" t="s">
        <v>1220</v>
      </c>
      <c r="B616" s="5" t="s">
        <v>1221</v>
      </c>
      <c r="C616" s="4" t="s">
        <v>1220</v>
      </c>
    </row>
    <row r="617" spans="1:3" hidden="1" x14ac:dyDescent="0.25">
      <c r="A617" s="4" t="s">
        <v>1222</v>
      </c>
      <c r="B617" s="5" t="s">
        <v>1223</v>
      </c>
      <c r="C617" s="4" t="s">
        <v>1222</v>
      </c>
    </row>
    <row r="618" spans="1:3" hidden="1" x14ac:dyDescent="0.25">
      <c r="A618" s="4" t="s">
        <v>1224</v>
      </c>
      <c r="B618" s="5" t="s">
        <v>118</v>
      </c>
      <c r="C618" s="4" t="s">
        <v>1224</v>
      </c>
    </row>
    <row r="619" spans="1:3" hidden="1" x14ac:dyDescent="0.25">
      <c r="A619" s="4" t="s">
        <v>1225</v>
      </c>
      <c r="B619" s="5" t="s">
        <v>1226</v>
      </c>
      <c r="C619" s="4" t="s">
        <v>1225</v>
      </c>
    </row>
    <row r="620" spans="1:3" hidden="1" x14ac:dyDescent="0.25">
      <c r="A620" s="4" t="s">
        <v>1227</v>
      </c>
      <c r="B620" s="5" t="s">
        <v>1228</v>
      </c>
      <c r="C620" s="4" t="s">
        <v>1227</v>
      </c>
    </row>
    <row r="621" spans="1:3" hidden="1" x14ac:dyDescent="0.25">
      <c r="A621" s="4" t="s">
        <v>1229</v>
      </c>
      <c r="B621" s="5" t="s">
        <v>1230</v>
      </c>
      <c r="C621" s="4" t="s">
        <v>1229</v>
      </c>
    </row>
    <row r="622" spans="1:3" hidden="1" x14ac:dyDescent="0.25">
      <c r="A622" s="4" t="s">
        <v>1231</v>
      </c>
      <c r="B622" s="5" t="s">
        <v>1232</v>
      </c>
      <c r="C622" s="4" t="s">
        <v>1231</v>
      </c>
    </row>
    <row r="623" spans="1:3" hidden="1" x14ac:dyDescent="0.25">
      <c r="A623" s="4" t="s">
        <v>1233</v>
      </c>
      <c r="B623" s="5" t="s">
        <v>1234</v>
      </c>
      <c r="C623" s="4" t="s">
        <v>1233</v>
      </c>
    </row>
    <row r="624" spans="1:3" hidden="1" x14ac:dyDescent="0.25">
      <c r="A624" s="4" t="s">
        <v>1235</v>
      </c>
      <c r="B624" s="5" t="s">
        <v>1236</v>
      </c>
      <c r="C624" s="4" t="s">
        <v>1235</v>
      </c>
    </row>
    <row r="625" spans="1:3" hidden="1" x14ac:dyDescent="0.25">
      <c r="A625" s="4" t="s">
        <v>1237</v>
      </c>
      <c r="B625" s="5" t="s">
        <v>1238</v>
      </c>
      <c r="C625" s="4" t="s">
        <v>1237</v>
      </c>
    </row>
    <row r="626" spans="1:3" hidden="1" x14ac:dyDescent="0.25">
      <c r="A626" s="4" t="s">
        <v>1239</v>
      </c>
      <c r="B626" s="5" t="s">
        <v>1240</v>
      </c>
      <c r="C626" s="4" t="s">
        <v>1239</v>
      </c>
    </row>
    <row r="627" spans="1:3" hidden="1" x14ac:dyDescent="0.25">
      <c r="A627" s="4" t="s">
        <v>1241</v>
      </c>
      <c r="B627" s="5" t="s">
        <v>1242</v>
      </c>
      <c r="C627" s="4" t="s">
        <v>1241</v>
      </c>
    </row>
    <row r="628" spans="1:3" hidden="1" x14ac:dyDescent="0.25">
      <c r="A628" s="4" t="s">
        <v>1243</v>
      </c>
      <c r="B628" s="5" t="s">
        <v>676</v>
      </c>
      <c r="C628" s="4" t="s">
        <v>1243</v>
      </c>
    </row>
    <row r="629" spans="1:3" hidden="1" x14ac:dyDescent="0.25">
      <c r="A629" s="4" t="s">
        <v>1244</v>
      </c>
      <c r="B629" s="5" t="s">
        <v>1245</v>
      </c>
      <c r="C629" s="4" t="s">
        <v>1244</v>
      </c>
    </row>
    <row r="630" spans="1:3" hidden="1" x14ac:dyDescent="0.25">
      <c r="A630" s="4" t="s">
        <v>1246</v>
      </c>
      <c r="B630" s="5" t="s">
        <v>1247</v>
      </c>
      <c r="C630" s="4" t="s">
        <v>1246</v>
      </c>
    </row>
    <row r="631" spans="1:3" hidden="1" x14ac:dyDescent="0.25">
      <c r="A631" s="4" t="s">
        <v>1248</v>
      </c>
      <c r="B631" s="5" t="s">
        <v>1249</v>
      </c>
      <c r="C631" s="4" t="s">
        <v>1248</v>
      </c>
    </row>
    <row r="632" spans="1:3" hidden="1" x14ac:dyDescent="0.25">
      <c r="A632" s="4" t="s">
        <v>1250</v>
      </c>
      <c r="B632" s="5" t="s">
        <v>1251</v>
      </c>
      <c r="C632" s="4" t="s">
        <v>1250</v>
      </c>
    </row>
    <row r="633" spans="1:3" hidden="1" x14ac:dyDescent="0.25">
      <c r="A633" s="4" t="s">
        <v>1252</v>
      </c>
      <c r="B633" s="5" t="s">
        <v>1253</v>
      </c>
      <c r="C633" s="4" t="s">
        <v>1252</v>
      </c>
    </row>
    <row r="634" spans="1:3" hidden="1" x14ac:dyDescent="0.25">
      <c r="A634" s="4" t="s">
        <v>1254</v>
      </c>
      <c r="B634" s="5" t="s">
        <v>574</v>
      </c>
      <c r="C634" s="4" t="s">
        <v>1254</v>
      </c>
    </row>
    <row r="635" spans="1:3" hidden="1" x14ac:dyDescent="0.25">
      <c r="A635" s="4" t="s">
        <v>1255</v>
      </c>
      <c r="B635" s="5" t="s">
        <v>1256</v>
      </c>
      <c r="C635" s="4" t="s">
        <v>1255</v>
      </c>
    </row>
    <row r="636" spans="1:3" hidden="1" x14ac:dyDescent="0.25">
      <c r="A636" s="4" t="s">
        <v>1257</v>
      </c>
      <c r="B636" s="5" t="s">
        <v>1258</v>
      </c>
      <c r="C636" s="4" t="s">
        <v>1257</v>
      </c>
    </row>
    <row r="637" spans="1:3" hidden="1" x14ac:dyDescent="0.25">
      <c r="A637" s="4" t="s">
        <v>1259</v>
      </c>
      <c r="B637" s="5" t="s">
        <v>1260</v>
      </c>
      <c r="C637" s="4" t="s">
        <v>1259</v>
      </c>
    </row>
    <row r="638" spans="1:3" hidden="1" x14ac:dyDescent="0.25">
      <c r="A638" s="4" t="s">
        <v>1261</v>
      </c>
      <c r="B638" s="5" t="s">
        <v>1262</v>
      </c>
      <c r="C638" s="4" t="s">
        <v>1261</v>
      </c>
    </row>
    <row r="639" spans="1:3" hidden="1" x14ac:dyDescent="0.25">
      <c r="A639" s="4" t="s">
        <v>1263</v>
      </c>
      <c r="B639" s="5" t="s">
        <v>1264</v>
      </c>
      <c r="C639" s="4" t="s">
        <v>1263</v>
      </c>
    </row>
    <row r="640" spans="1:3" hidden="1" x14ac:dyDescent="0.25">
      <c r="A640" s="4" t="s">
        <v>1265</v>
      </c>
      <c r="B640" s="5" t="s">
        <v>1266</v>
      </c>
      <c r="C640" s="4" t="s">
        <v>1265</v>
      </c>
    </row>
    <row r="641" spans="1:3" hidden="1" x14ac:dyDescent="0.25">
      <c r="A641" s="4" t="s">
        <v>1267</v>
      </c>
      <c r="B641" s="5" t="s">
        <v>1268</v>
      </c>
      <c r="C641" s="4" t="s">
        <v>1267</v>
      </c>
    </row>
    <row r="642" spans="1:3" hidden="1" x14ac:dyDescent="0.25">
      <c r="A642" s="4" t="s">
        <v>1269</v>
      </c>
      <c r="B642" s="5" t="s">
        <v>1270</v>
      </c>
      <c r="C642" s="4" t="s">
        <v>1269</v>
      </c>
    </row>
    <row r="643" spans="1:3" hidden="1" x14ac:dyDescent="0.25">
      <c r="A643" s="4" t="s">
        <v>1271</v>
      </c>
      <c r="B643" s="5" t="s">
        <v>1272</v>
      </c>
      <c r="C643" s="4" t="s">
        <v>1271</v>
      </c>
    </row>
    <row r="644" spans="1:3" hidden="1" x14ac:dyDescent="0.25">
      <c r="A644" s="4" t="s">
        <v>1273</v>
      </c>
      <c r="B644" s="5" t="s">
        <v>700</v>
      </c>
      <c r="C644" s="4" t="s">
        <v>1273</v>
      </c>
    </row>
    <row r="645" spans="1:3" hidden="1" x14ac:dyDescent="0.25">
      <c r="A645" s="4" t="s">
        <v>1274</v>
      </c>
      <c r="B645" s="5" t="s">
        <v>1275</v>
      </c>
      <c r="C645" s="4" t="s">
        <v>1274</v>
      </c>
    </row>
    <row r="646" spans="1:3" hidden="1" x14ac:dyDescent="0.25">
      <c r="A646" s="4" t="s">
        <v>1276</v>
      </c>
      <c r="B646" s="5" t="s">
        <v>1277</v>
      </c>
      <c r="C646" s="4" t="s">
        <v>1276</v>
      </c>
    </row>
    <row r="647" spans="1:3" hidden="1" x14ac:dyDescent="0.25">
      <c r="A647" s="4" t="s">
        <v>1278</v>
      </c>
      <c r="B647" s="5" t="s">
        <v>1279</v>
      </c>
      <c r="C647" s="4" t="s">
        <v>1278</v>
      </c>
    </row>
    <row r="648" spans="1:3" hidden="1" x14ac:dyDescent="0.25">
      <c r="A648" s="4" t="s">
        <v>1280</v>
      </c>
      <c r="B648" s="5" t="s">
        <v>1281</v>
      </c>
      <c r="C648" s="4" t="s">
        <v>1280</v>
      </c>
    </row>
    <row r="649" spans="1:3" hidden="1" x14ac:dyDescent="0.25">
      <c r="A649" s="4" t="s">
        <v>1282</v>
      </c>
      <c r="B649" s="5" t="s">
        <v>1283</v>
      </c>
      <c r="C649" s="4" t="s">
        <v>1282</v>
      </c>
    </row>
    <row r="650" spans="1:3" hidden="1" x14ac:dyDescent="0.25">
      <c r="A650" s="4" t="s">
        <v>1284</v>
      </c>
      <c r="B650" s="5" t="s">
        <v>1285</v>
      </c>
      <c r="C650" s="4" t="s">
        <v>1284</v>
      </c>
    </row>
    <row r="651" spans="1:3" hidden="1" x14ac:dyDescent="0.25">
      <c r="A651" s="4" t="s">
        <v>1286</v>
      </c>
      <c r="B651" s="5" t="s">
        <v>1287</v>
      </c>
      <c r="C651" s="4" t="s">
        <v>1286</v>
      </c>
    </row>
    <row r="652" spans="1:3" hidden="1" x14ac:dyDescent="0.25">
      <c r="A652" s="4" t="s">
        <v>1288</v>
      </c>
      <c r="B652" s="5" t="s">
        <v>1289</v>
      </c>
      <c r="C652" s="4" t="s">
        <v>1288</v>
      </c>
    </row>
    <row r="653" spans="1:3" hidden="1" x14ac:dyDescent="0.25">
      <c r="A653" s="4" t="s">
        <v>1290</v>
      </c>
      <c r="B653" s="5" t="s">
        <v>1291</v>
      </c>
      <c r="C653" s="4" t="s">
        <v>1290</v>
      </c>
    </row>
    <row r="654" spans="1:3" hidden="1" x14ac:dyDescent="0.25">
      <c r="A654" s="4" t="s">
        <v>1292</v>
      </c>
      <c r="B654" s="5" t="s">
        <v>1293</v>
      </c>
      <c r="C654" s="4" t="s">
        <v>1292</v>
      </c>
    </row>
    <row r="655" spans="1:3" hidden="1" x14ac:dyDescent="0.25">
      <c r="A655" s="4" t="s">
        <v>1294</v>
      </c>
      <c r="B655" s="5" t="s">
        <v>1295</v>
      </c>
      <c r="C655" s="4" t="s">
        <v>1294</v>
      </c>
    </row>
    <row r="656" spans="1:3" hidden="1" x14ac:dyDescent="0.25">
      <c r="A656" s="4" t="s">
        <v>1296</v>
      </c>
      <c r="B656" s="5" t="s">
        <v>1297</v>
      </c>
      <c r="C656" s="4" t="s">
        <v>1296</v>
      </c>
    </row>
    <row r="657" spans="1:3" hidden="1" x14ac:dyDescent="0.25">
      <c r="A657" s="4" t="s">
        <v>1298</v>
      </c>
      <c r="B657" s="5" t="s">
        <v>397</v>
      </c>
      <c r="C657" s="4" t="s">
        <v>1298</v>
      </c>
    </row>
    <row r="658" spans="1:3" hidden="1" x14ac:dyDescent="0.25">
      <c r="A658" s="4" t="s">
        <v>1299</v>
      </c>
      <c r="B658" s="5" t="s">
        <v>1300</v>
      </c>
      <c r="C658" s="4" t="s">
        <v>1299</v>
      </c>
    </row>
    <row r="659" spans="1:3" hidden="1" x14ac:dyDescent="0.25">
      <c r="A659" s="4" t="s">
        <v>1301</v>
      </c>
      <c r="B659" s="5" t="s">
        <v>1302</v>
      </c>
      <c r="C659" s="4" t="s">
        <v>1301</v>
      </c>
    </row>
    <row r="660" spans="1:3" hidden="1" x14ac:dyDescent="0.25">
      <c r="A660" s="4" t="s">
        <v>1303</v>
      </c>
      <c r="B660" s="5" t="s">
        <v>1304</v>
      </c>
      <c r="C660" s="4" t="s">
        <v>1303</v>
      </c>
    </row>
    <row r="661" spans="1:3" hidden="1" x14ac:dyDescent="0.25">
      <c r="A661" s="4" t="s">
        <v>1305</v>
      </c>
      <c r="B661" s="5" t="s">
        <v>1306</v>
      </c>
      <c r="C661" s="4" t="s">
        <v>1305</v>
      </c>
    </row>
    <row r="662" spans="1:3" hidden="1" x14ac:dyDescent="0.25">
      <c r="A662" s="4" t="s">
        <v>1307</v>
      </c>
      <c r="B662" s="5" t="s">
        <v>1308</v>
      </c>
      <c r="C662" s="4" t="s">
        <v>1307</v>
      </c>
    </row>
    <row r="663" spans="1:3" hidden="1" x14ac:dyDescent="0.25">
      <c r="A663" s="4" t="s">
        <v>1309</v>
      </c>
      <c r="B663" s="5" t="s">
        <v>1310</v>
      </c>
      <c r="C663" s="4" t="s">
        <v>1309</v>
      </c>
    </row>
    <row r="664" spans="1:3" hidden="1" x14ac:dyDescent="0.25">
      <c r="A664" s="4" t="s">
        <v>1311</v>
      </c>
      <c r="B664" s="5" t="s">
        <v>1312</v>
      </c>
      <c r="C664" s="4" t="s">
        <v>1311</v>
      </c>
    </row>
    <row r="665" spans="1:3" hidden="1" x14ac:dyDescent="0.25">
      <c r="A665" s="4" t="s">
        <v>1313</v>
      </c>
      <c r="B665" s="5" t="s">
        <v>90</v>
      </c>
      <c r="C665" s="4" t="s">
        <v>1313</v>
      </c>
    </row>
    <row r="666" spans="1:3" hidden="1" x14ac:dyDescent="0.25">
      <c r="A666" s="4" t="s">
        <v>1314</v>
      </c>
      <c r="B666" s="5" t="s">
        <v>1315</v>
      </c>
      <c r="C666" s="4" t="s">
        <v>1314</v>
      </c>
    </row>
    <row r="667" spans="1:3" hidden="1" x14ac:dyDescent="0.25">
      <c r="A667" s="4" t="s">
        <v>1316</v>
      </c>
      <c r="B667" s="5" t="s">
        <v>1317</v>
      </c>
      <c r="C667" s="4" t="s">
        <v>1316</v>
      </c>
    </row>
    <row r="668" spans="1:3" hidden="1" x14ac:dyDescent="0.25">
      <c r="A668" s="4" t="s">
        <v>1318</v>
      </c>
      <c r="B668" s="5" t="s">
        <v>1319</v>
      </c>
      <c r="C668" s="4" t="s">
        <v>1318</v>
      </c>
    </row>
    <row r="669" spans="1:3" hidden="1" x14ac:dyDescent="0.25">
      <c r="A669" s="4" t="s">
        <v>1320</v>
      </c>
      <c r="B669" s="5" t="s">
        <v>1321</v>
      </c>
      <c r="C669" s="4" t="s">
        <v>1320</v>
      </c>
    </row>
    <row r="670" spans="1:3" hidden="1" x14ac:dyDescent="0.25">
      <c r="A670" s="4" t="s">
        <v>1322</v>
      </c>
      <c r="B670" s="5" t="s">
        <v>1323</v>
      </c>
      <c r="C670" s="4" t="s">
        <v>1322</v>
      </c>
    </row>
    <row r="671" spans="1:3" hidden="1" x14ac:dyDescent="0.25">
      <c r="A671" s="4" t="s">
        <v>1324</v>
      </c>
      <c r="B671" s="5" t="s">
        <v>1325</v>
      </c>
      <c r="C671" s="4" t="s">
        <v>1324</v>
      </c>
    </row>
    <row r="672" spans="1:3" hidden="1" x14ac:dyDescent="0.25">
      <c r="A672" s="4" t="s">
        <v>1326</v>
      </c>
      <c r="B672" s="5" t="s">
        <v>1327</v>
      </c>
      <c r="C672" s="4" t="s">
        <v>1326</v>
      </c>
    </row>
    <row r="673" spans="1:3" hidden="1" x14ac:dyDescent="0.25">
      <c r="A673" s="4" t="s">
        <v>1328</v>
      </c>
      <c r="B673" s="5" t="s">
        <v>1329</v>
      </c>
      <c r="C673" s="4" t="s">
        <v>1328</v>
      </c>
    </row>
    <row r="674" spans="1:3" hidden="1" x14ac:dyDescent="0.25">
      <c r="A674" s="4" t="s">
        <v>1330</v>
      </c>
      <c r="B674" s="5" t="s">
        <v>1331</v>
      </c>
      <c r="C674" s="4" t="s">
        <v>1330</v>
      </c>
    </row>
    <row r="675" spans="1:3" hidden="1" x14ac:dyDescent="0.25">
      <c r="A675" s="4" t="s">
        <v>1332</v>
      </c>
      <c r="B675" s="5" t="s">
        <v>1333</v>
      </c>
      <c r="C675" s="4" t="s">
        <v>1332</v>
      </c>
    </row>
    <row r="676" spans="1:3" hidden="1" x14ac:dyDescent="0.25">
      <c r="A676" s="4" t="s">
        <v>1334</v>
      </c>
      <c r="B676" s="5" t="s">
        <v>1335</v>
      </c>
      <c r="C676" s="4" t="s">
        <v>1334</v>
      </c>
    </row>
    <row r="677" spans="1:3" hidden="1" x14ac:dyDescent="0.25">
      <c r="A677" s="4" t="s">
        <v>1336</v>
      </c>
      <c r="B677" s="5" t="s">
        <v>1337</v>
      </c>
      <c r="C677" s="4" t="s">
        <v>1336</v>
      </c>
    </row>
    <row r="678" spans="1:3" hidden="1" x14ac:dyDescent="0.25">
      <c r="A678" s="4" t="s">
        <v>1338</v>
      </c>
      <c r="B678" s="5" t="s">
        <v>1339</v>
      </c>
      <c r="C678" s="4" t="s">
        <v>1338</v>
      </c>
    </row>
    <row r="679" spans="1:3" hidden="1" x14ac:dyDescent="0.25">
      <c r="A679" s="4" t="s">
        <v>1340</v>
      </c>
      <c r="B679" s="5" t="s">
        <v>684</v>
      </c>
      <c r="C679" s="4" t="s">
        <v>1340</v>
      </c>
    </row>
    <row r="680" spans="1:3" hidden="1" x14ac:dyDescent="0.25">
      <c r="A680" s="4" t="s">
        <v>1341</v>
      </c>
      <c r="B680" s="5" t="s">
        <v>1342</v>
      </c>
      <c r="C680" s="4" t="s">
        <v>1341</v>
      </c>
    </row>
    <row r="681" spans="1:3" hidden="1" x14ac:dyDescent="0.25">
      <c r="A681" s="4" t="s">
        <v>1343</v>
      </c>
      <c r="B681" s="5" t="s">
        <v>1344</v>
      </c>
      <c r="C681" s="4" t="s">
        <v>1343</v>
      </c>
    </row>
    <row r="682" spans="1:3" hidden="1" x14ac:dyDescent="0.25">
      <c r="A682" s="4" t="s">
        <v>1345</v>
      </c>
      <c r="B682" s="5" t="s">
        <v>1346</v>
      </c>
      <c r="C682" s="4" t="s">
        <v>1345</v>
      </c>
    </row>
    <row r="683" spans="1:3" hidden="1" x14ac:dyDescent="0.25">
      <c r="A683" s="4" t="s">
        <v>1347</v>
      </c>
      <c r="B683" s="5" t="s">
        <v>1348</v>
      </c>
      <c r="C683" s="4" t="s">
        <v>1347</v>
      </c>
    </row>
    <row r="684" spans="1:3" hidden="1" x14ac:dyDescent="0.25">
      <c r="A684" s="4" t="s">
        <v>1349</v>
      </c>
      <c r="B684" s="5" t="s">
        <v>1350</v>
      </c>
      <c r="C684" s="4" t="s">
        <v>1349</v>
      </c>
    </row>
    <row r="685" spans="1:3" hidden="1" x14ac:dyDescent="0.25">
      <c r="A685" s="4" t="s">
        <v>1351</v>
      </c>
      <c r="B685" s="5" t="s">
        <v>1352</v>
      </c>
      <c r="C685" s="4" t="s">
        <v>1351</v>
      </c>
    </row>
    <row r="686" spans="1:3" hidden="1" x14ac:dyDescent="0.25">
      <c r="A686" s="4" t="s">
        <v>1353</v>
      </c>
      <c r="B686" s="5" t="s">
        <v>1354</v>
      </c>
      <c r="C686" s="4" t="s">
        <v>1353</v>
      </c>
    </row>
    <row r="687" spans="1:3" hidden="1" x14ac:dyDescent="0.25">
      <c r="A687" s="4" t="s">
        <v>1355</v>
      </c>
      <c r="B687" s="5" t="s">
        <v>1356</v>
      </c>
      <c r="C687" s="4" t="s">
        <v>1355</v>
      </c>
    </row>
    <row r="688" spans="1:3" hidden="1" x14ac:dyDescent="0.25">
      <c r="A688" s="4" t="s">
        <v>1357</v>
      </c>
      <c r="B688" s="5" t="s">
        <v>1358</v>
      </c>
      <c r="C688" s="4" t="s">
        <v>1357</v>
      </c>
    </row>
    <row r="689" spans="1:3" hidden="1" x14ac:dyDescent="0.25">
      <c r="A689" s="4" t="s">
        <v>1359</v>
      </c>
      <c r="B689" s="5" t="s">
        <v>1360</v>
      </c>
      <c r="C689" s="4" t="s">
        <v>1359</v>
      </c>
    </row>
    <row r="690" spans="1:3" hidden="1" x14ac:dyDescent="0.25">
      <c r="A690" s="4" t="s">
        <v>1361</v>
      </c>
      <c r="B690" s="5" t="s">
        <v>1362</v>
      </c>
      <c r="C690" s="4" t="s">
        <v>1361</v>
      </c>
    </row>
    <row r="691" spans="1:3" hidden="1" x14ac:dyDescent="0.25">
      <c r="A691" s="4" t="s">
        <v>1363</v>
      </c>
      <c r="B691" s="5" t="s">
        <v>1364</v>
      </c>
      <c r="C691" s="4" t="s">
        <v>1363</v>
      </c>
    </row>
    <row r="692" spans="1:3" hidden="1" x14ac:dyDescent="0.25">
      <c r="A692" s="4" t="s">
        <v>1365</v>
      </c>
      <c r="B692" s="5" t="s">
        <v>1366</v>
      </c>
      <c r="C692" s="4" t="s">
        <v>1365</v>
      </c>
    </row>
    <row r="693" spans="1:3" hidden="1" x14ac:dyDescent="0.25">
      <c r="A693" s="4" t="s">
        <v>1367</v>
      </c>
      <c r="B693" s="5" t="s">
        <v>1368</v>
      </c>
      <c r="C693" s="4" t="s">
        <v>1367</v>
      </c>
    </row>
    <row r="694" spans="1:3" hidden="1" x14ac:dyDescent="0.25">
      <c r="A694" s="4" t="s">
        <v>1369</v>
      </c>
      <c r="B694" s="5" t="s">
        <v>1370</v>
      </c>
      <c r="C694" s="4" t="s">
        <v>1369</v>
      </c>
    </row>
    <row r="695" spans="1:3" hidden="1" x14ac:dyDescent="0.25">
      <c r="A695" s="4" t="s">
        <v>1371</v>
      </c>
      <c r="B695" s="5" t="s">
        <v>1372</v>
      </c>
      <c r="C695" s="4" t="s">
        <v>1371</v>
      </c>
    </row>
    <row r="696" spans="1:3" hidden="1" x14ac:dyDescent="0.25">
      <c r="A696" s="4" t="s">
        <v>1373</v>
      </c>
      <c r="B696" s="5" t="s">
        <v>1374</v>
      </c>
      <c r="C696" s="4" t="s">
        <v>1373</v>
      </c>
    </row>
    <row r="697" spans="1:3" hidden="1" x14ac:dyDescent="0.25">
      <c r="A697" s="4" t="s">
        <v>1375</v>
      </c>
      <c r="B697" s="5" t="s">
        <v>1376</v>
      </c>
      <c r="C697" s="4" t="s">
        <v>1375</v>
      </c>
    </row>
    <row r="698" spans="1:3" hidden="1" x14ac:dyDescent="0.25">
      <c r="A698" s="4" t="s">
        <v>1377</v>
      </c>
      <c r="B698" s="5" t="s">
        <v>1378</v>
      </c>
      <c r="C698" s="4" t="s">
        <v>1377</v>
      </c>
    </row>
    <row r="699" spans="1:3" hidden="1" x14ac:dyDescent="0.25">
      <c r="A699" s="4" t="s">
        <v>1379</v>
      </c>
      <c r="B699" s="5" t="s">
        <v>116</v>
      </c>
      <c r="C699" s="4" t="s">
        <v>1379</v>
      </c>
    </row>
    <row r="700" spans="1:3" hidden="1" x14ac:dyDescent="0.25">
      <c r="A700" s="4" t="s">
        <v>1380</v>
      </c>
      <c r="B700" s="5" t="s">
        <v>1323</v>
      </c>
      <c r="C700" s="4" t="s">
        <v>1380</v>
      </c>
    </row>
    <row r="701" spans="1:3" hidden="1" x14ac:dyDescent="0.25">
      <c r="A701" s="4" t="s">
        <v>1381</v>
      </c>
      <c r="B701" s="5" t="s">
        <v>1382</v>
      </c>
      <c r="C701" s="4" t="s">
        <v>1381</v>
      </c>
    </row>
    <row r="702" spans="1:3" hidden="1" x14ac:dyDescent="0.25">
      <c r="A702" s="4" t="s">
        <v>1383</v>
      </c>
      <c r="B702" s="5" t="s">
        <v>1384</v>
      </c>
      <c r="C702" s="4" t="s">
        <v>1383</v>
      </c>
    </row>
    <row r="703" spans="1:3" hidden="1" x14ac:dyDescent="0.25">
      <c r="A703" s="4" t="s">
        <v>1385</v>
      </c>
      <c r="B703" s="5" t="s">
        <v>1386</v>
      </c>
      <c r="C703" s="4" t="s">
        <v>1385</v>
      </c>
    </row>
    <row r="704" spans="1:3" hidden="1" x14ac:dyDescent="0.25">
      <c r="A704" s="4" t="s">
        <v>1387</v>
      </c>
      <c r="B704" s="5" t="s">
        <v>1388</v>
      </c>
      <c r="C704" s="4" t="s">
        <v>1387</v>
      </c>
    </row>
    <row r="705" spans="1:3" hidden="1" x14ac:dyDescent="0.25">
      <c r="A705" s="4" t="s">
        <v>1389</v>
      </c>
      <c r="B705" s="5" t="s">
        <v>1390</v>
      </c>
      <c r="C705" s="4" t="s">
        <v>1389</v>
      </c>
    </row>
    <row r="706" spans="1:3" hidden="1" x14ac:dyDescent="0.25">
      <c r="A706" s="4" t="s">
        <v>1391</v>
      </c>
      <c r="B706" s="5" t="s">
        <v>1392</v>
      </c>
      <c r="C706" s="4" t="s">
        <v>1391</v>
      </c>
    </row>
    <row r="707" spans="1:3" hidden="1" x14ac:dyDescent="0.25">
      <c r="A707" s="4" t="s">
        <v>1393</v>
      </c>
      <c r="B707" s="5" t="s">
        <v>1394</v>
      </c>
      <c r="C707" s="4" t="s">
        <v>1393</v>
      </c>
    </row>
    <row r="708" spans="1:3" hidden="1" x14ac:dyDescent="0.25">
      <c r="A708" s="4" t="s">
        <v>1395</v>
      </c>
      <c r="B708" s="5" t="s">
        <v>1396</v>
      </c>
      <c r="C708" s="4" t="s">
        <v>1395</v>
      </c>
    </row>
    <row r="709" spans="1:3" hidden="1" x14ac:dyDescent="0.25">
      <c r="A709" s="4" t="s">
        <v>1397</v>
      </c>
      <c r="B709" s="5" t="s">
        <v>1398</v>
      </c>
      <c r="C709" s="4" t="s">
        <v>1397</v>
      </c>
    </row>
    <row r="710" spans="1:3" hidden="1" x14ac:dyDescent="0.25">
      <c r="A710" s="4" t="s">
        <v>1399</v>
      </c>
      <c r="B710" s="5" t="s">
        <v>718</v>
      </c>
      <c r="C710" s="4" t="s">
        <v>1399</v>
      </c>
    </row>
    <row r="711" spans="1:3" hidden="1" x14ac:dyDescent="0.25">
      <c r="A711" s="4" t="s">
        <v>1400</v>
      </c>
      <c r="B711" s="5" t="s">
        <v>1401</v>
      </c>
      <c r="C711" s="4" t="s">
        <v>1400</v>
      </c>
    </row>
    <row r="712" spans="1:3" hidden="1" x14ac:dyDescent="0.25">
      <c r="A712" s="4" t="s">
        <v>1402</v>
      </c>
      <c r="B712" s="5" t="s">
        <v>1403</v>
      </c>
      <c r="C712" s="4" t="s">
        <v>1402</v>
      </c>
    </row>
    <row r="713" spans="1:3" hidden="1" x14ac:dyDescent="0.25">
      <c r="A713" s="4" t="s">
        <v>1404</v>
      </c>
      <c r="B713" s="5" t="s">
        <v>1405</v>
      </c>
      <c r="C713" s="4" t="s">
        <v>1404</v>
      </c>
    </row>
    <row r="714" spans="1:3" hidden="1" x14ac:dyDescent="0.25">
      <c r="A714" s="4" t="s">
        <v>1406</v>
      </c>
      <c r="B714" s="5" t="s">
        <v>1407</v>
      </c>
      <c r="C714" s="4" t="s">
        <v>1406</v>
      </c>
    </row>
    <row r="715" spans="1:3" hidden="1" x14ac:dyDescent="0.25">
      <c r="A715" s="4" t="s">
        <v>1408</v>
      </c>
      <c r="B715" s="5" t="s">
        <v>854</v>
      </c>
      <c r="C715" s="4" t="s">
        <v>1408</v>
      </c>
    </row>
    <row r="716" spans="1:3" hidden="1" x14ac:dyDescent="0.25">
      <c r="A716" s="4" t="s">
        <v>1409</v>
      </c>
      <c r="B716" s="5" t="s">
        <v>1410</v>
      </c>
      <c r="C716" s="4" t="s">
        <v>1409</v>
      </c>
    </row>
    <row r="717" spans="1:3" hidden="1" x14ac:dyDescent="0.25">
      <c r="A717" s="4" t="s">
        <v>1411</v>
      </c>
      <c r="B717" s="5" t="s">
        <v>1412</v>
      </c>
      <c r="C717" s="4" t="s">
        <v>1411</v>
      </c>
    </row>
    <row r="718" spans="1:3" hidden="1" x14ac:dyDescent="0.25">
      <c r="A718" s="4" t="s">
        <v>1413</v>
      </c>
      <c r="B718" s="5" t="s">
        <v>918</v>
      </c>
      <c r="C718" s="4" t="s">
        <v>1413</v>
      </c>
    </row>
    <row r="719" spans="1:3" hidden="1" x14ac:dyDescent="0.25">
      <c r="A719" s="4" t="s">
        <v>1414</v>
      </c>
      <c r="B719" s="5" t="s">
        <v>1415</v>
      </c>
      <c r="C719" s="4" t="s">
        <v>1414</v>
      </c>
    </row>
    <row r="720" spans="1:3" hidden="1" x14ac:dyDescent="0.25">
      <c r="A720" s="4" t="s">
        <v>1416</v>
      </c>
      <c r="B720" s="5" t="s">
        <v>1417</v>
      </c>
      <c r="C720" s="4" t="s">
        <v>1416</v>
      </c>
    </row>
    <row r="721" spans="1:3" hidden="1" x14ac:dyDescent="0.25">
      <c r="A721" s="4" t="s">
        <v>1418</v>
      </c>
      <c r="B721" s="5" t="s">
        <v>1419</v>
      </c>
      <c r="C721" s="4" t="s">
        <v>1418</v>
      </c>
    </row>
    <row r="722" spans="1:3" hidden="1" x14ac:dyDescent="0.25">
      <c r="A722" s="4" t="s">
        <v>1420</v>
      </c>
      <c r="B722" s="5" t="s">
        <v>1421</v>
      </c>
      <c r="C722" s="4" t="s">
        <v>1420</v>
      </c>
    </row>
    <row r="723" spans="1:3" hidden="1" x14ac:dyDescent="0.25">
      <c r="A723" s="4" t="s">
        <v>1422</v>
      </c>
      <c r="B723" s="5" t="s">
        <v>409</v>
      </c>
      <c r="C723" s="4" t="s">
        <v>1422</v>
      </c>
    </row>
    <row r="724" spans="1:3" hidden="1" x14ac:dyDescent="0.25">
      <c r="A724" s="4" t="s">
        <v>1423</v>
      </c>
      <c r="B724" s="5" t="s">
        <v>1424</v>
      </c>
      <c r="C724" s="4" t="s">
        <v>1423</v>
      </c>
    </row>
    <row r="725" spans="1:3" hidden="1" x14ac:dyDescent="0.25">
      <c r="A725" s="4" t="s">
        <v>1425</v>
      </c>
      <c r="B725" s="5" t="s">
        <v>1426</v>
      </c>
      <c r="C725" s="4" t="s">
        <v>1425</v>
      </c>
    </row>
    <row r="726" spans="1:3" hidden="1" x14ac:dyDescent="0.25">
      <c r="A726" s="4" t="s">
        <v>1427</v>
      </c>
      <c r="B726" s="5" t="s">
        <v>1428</v>
      </c>
      <c r="C726" s="4" t="s">
        <v>1427</v>
      </c>
    </row>
    <row r="727" spans="1:3" hidden="1" x14ac:dyDescent="0.25">
      <c r="A727" s="4" t="s">
        <v>1429</v>
      </c>
      <c r="B727" s="5" t="s">
        <v>1430</v>
      </c>
      <c r="C727" s="4" t="s">
        <v>1429</v>
      </c>
    </row>
    <row r="728" spans="1:3" hidden="1" x14ac:dyDescent="0.25">
      <c r="A728" s="4" t="s">
        <v>1431</v>
      </c>
      <c r="B728" s="5" t="s">
        <v>329</v>
      </c>
      <c r="C728" s="4" t="s">
        <v>1431</v>
      </c>
    </row>
    <row r="729" spans="1:3" hidden="1" x14ac:dyDescent="0.25">
      <c r="A729" s="4" t="s">
        <v>1432</v>
      </c>
      <c r="B729" s="5" t="s">
        <v>1433</v>
      </c>
      <c r="C729" s="4" t="s">
        <v>1432</v>
      </c>
    </row>
    <row r="730" spans="1:3" hidden="1" x14ac:dyDescent="0.25">
      <c r="A730" s="4" t="s">
        <v>1434</v>
      </c>
      <c r="B730" s="5" t="s">
        <v>1435</v>
      </c>
      <c r="C730" s="4" t="s">
        <v>1434</v>
      </c>
    </row>
    <row r="731" spans="1:3" hidden="1" x14ac:dyDescent="0.25">
      <c r="A731" s="4" t="s">
        <v>1436</v>
      </c>
      <c r="B731" s="5" t="s">
        <v>1437</v>
      </c>
      <c r="C731" s="4" t="s">
        <v>1436</v>
      </c>
    </row>
    <row r="732" spans="1:3" hidden="1" x14ac:dyDescent="0.25">
      <c r="A732" s="4" t="s">
        <v>1438</v>
      </c>
      <c r="B732" s="5" t="s">
        <v>1439</v>
      </c>
      <c r="C732" s="4" t="s">
        <v>1438</v>
      </c>
    </row>
    <row r="733" spans="1:3" hidden="1" x14ac:dyDescent="0.25">
      <c r="A733" s="4" t="s">
        <v>1440</v>
      </c>
      <c r="B733" s="5" t="s">
        <v>1441</v>
      </c>
      <c r="C733" s="4" t="s">
        <v>1440</v>
      </c>
    </row>
    <row r="734" spans="1:3" hidden="1" x14ac:dyDescent="0.25">
      <c r="A734" s="4" t="s">
        <v>1442</v>
      </c>
      <c r="B734" s="5" t="s">
        <v>1443</v>
      </c>
      <c r="C734" s="4" t="s">
        <v>1442</v>
      </c>
    </row>
    <row r="735" spans="1:3" hidden="1" x14ac:dyDescent="0.25">
      <c r="A735" s="4" t="s">
        <v>1444</v>
      </c>
      <c r="B735" s="5" t="s">
        <v>1445</v>
      </c>
      <c r="C735" s="4" t="s">
        <v>1444</v>
      </c>
    </row>
    <row r="736" spans="1:3" hidden="1" x14ac:dyDescent="0.25">
      <c r="A736" s="4" t="s">
        <v>1446</v>
      </c>
      <c r="B736" s="5" t="s">
        <v>1447</v>
      </c>
      <c r="C736" s="4" t="s">
        <v>1446</v>
      </c>
    </row>
    <row r="737" spans="1:3" hidden="1" x14ac:dyDescent="0.25">
      <c r="A737" s="4" t="s">
        <v>1448</v>
      </c>
      <c r="B737" s="5" t="s">
        <v>748</v>
      </c>
      <c r="C737" s="4" t="s">
        <v>1448</v>
      </c>
    </row>
    <row r="738" spans="1:3" hidden="1" x14ac:dyDescent="0.25">
      <c r="A738" s="4" t="s">
        <v>1449</v>
      </c>
      <c r="B738" s="5" t="s">
        <v>1450</v>
      </c>
      <c r="C738" s="4" t="s">
        <v>1449</v>
      </c>
    </row>
    <row r="739" spans="1:3" hidden="1" x14ac:dyDescent="0.25">
      <c r="A739" s="4" t="s">
        <v>1451</v>
      </c>
      <c r="B739" s="5" t="s">
        <v>1452</v>
      </c>
      <c r="C739" s="4" t="s">
        <v>1451</v>
      </c>
    </row>
    <row r="740" spans="1:3" hidden="1" x14ac:dyDescent="0.25">
      <c r="A740" s="4" t="s">
        <v>1453</v>
      </c>
      <c r="B740" s="5" t="s">
        <v>1454</v>
      </c>
      <c r="C740" s="4" t="s">
        <v>1453</v>
      </c>
    </row>
    <row r="741" spans="1:3" hidden="1" x14ac:dyDescent="0.25">
      <c r="A741" s="4" t="s">
        <v>1455</v>
      </c>
      <c r="B741" s="5" t="s">
        <v>1456</v>
      </c>
      <c r="C741" s="4" t="s">
        <v>1455</v>
      </c>
    </row>
    <row r="742" spans="1:3" hidden="1" x14ac:dyDescent="0.25">
      <c r="A742" s="4" t="s">
        <v>1457</v>
      </c>
      <c r="B742" s="5" t="s">
        <v>1458</v>
      </c>
      <c r="C742" s="4" t="s">
        <v>1457</v>
      </c>
    </row>
    <row r="743" spans="1:3" hidden="1" x14ac:dyDescent="0.25">
      <c r="A743" s="4" t="s">
        <v>1459</v>
      </c>
      <c r="B743" s="5" t="s">
        <v>1460</v>
      </c>
      <c r="C743" s="4" t="s">
        <v>1459</v>
      </c>
    </row>
    <row r="744" spans="1:3" hidden="1" x14ac:dyDescent="0.25">
      <c r="A744" s="4" t="s">
        <v>1461</v>
      </c>
      <c r="B744" s="5" t="s">
        <v>1462</v>
      </c>
      <c r="C744" s="4" t="s">
        <v>1461</v>
      </c>
    </row>
    <row r="745" spans="1:3" hidden="1" x14ac:dyDescent="0.25">
      <c r="A745" s="4" t="s">
        <v>1463</v>
      </c>
      <c r="B745" s="5" t="s">
        <v>1464</v>
      </c>
      <c r="C745" s="4" t="s">
        <v>1463</v>
      </c>
    </row>
    <row r="746" spans="1:3" hidden="1" x14ac:dyDescent="0.25">
      <c r="A746" s="4" t="s">
        <v>1465</v>
      </c>
      <c r="B746" s="5" t="s">
        <v>1466</v>
      </c>
      <c r="C746" s="4" t="s">
        <v>1465</v>
      </c>
    </row>
    <row r="747" spans="1:3" hidden="1" x14ac:dyDescent="0.25">
      <c r="A747" s="4" t="s">
        <v>1467</v>
      </c>
      <c r="B747" s="5" t="s">
        <v>1468</v>
      </c>
      <c r="C747" s="4" t="s">
        <v>1467</v>
      </c>
    </row>
    <row r="748" spans="1:3" hidden="1" x14ac:dyDescent="0.25">
      <c r="A748" s="4" t="s">
        <v>1469</v>
      </c>
      <c r="B748" s="5" t="s">
        <v>1470</v>
      </c>
      <c r="C748" s="4" t="s">
        <v>1469</v>
      </c>
    </row>
    <row r="749" spans="1:3" hidden="1" x14ac:dyDescent="0.25">
      <c r="A749" s="4" t="s">
        <v>1471</v>
      </c>
      <c r="B749" s="5" t="s">
        <v>142</v>
      </c>
      <c r="C749" s="4" t="s">
        <v>1471</v>
      </c>
    </row>
    <row r="750" spans="1:3" hidden="1" x14ac:dyDescent="0.25">
      <c r="A750" s="4" t="s">
        <v>1472</v>
      </c>
      <c r="B750" s="5" t="s">
        <v>1473</v>
      </c>
      <c r="C750" s="4" t="s">
        <v>1472</v>
      </c>
    </row>
    <row r="751" spans="1:3" hidden="1" x14ac:dyDescent="0.25">
      <c r="A751" s="4" t="s">
        <v>1474</v>
      </c>
      <c r="B751" s="5" t="s">
        <v>1475</v>
      </c>
      <c r="C751" s="4" t="s">
        <v>1474</v>
      </c>
    </row>
    <row r="752" spans="1:3" hidden="1" x14ac:dyDescent="0.25">
      <c r="A752" s="4" t="s">
        <v>1476</v>
      </c>
      <c r="B752" s="5" t="s">
        <v>1477</v>
      </c>
      <c r="C752" s="4" t="s">
        <v>1476</v>
      </c>
    </row>
    <row r="753" spans="1:3" hidden="1" x14ac:dyDescent="0.25">
      <c r="A753" s="4" t="s">
        <v>1478</v>
      </c>
      <c r="B753" s="5" t="s">
        <v>1479</v>
      </c>
      <c r="C753" s="4" t="s">
        <v>1478</v>
      </c>
    </row>
    <row r="754" spans="1:3" hidden="1" x14ac:dyDescent="0.25">
      <c r="A754" s="4" t="s">
        <v>1480</v>
      </c>
      <c r="B754" s="5" t="s">
        <v>1481</v>
      </c>
      <c r="C754" s="4" t="s">
        <v>1480</v>
      </c>
    </row>
    <row r="755" spans="1:3" hidden="1" x14ac:dyDescent="0.25">
      <c r="A755" s="4" t="s">
        <v>1482</v>
      </c>
      <c r="B755" s="5" t="s">
        <v>1027</v>
      </c>
      <c r="C755" s="4" t="s">
        <v>1482</v>
      </c>
    </row>
    <row r="756" spans="1:3" hidden="1" x14ac:dyDescent="0.25">
      <c r="A756" s="4" t="s">
        <v>1483</v>
      </c>
      <c r="B756" s="5" t="s">
        <v>156</v>
      </c>
      <c r="C756" s="4" t="s">
        <v>1483</v>
      </c>
    </row>
    <row r="757" spans="1:3" hidden="1" x14ac:dyDescent="0.25">
      <c r="A757" s="4" t="s">
        <v>1484</v>
      </c>
      <c r="B757" s="5" t="s">
        <v>1485</v>
      </c>
      <c r="C757" s="4" t="s">
        <v>1484</v>
      </c>
    </row>
    <row r="758" spans="1:3" hidden="1" x14ac:dyDescent="0.25">
      <c r="A758" s="4" t="s">
        <v>1486</v>
      </c>
      <c r="B758" s="5" t="s">
        <v>1487</v>
      </c>
      <c r="C758" s="4" t="s">
        <v>1486</v>
      </c>
    </row>
    <row r="759" spans="1:3" hidden="1" x14ac:dyDescent="0.25">
      <c r="A759" s="4" t="s">
        <v>1488</v>
      </c>
      <c r="B759" s="5" t="s">
        <v>1489</v>
      </c>
      <c r="C759" s="4" t="s">
        <v>1488</v>
      </c>
    </row>
    <row r="760" spans="1:3" hidden="1" x14ac:dyDescent="0.25">
      <c r="A760" s="4" t="s">
        <v>1490</v>
      </c>
      <c r="B760" s="5" t="s">
        <v>1491</v>
      </c>
      <c r="C760" s="4" t="s">
        <v>1490</v>
      </c>
    </row>
    <row r="761" spans="1:3" hidden="1" x14ac:dyDescent="0.25">
      <c r="A761" s="4" t="s">
        <v>1492</v>
      </c>
      <c r="B761" s="5" t="s">
        <v>1493</v>
      </c>
      <c r="C761" s="4" t="s">
        <v>1492</v>
      </c>
    </row>
    <row r="762" spans="1:3" hidden="1" x14ac:dyDescent="0.25">
      <c r="A762" s="4" t="s">
        <v>1494</v>
      </c>
      <c r="B762" s="5" t="s">
        <v>1495</v>
      </c>
      <c r="C762" s="4" t="s">
        <v>1494</v>
      </c>
    </row>
    <row r="763" spans="1:3" hidden="1" x14ac:dyDescent="0.25">
      <c r="A763" s="4" t="s">
        <v>1496</v>
      </c>
      <c r="B763" s="5" t="s">
        <v>1497</v>
      </c>
      <c r="C763" s="4" t="s">
        <v>1496</v>
      </c>
    </row>
    <row r="764" spans="1:3" hidden="1" x14ac:dyDescent="0.25">
      <c r="A764" s="4" t="s">
        <v>1498</v>
      </c>
      <c r="B764" s="5" t="s">
        <v>1499</v>
      </c>
      <c r="C764" s="4" t="s">
        <v>1498</v>
      </c>
    </row>
    <row r="765" spans="1:3" hidden="1" x14ac:dyDescent="0.25">
      <c r="A765" s="4" t="s">
        <v>1500</v>
      </c>
      <c r="B765" s="5" t="s">
        <v>1061</v>
      </c>
      <c r="C765" s="4" t="s">
        <v>1500</v>
      </c>
    </row>
    <row r="766" spans="1:3" hidden="1" x14ac:dyDescent="0.25">
      <c r="A766" s="4" t="s">
        <v>1501</v>
      </c>
      <c r="B766" s="5" t="s">
        <v>1502</v>
      </c>
      <c r="C766" s="4" t="s">
        <v>1501</v>
      </c>
    </row>
    <row r="767" spans="1:3" hidden="1" x14ac:dyDescent="0.25">
      <c r="A767" s="4" t="s">
        <v>1503</v>
      </c>
      <c r="B767" s="5" t="s">
        <v>1504</v>
      </c>
      <c r="C767" s="4" t="s">
        <v>1503</v>
      </c>
    </row>
    <row r="768" spans="1:3" hidden="1" x14ac:dyDescent="0.25">
      <c r="A768" s="4" t="s">
        <v>1505</v>
      </c>
      <c r="B768" s="5" t="s">
        <v>1506</v>
      </c>
      <c r="C768" s="4" t="s">
        <v>1505</v>
      </c>
    </row>
    <row r="769" spans="1:3" hidden="1" x14ac:dyDescent="0.25">
      <c r="A769" s="4" t="s">
        <v>1507</v>
      </c>
      <c r="B769" s="5" t="s">
        <v>1065</v>
      </c>
      <c r="C769" s="4" t="s">
        <v>1507</v>
      </c>
    </row>
    <row r="770" spans="1:3" hidden="1" x14ac:dyDescent="0.25">
      <c r="A770" s="4" t="s">
        <v>1508</v>
      </c>
      <c r="B770" s="5" t="s">
        <v>1509</v>
      </c>
      <c r="C770" s="4" t="s">
        <v>1508</v>
      </c>
    </row>
    <row r="771" spans="1:3" hidden="1" x14ac:dyDescent="0.25">
      <c r="A771" s="4" t="s">
        <v>1510</v>
      </c>
      <c r="B771" s="5" t="s">
        <v>377</v>
      </c>
      <c r="C771" s="4" t="s">
        <v>1510</v>
      </c>
    </row>
    <row r="772" spans="1:3" hidden="1" x14ac:dyDescent="0.25">
      <c r="A772" s="4" t="s">
        <v>1511</v>
      </c>
      <c r="B772" s="5" t="s">
        <v>1512</v>
      </c>
      <c r="C772" s="4" t="s">
        <v>1511</v>
      </c>
    </row>
    <row r="773" spans="1:3" hidden="1" x14ac:dyDescent="0.25">
      <c r="A773" s="4" t="s">
        <v>1513</v>
      </c>
      <c r="B773" s="5" t="s">
        <v>212</v>
      </c>
      <c r="C773" s="4" t="s">
        <v>1513</v>
      </c>
    </row>
    <row r="774" spans="1:3" hidden="1" x14ac:dyDescent="0.25">
      <c r="A774" s="4" t="s">
        <v>1514</v>
      </c>
      <c r="B774" s="5" t="s">
        <v>1515</v>
      </c>
      <c r="C774" s="4" t="s">
        <v>1514</v>
      </c>
    </row>
    <row r="775" spans="1:3" hidden="1" x14ac:dyDescent="0.25">
      <c r="A775" s="4" t="s">
        <v>1516</v>
      </c>
      <c r="B775" s="5" t="s">
        <v>1517</v>
      </c>
      <c r="C775" s="4" t="s">
        <v>1516</v>
      </c>
    </row>
    <row r="776" spans="1:3" hidden="1" x14ac:dyDescent="0.25">
      <c r="A776" s="4" t="s">
        <v>1518</v>
      </c>
      <c r="B776" s="5" t="s">
        <v>1519</v>
      </c>
      <c r="C776" s="4" t="s">
        <v>1518</v>
      </c>
    </row>
    <row r="777" spans="1:3" hidden="1" x14ac:dyDescent="0.25">
      <c r="A777" s="4" t="s">
        <v>1520</v>
      </c>
      <c r="B777" s="5" t="s">
        <v>1521</v>
      </c>
      <c r="C777" s="4" t="s">
        <v>1520</v>
      </c>
    </row>
    <row r="778" spans="1:3" hidden="1" x14ac:dyDescent="0.25">
      <c r="A778" s="4" t="s">
        <v>1522</v>
      </c>
      <c r="B778" s="5" t="s">
        <v>1523</v>
      </c>
      <c r="C778" s="4" t="s">
        <v>1522</v>
      </c>
    </row>
    <row r="779" spans="1:3" hidden="1" x14ac:dyDescent="0.25">
      <c r="A779" s="4" t="s">
        <v>1524</v>
      </c>
      <c r="B779" s="5" t="s">
        <v>1525</v>
      </c>
      <c r="C779" s="4" t="s">
        <v>1524</v>
      </c>
    </row>
    <row r="780" spans="1:3" hidden="1" x14ac:dyDescent="0.25">
      <c r="A780" s="4" t="s">
        <v>1526</v>
      </c>
      <c r="B780" s="5" t="s">
        <v>1527</v>
      </c>
      <c r="C780" s="4" t="s">
        <v>1526</v>
      </c>
    </row>
    <row r="781" spans="1:3" hidden="1" x14ac:dyDescent="0.25">
      <c r="A781" s="4" t="s">
        <v>1528</v>
      </c>
      <c r="B781" s="5" t="s">
        <v>1529</v>
      </c>
      <c r="C781" s="4" t="s">
        <v>1528</v>
      </c>
    </row>
    <row r="782" spans="1:3" hidden="1" x14ac:dyDescent="0.25">
      <c r="A782" s="4" t="s">
        <v>1530</v>
      </c>
      <c r="B782" s="5" t="s">
        <v>1531</v>
      </c>
      <c r="C782" s="4" t="s">
        <v>1530</v>
      </c>
    </row>
    <row r="783" spans="1:3" hidden="1" x14ac:dyDescent="0.25">
      <c r="A783" s="4" t="s">
        <v>1532</v>
      </c>
      <c r="B783" s="5" t="s">
        <v>1533</v>
      </c>
      <c r="C783" s="4" t="s">
        <v>1532</v>
      </c>
    </row>
    <row r="784" spans="1:3" hidden="1" x14ac:dyDescent="0.25">
      <c r="A784" s="4" t="s">
        <v>1534</v>
      </c>
      <c r="B784" s="5" t="s">
        <v>1535</v>
      </c>
      <c r="C784" s="4" t="s">
        <v>1534</v>
      </c>
    </row>
    <row r="785" spans="1:3" hidden="1" x14ac:dyDescent="0.25">
      <c r="A785" s="4" t="s">
        <v>1536</v>
      </c>
      <c r="B785" s="5" t="s">
        <v>1537</v>
      </c>
      <c r="C785" s="4" t="s">
        <v>1536</v>
      </c>
    </row>
    <row r="786" spans="1:3" hidden="1" x14ac:dyDescent="0.25">
      <c r="A786" s="4" t="s">
        <v>1538</v>
      </c>
      <c r="B786" s="5" t="s">
        <v>1539</v>
      </c>
      <c r="C786" s="4" t="s">
        <v>1538</v>
      </c>
    </row>
    <row r="787" spans="1:3" hidden="1" x14ac:dyDescent="0.25">
      <c r="A787" s="4" t="s">
        <v>1540</v>
      </c>
      <c r="B787" s="5" t="s">
        <v>1541</v>
      </c>
      <c r="C787" s="4" t="s">
        <v>1540</v>
      </c>
    </row>
    <row r="788" spans="1:3" hidden="1" x14ac:dyDescent="0.25">
      <c r="A788" s="4" t="s">
        <v>1542</v>
      </c>
      <c r="B788" s="5" t="s">
        <v>1543</v>
      </c>
      <c r="C788" s="4" t="s">
        <v>1542</v>
      </c>
    </row>
    <row r="789" spans="1:3" hidden="1" x14ac:dyDescent="0.25">
      <c r="A789" s="4" t="s">
        <v>1544</v>
      </c>
      <c r="B789" s="5" t="s">
        <v>1545</v>
      </c>
      <c r="C789" s="4" t="s">
        <v>1544</v>
      </c>
    </row>
    <row r="790" spans="1:3" hidden="1" x14ac:dyDescent="0.25">
      <c r="A790" s="4" t="s">
        <v>1546</v>
      </c>
      <c r="B790" s="5" t="s">
        <v>1547</v>
      </c>
      <c r="C790" s="4" t="s">
        <v>1546</v>
      </c>
    </row>
    <row r="791" spans="1:3" hidden="1" x14ac:dyDescent="0.25">
      <c r="A791" s="4" t="s">
        <v>1548</v>
      </c>
      <c r="B791" s="5" t="s">
        <v>1549</v>
      </c>
      <c r="C791" s="4" t="s">
        <v>1548</v>
      </c>
    </row>
    <row r="792" spans="1:3" hidden="1" x14ac:dyDescent="0.25">
      <c r="A792" s="4" t="s">
        <v>1550</v>
      </c>
      <c r="B792" s="5" t="s">
        <v>1551</v>
      </c>
      <c r="C792" s="4" t="s">
        <v>1550</v>
      </c>
    </row>
    <row r="793" spans="1:3" hidden="1" x14ac:dyDescent="0.25">
      <c r="A793" s="4" t="s">
        <v>1552</v>
      </c>
      <c r="B793" s="5" t="s">
        <v>1553</v>
      </c>
      <c r="C793" s="4" t="s">
        <v>1552</v>
      </c>
    </row>
    <row r="794" spans="1:3" hidden="1" x14ac:dyDescent="0.25">
      <c r="A794" s="4" t="s">
        <v>1554</v>
      </c>
      <c r="B794" s="5" t="s">
        <v>1555</v>
      </c>
      <c r="C794" s="4" t="s">
        <v>1554</v>
      </c>
    </row>
    <row r="795" spans="1:3" hidden="1" x14ac:dyDescent="0.25">
      <c r="A795" s="4" t="s">
        <v>1556</v>
      </c>
      <c r="B795" s="5" t="s">
        <v>1557</v>
      </c>
      <c r="C795" s="4" t="s">
        <v>1556</v>
      </c>
    </row>
    <row r="796" spans="1:3" hidden="1" x14ac:dyDescent="0.25">
      <c r="A796" s="4" t="s">
        <v>1558</v>
      </c>
      <c r="B796" s="5" t="s">
        <v>1559</v>
      </c>
      <c r="C796" s="4" t="s">
        <v>1558</v>
      </c>
    </row>
    <row r="797" spans="1:3" hidden="1" x14ac:dyDescent="0.25">
      <c r="A797" s="4" t="s">
        <v>1560</v>
      </c>
      <c r="B797" s="5" t="s">
        <v>1561</v>
      </c>
      <c r="C797" s="4" t="s">
        <v>1560</v>
      </c>
    </row>
    <row r="798" spans="1:3" hidden="1" x14ac:dyDescent="0.25">
      <c r="A798" s="4" t="s">
        <v>1562</v>
      </c>
      <c r="B798" s="5" t="s">
        <v>1563</v>
      </c>
      <c r="C798" s="4" t="s">
        <v>1562</v>
      </c>
    </row>
    <row r="799" spans="1:3" hidden="1" x14ac:dyDescent="0.25">
      <c r="A799" s="4" t="s">
        <v>1564</v>
      </c>
      <c r="B799" s="5" t="s">
        <v>1565</v>
      </c>
      <c r="C799" s="4" t="s">
        <v>1564</v>
      </c>
    </row>
    <row r="800" spans="1:3" hidden="1" x14ac:dyDescent="0.25">
      <c r="A800" s="4" t="s">
        <v>1566</v>
      </c>
      <c r="B800" s="5" t="s">
        <v>1567</v>
      </c>
      <c r="C800" s="4" t="s">
        <v>1566</v>
      </c>
    </row>
    <row r="801" spans="1:3" hidden="1" x14ac:dyDescent="0.25">
      <c r="A801" s="4" t="s">
        <v>1568</v>
      </c>
      <c r="B801" s="5" t="s">
        <v>1569</v>
      </c>
      <c r="C801" s="4" t="s">
        <v>1568</v>
      </c>
    </row>
    <row r="802" spans="1:3" hidden="1" x14ac:dyDescent="0.25">
      <c r="A802" s="4" t="s">
        <v>1570</v>
      </c>
      <c r="B802" s="5" t="s">
        <v>1571</v>
      </c>
      <c r="C802" s="4" t="s">
        <v>1570</v>
      </c>
    </row>
    <row r="803" spans="1:3" hidden="1" x14ac:dyDescent="0.25">
      <c r="A803" s="4" t="s">
        <v>1572</v>
      </c>
      <c r="B803" s="5" t="s">
        <v>1573</v>
      </c>
      <c r="C803" s="4" t="s">
        <v>1572</v>
      </c>
    </row>
    <row r="804" spans="1:3" hidden="1" x14ac:dyDescent="0.25">
      <c r="A804" s="4" t="s">
        <v>1574</v>
      </c>
      <c r="B804" s="5" t="s">
        <v>1575</v>
      </c>
      <c r="C804" s="4" t="s">
        <v>1574</v>
      </c>
    </row>
    <row r="805" spans="1:3" hidden="1" x14ac:dyDescent="0.25">
      <c r="A805" s="4" t="s">
        <v>1576</v>
      </c>
      <c r="B805" s="5" t="s">
        <v>1577</v>
      </c>
      <c r="C805" s="4" t="s">
        <v>1576</v>
      </c>
    </row>
    <row r="806" spans="1:3" hidden="1" x14ac:dyDescent="0.25">
      <c r="A806" s="4" t="s">
        <v>1578</v>
      </c>
      <c r="B806" s="5" t="s">
        <v>1579</v>
      </c>
      <c r="C806" s="4" t="s">
        <v>1578</v>
      </c>
    </row>
    <row r="807" spans="1:3" hidden="1" x14ac:dyDescent="0.25">
      <c r="A807" s="4" t="s">
        <v>1580</v>
      </c>
      <c r="B807" s="5" t="s">
        <v>1581</v>
      </c>
      <c r="C807" s="4" t="s">
        <v>1580</v>
      </c>
    </row>
    <row r="808" spans="1:3" hidden="1" x14ac:dyDescent="0.25">
      <c r="A808" s="4" t="s">
        <v>1582</v>
      </c>
      <c r="B808" s="5" t="s">
        <v>1583</v>
      </c>
      <c r="C808" s="4" t="s">
        <v>1582</v>
      </c>
    </row>
    <row r="809" spans="1:3" hidden="1" x14ac:dyDescent="0.25">
      <c r="A809" s="4" t="s">
        <v>1584</v>
      </c>
      <c r="B809" s="5" t="s">
        <v>1585</v>
      </c>
      <c r="C809" s="4" t="s">
        <v>1584</v>
      </c>
    </row>
    <row r="810" spans="1:3" hidden="1" x14ac:dyDescent="0.25">
      <c r="A810" s="4" t="s">
        <v>1586</v>
      </c>
      <c r="B810" s="5" t="s">
        <v>1587</v>
      </c>
      <c r="C810" s="4" t="s">
        <v>1586</v>
      </c>
    </row>
    <row r="811" spans="1:3" hidden="1" x14ac:dyDescent="0.25">
      <c r="A811" s="4" t="s">
        <v>1588</v>
      </c>
      <c r="B811" s="5" t="s">
        <v>1589</v>
      </c>
      <c r="C811" s="4" t="s">
        <v>1588</v>
      </c>
    </row>
    <row r="812" spans="1:3" hidden="1" x14ac:dyDescent="0.25">
      <c r="A812" s="4" t="s">
        <v>1590</v>
      </c>
      <c r="B812" s="5" t="s">
        <v>1067</v>
      </c>
      <c r="C812" s="4" t="s">
        <v>1590</v>
      </c>
    </row>
    <row r="813" spans="1:3" hidden="1" x14ac:dyDescent="0.25">
      <c r="A813" s="4" t="s">
        <v>1591</v>
      </c>
      <c r="B813" s="5" t="s">
        <v>1592</v>
      </c>
      <c r="C813" s="4" t="s">
        <v>1591</v>
      </c>
    </row>
    <row r="814" spans="1:3" hidden="1" x14ac:dyDescent="0.25">
      <c r="A814" s="4" t="s">
        <v>1593</v>
      </c>
      <c r="B814" s="5" t="s">
        <v>1594</v>
      </c>
      <c r="C814" s="4" t="s">
        <v>1593</v>
      </c>
    </row>
    <row r="815" spans="1:3" hidden="1" x14ac:dyDescent="0.25">
      <c r="A815" s="4" t="s">
        <v>1595</v>
      </c>
      <c r="B815" s="5" t="s">
        <v>1596</v>
      </c>
      <c r="C815" s="4" t="s">
        <v>1595</v>
      </c>
    </row>
    <row r="816" spans="1:3" hidden="1" x14ac:dyDescent="0.25">
      <c r="A816" s="4" t="s">
        <v>1597</v>
      </c>
      <c r="B816" s="5" t="s">
        <v>1598</v>
      </c>
      <c r="C816" s="4" t="s">
        <v>1597</v>
      </c>
    </row>
    <row r="817" spans="1:3" hidden="1" x14ac:dyDescent="0.25">
      <c r="A817" s="4" t="s">
        <v>1599</v>
      </c>
      <c r="B817" s="5" t="s">
        <v>1600</v>
      </c>
      <c r="C817" s="4" t="s">
        <v>1599</v>
      </c>
    </row>
    <row r="818" spans="1:3" hidden="1" x14ac:dyDescent="0.25">
      <c r="A818" s="4" t="s">
        <v>1601</v>
      </c>
      <c r="B818" s="5" t="s">
        <v>234</v>
      </c>
      <c r="C818" s="4" t="s">
        <v>1601</v>
      </c>
    </row>
    <row r="819" spans="1:3" hidden="1" x14ac:dyDescent="0.25">
      <c r="A819" s="4" t="s">
        <v>1602</v>
      </c>
      <c r="B819" s="5" t="s">
        <v>1603</v>
      </c>
      <c r="C819" s="4" t="s">
        <v>1602</v>
      </c>
    </row>
    <row r="820" spans="1:3" hidden="1" x14ac:dyDescent="0.25">
      <c r="A820" s="4" t="s">
        <v>1604</v>
      </c>
      <c r="B820" s="5" t="s">
        <v>1605</v>
      </c>
      <c r="C820" s="4" t="s">
        <v>1604</v>
      </c>
    </row>
    <row r="821" spans="1:3" hidden="1" x14ac:dyDescent="0.25">
      <c r="A821" s="4" t="s">
        <v>1606</v>
      </c>
      <c r="B821" s="5" t="s">
        <v>42</v>
      </c>
      <c r="C821" s="4" t="s">
        <v>1606</v>
      </c>
    </row>
    <row r="822" spans="1:3" hidden="1" x14ac:dyDescent="0.25">
      <c r="A822" s="4" t="s">
        <v>1607</v>
      </c>
      <c r="B822" s="5" t="s">
        <v>420</v>
      </c>
      <c r="C822" s="4" t="s">
        <v>1607</v>
      </c>
    </row>
    <row r="823" spans="1:3" hidden="1" x14ac:dyDescent="0.25">
      <c r="A823" s="4" t="s">
        <v>1608</v>
      </c>
      <c r="B823" s="5" t="s">
        <v>1609</v>
      </c>
      <c r="C823" s="4" t="s">
        <v>1608</v>
      </c>
    </row>
    <row r="824" spans="1:3" hidden="1" x14ac:dyDescent="0.25">
      <c r="A824" s="4" t="s">
        <v>1610</v>
      </c>
      <c r="B824" s="5" t="s">
        <v>1611</v>
      </c>
      <c r="C824" s="4" t="s">
        <v>1610</v>
      </c>
    </row>
    <row r="825" spans="1:3" hidden="1" x14ac:dyDescent="0.25">
      <c r="A825" s="4" t="s">
        <v>1612</v>
      </c>
      <c r="B825" s="5" t="s">
        <v>329</v>
      </c>
      <c r="C825" s="4" t="s">
        <v>1612</v>
      </c>
    </row>
    <row r="826" spans="1:3" hidden="1" x14ac:dyDescent="0.25">
      <c r="A826" s="4" t="s">
        <v>1613</v>
      </c>
      <c r="B826" s="5" t="s">
        <v>1614</v>
      </c>
      <c r="C826" s="4" t="s">
        <v>1613</v>
      </c>
    </row>
    <row r="827" spans="1:3" hidden="1" x14ac:dyDescent="0.25">
      <c r="A827" s="4" t="s">
        <v>1615</v>
      </c>
      <c r="B827" s="5" t="s">
        <v>1616</v>
      </c>
      <c r="C827" s="4" t="s">
        <v>1615</v>
      </c>
    </row>
    <row r="828" spans="1:3" hidden="1" x14ac:dyDescent="0.25">
      <c r="A828" s="4" t="s">
        <v>1617</v>
      </c>
      <c r="B828" s="5" t="s">
        <v>1618</v>
      </c>
      <c r="C828" s="4" t="s">
        <v>1617</v>
      </c>
    </row>
    <row r="829" spans="1:3" hidden="1" x14ac:dyDescent="0.25">
      <c r="A829" s="4" t="s">
        <v>1619</v>
      </c>
      <c r="B829" s="5" t="s">
        <v>1620</v>
      </c>
      <c r="C829" s="4" t="s">
        <v>1619</v>
      </c>
    </row>
    <row r="830" spans="1:3" hidden="1" x14ac:dyDescent="0.25">
      <c r="A830" s="4" t="s">
        <v>1621</v>
      </c>
      <c r="B830" s="5" t="s">
        <v>1622</v>
      </c>
      <c r="C830" s="4" t="s">
        <v>1621</v>
      </c>
    </row>
    <row r="831" spans="1:3" hidden="1" x14ac:dyDescent="0.25">
      <c r="A831" s="4" t="s">
        <v>1623</v>
      </c>
      <c r="B831" s="5" t="s">
        <v>1624</v>
      </c>
      <c r="C831" s="4" t="s">
        <v>1623</v>
      </c>
    </row>
    <row r="832" spans="1:3" hidden="1" x14ac:dyDescent="0.25">
      <c r="A832" s="4" t="s">
        <v>1625</v>
      </c>
      <c r="B832" s="5" t="s">
        <v>1626</v>
      </c>
      <c r="C832" s="4" t="s">
        <v>1625</v>
      </c>
    </row>
    <row r="833" spans="1:3" hidden="1" x14ac:dyDescent="0.25">
      <c r="A833" s="4" t="s">
        <v>1627</v>
      </c>
      <c r="B833" s="5" t="s">
        <v>1628</v>
      </c>
      <c r="C833" s="4" t="s">
        <v>1627</v>
      </c>
    </row>
    <row r="834" spans="1:3" hidden="1" x14ac:dyDescent="0.25">
      <c r="A834" s="4" t="s">
        <v>1629</v>
      </c>
      <c r="B834" s="5" t="s">
        <v>1630</v>
      </c>
      <c r="C834" s="4" t="s">
        <v>1629</v>
      </c>
    </row>
    <row r="835" spans="1:3" hidden="1" x14ac:dyDescent="0.25">
      <c r="A835" s="4" t="s">
        <v>1631</v>
      </c>
      <c r="B835" s="5" t="s">
        <v>734</v>
      </c>
      <c r="C835" s="4" t="s">
        <v>1631</v>
      </c>
    </row>
    <row r="836" spans="1:3" hidden="1" x14ac:dyDescent="0.25">
      <c r="A836" s="4" t="s">
        <v>1632</v>
      </c>
      <c r="B836" s="5" t="s">
        <v>1633</v>
      </c>
      <c r="C836" s="4" t="s">
        <v>1632</v>
      </c>
    </row>
    <row r="837" spans="1:3" hidden="1" x14ac:dyDescent="0.25">
      <c r="A837" s="4" t="s">
        <v>1634</v>
      </c>
      <c r="B837" s="5" t="s">
        <v>1635</v>
      </c>
      <c r="C837" s="4" t="s">
        <v>1634</v>
      </c>
    </row>
    <row r="838" spans="1:3" hidden="1" x14ac:dyDescent="0.25">
      <c r="A838" s="4" t="s">
        <v>1636</v>
      </c>
      <c r="B838" s="5" t="s">
        <v>1637</v>
      </c>
      <c r="C838" s="4" t="s">
        <v>1636</v>
      </c>
    </row>
    <row r="839" spans="1:3" hidden="1" x14ac:dyDescent="0.25">
      <c r="A839" s="4" t="s">
        <v>1638</v>
      </c>
      <c r="B839" s="5" t="s">
        <v>1639</v>
      </c>
      <c r="C839" s="4" t="s">
        <v>1638</v>
      </c>
    </row>
    <row r="840" spans="1:3" hidden="1" x14ac:dyDescent="0.25">
      <c r="A840" s="4" t="s">
        <v>1640</v>
      </c>
      <c r="B840" s="5" t="s">
        <v>1641</v>
      </c>
      <c r="C840" s="4" t="s">
        <v>1640</v>
      </c>
    </row>
    <row r="841" spans="1:3" hidden="1" x14ac:dyDescent="0.25">
      <c r="A841" s="4" t="s">
        <v>1642</v>
      </c>
      <c r="B841" s="5" t="s">
        <v>1643</v>
      </c>
      <c r="C841" s="4" t="s">
        <v>1642</v>
      </c>
    </row>
    <row r="842" spans="1:3" hidden="1" x14ac:dyDescent="0.25">
      <c r="A842" s="4" t="s">
        <v>1644</v>
      </c>
      <c r="B842" s="5" t="s">
        <v>1645</v>
      </c>
      <c r="C842" s="4" t="s">
        <v>1644</v>
      </c>
    </row>
    <row r="843" spans="1:3" hidden="1" x14ac:dyDescent="0.25">
      <c r="A843" s="4" t="s">
        <v>1646</v>
      </c>
      <c r="B843" s="5" t="s">
        <v>1647</v>
      </c>
      <c r="C843" s="4" t="s">
        <v>1646</v>
      </c>
    </row>
    <row r="844" spans="1:3" hidden="1" x14ac:dyDescent="0.25">
      <c r="A844" s="4" t="s">
        <v>1648</v>
      </c>
      <c r="B844" s="5" t="s">
        <v>1649</v>
      </c>
      <c r="C844" s="4" t="s">
        <v>1648</v>
      </c>
    </row>
    <row r="845" spans="1:3" hidden="1" x14ac:dyDescent="0.25">
      <c r="A845" s="4" t="s">
        <v>1650</v>
      </c>
      <c r="B845" s="5" t="s">
        <v>1651</v>
      </c>
      <c r="C845" s="4" t="s">
        <v>1650</v>
      </c>
    </row>
    <row r="846" spans="1:3" hidden="1" x14ac:dyDescent="0.25">
      <c r="A846" s="4" t="s">
        <v>1652</v>
      </c>
      <c r="B846" s="5" t="s">
        <v>1653</v>
      </c>
      <c r="C846" s="4" t="s">
        <v>1652</v>
      </c>
    </row>
    <row r="847" spans="1:3" hidden="1" x14ac:dyDescent="0.25">
      <c r="A847" s="4" t="s">
        <v>1654</v>
      </c>
      <c r="B847" s="5" t="s">
        <v>1655</v>
      </c>
      <c r="C847" s="4" t="s">
        <v>1654</v>
      </c>
    </row>
    <row r="848" spans="1:3" hidden="1" x14ac:dyDescent="0.25">
      <c r="A848" s="4" t="s">
        <v>1656</v>
      </c>
      <c r="B848" s="5" t="s">
        <v>1657</v>
      </c>
      <c r="C848" s="4" t="s">
        <v>1656</v>
      </c>
    </row>
    <row r="849" spans="1:3" hidden="1" x14ac:dyDescent="0.25">
      <c r="A849" s="4" t="s">
        <v>1658</v>
      </c>
      <c r="B849" s="5" t="s">
        <v>700</v>
      </c>
      <c r="C849" s="4" t="s">
        <v>1658</v>
      </c>
    </row>
    <row r="850" spans="1:3" hidden="1" x14ac:dyDescent="0.25">
      <c r="A850" s="4" t="s">
        <v>1659</v>
      </c>
      <c r="B850" s="5" t="s">
        <v>1660</v>
      </c>
      <c r="C850" s="4" t="s">
        <v>1659</v>
      </c>
    </row>
    <row r="851" spans="1:3" hidden="1" x14ac:dyDescent="0.25">
      <c r="A851" s="4" t="s">
        <v>1661</v>
      </c>
      <c r="B851" s="5" t="s">
        <v>44</v>
      </c>
      <c r="C851" s="4" t="s">
        <v>1661</v>
      </c>
    </row>
    <row r="852" spans="1:3" hidden="1" x14ac:dyDescent="0.25">
      <c r="A852" s="4" t="s">
        <v>1662</v>
      </c>
      <c r="B852" s="5" t="s">
        <v>1663</v>
      </c>
      <c r="C852" s="4" t="s">
        <v>1662</v>
      </c>
    </row>
    <row r="853" spans="1:3" hidden="1" x14ac:dyDescent="0.25">
      <c r="A853" s="4" t="s">
        <v>1664</v>
      </c>
      <c r="B853" s="5" t="s">
        <v>1665</v>
      </c>
      <c r="C853" s="4" t="s">
        <v>1664</v>
      </c>
    </row>
    <row r="854" spans="1:3" hidden="1" x14ac:dyDescent="0.25">
      <c r="A854" s="4" t="s">
        <v>1666</v>
      </c>
      <c r="B854" s="5" t="s">
        <v>52</v>
      </c>
      <c r="C854" s="4" t="s">
        <v>1666</v>
      </c>
    </row>
    <row r="855" spans="1:3" hidden="1" x14ac:dyDescent="0.25">
      <c r="A855" s="4" t="s">
        <v>1667</v>
      </c>
      <c r="B855" s="5" t="s">
        <v>736</v>
      </c>
      <c r="C855" s="4" t="s">
        <v>1667</v>
      </c>
    </row>
    <row r="856" spans="1:3" hidden="1" x14ac:dyDescent="0.25">
      <c r="A856" s="4" t="s">
        <v>1668</v>
      </c>
      <c r="B856" s="5" t="s">
        <v>932</v>
      </c>
      <c r="C856" s="4" t="s">
        <v>1668</v>
      </c>
    </row>
    <row r="857" spans="1:3" hidden="1" x14ac:dyDescent="0.25">
      <c r="A857" s="4" t="s">
        <v>1669</v>
      </c>
      <c r="B857" s="5" t="s">
        <v>1670</v>
      </c>
      <c r="C857" s="4" t="s">
        <v>1669</v>
      </c>
    </row>
    <row r="858" spans="1:3" hidden="1" x14ac:dyDescent="0.25">
      <c r="A858" s="4" t="s">
        <v>1671</v>
      </c>
      <c r="B858" s="5" t="s">
        <v>1672</v>
      </c>
      <c r="C858" s="4" t="s">
        <v>1671</v>
      </c>
    </row>
    <row r="859" spans="1:3" hidden="1" x14ac:dyDescent="0.25">
      <c r="A859" s="4" t="s">
        <v>1673</v>
      </c>
      <c r="B859" s="5" t="s">
        <v>1674</v>
      </c>
      <c r="C859" s="4" t="s">
        <v>1673</v>
      </c>
    </row>
    <row r="860" spans="1:3" hidden="1" x14ac:dyDescent="0.25">
      <c r="A860" s="4" t="s">
        <v>1675</v>
      </c>
      <c r="B860" s="5" t="s">
        <v>1676</v>
      </c>
      <c r="C860" s="4" t="s">
        <v>1675</v>
      </c>
    </row>
    <row r="861" spans="1:3" hidden="1" x14ac:dyDescent="0.25">
      <c r="A861" s="4" t="s">
        <v>1677</v>
      </c>
      <c r="B861" s="5" t="s">
        <v>1678</v>
      </c>
      <c r="C861" s="4" t="s">
        <v>1677</v>
      </c>
    </row>
    <row r="862" spans="1:3" hidden="1" x14ac:dyDescent="0.25">
      <c r="A862" s="4" t="s">
        <v>1679</v>
      </c>
      <c r="B862" s="5" t="s">
        <v>1680</v>
      </c>
      <c r="C862" s="4" t="s">
        <v>1679</v>
      </c>
    </row>
    <row r="863" spans="1:3" hidden="1" x14ac:dyDescent="0.25">
      <c r="A863" s="4" t="s">
        <v>1681</v>
      </c>
      <c r="B863" s="5" t="s">
        <v>1682</v>
      </c>
      <c r="C863" s="4" t="s">
        <v>1681</v>
      </c>
    </row>
    <row r="864" spans="1:3" hidden="1" x14ac:dyDescent="0.25">
      <c r="A864" s="4" t="s">
        <v>1683</v>
      </c>
      <c r="B864" s="5" t="s">
        <v>1684</v>
      </c>
      <c r="C864" s="4" t="s">
        <v>1683</v>
      </c>
    </row>
    <row r="865" spans="1:3" hidden="1" x14ac:dyDescent="0.25">
      <c r="A865" s="4" t="s">
        <v>1685</v>
      </c>
      <c r="B865" s="5" t="s">
        <v>1686</v>
      </c>
      <c r="C865" s="4" t="s">
        <v>1685</v>
      </c>
    </row>
    <row r="866" spans="1:3" hidden="1" x14ac:dyDescent="0.25">
      <c r="A866" s="4" t="s">
        <v>1687</v>
      </c>
      <c r="B866" s="5" t="s">
        <v>1688</v>
      </c>
      <c r="C866" s="4" t="s">
        <v>1687</v>
      </c>
    </row>
    <row r="867" spans="1:3" hidden="1" x14ac:dyDescent="0.25">
      <c r="A867" s="4" t="s">
        <v>1689</v>
      </c>
      <c r="B867" s="5" t="s">
        <v>88</v>
      </c>
      <c r="C867" s="4" t="s">
        <v>1689</v>
      </c>
    </row>
    <row r="868" spans="1:3" hidden="1" x14ac:dyDescent="0.25">
      <c r="A868" s="4" t="s">
        <v>1690</v>
      </c>
      <c r="B868" s="5" t="s">
        <v>1691</v>
      </c>
      <c r="C868" s="4" t="s">
        <v>1690</v>
      </c>
    </row>
    <row r="869" spans="1:3" hidden="1" x14ac:dyDescent="0.25">
      <c r="A869" s="4" t="s">
        <v>1692</v>
      </c>
      <c r="B869" s="5" t="s">
        <v>1693</v>
      </c>
      <c r="C869" s="4" t="s">
        <v>1692</v>
      </c>
    </row>
    <row r="870" spans="1:3" hidden="1" x14ac:dyDescent="0.25">
      <c r="A870" s="4" t="s">
        <v>1694</v>
      </c>
      <c r="B870" s="5" t="s">
        <v>1695</v>
      </c>
      <c r="C870" s="4" t="s">
        <v>1694</v>
      </c>
    </row>
    <row r="871" spans="1:3" hidden="1" x14ac:dyDescent="0.25">
      <c r="A871" s="4" t="s">
        <v>1696</v>
      </c>
      <c r="B871" s="5" t="s">
        <v>1697</v>
      </c>
      <c r="C871" s="4" t="s">
        <v>1696</v>
      </c>
    </row>
    <row r="872" spans="1:3" hidden="1" x14ac:dyDescent="0.25">
      <c r="A872" s="4" t="s">
        <v>1698</v>
      </c>
      <c r="B872" s="5" t="s">
        <v>1699</v>
      </c>
      <c r="C872" s="4" t="s">
        <v>1698</v>
      </c>
    </row>
    <row r="873" spans="1:3" hidden="1" x14ac:dyDescent="0.25">
      <c r="A873" s="4" t="s">
        <v>1700</v>
      </c>
      <c r="B873" s="5" t="s">
        <v>1701</v>
      </c>
      <c r="C873" s="4" t="s">
        <v>1700</v>
      </c>
    </row>
    <row r="874" spans="1:3" hidden="1" x14ac:dyDescent="0.25">
      <c r="A874" s="4" t="s">
        <v>1702</v>
      </c>
      <c r="B874" s="5" t="s">
        <v>337</v>
      </c>
      <c r="C874" s="4" t="s">
        <v>1702</v>
      </c>
    </row>
    <row r="875" spans="1:3" hidden="1" x14ac:dyDescent="0.25">
      <c r="A875" s="4" t="s">
        <v>1703</v>
      </c>
      <c r="B875" s="5" t="s">
        <v>1704</v>
      </c>
      <c r="C875" s="4" t="s">
        <v>1703</v>
      </c>
    </row>
    <row r="876" spans="1:3" hidden="1" x14ac:dyDescent="0.25">
      <c r="A876" s="4" t="s">
        <v>1705</v>
      </c>
      <c r="B876" s="5" t="s">
        <v>1706</v>
      </c>
      <c r="C876" s="4" t="s">
        <v>1705</v>
      </c>
    </row>
    <row r="877" spans="1:3" hidden="1" x14ac:dyDescent="0.25">
      <c r="A877" s="4" t="s">
        <v>1707</v>
      </c>
      <c r="B877" s="5" t="s">
        <v>1708</v>
      </c>
      <c r="C877" s="4" t="s">
        <v>1707</v>
      </c>
    </row>
    <row r="878" spans="1:3" hidden="1" x14ac:dyDescent="0.25">
      <c r="A878" s="4" t="s">
        <v>1709</v>
      </c>
      <c r="B878" s="5" t="s">
        <v>1710</v>
      </c>
      <c r="C878" s="4" t="s">
        <v>1709</v>
      </c>
    </row>
    <row r="879" spans="1:3" hidden="1" x14ac:dyDescent="0.25">
      <c r="A879" s="4" t="s">
        <v>1711</v>
      </c>
      <c r="B879" s="5" t="s">
        <v>1712</v>
      </c>
      <c r="C879" s="4" t="s">
        <v>1711</v>
      </c>
    </row>
    <row r="880" spans="1:3" hidden="1" x14ac:dyDescent="0.25">
      <c r="A880" s="4" t="s">
        <v>1713</v>
      </c>
      <c r="B880" s="5" t="s">
        <v>1714</v>
      </c>
      <c r="C880" s="4" t="s">
        <v>1713</v>
      </c>
    </row>
    <row r="881" spans="1:3" hidden="1" x14ac:dyDescent="0.25">
      <c r="A881" s="4" t="s">
        <v>1715</v>
      </c>
      <c r="B881" s="5" t="s">
        <v>1716</v>
      </c>
      <c r="C881" s="4" t="s">
        <v>1715</v>
      </c>
    </row>
    <row r="882" spans="1:3" hidden="1" x14ac:dyDescent="0.25">
      <c r="A882" s="4" t="s">
        <v>1717</v>
      </c>
      <c r="B882" s="5" t="s">
        <v>1718</v>
      </c>
      <c r="C882" s="4" t="s">
        <v>1717</v>
      </c>
    </row>
    <row r="883" spans="1:3" hidden="1" x14ac:dyDescent="0.25">
      <c r="A883" s="4" t="s">
        <v>1719</v>
      </c>
      <c r="B883" s="5" t="s">
        <v>1720</v>
      </c>
      <c r="C883" s="4" t="s">
        <v>1719</v>
      </c>
    </row>
    <row r="884" spans="1:3" hidden="1" x14ac:dyDescent="0.25">
      <c r="A884" s="4" t="s">
        <v>1721</v>
      </c>
      <c r="B884" s="5" t="s">
        <v>118</v>
      </c>
      <c r="C884" s="4" t="s">
        <v>1721</v>
      </c>
    </row>
    <row r="885" spans="1:3" hidden="1" x14ac:dyDescent="0.25">
      <c r="A885" s="4" t="s">
        <v>1722</v>
      </c>
      <c r="B885" s="5" t="s">
        <v>1723</v>
      </c>
      <c r="C885" s="4" t="s">
        <v>1722</v>
      </c>
    </row>
    <row r="886" spans="1:3" hidden="1" x14ac:dyDescent="0.25">
      <c r="A886" s="4" t="s">
        <v>1724</v>
      </c>
      <c r="B886" s="5" t="s">
        <v>1725</v>
      </c>
      <c r="C886" s="4" t="s">
        <v>1724</v>
      </c>
    </row>
    <row r="887" spans="1:3" hidden="1" x14ac:dyDescent="0.25">
      <c r="A887" s="4" t="s">
        <v>1726</v>
      </c>
      <c r="B887" s="5" t="s">
        <v>1727</v>
      </c>
      <c r="C887" s="4" t="s">
        <v>1726</v>
      </c>
    </row>
    <row r="888" spans="1:3" hidden="1" x14ac:dyDescent="0.25">
      <c r="A888" s="4" t="s">
        <v>1728</v>
      </c>
      <c r="B888" s="5" t="s">
        <v>1729</v>
      </c>
      <c r="C888" s="4" t="s">
        <v>1728</v>
      </c>
    </row>
    <row r="889" spans="1:3" hidden="1" x14ac:dyDescent="0.25">
      <c r="A889" s="4" t="s">
        <v>1730</v>
      </c>
      <c r="B889" s="5" t="s">
        <v>1731</v>
      </c>
      <c r="C889" s="4" t="s">
        <v>1730</v>
      </c>
    </row>
    <row r="890" spans="1:3" hidden="1" x14ac:dyDescent="0.25">
      <c r="A890" s="4" t="s">
        <v>1732</v>
      </c>
      <c r="B890" s="5" t="s">
        <v>1733</v>
      </c>
      <c r="C890" s="4" t="s">
        <v>1732</v>
      </c>
    </row>
    <row r="891" spans="1:3" hidden="1" x14ac:dyDescent="0.25">
      <c r="A891" s="4" t="s">
        <v>1734</v>
      </c>
      <c r="B891" s="5" t="s">
        <v>1735</v>
      </c>
      <c r="C891" s="4" t="s">
        <v>1734</v>
      </c>
    </row>
    <row r="892" spans="1:3" hidden="1" x14ac:dyDescent="0.25">
      <c r="A892" s="4" t="s">
        <v>1736</v>
      </c>
      <c r="B892" s="5" t="s">
        <v>1737</v>
      </c>
      <c r="C892" s="4" t="s">
        <v>1736</v>
      </c>
    </row>
    <row r="893" spans="1:3" hidden="1" x14ac:dyDescent="0.25">
      <c r="A893" s="4" t="s">
        <v>1738</v>
      </c>
      <c r="B893" s="5" t="s">
        <v>848</v>
      </c>
      <c r="C893" s="4" t="s">
        <v>1738</v>
      </c>
    </row>
    <row r="894" spans="1:3" hidden="1" x14ac:dyDescent="0.25">
      <c r="A894" s="4" t="s">
        <v>1739</v>
      </c>
      <c r="B894" s="5" t="s">
        <v>1740</v>
      </c>
      <c r="C894" s="4" t="s">
        <v>1739</v>
      </c>
    </row>
    <row r="895" spans="1:3" hidden="1" x14ac:dyDescent="0.25">
      <c r="A895" s="4" t="s">
        <v>1741</v>
      </c>
      <c r="B895" s="5" t="s">
        <v>1742</v>
      </c>
      <c r="C895" s="4" t="s">
        <v>1741</v>
      </c>
    </row>
    <row r="896" spans="1:3" hidden="1" x14ac:dyDescent="0.25">
      <c r="A896" s="4" t="s">
        <v>1743</v>
      </c>
      <c r="B896" s="5" t="s">
        <v>1744</v>
      </c>
      <c r="C896" s="4" t="s">
        <v>1743</v>
      </c>
    </row>
    <row r="897" spans="1:3" hidden="1" x14ac:dyDescent="0.25">
      <c r="A897" s="4" t="s">
        <v>1745</v>
      </c>
      <c r="B897" s="5" t="s">
        <v>1746</v>
      </c>
      <c r="C897" s="4" t="s">
        <v>1745</v>
      </c>
    </row>
    <row r="898" spans="1:3" hidden="1" x14ac:dyDescent="0.25">
      <c r="A898" s="4" t="s">
        <v>1747</v>
      </c>
      <c r="B898" s="5" t="s">
        <v>1748</v>
      </c>
      <c r="C898" s="4" t="s">
        <v>1747</v>
      </c>
    </row>
    <row r="899" spans="1:3" hidden="1" x14ac:dyDescent="0.25">
      <c r="A899" s="4" t="s">
        <v>1749</v>
      </c>
      <c r="B899" s="5" t="s">
        <v>1750</v>
      </c>
      <c r="C899" s="4" t="s">
        <v>1749</v>
      </c>
    </row>
    <row r="900" spans="1:3" hidden="1" x14ac:dyDescent="0.25">
      <c r="A900" s="4" t="s">
        <v>1751</v>
      </c>
      <c r="B900" s="5" t="s">
        <v>1752</v>
      </c>
      <c r="C900" s="4" t="s">
        <v>1751</v>
      </c>
    </row>
    <row r="901" spans="1:3" hidden="1" x14ac:dyDescent="0.25">
      <c r="A901" s="4" t="s">
        <v>1753</v>
      </c>
      <c r="B901" s="5" t="s">
        <v>1754</v>
      </c>
      <c r="C901" s="4" t="s">
        <v>1753</v>
      </c>
    </row>
    <row r="902" spans="1:3" hidden="1" x14ac:dyDescent="0.25">
      <c r="A902" s="4" t="s">
        <v>1755</v>
      </c>
      <c r="B902" s="5" t="s">
        <v>1756</v>
      </c>
      <c r="C902" s="4" t="s">
        <v>1755</v>
      </c>
    </row>
    <row r="903" spans="1:3" hidden="1" x14ac:dyDescent="0.25">
      <c r="A903" s="4" t="s">
        <v>1757</v>
      </c>
      <c r="B903" s="5" t="s">
        <v>1758</v>
      </c>
      <c r="C903" s="4" t="s">
        <v>1757</v>
      </c>
    </row>
    <row r="904" spans="1:3" hidden="1" x14ac:dyDescent="0.25">
      <c r="A904" s="4" t="s">
        <v>1759</v>
      </c>
      <c r="B904" s="5" t="s">
        <v>1760</v>
      </c>
      <c r="C904" s="4" t="s">
        <v>1759</v>
      </c>
    </row>
    <row r="905" spans="1:3" hidden="1" x14ac:dyDescent="0.25">
      <c r="A905" s="4" t="s">
        <v>1761</v>
      </c>
      <c r="B905" s="5" t="s">
        <v>1762</v>
      </c>
      <c r="C905" s="4" t="s">
        <v>1761</v>
      </c>
    </row>
    <row r="906" spans="1:3" hidden="1" x14ac:dyDescent="0.25">
      <c r="A906" s="4" t="s">
        <v>1763</v>
      </c>
      <c r="B906" s="5" t="s">
        <v>1764</v>
      </c>
      <c r="C906" s="4" t="s">
        <v>1763</v>
      </c>
    </row>
    <row r="907" spans="1:3" hidden="1" x14ac:dyDescent="0.25">
      <c r="A907" s="4" t="s">
        <v>1765</v>
      </c>
      <c r="B907" s="5" t="s">
        <v>1766</v>
      </c>
      <c r="C907" s="4" t="s">
        <v>1765</v>
      </c>
    </row>
    <row r="908" spans="1:3" hidden="1" x14ac:dyDescent="0.25">
      <c r="A908" s="4" t="s">
        <v>1767</v>
      </c>
      <c r="B908" s="5" t="s">
        <v>1768</v>
      </c>
      <c r="C908" s="4" t="s">
        <v>1767</v>
      </c>
    </row>
    <row r="909" spans="1:3" hidden="1" x14ac:dyDescent="0.25">
      <c r="A909" s="4" t="s">
        <v>1769</v>
      </c>
      <c r="B909" s="5" t="s">
        <v>1770</v>
      </c>
      <c r="C909" s="4" t="s">
        <v>1769</v>
      </c>
    </row>
    <row r="910" spans="1:3" hidden="1" x14ac:dyDescent="0.25">
      <c r="A910" s="4" t="s">
        <v>1771</v>
      </c>
      <c r="B910" s="5" t="s">
        <v>1772</v>
      </c>
      <c r="C910" s="4" t="s">
        <v>1771</v>
      </c>
    </row>
    <row r="911" spans="1:3" hidden="1" x14ac:dyDescent="0.25">
      <c r="A911" s="4" t="s">
        <v>1773</v>
      </c>
      <c r="B911" s="5" t="s">
        <v>1774</v>
      </c>
      <c r="C911" s="4" t="s">
        <v>1773</v>
      </c>
    </row>
    <row r="912" spans="1:3" hidden="1" x14ac:dyDescent="0.25">
      <c r="A912" s="4" t="s">
        <v>1775</v>
      </c>
      <c r="B912" s="5" t="s">
        <v>180</v>
      </c>
      <c r="C912" s="4" t="s">
        <v>1775</v>
      </c>
    </row>
    <row r="913" spans="1:3" hidden="1" x14ac:dyDescent="0.25">
      <c r="A913" s="4" t="s">
        <v>1776</v>
      </c>
      <c r="B913" s="5" t="s">
        <v>1777</v>
      </c>
      <c r="C913" s="4" t="s">
        <v>1776</v>
      </c>
    </row>
    <row r="914" spans="1:3" hidden="1" x14ac:dyDescent="0.25">
      <c r="A914" s="4" t="s">
        <v>1778</v>
      </c>
      <c r="B914" s="5" t="s">
        <v>1779</v>
      </c>
      <c r="C914" s="4" t="s">
        <v>1778</v>
      </c>
    </row>
    <row r="915" spans="1:3" hidden="1" x14ac:dyDescent="0.25">
      <c r="A915" s="4" t="s">
        <v>1780</v>
      </c>
      <c r="B915" s="5" t="s">
        <v>1781</v>
      </c>
      <c r="C915" s="4" t="s">
        <v>1780</v>
      </c>
    </row>
    <row r="916" spans="1:3" hidden="1" x14ac:dyDescent="0.25">
      <c r="A916" s="4" t="s">
        <v>1782</v>
      </c>
      <c r="B916" s="5" t="s">
        <v>1783</v>
      </c>
      <c r="C916" s="4" t="s">
        <v>1782</v>
      </c>
    </row>
    <row r="917" spans="1:3" hidden="1" x14ac:dyDescent="0.25">
      <c r="A917" s="4" t="s">
        <v>1784</v>
      </c>
      <c r="B917" s="5" t="s">
        <v>1785</v>
      </c>
      <c r="C917" s="4" t="s">
        <v>1784</v>
      </c>
    </row>
    <row r="918" spans="1:3" hidden="1" x14ac:dyDescent="0.25">
      <c r="A918" s="4" t="s">
        <v>1786</v>
      </c>
      <c r="B918" s="5" t="s">
        <v>1787</v>
      </c>
      <c r="C918" s="4" t="s">
        <v>1786</v>
      </c>
    </row>
    <row r="919" spans="1:3" hidden="1" x14ac:dyDescent="0.25">
      <c r="A919" s="4" t="s">
        <v>1788</v>
      </c>
      <c r="B919" s="5" t="s">
        <v>1789</v>
      </c>
      <c r="C919" s="4" t="s">
        <v>1788</v>
      </c>
    </row>
    <row r="920" spans="1:3" hidden="1" x14ac:dyDescent="0.25">
      <c r="A920" s="4" t="s">
        <v>1790</v>
      </c>
      <c r="B920" s="5" t="s">
        <v>1791</v>
      </c>
      <c r="C920" s="4" t="s">
        <v>1790</v>
      </c>
    </row>
    <row r="921" spans="1:3" hidden="1" x14ac:dyDescent="0.25">
      <c r="A921" s="4" t="s">
        <v>1792</v>
      </c>
      <c r="B921" s="5" t="s">
        <v>212</v>
      </c>
      <c r="C921" s="4" t="s">
        <v>1792</v>
      </c>
    </row>
    <row r="922" spans="1:3" hidden="1" x14ac:dyDescent="0.25">
      <c r="A922" s="4" t="s">
        <v>1793</v>
      </c>
      <c r="B922" s="5" t="s">
        <v>1794</v>
      </c>
      <c r="C922" s="4" t="s">
        <v>1793</v>
      </c>
    </row>
    <row r="923" spans="1:3" hidden="1" x14ac:dyDescent="0.25">
      <c r="A923" s="4" t="s">
        <v>1795</v>
      </c>
      <c r="B923" s="5" t="s">
        <v>1796</v>
      </c>
      <c r="C923" s="4" t="s">
        <v>1795</v>
      </c>
    </row>
    <row r="924" spans="1:3" hidden="1" x14ac:dyDescent="0.25">
      <c r="A924" s="4" t="s">
        <v>1797</v>
      </c>
      <c r="B924" s="5" t="s">
        <v>1798</v>
      </c>
      <c r="C924" s="4" t="s">
        <v>1797</v>
      </c>
    </row>
    <row r="925" spans="1:3" hidden="1" x14ac:dyDescent="0.25">
      <c r="A925" s="4" t="s">
        <v>1799</v>
      </c>
      <c r="B925" s="5" t="s">
        <v>1800</v>
      </c>
      <c r="C925" s="4" t="s">
        <v>1799</v>
      </c>
    </row>
    <row r="926" spans="1:3" hidden="1" x14ac:dyDescent="0.25">
      <c r="A926" s="4" t="s">
        <v>1801</v>
      </c>
      <c r="B926" s="5" t="s">
        <v>796</v>
      </c>
      <c r="C926" s="4" t="s">
        <v>1801</v>
      </c>
    </row>
    <row r="927" spans="1:3" hidden="1" x14ac:dyDescent="0.25">
      <c r="A927" s="4" t="s">
        <v>1802</v>
      </c>
      <c r="B927" s="5" t="s">
        <v>1803</v>
      </c>
      <c r="C927" s="4" t="s">
        <v>1802</v>
      </c>
    </row>
    <row r="928" spans="1:3" hidden="1" x14ac:dyDescent="0.25">
      <c r="A928" s="4" t="s">
        <v>1804</v>
      </c>
      <c r="B928" s="5" t="s">
        <v>1805</v>
      </c>
      <c r="C928" s="4" t="s">
        <v>1804</v>
      </c>
    </row>
    <row r="929" spans="1:3" hidden="1" x14ac:dyDescent="0.25">
      <c r="A929" s="4" t="s">
        <v>1806</v>
      </c>
      <c r="B929" s="5" t="s">
        <v>1807</v>
      </c>
      <c r="C929" s="4" t="s">
        <v>1806</v>
      </c>
    </row>
    <row r="930" spans="1:3" hidden="1" x14ac:dyDescent="0.25">
      <c r="A930" s="4" t="s">
        <v>1808</v>
      </c>
      <c r="B930" s="5" t="s">
        <v>1809</v>
      </c>
      <c r="C930" s="4" t="s">
        <v>1808</v>
      </c>
    </row>
    <row r="931" spans="1:3" hidden="1" x14ac:dyDescent="0.25">
      <c r="A931" s="4" t="s">
        <v>1810</v>
      </c>
      <c r="B931" s="5" t="s">
        <v>1811</v>
      </c>
      <c r="C931" s="4" t="s">
        <v>1810</v>
      </c>
    </row>
    <row r="932" spans="1:3" hidden="1" x14ac:dyDescent="0.25">
      <c r="A932" s="4" t="s">
        <v>1812</v>
      </c>
      <c r="B932" s="5" t="s">
        <v>397</v>
      </c>
      <c r="C932" s="4" t="s">
        <v>1812</v>
      </c>
    </row>
    <row r="933" spans="1:3" hidden="1" x14ac:dyDescent="0.25">
      <c r="A933" s="4" t="s">
        <v>1813</v>
      </c>
      <c r="B933" s="5" t="s">
        <v>1814</v>
      </c>
      <c r="C933" s="4" t="s">
        <v>1813</v>
      </c>
    </row>
    <row r="934" spans="1:3" hidden="1" x14ac:dyDescent="0.25">
      <c r="A934" s="4" t="s">
        <v>1815</v>
      </c>
      <c r="B934" s="5" t="s">
        <v>1816</v>
      </c>
      <c r="C934" s="4" t="s">
        <v>1815</v>
      </c>
    </row>
    <row r="935" spans="1:3" hidden="1" x14ac:dyDescent="0.25">
      <c r="A935" s="4" t="s">
        <v>1817</v>
      </c>
      <c r="B935" s="5" t="s">
        <v>420</v>
      </c>
      <c r="C935" s="4" t="s">
        <v>1817</v>
      </c>
    </row>
    <row r="936" spans="1:3" hidden="1" x14ac:dyDescent="0.25">
      <c r="A936" s="4" t="s">
        <v>1818</v>
      </c>
      <c r="B936" s="5" t="s">
        <v>1819</v>
      </c>
      <c r="C936" s="4" t="s">
        <v>1818</v>
      </c>
    </row>
    <row r="937" spans="1:3" hidden="1" x14ac:dyDescent="0.25">
      <c r="A937" s="4" t="s">
        <v>1820</v>
      </c>
      <c r="B937" s="5" t="s">
        <v>1821</v>
      </c>
      <c r="C937" s="4" t="s">
        <v>1820</v>
      </c>
    </row>
    <row r="938" spans="1:3" hidden="1" x14ac:dyDescent="0.25">
      <c r="A938" s="4" t="s">
        <v>1822</v>
      </c>
      <c r="B938" s="5" t="s">
        <v>1823</v>
      </c>
      <c r="C938" s="4" t="s">
        <v>1822</v>
      </c>
    </row>
    <row r="939" spans="1:3" hidden="1" x14ac:dyDescent="0.25">
      <c r="A939" s="4" t="s">
        <v>1824</v>
      </c>
      <c r="B939" s="5" t="s">
        <v>1825</v>
      </c>
      <c r="C939" s="4" t="s">
        <v>1824</v>
      </c>
    </row>
    <row r="940" spans="1:3" hidden="1" x14ac:dyDescent="0.25">
      <c r="A940" s="4" t="s">
        <v>1826</v>
      </c>
      <c r="B940" s="5" t="s">
        <v>1827</v>
      </c>
      <c r="C940" s="4" t="s">
        <v>1826</v>
      </c>
    </row>
    <row r="941" spans="1:3" hidden="1" x14ac:dyDescent="0.25">
      <c r="A941" s="4" t="s">
        <v>1828</v>
      </c>
      <c r="B941" s="5" t="s">
        <v>1829</v>
      </c>
      <c r="C941" s="4" t="s">
        <v>1828</v>
      </c>
    </row>
    <row r="942" spans="1:3" hidden="1" x14ac:dyDescent="0.25">
      <c r="A942" s="4" t="s">
        <v>1830</v>
      </c>
      <c r="B942" s="5" t="s">
        <v>1831</v>
      </c>
      <c r="C942" s="4" t="s">
        <v>1830</v>
      </c>
    </row>
    <row r="943" spans="1:3" hidden="1" x14ac:dyDescent="0.25">
      <c r="A943" s="4" t="s">
        <v>1832</v>
      </c>
      <c r="B943" s="5" t="s">
        <v>1833</v>
      </c>
      <c r="C943" s="4" t="s">
        <v>1832</v>
      </c>
    </row>
    <row r="944" spans="1:3" hidden="1" x14ac:dyDescent="0.25">
      <c r="A944" s="4" t="s">
        <v>1834</v>
      </c>
      <c r="B944" s="5" t="s">
        <v>142</v>
      </c>
      <c r="C944" s="4" t="s">
        <v>1834</v>
      </c>
    </row>
    <row r="945" spans="1:3" hidden="1" x14ac:dyDescent="0.25">
      <c r="A945" s="4" t="s">
        <v>1835</v>
      </c>
      <c r="B945" s="5" t="s">
        <v>1836</v>
      </c>
      <c r="C945" s="4" t="s">
        <v>1835</v>
      </c>
    </row>
    <row r="946" spans="1:3" hidden="1" x14ac:dyDescent="0.25">
      <c r="A946" s="4" t="s">
        <v>1837</v>
      </c>
      <c r="B946" s="5" t="s">
        <v>1838</v>
      </c>
      <c r="C946" s="4" t="s">
        <v>1837</v>
      </c>
    </row>
    <row r="947" spans="1:3" hidden="1" x14ac:dyDescent="0.25">
      <c r="A947" s="4" t="s">
        <v>1839</v>
      </c>
      <c r="B947" s="5" t="s">
        <v>1840</v>
      </c>
      <c r="C947" s="4" t="s">
        <v>1839</v>
      </c>
    </row>
    <row r="948" spans="1:3" hidden="1" x14ac:dyDescent="0.25">
      <c r="A948" s="4" t="s">
        <v>1841</v>
      </c>
      <c r="B948" s="5" t="s">
        <v>1842</v>
      </c>
      <c r="C948" s="4" t="s">
        <v>1841</v>
      </c>
    </row>
    <row r="949" spans="1:3" hidden="1" x14ac:dyDescent="0.25">
      <c r="A949" s="4" t="s">
        <v>1843</v>
      </c>
      <c r="B949" s="5" t="s">
        <v>1844</v>
      </c>
      <c r="C949" s="4" t="s">
        <v>1843</v>
      </c>
    </row>
    <row r="950" spans="1:3" hidden="1" x14ac:dyDescent="0.25">
      <c r="A950" s="4" t="s">
        <v>1845</v>
      </c>
      <c r="B950" s="5" t="s">
        <v>1846</v>
      </c>
      <c r="C950" s="4" t="s">
        <v>1845</v>
      </c>
    </row>
    <row r="951" spans="1:3" hidden="1" x14ac:dyDescent="0.25">
      <c r="A951" s="4" t="s">
        <v>1847</v>
      </c>
      <c r="B951" s="5" t="s">
        <v>1848</v>
      </c>
      <c r="C951" s="4" t="s">
        <v>1847</v>
      </c>
    </row>
    <row r="952" spans="1:3" hidden="1" x14ac:dyDescent="0.25">
      <c r="A952" s="4" t="s">
        <v>1849</v>
      </c>
      <c r="B952" s="5" t="s">
        <v>1850</v>
      </c>
      <c r="C952" s="4" t="s">
        <v>1849</v>
      </c>
    </row>
    <row r="953" spans="1:3" hidden="1" x14ac:dyDescent="0.25">
      <c r="A953" s="4" t="s">
        <v>1851</v>
      </c>
      <c r="B953" s="5" t="s">
        <v>1852</v>
      </c>
      <c r="C953" s="4" t="s">
        <v>1851</v>
      </c>
    </row>
    <row r="954" spans="1:3" hidden="1" x14ac:dyDescent="0.25">
      <c r="A954" s="4" t="s">
        <v>1853</v>
      </c>
      <c r="B954" s="5" t="s">
        <v>1854</v>
      </c>
      <c r="C954" s="4" t="s">
        <v>1853</v>
      </c>
    </row>
    <row r="955" spans="1:3" hidden="1" x14ac:dyDescent="0.25">
      <c r="A955" s="4" t="s">
        <v>1855</v>
      </c>
      <c r="B955" s="5" t="s">
        <v>1856</v>
      </c>
      <c r="C955" s="4" t="s">
        <v>1855</v>
      </c>
    </row>
    <row r="956" spans="1:3" hidden="1" x14ac:dyDescent="0.25">
      <c r="A956" s="4" t="s">
        <v>1857</v>
      </c>
      <c r="B956" s="5" t="s">
        <v>1858</v>
      </c>
      <c r="C956" s="4" t="s">
        <v>1857</v>
      </c>
    </row>
    <row r="957" spans="1:3" hidden="1" x14ac:dyDescent="0.25">
      <c r="A957" s="4" t="s">
        <v>1859</v>
      </c>
      <c r="B957" s="5" t="s">
        <v>796</v>
      </c>
      <c r="C957" s="4" t="s">
        <v>1859</v>
      </c>
    </row>
    <row r="958" spans="1:3" hidden="1" x14ac:dyDescent="0.25">
      <c r="A958" s="4" t="s">
        <v>1860</v>
      </c>
      <c r="B958" s="5" t="s">
        <v>1861</v>
      </c>
      <c r="C958" s="4" t="s">
        <v>1860</v>
      </c>
    </row>
    <row r="959" spans="1:3" hidden="1" x14ac:dyDescent="0.25">
      <c r="A959" s="4" t="s">
        <v>1862</v>
      </c>
      <c r="B959" s="5" t="s">
        <v>1863</v>
      </c>
      <c r="C959" s="4" t="s">
        <v>1862</v>
      </c>
    </row>
    <row r="960" spans="1:3" hidden="1" x14ac:dyDescent="0.25">
      <c r="A960" s="4" t="s">
        <v>1864</v>
      </c>
      <c r="B960" s="5" t="s">
        <v>1865</v>
      </c>
      <c r="C960" s="4" t="s">
        <v>1864</v>
      </c>
    </row>
    <row r="961" spans="1:3" hidden="1" x14ac:dyDescent="0.25">
      <c r="A961" s="4" t="s">
        <v>1866</v>
      </c>
      <c r="B961" s="5" t="s">
        <v>1867</v>
      </c>
      <c r="C961" s="4" t="s">
        <v>1866</v>
      </c>
    </row>
    <row r="962" spans="1:3" hidden="1" x14ac:dyDescent="0.25">
      <c r="A962" s="4" t="s">
        <v>1868</v>
      </c>
      <c r="B962" s="5" t="s">
        <v>1869</v>
      </c>
      <c r="C962" s="4" t="s">
        <v>1868</v>
      </c>
    </row>
    <row r="963" spans="1:3" hidden="1" x14ac:dyDescent="0.25">
      <c r="A963" s="4" t="s">
        <v>1870</v>
      </c>
      <c r="B963" s="5" t="s">
        <v>1871</v>
      </c>
      <c r="C963" s="4" t="s">
        <v>1870</v>
      </c>
    </row>
    <row r="964" spans="1:3" hidden="1" x14ac:dyDescent="0.25">
      <c r="A964" s="4" t="s">
        <v>1872</v>
      </c>
      <c r="B964" s="5" t="s">
        <v>1873</v>
      </c>
      <c r="C964" s="4" t="s">
        <v>1872</v>
      </c>
    </row>
    <row r="965" spans="1:3" hidden="1" x14ac:dyDescent="0.25">
      <c r="A965" s="4" t="s">
        <v>1874</v>
      </c>
      <c r="B965" s="5" t="s">
        <v>1875</v>
      </c>
      <c r="C965" s="4" t="s">
        <v>1874</v>
      </c>
    </row>
    <row r="966" spans="1:3" hidden="1" x14ac:dyDescent="0.25">
      <c r="A966" s="4" t="s">
        <v>1876</v>
      </c>
      <c r="B966" s="5" t="s">
        <v>1877</v>
      </c>
      <c r="C966" s="4" t="s">
        <v>1876</v>
      </c>
    </row>
    <row r="967" spans="1:3" hidden="1" x14ac:dyDescent="0.25">
      <c r="A967" s="4" t="s">
        <v>1878</v>
      </c>
      <c r="B967" s="5" t="s">
        <v>1879</v>
      </c>
      <c r="C967" s="4" t="s">
        <v>1878</v>
      </c>
    </row>
    <row r="968" spans="1:3" hidden="1" x14ac:dyDescent="0.25">
      <c r="A968" s="4" t="s">
        <v>1880</v>
      </c>
      <c r="B968" s="5" t="s">
        <v>1881</v>
      </c>
      <c r="C968" s="4" t="s">
        <v>1880</v>
      </c>
    </row>
    <row r="969" spans="1:3" hidden="1" x14ac:dyDescent="0.25">
      <c r="A969" s="4" t="s">
        <v>1882</v>
      </c>
      <c r="B969" s="5" t="s">
        <v>1883</v>
      </c>
      <c r="C969" s="4" t="s">
        <v>1882</v>
      </c>
    </row>
    <row r="970" spans="1:3" hidden="1" x14ac:dyDescent="0.25">
      <c r="A970" s="4" t="s">
        <v>1884</v>
      </c>
      <c r="B970" s="5" t="s">
        <v>1885</v>
      </c>
      <c r="C970" s="4" t="s">
        <v>1884</v>
      </c>
    </row>
    <row r="971" spans="1:3" hidden="1" x14ac:dyDescent="0.25">
      <c r="A971" s="4" t="s">
        <v>1886</v>
      </c>
      <c r="B971" s="5" t="s">
        <v>1887</v>
      </c>
      <c r="C971" s="4" t="s">
        <v>1886</v>
      </c>
    </row>
    <row r="972" spans="1:3" hidden="1" x14ac:dyDescent="0.25">
      <c r="A972" s="4" t="s">
        <v>1888</v>
      </c>
      <c r="B972" s="5" t="s">
        <v>1889</v>
      </c>
      <c r="C972" s="4" t="s">
        <v>1888</v>
      </c>
    </row>
    <row r="973" spans="1:3" hidden="1" x14ac:dyDescent="0.25">
      <c r="A973" s="4" t="s">
        <v>1890</v>
      </c>
      <c r="B973" s="5" t="s">
        <v>1891</v>
      </c>
      <c r="C973" s="4" t="s">
        <v>1890</v>
      </c>
    </row>
    <row r="974" spans="1:3" hidden="1" x14ac:dyDescent="0.25">
      <c r="A974" s="4" t="s">
        <v>1892</v>
      </c>
      <c r="B974" s="5" t="s">
        <v>1893</v>
      </c>
      <c r="C974" s="4" t="s">
        <v>1892</v>
      </c>
    </row>
    <row r="975" spans="1:3" hidden="1" x14ac:dyDescent="0.25">
      <c r="A975" s="4" t="s">
        <v>1894</v>
      </c>
      <c r="B975" s="5" t="s">
        <v>1895</v>
      </c>
      <c r="C975" s="4" t="s">
        <v>1894</v>
      </c>
    </row>
    <row r="976" spans="1:3" hidden="1" x14ac:dyDescent="0.25">
      <c r="A976" s="4" t="s">
        <v>1896</v>
      </c>
      <c r="B976" s="5" t="s">
        <v>1897</v>
      </c>
      <c r="C976" s="4" t="s">
        <v>1896</v>
      </c>
    </row>
    <row r="977" spans="1:3" hidden="1" x14ac:dyDescent="0.25">
      <c r="A977" s="4" t="s">
        <v>1898</v>
      </c>
      <c r="B977" s="5" t="s">
        <v>1899</v>
      </c>
      <c r="C977" s="4" t="s">
        <v>1898</v>
      </c>
    </row>
    <row r="978" spans="1:3" hidden="1" x14ac:dyDescent="0.25">
      <c r="A978" s="4" t="s">
        <v>1900</v>
      </c>
      <c r="B978" s="5" t="s">
        <v>1901</v>
      </c>
      <c r="C978" s="4" t="s">
        <v>1900</v>
      </c>
    </row>
    <row r="979" spans="1:3" hidden="1" x14ac:dyDescent="0.25">
      <c r="A979" s="4" t="s">
        <v>1902</v>
      </c>
      <c r="B979" s="5" t="s">
        <v>1903</v>
      </c>
      <c r="C979" s="4" t="s">
        <v>1902</v>
      </c>
    </row>
    <row r="980" spans="1:3" hidden="1" x14ac:dyDescent="0.25">
      <c r="A980" s="4" t="s">
        <v>1904</v>
      </c>
      <c r="B980" s="5" t="s">
        <v>1905</v>
      </c>
      <c r="C980" s="4" t="s">
        <v>1904</v>
      </c>
    </row>
    <row r="981" spans="1:3" hidden="1" x14ac:dyDescent="0.25">
      <c r="A981" s="4" t="s">
        <v>1906</v>
      </c>
      <c r="B981" s="5" t="s">
        <v>1907</v>
      </c>
      <c r="C981" s="4" t="s">
        <v>1906</v>
      </c>
    </row>
    <row r="982" spans="1:3" hidden="1" x14ac:dyDescent="0.25">
      <c r="A982" s="4" t="s">
        <v>1908</v>
      </c>
      <c r="B982" s="5" t="s">
        <v>1909</v>
      </c>
      <c r="C982" s="4" t="s">
        <v>1908</v>
      </c>
    </row>
    <row r="983" spans="1:3" hidden="1" x14ac:dyDescent="0.25">
      <c r="A983" s="4" t="s">
        <v>1910</v>
      </c>
      <c r="B983" s="5" t="s">
        <v>1911</v>
      </c>
      <c r="C983" s="4" t="s">
        <v>1910</v>
      </c>
    </row>
    <row r="984" spans="1:3" hidden="1" x14ac:dyDescent="0.25">
      <c r="A984" s="4" t="s">
        <v>1912</v>
      </c>
      <c r="B984" s="5" t="s">
        <v>1913</v>
      </c>
      <c r="C984" s="4" t="s">
        <v>1912</v>
      </c>
    </row>
    <row r="985" spans="1:3" hidden="1" x14ac:dyDescent="0.25">
      <c r="A985" s="4" t="s">
        <v>1914</v>
      </c>
      <c r="B985" s="5" t="s">
        <v>1915</v>
      </c>
      <c r="C985" s="4" t="s">
        <v>1914</v>
      </c>
    </row>
    <row r="986" spans="1:3" hidden="1" x14ac:dyDescent="0.25">
      <c r="A986" s="4" t="s">
        <v>1916</v>
      </c>
      <c r="B986" s="5" t="s">
        <v>1917</v>
      </c>
      <c r="C986" s="4" t="s">
        <v>1916</v>
      </c>
    </row>
    <row r="987" spans="1:3" hidden="1" x14ac:dyDescent="0.25">
      <c r="A987" s="4" t="s">
        <v>1918</v>
      </c>
      <c r="B987" s="5" t="s">
        <v>1919</v>
      </c>
      <c r="C987" s="4" t="s">
        <v>1918</v>
      </c>
    </row>
    <row r="988" spans="1:3" hidden="1" x14ac:dyDescent="0.25">
      <c r="A988" s="4" t="s">
        <v>1920</v>
      </c>
      <c r="B988" s="5" t="s">
        <v>1921</v>
      </c>
      <c r="C988" s="4" t="s">
        <v>1920</v>
      </c>
    </row>
    <row r="989" spans="1:3" hidden="1" x14ac:dyDescent="0.25">
      <c r="A989" s="4" t="s">
        <v>1922</v>
      </c>
      <c r="B989" s="5" t="s">
        <v>1923</v>
      </c>
      <c r="C989" s="4" t="s">
        <v>1922</v>
      </c>
    </row>
    <row r="990" spans="1:3" hidden="1" x14ac:dyDescent="0.25">
      <c r="A990" s="4" t="s">
        <v>1924</v>
      </c>
      <c r="B990" s="5" t="s">
        <v>1925</v>
      </c>
      <c r="C990" s="4" t="s">
        <v>1924</v>
      </c>
    </row>
    <row r="991" spans="1:3" hidden="1" x14ac:dyDescent="0.25">
      <c r="A991" s="4" t="s">
        <v>1926</v>
      </c>
      <c r="B991" s="5" t="s">
        <v>1927</v>
      </c>
      <c r="C991" s="4" t="s">
        <v>1926</v>
      </c>
    </row>
    <row r="992" spans="1:3" hidden="1" x14ac:dyDescent="0.25">
      <c r="A992" s="4" t="s">
        <v>1928</v>
      </c>
      <c r="B992" s="5" t="s">
        <v>1929</v>
      </c>
      <c r="C992" s="4" t="s">
        <v>1928</v>
      </c>
    </row>
    <row r="993" spans="1:3" hidden="1" x14ac:dyDescent="0.25">
      <c r="A993" s="4" t="s">
        <v>1930</v>
      </c>
      <c r="B993" s="5" t="s">
        <v>1931</v>
      </c>
      <c r="C993" s="4" t="s">
        <v>1930</v>
      </c>
    </row>
    <row r="994" spans="1:3" hidden="1" x14ac:dyDescent="0.25">
      <c r="A994" s="4" t="s">
        <v>1932</v>
      </c>
      <c r="B994" s="5" t="s">
        <v>1933</v>
      </c>
      <c r="C994" s="4" t="s">
        <v>1932</v>
      </c>
    </row>
    <row r="995" spans="1:3" hidden="1" x14ac:dyDescent="0.25">
      <c r="A995" s="4" t="s">
        <v>1934</v>
      </c>
      <c r="B995" s="5" t="s">
        <v>1935</v>
      </c>
      <c r="C995" s="4" t="s">
        <v>1934</v>
      </c>
    </row>
    <row r="996" spans="1:3" hidden="1" x14ac:dyDescent="0.25">
      <c r="A996" s="4" t="s">
        <v>1936</v>
      </c>
      <c r="B996" s="5" t="s">
        <v>1937</v>
      </c>
      <c r="C996" s="4" t="s">
        <v>1936</v>
      </c>
    </row>
    <row r="997" spans="1:3" hidden="1" x14ac:dyDescent="0.25">
      <c r="A997" s="4" t="s">
        <v>1938</v>
      </c>
      <c r="B997" s="5" t="s">
        <v>1939</v>
      </c>
      <c r="C997" s="4" t="s">
        <v>1938</v>
      </c>
    </row>
    <row r="998" spans="1:3" hidden="1" x14ac:dyDescent="0.25">
      <c r="A998" s="4" t="s">
        <v>1940</v>
      </c>
      <c r="B998" s="5" t="s">
        <v>1941</v>
      </c>
      <c r="C998" s="4" t="s">
        <v>1940</v>
      </c>
    </row>
    <row r="999" spans="1:3" hidden="1" x14ac:dyDescent="0.25">
      <c r="A999" s="4" t="s">
        <v>1942</v>
      </c>
      <c r="B999" s="5" t="s">
        <v>1943</v>
      </c>
      <c r="C999" s="4" t="s">
        <v>1942</v>
      </c>
    </row>
    <row r="1000" spans="1:3" hidden="1" x14ac:dyDescent="0.25">
      <c r="A1000" s="4" t="s">
        <v>1944</v>
      </c>
      <c r="B1000" s="5" t="s">
        <v>200</v>
      </c>
      <c r="C1000" s="4" t="s">
        <v>1944</v>
      </c>
    </row>
    <row r="1001" spans="1:3" hidden="1" x14ac:dyDescent="0.25">
      <c r="A1001" s="4" t="s">
        <v>1945</v>
      </c>
      <c r="B1001" s="5" t="s">
        <v>1946</v>
      </c>
      <c r="C1001" s="4" t="s">
        <v>1945</v>
      </c>
    </row>
    <row r="1002" spans="1:3" hidden="1" x14ac:dyDescent="0.25">
      <c r="A1002" s="4" t="s">
        <v>1947</v>
      </c>
      <c r="B1002" s="5" t="s">
        <v>794</v>
      </c>
      <c r="C1002" s="4" t="s">
        <v>1947</v>
      </c>
    </row>
    <row r="1003" spans="1:3" hidden="1" x14ac:dyDescent="0.25">
      <c r="A1003" s="4" t="s">
        <v>1948</v>
      </c>
      <c r="B1003" s="5" t="s">
        <v>1949</v>
      </c>
      <c r="C1003" s="4" t="s">
        <v>1948</v>
      </c>
    </row>
    <row r="1004" spans="1:3" hidden="1" x14ac:dyDescent="0.25">
      <c r="A1004" s="4" t="s">
        <v>1950</v>
      </c>
      <c r="B1004" s="5" t="s">
        <v>1951</v>
      </c>
      <c r="C1004" s="4" t="s">
        <v>1950</v>
      </c>
    </row>
    <row r="1005" spans="1:3" hidden="1" x14ac:dyDescent="0.25">
      <c r="A1005" s="4" t="s">
        <v>1952</v>
      </c>
      <c r="B1005" s="5" t="s">
        <v>1953</v>
      </c>
      <c r="C1005" s="4" t="s">
        <v>1952</v>
      </c>
    </row>
    <row r="1006" spans="1:3" hidden="1" x14ac:dyDescent="0.25">
      <c r="A1006" s="4" t="s">
        <v>1954</v>
      </c>
      <c r="B1006" s="5" t="s">
        <v>1955</v>
      </c>
      <c r="C1006" s="4" t="s">
        <v>1954</v>
      </c>
    </row>
    <row r="1007" spans="1:3" hidden="1" x14ac:dyDescent="0.25">
      <c r="A1007" s="4" t="s">
        <v>1956</v>
      </c>
      <c r="B1007" s="5" t="s">
        <v>1957</v>
      </c>
      <c r="C1007" s="4" t="s">
        <v>1956</v>
      </c>
    </row>
    <row r="1008" spans="1:3" hidden="1" x14ac:dyDescent="0.25">
      <c r="A1008" s="4" t="s">
        <v>1958</v>
      </c>
      <c r="B1008" s="5" t="s">
        <v>1959</v>
      </c>
      <c r="C1008" s="4" t="s">
        <v>1958</v>
      </c>
    </row>
    <row r="1009" spans="1:3" hidden="1" x14ac:dyDescent="0.25">
      <c r="A1009" s="4" t="s">
        <v>1960</v>
      </c>
      <c r="B1009" s="5" t="s">
        <v>1961</v>
      </c>
      <c r="C1009" s="4" t="s">
        <v>1960</v>
      </c>
    </row>
    <row r="1010" spans="1:3" hidden="1" x14ac:dyDescent="0.25">
      <c r="A1010" s="4" t="s">
        <v>1962</v>
      </c>
      <c r="B1010" s="5" t="s">
        <v>1963</v>
      </c>
      <c r="C1010" s="4" t="s">
        <v>1962</v>
      </c>
    </row>
    <row r="1011" spans="1:3" hidden="1" x14ac:dyDescent="0.25">
      <c r="A1011" s="4" t="s">
        <v>1964</v>
      </c>
      <c r="B1011" s="5" t="s">
        <v>40</v>
      </c>
      <c r="C1011" s="4" t="s">
        <v>1964</v>
      </c>
    </row>
    <row r="1012" spans="1:3" hidden="1" x14ac:dyDescent="0.25">
      <c r="A1012" s="4" t="s">
        <v>1965</v>
      </c>
      <c r="B1012" s="5" t="s">
        <v>736</v>
      </c>
      <c r="C1012" s="4" t="s">
        <v>1965</v>
      </c>
    </row>
    <row r="1013" spans="1:3" hidden="1" x14ac:dyDescent="0.25">
      <c r="A1013" s="4" t="s">
        <v>1966</v>
      </c>
      <c r="B1013" s="5" t="s">
        <v>1967</v>
      </c>
      <c r="C1013" s="4" t="s">
        <v>1966</v>
      </c>
    </row>
    <row r="1014" spans="1:3" hidden="1" x14ac:dyDescent="0.25">
      <c r="A1014" s="4" t="s">
        <v>1968</v>
      </c>
      <c r="B1014" s="5" t="s">
        <v>1969</v>
      </c>
      <c r="C1014" s="4" t="s">
        <v>1968</v>
      </c>
    </row>
    <row r="1015" spans="1:3" hidden="1" x14ac:dyDescent="0.25">
      <c r="A1015" s="4" t="s">
        <v>1970</v>
      </c>
      <c r="B1015" s="5" t="s">
        <v>1971</v>
      </c>
      <c r="C1015" s="4" t="s">
        <v>1970</v>
      </c>
    </row>
    <row r="1016" spans="1:3" hidden="1" x14ac:dyDescent="0.25">
      <c r="A1016" s="4" t="s">
        <v>1972</v>
      </c>
      <c r="B1016" s="5" t="s">
        <v>1973</v>
      </c>
      <c r="C1016" s="4" t="s">
        <v>1972</v>
      </c>
    </row>
    <row r="1017" spans="1:3" hidden="1" x14ac:dyDescent="0.25">
      <c r="A1017" s="4" t="s">
        <v>1974</v>
      </c>
      <c r="B1017" s="5" t="s">
        <v>1975</v>
      </c>
      <c r="C1017" s="4" t="s">
        <v>1974</v>
      </c>
    </row>
    <row r="1018" spans="1:3" hidden="1" x14ac:dyDescent="0.25">
      <c r="A1018" s="4" t="s">
        <v>1976</v>
      </c>
      <c r="B1018" s="5" t="s">
        <v>268</v>
      </c>
      <c r="C1018" s="4" t="s">
        <v>1976</v>
      </c>
    </row>
    <row r="1019" spans="1:3" hidden="1" x14ac:dyDescent="0.25">
      <c r="A1019" s="4" t="s">
        <v>1977</v>
      </c>
      <c r="B1019" s="5" t="s">
        <v>1978</v>
      </c>
      <c r="C1019" s="4" t="s">
        <v>1977</v>
      </c>
    </row>
    <row r="1020" spans="1:3" hidden="1" x14ac:dyDescent="0.25">
      <c r="A1020" s="4" t="s">
        <v>1979</v>
      </c>
      <c r="B1020" s="5" t="s">
        <v>1980</v>
      </c>
      <c r="C1020" s="4" t="s">
        <v>1979</v>
      </c>
    </row>
    <row r="1021" spans="1:3" hidden="1" x14ac:dyDescent="0.25">
      <c r="A1021" s="4" t="s">
        <v>1981</v>
      </c>
      <c r="B1021" s="5" t="s">
        <v>1982</v>
      </c>
      <c r="C1021" s="4" t="s">
        <v>1981</v>
      </c>
    </row>
    <row r="1022" spans="1:3" hidden="1" x14ac:dyDescent="0.25">
      <c r="A1022" s="4" t="s">
        <v>1983</v>
      </c>
      <c r="B1022" s="5" t="s">
        <v>1984</v>
      </c>
      <c r="C1022" s="4" t="s">
        <v>1983</v>
      </c>
    </row>
    <row r="1023" spans="1:3" hidden="1" x14ac:dyDescent="0.25">
      <c r="A1023" s="4" t="s">
        <v>1985</v>
      </c>
      <c r="B1023" s="5" t="s">
        <v>1986</v>
      </c>
      <c r="C1023" s="4" t="s">
        <v>1985</v>
      </c>
    </row>
    <row r="1024" spans="1:3" hidden="1" x14ac:dyDescent="0.25">
      <c r="A1024" s="4" t="s">
        <v>1987</v>
      </c>
      <c r="B1024" s="5" t="s">
        <v>1988</v>
      </c>
      <c r="C1024" s="4" t="s">
        <v>1987</v>
      </c>
    </row>
    <row r="1025" spans="1:3" hidden="1" x14ac:dyDescent="0.25">
      <c r="A1025" s="4" t="s">
        <v>1989</v>
      </c>
      <c r="B1025" s="5" t="s">
        <v>1990</v>
      </c>
      <c r="C1025" s="4" t="s">
        <v>1989</v>
      </c>
    </row>
    <row r="1026" spans="1:3" hidden="1" x14ac:dyDescent="0.25">
      <c r="A1026" s="4" t="s">
        <v>1991</v>
      </c>
      <c r="B1026" s="5" t="s">
        <v>1992</v>
      </c>
      <c r="C1026" s="4" t="s">
        <v>1991</v>
      </c>
    </row>
    <row r="1027" spans="1:3" hidden="1" x14ac:dyDescent="0.25">
      <c r="A1027" s="4" t="s">
        <v>1993</v>
      </c>
      <c r="B1027" s="5" t="s">
        <v>1994</v>
      </c>
      <c r="C1027" s="4" t="s">
        <v>1993</v>
      </c>
    </row>
    <row r="1028" spans="1:3" hidden="1" x14ac:dyDescent="0.25">
      <c r="A1028" s="4" t="s">
        <v>1995</v>
      </c>
      <c r="B1028" s="5" t="s">
        <v>1996</v>
      </c>
      <c r="C1028" s="4" t="s">
        <v>1995</v>
      </c>
    </row>
    <row r="1029" spans="1:3" hidden="1" x14ac:dyDescent="0.25">
      <c r="A1029" s="4" t="s">
        <v>1997</v>
      </c>
      <c r="B1029" s="5" t="s">
        <v>1998</v>
      </c>
      <c r="C1029" s="4" t="s">
        <v>1997</v>
      </c>
    </row>
    <row r="1030" spans="1:3" hidden="1" x14ac:dyDescent="0.25">
      <c r="A1030" s="4" t="s">
        <v>1999</v>
      </c>
      <c r="B1030" s="5" t="s">
        <v>142</v>
      </c>
      <c r="C1030" s="4" t="s">
        <v>1999</v>
      </c>
    </row>
    <row r="1031" spans="1:3" hidden="1" x14ac:dyDescent="0.25">
      <c r="A1031" s="4" t="s">
        <v>2000</v>
      </c>
      <c r="B1031" s="5" t="s">
        <v>494</v>
      </c>
      <c r="C1031" s="4" t="s">
        <v>2000</v>
      </c>
    </row>
    <row r="1032" spans="1:3" hidden="1" x14ac:dyDescent="0.25">
      <c r="A1032" s="4" t="s">
        <v>2001</v>
      </c>
      <c r="B1032" s="5" t="s">
        <v>2002</v>
      </c>
      <c r="C1032" s="4" t="s">
        <v>2001</v>
      </c>
    </row>
    <row r="1033" spans="1:3" hidden="1" x14ac:dyDescent="0.25">
      <c r="A1033" s="4" t="s">
        <v>2003</v>
      </c>
      <c r="B1033" s="5" t="s">
        <v>2004</v>
      </c>
      <c r="C1033" s="4" t="s">
        <v>2003</v>
      </c>
    </row>
    <row r="1034" spans="1:3" hidden="1" x14ac:dyDescent="0.25">
      <c r="A1034" s="4" t="s">
        <v>2005</v>
      </c>
      <c r="B1034" s="5" t="s">
        <v>2006</v>
      </c>
      <c r="C1034" s="4" t="s">
        <v>2005</v>
      </c>
    </row>
    <row r="1035" spans="1:3" hidden="1" x14ac:dyDescent="0.25">
      <c r="A1035" s="4" t="s">
        <v>2007</v>
      </c>
      <c r="B1035" s="5" t="s">
        <v>1401</v>
      </c>
      <c r="C1035" s="4" t="s">
        <v>2007</v>
      </c>
    </row>
    <row r="1036" spans="1:3" hidden="1" x14ac:dyDescent="0.25">
      <c r="A1036" s="4" t="s">
        <v>2008</v>
      </c>
      <c r="B1036" s="5" t="s">
        <v>2009</v>
      </c>
      <c r="C1036" s="4" t="s">
        <v>2008</v>
      </c>
    </row>
    <row r="1037" spans="1:3" hidden="1" x14ac:dyDescent="0.25">
      <c r="A1037" s="4" t="s">
        <v>2010</v>
      </c>
      <c r="B1037" s="5" t="s">
        <v>2011</v>
      </c>
      <c r="C1037" s="4" t="s">
        <v>2010</v>
      </c>
    </row>
    <row r="1038" spans="1:3" hidden="1" x14ac:dyDescent="0.25">
      <c r="A1038" s="4" t="s">
        <v>2012</v>
      </c>
      <c r="B1038" s="5" t="s">
        <v>1856</v>
      </c>
      <c r="C1038" s="4" t="s">
        <v>2012</v>
      </c>
    </row>
    <row r="1039" spans="1:3" hidden="1" x14ac:dyDescent="0.25">
      <c r="A1039" s="4" t="s">
        <v>2013</v>
      </c>
      <c r="B1039" s="5" t="s">
        <v>2014</v>
      </c>
      <c r="C1039" s="4" t="s">
        <v>2013</v>
      </c>
    </row>
    <row r="1040" spans="1:3" hidden="1" x14ac:dyDescent="0.25">
      <c r="A1040" s="4" t="s">
        <v>2015</v>
      </c>
      <c r="B1040" s="5" t="s">
        <v>2016</v>
      </c>
      <c r="C1040" s="4" t="s">
        <v>2015</v>
      </c>
    </row>
    <row r="1041" spans="1:3" hidden="1" x14ac:dyDescent="0.25">
      <c r="A1041" s="4" t="s">
        <v>2017</v>
      </c>
      <c r="B1041" s="5" t="s">
        <v>2018</v>
      </c>
      <c r="C1041" s="4" t="s">
        <v>2017</v>
      </c>
    </row>
    <row r="1042" spans="1:3" hidden="1" x14ac:dyDescent="0.25">
      <c r="A1042" s="4" t="s">
        <v>2019</v>
      </c>
      <c r="B1042" s="5" t="s">
        <v>2020</v>
      </c>
      <c r="C1042" s="4" t="s">
        <v>2019</v>
      </c>
    </row>
    <row r="1043" spans="1:3" hidden="1" x14ac:dyDescent="0.25">
      <c r="A1043" s="4" t="s">
        <v>2021</v>
      </c>
      <c r="B1043" s="5" t="s">
        <v>2022</v>
      </c>
      <c r="C1043" s="4" t="s">
        <v>2021</v>
      </c>
    </row>
    <row r="1044" spans="1:3" hidden="1" x14ac:dyDescent="0.25">
      <c r="A1044" s="4" t="s">
        <v>2023</v>
      </c>
      <c r="B1044" s="5" t="s">
        <v>2024</v>
      </c>
      <c r="C1044" s="4" t="s">
        <v>2023</v>
      </c>
    </row>
    <row r="1045" spans="1:3" hidden="1" x14ac:dyDescent="0.25">
      <c r="A1045" s="4" t="s">
        <v>2025</v>
      </c>
      <c r="B1045" s="5" t="s">
        <v>2026</v>
      </c>
      <c r="C1045" s="4" t="s">
        <v>2025</v>
      </c>
    </row>
    <row r="1046" spans="1:3" hidden="1" x14ac:dyDescent="0.25">
      <c r="A1046" s="4" t="s">
        <v>2027</v>
      </c>
      <c r="B1046" s="5" t="s">
        <v>2028</v>
      </c>
      <c r="C1046" s="4" t="s">
        <v>2027</v>
      </c>
    </row>
    <row r="1047" spans="1:3" hidden="1" x14ac:dyDescent="0.25">
      <c r="A1047" s="4" t="s">
        <v>2029</v>
      </c>
      <c r="B1047" s="5" t="s">
        <v>2030</v>
      </c>
      <c r="C1047" s="4" t="s">
        <v>2029</v>
      </c>
    </row>
    <row r="1048" spans="1:3" hidden="1" x14ac:dyDescent="0.25">
      <c r="A1048" s="4" t="s">
        <v>2031</v>
      </c>
      <c r="B1048" s="5" t="s">
        <v>2032</v>
      </c>
      <c r="C1048" s="4" t="s">
        <v>2031</v>
      </c>
    </row>
    <row r="1049" spans="1:3" hidden="1" x14ac:dyDescent="0.25">
      <c r="A1049" s="4" t="s">
        <v>2033</v>
      </c>
      <c r="B1049" s="5" t="s">
        <v>2034</v>
      </c>
      <c r="C1049" s="4" t="s">
        <v>2033</v>
      </c>
    </row>
    <row r="1050" spans="1:3" hidden="1" x14ac:dyDescent="0.25">
      <c r="A1050" s="4" t="s">
        <v>2035</v>
      </c>
      <c r="B1050" s="5" t="s">
        <v>2036</v>
      </c>
      <c r="C1050" s="4" t="s">
        <v>2035</v>
      </c>
    </row>
    <row r="1051" spans="1:3" hidden="1" x14ac:dyDescent="0.25">
      <c r="A1051" s="4" t="s">
        <v>2037</v>
      </c>
      <c r="B1051" s="5" t="s">
        <v>2038</v>
      </c>
      <c r="C1051" s="4" t="s">
        <v>2037</v>
      </c>
    </row>
    <row r="1052" spans="1:3" hidden="1" x14ac:dyDescent="0.25">
      <c r="A1052" s="4" t="s">
        <v>2039</v>
      </c>
      <c r="B1052" s="5" t="s">
        <v>2040</v>
      </c>
      <c r="C1052" s="4" t="s">
        <v>2039</v>
      </c>
    </row>
    <row r="1053" spans="1:3" hidden="1" x14ac:dyDescent="0.25">
      <c r="A1053" s="4" t="s">
        <v>2041</v>
      </c>
      <c r="B1053" s="5" t="s">
        <v>2042</v>
      </c>
      <c r="C1053" s="4" t="s">
        <v>2041</v>
      </c>
    </row>
    <row r="1054" spans="1:3" hidden="1" x14ac:dyDescent="0.25">
      <c r="A1054" s="4" t="s">
        <v>2043</v>
      </c>
      <c r="B1054" s="5" t="s">
        <v>2044</v>
      </c>
      <c r="C1054" s="4" t="s">
        <v>2043</v>
      </c>
    </row>
    <row r="1055" spans="1:3" hidden="1" x14ac:dyDescent="0.25">
      <c r="A1055" s="4" t="s">
        <v>2045</v>
      </c>
      <c r="B1055" s="5" t="s">
        <v>2046</v>
      </c>
      <c r="C1055" s="4" t="s">
        <v>2045</v>
      </c>
    </row>
    <row r="1056" spans="1:3" hidden="1" x14ac:dyDescent="0.25">
      <c r="A1056" s="4" t="s">
        <v>2047</v>
      </c>
      <c r="B1056" s="5" t="s">
        <v>2048</v>
      </c>
      <c r="C1056" s="4" t="s">
        <v>2047</v>
      </c>
    </row>
    <row r="1057" spans="1:3" hidden="1" x14ac:dyDescent="0.25">
      <c r="A1057" s="4" t="s">
        <v>2049</v>
      </c>
      <c r="B1057" s="5" t="s">
        <v>2050</v>
      </c>
      <c r="C1057" s="4" t="s">
        <v>2049</v>
      </c>
    </row>
    <row r="1058" spans="1:3" hidden="1" x14ac:dyDescent="0.25">
      <c r="A1058" s="4" t="s">
        <v>2051</v>
      </c>
      <c r="B1058" s="5" t="s">
        <v>2052</v>
      </c>
      <c r="C1058" s="4" t="s">
        <v>2051</v>
      </c>
    </row>
    <row r="1059" spans="1:3" hidden="1" x14ac:dyDescent="0.25">
      <c r="A1059" s="4" t="s">
        <v>2053</v>
      </c>
      <c r="B1059" s="5" t="s">
        <v>2054</v>
      </c>
      <c r="C1059" s="4" t="s">
        <v>2053</v>
      </c>
    </row>
    <row r="1060" spans="1:3" hidden="1" x14ac:dyDescent="0.25">
      <c r="A1060" s="4" t="s">
        <v>2055</v>
      </c>
      <c r="B1060" s="5" t="s">
        <v>2056</v>
      </c>
      <c r="C1060" s="4" t="s">
        <v>2055</v>
      </c>
    </row>
    <row r="1061" spans="1:3" hidden="1" x14ac:dyDescent="0.25">
      <c r="A1061" s="4" t="s">
        <v>2057</v>
      </c>
      <c r="B1061" s="5" t="s">
        <v>2058</v>
      </c>
      <c r="C1061" s="4" t="s">
        <v>2057</v>
      </c>
    </row>
    <row r="1062" spans="1:3" hidden="1" x14ac:dyDescent="0.25">
      <c r="A1062" s="4" t="s">
        <v>2059</v>
      </c>
      <c r="B1062" s="5" t="s">
        <v>2060</v>
      </c>
      <c r="C1062" s="4" t="s">
        <v>2059</v>
      </c>
    </row>
    <row r="1063" spans="1:3" hidden="1" x14ac:dyDescent="0.25">
      <c r="A1063" s="4" t="s">
        <v>2061</v>
      </c>
      <c r="B1063" s="5" t="s">
        <v>2062</v>
      </c>
      <c r="C1063" s="4" t="s">
        <v>2061</v>
      </c>
    </row>
    <row r="1064" spans="1:3" hidden="1" x14ac:dyDescent="0.25">
      <c r="A1064" s="4" t="s">
        <v>2063</v>
      </c>
      <c r="B1064" s="5" t="s">
        <v>2064</v>
      </c>
      <c r="C1064" s="4" t="s">
        <v>2063</v>
      </c>
    </row>
    <row r="1065" spans="1:3" hidden="1" x14ac:dyDescent="0.25">
      <c r="A1065" s="4" t="s">
        <v>2065</v>
      </c>
      <c r="B1065" s="5" t="s">
        <v>2066</v>
      </c>
      <c r="C1065" s="4" t="s">
        <v>2065</v>
      </c>
    </row>
    <row r="1066" spans="1:3" hidden="1" x14ac:dyDescent="0.25">
      <c r="A1066" s="4" t="s">
        <v>2067</v>
      </c>
      <c r="B1066" s="5" t="s">
        <v>2068</v>
      </c>
      <c r="C1066" s="4" t="s">
        <v>2067</v>
      </c>
    </row>
    <row r="1067" spans="1:3" hidden="1" x14ac:dyDescent="0.25">
      <c r="A1067" s="4" t="s">
        <v>2069</v>
      </c>
      <c r="B1067" s="5" t="s">
        <v>2070</v>
      </c>
      <c r="C1067" s="4" t="s">
        <v>2069</v>
      </c>
    </row>
    <row r="1068" spans="1:3" hidden="1" x14ac:dyDescent="0.25">
      <c r="A1068" s="4" t="s">
        <v>2071</v>
      </c>
      <c r="B1068" s="5" t="s">
        <v>182</v>
      </c>
      <c r="C1068" s="4" t="s">
        <v>2071</v>
      </c>
    </row>
    <row r="1069" spans="1:3" hidden="1" x14ac:dyDescent="0.25">
      <c r="A1069" s="4" t="s">
        <v>2072</v>
      </c>
      <c r="B1069" s="5" t="s">
        <v>2073</v>
      </c>
      <c r="C1069" s="4" t="s">
        <v>2072</v>
      </c>
    </row>
    <row r="1070" spans="1:3" hidden="1" x14ac:dyDescent="0.25">
      <c r="A1070" s="4" t="s">
        <v>2074</v>
      </c>
      <c r="B1070" s="5" t="s">
        <v>2075</v>
      </c>
      <c r="C1070" s="4" t="s">
        <v>2074</v>
      </c>
    </row>
    <row r="1071" spans="1:3" hidden="1" x14ac:dyDescent="0.25">
      <c r="A1071" s="4" t="s">
        <v>2076</v>
      </c>
      <c r="B1071" s="5" t="s">
        <v>2077</v>
      </c>
      <c r="C1071" s="4" t="s">
        <v>2076</v>
      </c>
    </row>
    <row r="1072" spans="1:3" hidden="1" x14ac:dyDescent="0.25">
      <c r="A1072" s="4" t="s">
        <v>2078</v>
      </c>
      <c r="B1072" s="5" t="s">
        <v>2079</v>
      </c>
      <c r="C1072" s="4" t="s">
        <v>2078</v>
      </c>
    </row>
    <row r="1073" spans="1:3" hidden="1" x14ac:dyDescent="0.25">
      <c r="A1073" s="4" t="s">
        <v>2080</v>
      </c>
      <c r="B1073" s="5" t="s">
        <v>2081</v>
      </c>
      <c r="C1073" s="4" t="s">
        <v>2080</v>
      </c>
    </row>
    <row r="1074" spans="1:3" hidden="1" x14ac:dyDescent="0.25">
      <c r="A1074" s="4" t="s">
        <v>2082</v>
      </c>
      <c r="B1074" s="5" t="s">
        <v>397</v>
      </c>
      <c r="C1074" s="4" t="s">
        <v>2082</v>
      </c>
    </row>
    <row r="1075" spans="1:3" hidden="1" x14ac:dyDescent="0.25">
      <c r="A1075" s="4" t="s">
        <v>2083</v>
      </c>
      <c r="B1075" s="5" t="s">
        <v>2084</v>
      </c>
      <c r="C1075" s="4" t="s">
        <v>2083</v>
      </c>
    </row>
    <row r="1076" spans="1:3" hidden="1" x14ac:dyDescent="0.25">
      <c r="A1076" s="4" t="s">
        <v>2085</v>
      </c>
      <c r="B1076" s="5" t="s">
        <v>1426</v>
      </c>
      <c r="C1076" s="4" t="s">
        <v>2085</v>
      </c>
    </row>
    <row r="1077" spans="1:3" hidden="1" x14ac:dyDescent="0.25">
      <c r="A1077" s="4" t="s">
        <v>2086</v>
      </c>
      <c r="B1077" s="5" t="s">
        <v>2087</v>
      </c>
      <c r="C1077" s="4" t="s">
        <v>2086</v>
      </c>
    </row>
    <row r="1078" spans="1:3" hidden="1" x14ac:dyDescent="0.25">
      <c r="A1078" s="4" t="s">
        <v>2088</v>
      </c>
      <c r="B1078" s="5" t="s">
        <v>2089</v>
      </c>
      <c r="C1078" s="4" t="s">
        <v>2088</v>
      </c>
    </row>
    <row r="1079" spans="1:3" hidden="1" x14ac:dyDescent="0.25">
      <c r="A1079" s="4" t="s">
        <v>2090</v>
      </c>
      <c r="B1079" s="5" t="s">
        <v>2091</v>
      </c>
      <c r="C1079" s="4" t="s">
        <v>2090</v>
      </c>
    </row>
    <row r="1080" spans="1:3" hidden="1" x14ac:dyDescent="0.25">
      <c r="A1080" s="4" t="s">
        <v>2092</v>
      </c>
      <c r="B1080" s="5" t="s">
        <v>2093</v>
      </c>
      <c r="C1080" s="4" t="s">
        <v>2092</v>
      </c>
    </row>
    <row r="1081" spans="1:3" hidden="1" x14ac:dyDescent="0.25">
      <c r="A1081" s="4" t="s">
        <v>2094</v>
      </c>
      <c r="B1081" s="5" t="s">
        <v>2095</v>
      </c>
      <c r="C1081" s="4" t="s">
        <v>2094</v>
      </c>
    </row>
    <row r="1082" spans="1:3" hidden="1" x14ac:dyDescent="0.25">
      <c r="A1082" s="4" t="s">
        <v>2096</v>
      </c>
      <c r="B1082" s="5" t="s">
        <v>2097</v>
      </c>
      <c r="C1082" s="4" t="s">
        <v>2096</v>
      </c>
    </row>
    <row r="1083" spans="1:3" hidden="1" x14ac:dyDescent="0.25">
      <c r="A1083" s="4" t="s">
        <v>2098</v>
      </c>
      <c r="B1083" s="5" t="s">
        <v>192</v>
      </c>
      <c r="C1083" s="4" t="s">
        <v>2098</v>
      </c>
    </row>
    <row r="1084" spans="1:3" hidden="1" x14ac:dyDescent="0.25">
      <c r="A1084" s="4" t="s">
        <v>2099</v>
      </c>
      <c r="B1084" s="5" t="s">
        <v>1789</v>
      </c>
      <c r="C1084" s="4" t="s">
        <v>2099</v>
      </c>
    </row>
    <row r="1085" spans="1:3" hidden="1" x14ac:dyDescent="0.25">
      <c r="A1085" s="4" t="s">
        <v>2100</v>
      </c>
      <c r="B1085" s="5" t="s">
        <v>1592</v>
      </c>
      <c r="C1085" s="4" t="s">
        <v>2100</v>
      </c>
    </row>
    <row r="1086" spans="1:3" hidden="1" x14ac:dyDescent="0.25">
      <c r="A1086" s="4" t="s">
        <v>2101</v>
      </c>
      <c r="B1086" s="5" t="s">
        <v>2102</v>
      </c>
      <c r="C1086" s="4" t="s">
        <v>2101</v>
      </c>
    </row>
    <row r="1087" spans="1:3" hidden="1" x14ac:dyDescent="0.25">
      <c r="A1087" s="4" t="s">
        <v>2103</v>
      </c>
      <c r="B1087" s="5" t="s">
        <v>2104</v>
      </c>
      <c r="C1087" s="4" t="s">
        <v>2103</v>
      </c>
    </row>
    <row r="1088" spans="1:3" hidden="1" x14ac:dyDescent="0.25">
      <c r="A1088" s="4" t="s">
        <v>2105</v>
      </c>
      <c r="B1088" s="5" t="s">
        <v>1779</v>
      </c>
      <c r="C1088" s="4" t="s">
        <v>2105</v>
      </c>
    </row>
    <row r="1089" spans="1:3" hidden="1" x14ac:dyDescent="0.25">
      <c r="A1089" s="4" t="s">
        <v>2106</v>
      </c>
      <c r="B1089" s="5" t="s">
        <v>1495</v>
      </c>
      <c r="C1089" s="4" t="s">
        <v>2106</v>
      </c>
    </row>
    <row r="1090" spans="1:3" hidden="1" x14ac:dyDescent="0.25">
      <c r="A1090" s="4" t="s">
        <v>2107</v>
      </c>
      <c r="B1090" s="5" t="s">
        <v>2108</v>
      </c>
      <c r="C1090" s="4" t="s">
        <v>2107</v>
      </c>
    </row>
    <row r="1091" spans="1:3" hidden="1" x14ac:dyDescent="0.25">
      <c r="A1091" s="4" t="s">
        <v>2109</v>
      </c>
      <c r="B1091" s="5" t="s">
        <v>2110</v>
      </c>
      <c r="C1091" s="4" t="s">
        <v>2109</v>
      </c>
    </row>
    <row r="1092" spans="1:3" hidden="1" x14ac:dyDescent="0.25">
      <c r="A1092" s="4" t="s">
        <v>2111</v>
      </c>
      <c r="B1092" s="5" t="s">
        <v>2112</v>
      </c>
      <c r="C1092" s="4" t="s">
        <v>2111</v>
      </c>
    </row>
    <row r="1093" spans="1:3" hidden="1" x14ac:dyDescent="0.25">
      <c r="A1093" s="4" t="s">
        <v>2113</v>
      </c>
      <c r="B1093" s="5" t="s">
        <v>2114</v>
      </c>
      <c r="C1093" s="4" t="s">
        <v>2113</v>
      </c>
    </row>
    <row r="1094" spans="1:3" hidden="1" x14ac:dyDescent="0.25">
      <c r="A1094" s="4" t="s">
        <v>2115</v>
      </c>
      <c r="B1094" s="5" t="s">
        <v>494</v>
      </c>
      <c r="C1094" s="4" t="s">
        <v>2115</v>
      </c>
    </row>
    <row r="1095" spans="1:3" hidden="1" x14ac:dyDescent="0.25">
      <c r="A1095" s="4" t="s">
        <v>2116</v>
      </c>
      <c r="B1095" s="5" t="s">
        <v>2117</v>
      </c>
      <c r="C1095" s="4" t="s">
        <v>2116</v>
      </c>
    </row>
    <row r="1096" spans="1:3" hidden="1" x14ac:dyDescent="0.25">
      <c r="A1096" s="4" t="s">
        <v>2118</v>
      </c>
      <c r="B1096" s="5" t="s">
        <v>2119</v>
      </c>
      <c r="C1096" s="4" t="s">
        <v>2118</v>
      </c>
    </row>
    <row r="1097" spans="1:3" hidden="1" x14ac:dyDescent="0.25">
      <c r="A1097" s="4" t="s">
        <v>2120</v>
      </c>
      <c r="B1097" s="5" t="s">
        <v>2121</v>
      </c>
      <c r="C1097" s="4" t="s">
        <v>2120</v>
      </c>
    </row>
    <row r="1098" spans="1:3" hidden="1" x14ac:dyDescent="0.25">
      <c r="A1098" s="4" t="s">
        <v>2122</v>
      </c>
      <c r="B1098" s="5" t="s">
        <v>2123</v>
      </c>
      <c r="C1098" s="4" t="s">
        <v>2122</v>
      </c>
    </row>
    <row r="1099" spans="1:3" hidden="1" x14ac:dyDescent="0.25">
      <c r="A1099" s="4" t="s">
        <v>2124</v>
      </c>
      <c r="B1099" s="5" t="s">
        <v>1583</v>
      </c>
      <c r="C1099" s="4" t="s">
        <v>2124</v>
      </c>
    </row>
    <row r="1100" spans="1:3" hidden="1" x14ac:dyDescent="0.25">
      <c r="A1100" s="4" t="s">
        <v>2125</v>
      </c>
      <c r="B1100" s="5" t="s">
        <v>2126</v>
      </c>
      <c r="C1100" s="4" t="s">
        <v>2125</v>
      </c>
    </row>
    <row r="1101" spans="1:3" hidden="1" x14ac:dyDescent="0.25">
      <c r="A1101" s="4" t="s">
        <v>2127</v>
      </c>
      <c r="B1101" s="5" t="s">
        <v>2128</v>
      </c>
      <c r="C1101" s="4" t="s">
        <v>2127</v>
      </c>
    </row>
    <row r="1102" spans="1:3" hidden="1" x14ac:dyDescent="0.25">
      <c r="A1102" s="4" t="s">
        <v>2129</v>
      </c>
      <c r="B1102" s="5" t="s">
        <v>2130</v>
      </c>
      <c r="C1102" s="4" t="s">
        <v>2129</v>
      </c>
    </row>
    <row r="1103" spans="1:3" hidden="1" x14ac:dyDescent="0.25">
      <c r="A1103" s="4" t="s">
        <v>2131</v>
      </c>
      <c r="B1103" s="5" t="s">
        <v>2132</v>
      </c>
      <c r="C1103" s="4" t="s">
        <v>2131</v>
      </c>
    </row>
    <row r="1104" spans="1:3" hidden="1" x14ac:dyDescent="0.25">
      <c r="A1104" s="4" t="s">
        <v>2133</v>
      </c>
      <c r="B1104" s="5" t="s">
        <v>2134</v>
      </c>
      <c r="C1104" s="4" t="s">
        <v>2133</v>
      </c>
    </row>
    <row r="1105" spans="1:3" hidden="1" x14ac:dyDescent="0.25">
      <c r="A1105" s="4" t="s">
        <v>2135</v>
      </c>
      <c r="B1105" s="5" t="s">
        <v>288</v>
      </c>
      <c r="C1105" s="4" t="s">
        <v>2135</v>
      </c>
    </row>
    <row r="1106" spans="1:3" hidden="1" x14ac:dyDescent="0.25">
      <c r="A1106" s="4" t="s">
        <v>2136</v>
      </c>
      <c r="B1106" s="5" t="s">
        <v>2137</v>
      </c>
      <c r="C1106" s="4" t="s">
        <v>2136</v>
      </c>
    </row>
    <row r="1107" spans="1:3" hidden="1" x14ac:dyDescent="0.25">
      <c r="A1107" s="4" t="s">
        <v>2138</v>
      </c>
      <c r="B1107" s="5" t="s">
        <v>2139</v>
      </c>
      <c r="C1107" s="4" t="s">
        <v>2138</v>
      </c>
    </row>
    <row r="1108" spans="1:3" hidden="1" x14ac:dyDescent="0.25">
      <c r="A1108" s="4" t="s">
        <v>2140</v>
      </c>
      <c r="B1108" s="5" t="s">
        <v>2141</v>
      </c>
      <c r="C1108" s="4" t="s">
        <v>2140</v>
      </c>
    </row>
    <row r="1109" spans="1:3" hidden="1" x14ac:dyDescent="0.25">
      <c r="A1109" s="4" t="s">
        <v>2142</v>
      </c>
      <c r="B1109" s="5" t="s">
        <v>2143</v>
      </c>
      <c r="C1109" s="4" t="s">
        <v>2142</v>
      </c>
    </row>
    <row r="1110" spans="1:3" hidden="1" x14ac:dyDescent="0.25">
      <c r="A1110" s="4" t="s">
        <v>2144</v>
      </c>
      <c r="B1110" s="5" t="s">
        <v>2145</v>
      </c>
      <c r="C1110" s="4" t="s">
        <v>2144</v>
      </c>
    </row>
    <row r="1111" spans="1:3" hidden="1" x14ac:dyDescent="0.25">
      <c r="A1111" s="4" t="s">
        <v>2146</v>
      </c>
      <c r="B1111" s="5" t="s">
        <v>323</v>
      </c>
      <c r="C1111" s="4" t="s">
        <v>2146</v>
      </c>
    </row>
    <row r="1112" spans="1:3" hidden="1" x14ac:dyDescent="0.25">
      <c r="A1112" s="4" t="s">
        <v>2147</v>
      </c>
      <c r="B1112" s="5" t="s">
        <v>2148</v>
      </c>
      <c r="C1112" s="4" t="s">
        <v>2147</v>
      </c>
    </row>
    <row r="1113" spans="1:3" hidden="1" x14ac:dyDescent="0.25">
      <c r="A1113" s="4" t="s">
        <v>2149</v>
      </c>
      <c r="B1113" s="5" t="s">
        <v>504</v>
      </c>
      <c r="C1113" s="4" t="s">
        <v>2149</v>
      </c>
    </row>
    <row r="1114" spans="1:3" hidden="1" x14ac:dyDescent="0.25">
      <c r="A1114" s="4" t="s">
        <v>2150</v>
      </c>
      <c r="B1114" s="5" t="s">
        <v>2151</v>
      </c>
      <c r="C1114" s="4" t="s">
        <v>2150</v>
      </c>
    </row>
    <row r="1115" spans="1:3" hidden="1" x14ac:dyDescent="0.25">
      <c r="A1115" s="4" t="s">
        <v>2152</v>
      </c>
      <c r="B1115" s="5" t="s">
        <v>2153</v>
      </c>
      <c r="C1115" s="4" t="s">
        <v>2152</v>
      </c>
    </row>
    <row r="1116" spans="1:3" hidden="1" x14ac:dyDescent="0.25">
      <c r="A1116" s="4" t="s">
        <v>2154</v>
      </c>
      <c r="B1116" s="5" t="s">
        <v>2155</v>
      </c>
      <c r="C1116" s="4" t="s">
        <v>2154</v>
      </c>
    </row>
    <row r="1117" spans="1:3" hidden="1" x14ac:dyDescent="0.25">
      <c r="A1117" s="4" t="s">
        <v>2156</v>
      </c>
      <c r="B1117" s="5" t="s">
        <v>2157</v>
      </c>
      <c r="C1117" s="4" t="s">
        <v>2156</v>
      </c>
    </row>
    <row r="1118" spans="1:3" hidden="1" x14ac:dyDescent="0.25">
      <c r="A1118" s="4" t="s">
        <v>2158</v>
      </c>
      <c r="B1118" s="5" t="s">
        <v>2159</v>
      </c>
      <c r="C1118" s="4" t="s">
        <v>2158</v>
      </c>
    </row>
    <row r="1119" spans="1:3" hidden="1" x14ac:dyDescent="0.25">
      <c r="A1119" s="4" t="s">
        <v>2160</v>
      </c>
      <c r="B1119" s="5" t="s">
        <v>2161</v>
      </c>
      <c r="C1119" s="4" t="s">
        <v>2160</v>
      </c>
    </row>
    <row r="1120" spans="1:3" hidden="1" x14ac:dyDescent="0.25">
      <c r="A1120" s="4" t="s">
        <v>2162</v>
      </c>
      <c r="B1120" s="5" t="s">
        <v>2163</v>
      </c>
      <c r="C1120" s="4" t="s">
        <v>2162</v>
      </c>
    </row>
    <row r="1121" spans="1:3" hidden="1" x14ac:dyDescent="0.25">
      <c r="A1121" s="4" t="s">
        <v>2164</v>
      </c>
      <c r="B1121" s="5" t="s">
        <v>2165</v>
      </c>
      <c r="C1121" s="4" t="s">
        <v>2164</v>
      </c>
    </row>
    <row r="1122" spans="1:3" hidden="1" x14ac:dyDescent="0.25">
      <c r="A1122" s="4" t="s">
        <v>2166</v>
      </c>
      <c r="B1122" s="5" t="s">
        <v>2167</v>
      </c>
      <c r="C1122" s="4" t="s">
        <v>2166</v>
      </c>
    </row>
    <row r="1123" spans="1:3" hidden="1" x14ac:dyDescent="0.25">
      <c r="A1123" s="4" t="s">
        <v>2168</v>
      </c>
      <c r="B1123" s="5" t="s">
        <v>2169</v>
      </c>
      <c r="C1123" s="4" t="s">
        <v>2168</v>
      </c>
    </row>
  </sheetData>
  <autoFilter ref="A1:C1123" xr:uid="{011A8D07-578F-4D81-8F96-95D8A8697A6F}">
    <filterColumn colId="1">
      <filters>
        <filter val="SAN MATE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6787"/>
  <sheetViews>
    <sheetView tabSelected="1" workbookViewId="0">
      <pane ySplit="1" topLeftCell="A5800" activePane="bottomLeft" state="frozen"/>
      <selection pane="bottomLeft" activeCell="D5806" sqref="D5806"/>
    </sheetView>
  </sheetViews>
  <sheetFormatPr baseColWidth="10" defaultColWidth="9.140625" defaultRowHeight="15" x14ac:dyDescent="0.25"/>
  <cols>
    <col min="3" max="4" width="20" customWidth="1"/>
    <col min="6" max="6" width="19.42578125" customWidth="1"/>
    <col min="7" max="7" width="14.7109375" customWidth="1"/>
    <col min="8" max="8" width="13.7109375" customWidth="1"/>
    <col min="9" max="9" width="10.85546875" customWidth="1"/>
    <col min="10" max="10" width="11.85546875" customWidth="1"/>
    <col min="11" max="11" width="17.28515625" customWidth="1"/>
  </cols>
  <sheetData>
    <row r="1" spans="1:12" ht="40.5" customHeight="1" x14ac:dyDescent="0.25">
      <c r="A1" s="6" t="s">
        <v>0</v>
      </c>
      <c r="B1" s="6" t="s">
        <v>2537</v>
      </c>
      <c r="C1" s="6" t="s">
        <v>1</v>
      </c>
      <c r="D1" s="6" t="s">
        <v>2538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2" hidden="1" x14ac:dyDescent="0.25">
      <c r="A2" t="str">
        <f>_xlfn.XLOOKUP(C2, 'Códigos DANE Municipios'!$B$2:$B$1123, 'Códigos DANE Municipios'!$A$2:$A$1123, "No encontrado")</f>
        <v>20570</v>
      </c>
      <c r="B2" t="str">
        <f>IFERROR(VLOOKUP(D2,APOYO!K:L,2,FALSE),A2)</f>
        <v>20570</v>
      </c>
      <c r="C2" t="s">
        <v>844</v>
      </c>
      <c r="D2" t="str">
        <f>IFERROR(VLOOKUP(C2,APOYO!J:K,2,FALSE),C2)</f>
        <v>PUEBLO BELLO</v>
      </c>
      <c r="E2">
        <v>2013</v>
      </c>
      <c r="F2" t="s">
        <v>2189</v>
      </c>
      <c r="G2" t="s">
        <v>2189</v>
      </c>
      <c r="H2" t="s">
        <v>2189</v>
      </c>
      <c r="I2" t="s">
        <v>2189</v>
      </c>
      <c r="J2" t="s">
        <v>2189</v>
      </c>
      <c r="K2" t="s">
        <v>2189</v>
      </c>
    </row>
    <row r="3" spans="1:12" hidden="1" x14ac:dyDescent="0.25">
      <c r="A3" t="str">
        <f>_xlfn.XLOOKUP(C3, 'Códigos DANE Municipios'!$B$2:$B$1123, 'Códigos DANE Municipios'!$A$2:$A$1123, "No encontrado")</f>
        <v>44378</v>
      </c>
      <c r="B3" t="str">
        <f>IFERROR(VLOOKUP(D3,APOYO!K:L,2,FALSE),A3)</f>
        <v>44378</v>
      </c>
      <c r="C3" t="s">
        <v>1285</v>
      </c>
      <c r="D3" t="str">
        <f>IFERROR(VLOOKUP(C3,APOYO!J:K,2,FALSE),C3)</f>
        <v>HATONUEVO</v>
      </c>
      <c r="E3">
        <v>2013</v>
      </c>
      <c r="F3" t="s">
        <v>2189</v>
      </c>
      <c r="G3" t="s">
        <v>2189</v>
      </c>
      <c r="H3">
        <v>2</v>
      </c>
      <c r="I3" s="13" t="s">
        <v>2189</v>
      </c>
      <c r="J3" s="13" t="s">
        <v>2189</v>
      </c>
      <c r="K3" s="13" t="s">
        <v>2189</v>
      </c>
    </row>
    <row r="4" spans="1:12" hidden="1" x14ac:dyDescent="0.25">
      <c r="A4" t="str">
        <f>_xlfn.XLOOKUP(C4, 'Códigos DANE Municipios'!$B$2:$B$1123, 'Códigos DANE Municipios'!$A$2:$A$1123, "No encontrado")</f>
        <v>99624</v>
      </c>
      <c r="B4" t="str">
        <f>IFERROR(VLOOKUP(D4,APOYO!K:L,2,FALSE),A4)</f>
        <v>99624</v>
      </c>
      <c r="C4" t="s">
        <v>2167</v>
      </c>
      <c r="D4" t="str">
        <f>IFERROR(VLOOKUP(C4,APOYO!J:K,2,FALSE),C4)</f>
        <v>SANTA ROSALÍA</v>
      </c>
      <c r="E4">
        <v>2013</v>
      </c>
      <c r="F4">
        <v>738</v>
      </c>
      <c r="G4" t="s">
        <v>2189</v>
      </c>
      <c r="H4">
        <v>1</v>
      </c>
      <c r="I4" s="13" t="s">
        <v>2189</v>
      </c>
      <c r="J4" s="13" t="s">
        <v>2189</v>
      </c>
      <c r="K4" s="13" t="s">
        <v>2189</v>
      </c>
    </row>
    <row r="5" spans="1:12" hidden="1" x14ac:dyDescent="0.25">
      <c r="A5" t="str">
        <f>_xlfn.XLOOKUP(C5, 'Códigos DANE Municipios'!$B$2:$B$1123, 'Códigos DANE Municipios'!$A$2:$A$1123, "No encontrado")</f>
        <v>05002</v>
      </c>
      <c r="B5" t="str">
        <f>IFERROR(VLOOKUP(D5,APOYO!K:L,2,FALSE),A5)</f>
        <v>05002</v>
      </c>
      <c r="C5" t="s">
        <v>14</v>
      </c>
      <c r="D5" t="str">
        <f>IFERROR(VLOOKUP(C5,APOYO!J:K,2,FALSE),C5)</f>
        <v>ABEJORRAL</v>
      </c>
      <c r="E5">
        <v>2013</v>
      </c>
      <c r="F5" t="s">
        <v>2189</v>
      </c>
      <c r="G5" t="s">
        <v>2189</v>
      </c>
      <c r="H5">
        <v>306</v>
      </c>
      <c r="I5" s="13" t="s">
        <v>2189</v>
      </c>
      <c r="J5" s="13" t="s">
        <v>2189</v>
      </c>
      <c r="K5" s="13" t="s">
        <v>2189</v>
      </c>
    </row>
    <row r="6" spans="1:12" hidden="1" x14ac:dyDescent="0.25">
      <c r="A6" t="str">
        <f>_xlfn.XLOOKUP(C6, 'Códigos DANE Municipios'!$B$2:$B$1123, 'Códigos DANE Municipios'!$A$2:$A$1123, "No encontrado")</f>
        <v>54003</v>
      </c>
      <c r="B6" t="str">
        <f>IFERROR(VLOOKUP(D6,APOYO!K:L,2,FALSE),A6)</f>
        <v>54003</v>
      </c>
      <c r="C6" t="s">
        <v>1531</v>
      </c>
      <c r="D6" t="str">
        <f>IFERROR(VLOOKUP(C6,APOYO!J:K,2,FALSE),C6)</f>
        <v>ÁBREGO</v>
      </c>
      <c r="E6">
        <v>2013</v>
      </c>
      <c r="F6" t="s">
        <v>2189</v>
      </c>
      <c r="G6" t="s">
        <v>2189</v>
      </c>
      <c r="H6">
        <v>42</v>
      </c>
      <c r="I6" s="13" t="s">
        <v>2189</v>
      </c>
      <c r="J6" s="13" t="s">
        <v>2189</v>
      </c>
      <c r="K6" s="13" t="s">
        <v>2189</v>
      </c>
    </row>
    <row r="7" spans="1:12" hidden="1" x14ac:dyDescent="0.25">
      <c r="A7" t="str">
        <f>_xlfn.XLOOKUP(C7, 'Códigos DANE Municipios'!$B$2:$B$1123, 'Códigos DANE Municipios'!$A$2:$A$1123, "No encontrado")</f>
        <v>05004</v>
      </c>
      <c r="B7" t="str">
        <f>IFERROR(VLOOKUP(D7,APOYO!K:L,2,FALSE),A7)</f>
        <v>05004</v>
      </c>
      <c r="C7" t="s">
        <v>16</v>
      </c>
      <c r="D7" t="str">
        <f>IFERROR(VLOOKUP(C7,APOYO!J:K,2,FALSE),C7)</f>
        <v>ABRIAQUÍ</v>
      </c>
      <c r="E7">
        <v>2013</v>
      </c>
      <c r="F7" t="s">
        <v>2189</v>
      </c>
      <c r="G7" t="s">
        <v>2189</v>
      </c>
      <c r="H7">
        <v>19</v>
      </c>
      <c r="I7" s="13" t="s">
        <v>2189</v>
      </c>
      <c r="J7" s="13" t="s">
        <v>2189</v>
      </c>
      <c r="K7" s="13" t="s">
        <v>2189</v>
      </c>
    </row>
    <row r="8" spans="1:12" hidden="1" x14ac:dyDescent="0.25">
      <c r="A8" t="str">
        <f>_xlfn.XLOOKUP(C8, 'Códigos DANE Municipios'!$B$2:$B$1123, 'Códigos DANE Municipios'!$A$2:$A$1123, "No encontrado")</f>
        <v>50006</v>
      </c>
      <c r="B8" t="str">
        <f>IFERROR(VLOOKUP(D8,APOYO!K:L,2,FALSE),A8)</f>
        <v>50006</v>
      </c>
      <c r="C8" t="s">
        <v>1360</v>
      </c>
      <c r="D8" t="str">
        <f>IFERROR(VLOOKUP(C8,APOYO!J:K,2,FALSE),C8)</f>
        <v>ACACÍAS</v>
      </c>
      <c r="E8">
        <v>2013</v>
      </c>
      <c r="F8" t="s">
        <v>2189</v>
      </c>
      <c r="G8" t="s">
        <v>2189</v>
      </c>
      <c r="H8">
        <v>100</v>
      </c>
      <c r="I8" s="13" t="s">
        <v>2189</v>
      </c>
      <c r="J8" s="13" t="s">
        <v>2189</v>
      </c>
      <c r="K8" s="13" t="s">
        <v>2189</v>
      </c>
    </row>
    <row r="9" spans="1:12" hidden="1" x14ac:dyDescent="0.25">
      <c r="A9" t="str">
        <f>_xlfn.XLOOKUP(C9, 'Códigos DANE Municipios'!$B$2:$B$1123, 'Códigos DANE Municipios'!$A$2:$A$1123, "No encontrado")</f>
        <v>27006</v>
      </c>
      <c r="B9" t="str">
        <f>IFERROR(VLOOKUP(D9,APOYO!K:L,2,FALSE),A9)</f>
        <v>27006</v>
      </c>
      <c r="C9" t="s">
        <v>1144</v>
      </c>
      <c r="D9" t="str">
        <f>IFERROR(VLOOKUP(C9,APOYO!J:K,2,FALSE),C9)</f>
        <v>ACANDÍ</v>
      </c>
      <c r="E9">
        <v>2013</v>
      </c>
      <c r="F9">
        <v>5744</v>
      </c>
      <c r="G9">
        <v>19</v>
      </c>
      <c r="H9">
        <v>211</v>
      </c>
      <c r="I9" s="13" t="s">
        <v>2189</v>
      </c>
      <c r="J9" s="13" t="s">
        <v>2189</v>
      </c>
      <c r="K9" s="13" t="s">
        <v>2189</v>
      </c>
    </row>
    <row r="10" spans="1:12" hidden="1" x14ac:dyDescent="0.25">
      <c r="A10" t="str">
        <f>_xlfn.XLOOKUP(C10, 'Códigos DANE Municipios'!$B$2:$B$1123, 'Códigos DANE Municipios'!$A$2:$A$1123, "No encontrado")</f>
        <v>41006</v>
      </c>
      <c r="B10" t="str">
        <f>IFERROR(VLOOKUP(D10,APOYO!K:L,2,FALSE),A10)</f>
        <v>41006</v>
      </c>
      <c r="C10" t="s">
        <v>1203</v>
      </c>
      <c r="D10" t="str">
        <f>IFERROR(VLOOKUP(C10,APOYO!J:K,2,FALSE),C10)</f>
        <v>ACEVEDO</v>
      </c>
      <c r="E10">
        <v>2013</v>
      </c>
      <c r="F10" t="s">
        <v>2189</v>
      </c>
      <c r="G10" t="s">
        <v>2189</v>
      </c>
      <c r="H10">
        <v>14</v>
      </c>
      <c r="I10">
        <v>829</v>
      </c>
      <c r="J10" s="13" t="s">
        <v>2189</v>
      </c>
      <c r="K10" s="13" t="s">
        <v>2189</v>
      </c>
      <c r="L10" s="13"/>
    </row>
    <row r="11" spans="1:12" hidden="1" x14ac:dyDescent="0.25">
      <c r="A11" t="str">
        <f>_xlfn.XLOOKUP(C11, 'Códigos DANE Municipios'!$B$2:$B$1123, 'Códigos DANE Municipios'!$A$2:$A$1123, "No encontrado")</f>
        <v>13006</v>
      </c>
      <c r="B11" t="str">
        <f>IFERROR(VLOOKUP(D11,APOYO!K:L,2,FALSE),A11)</f>
        <v>13006</v>
      </c>
      <c r="C11" t="s">
        <v>311</v>
      </c>
      <c r="D11" t="str">
        <f>IFERROR(VLOOKUP(C11,APOYO!J:K,2,FALSE),C11)</f>
        <v>ACHÍ</v>
      </c>
      <c r="E11">
        <v>2013</v>
      </c>
      <c r="F11" t="s">
        <v>2189</v>
      </c>
      <c r="G11" t="s">
        <v>2189</v>
      </c>
      <c r="H11">
        <v>240</v>
      </c>
      <c r="I11" s="13" t="s">
        <v>2189</v>
      </c>
      <c r="J11" s="13" t="s">
        <v>2189</v>
      </c>
      <c r="K11" s="13" t="s">
        <v>2189</v>
      </c>
    </row>
    <row r="12" spans="1:12" hidden="1" x14ac:dyDescent="0.25">
      <c r="A12" t="str">
        <f>_xlfn.XLOOKUP(C12, 'Códigos DANE Municipios'!$B$2:$B$1123, 'Códigos DANE Municipios'!$A$2:$A$1123, "No encontrado")</f>
        <v>41013</v>
      </c>
      <c r="B12" t="str">
        <f>IFERROR(VLOOKUP(D12,APOYO!K:L,2,FALSE),A12)</f>
        <v>41013</v>
      </c>
      <c r="C12" t="s">
        <v>1205</v>
      </c>
      <c r="D12" t="str">
        <f>IFERROR(VLOOKUP(C12,APOYO!J:K,2,FALSE),C12)</f>
        <v>AGRADO</v>
      </c>
      <c r="E12">
        <v>2013</v>
      </c>
      <c r="F12" t="s">
        <v>2189</v>
      </c>
      <c r="G12" t="s">
        <v>2189</v>
      </c>
      <c r="H12" t="s">
        <v>2189</v>
      </c>
      <c r="I12" t="s">
        <v>2189</v>
      </c>
      <c r="J12" t="s">
        <v>2189</v>
      </c>
      <c r="K12" t="s">
        <v>2189</v>
      </c>
    </row>
    <row r="13" spans="1:12" hidden="1" x14ac:dyDescent="0.25">
      <c r="A13" t="str">
        <f>_xlfn.XLOOKUP(C13, 'Códigos DANE Municipios'!$B$2:$B$1123, 'Códigos DANE Municipios'!$A$2:$A$1123, "No encontrado")</f>
        <v>25001</v>
      </c>
      <c r="B13" t="str">
        <f>IFERROR(VLOOKUP(D13,APOYO!K:L,2,FALSE),A13)</f>
        <v>25001</v>
      </c>
      <c r="C13" t="s">
        <v>916</v>
      </c>
      <c r="D13" t="str">
        <f>IFERROR(VLOOKUP(C13,APOYO!J:K,2,FALSE),C13)</f>
        <v>AGUA DE DIOS</v>
      </c>
      <c r="E13">
        <v>2013</v>
      </c>
      <c r="F13" t="s">
        <v>2189</v>
      </c>
      <c r="G13" t="s">
        <v>2189</v>
      </c>
      <c r="H13">
        <v>31</v>
      </c>
      <c r="I13" s="13" t="s">
        <v>2189</v>
      </c>
      <c r="J13" s="13" t="s">
        <v>2189</v>
      </c>
      <c r="K13" s="13" t="s">
        <v>2189</v>
      </c>
    </row>
    <row r="14" spans="1:12" hidden="1" x14ac:dyDescent="0.25">
      <c r="A14" t="str">
        <f>_xlfn.XLOOKUP(C14, 'Códigos DANE Municipios'!$B$2:$B$1123, 'Códigos DANE Municipios'!$A$2:$A$1123, "No encontrado")</f>
        <v>20011</v>
      </c>
      <c r="B14" t="str">
        <f>IFERROR(VLOOKUP(D14,APOYO!K:L,2,FALSE),A14)</f>
        <v>20011</v>
      </c>
      <c r="C14" t="s">
        <v>810</v>
      </c>
      <c r="D14" t="str">
        <f>IFERROR(VLOOKUP(C14,APOYO!J:K,2,FALSE),C14)</f>
        <v>AGUACHICA</v>
      </c>
      <c r="E14">
        <v>2013</v>
      </c>
      <c r="F14">
        <v>449</v>
      </c>
      <c r="G14" t="s">
        <v>2189</v>
      </c>
      <c r="H14">
        <v>72</v>
      </c>
      <c r="I14" s="13" t="s">
        <v>2189</v>
      </c>
      <c r="J14" s="13" t="s">
        <v>2189</v>
      </c>
      <c r="K14" s="13" t="s">
        <v>2189</v>
      </c>
    </row>
    <row r="15" spans="1:12" hidden="1" x14ac:dyDescent="0.25">
      <c r="A15" t="str">
        <f>_xlfn.XLOOKUP(C15, 'Códigos DANE Municipios'!$B$2:$B$1123, 'Códigos DANE Municipios'!$A$2:$A$1123, "No encontrado")</f>
        <v>68013</v>
      </c>
      <c r="B15" t="str">
        <f>IFERROR(VLOOKUP(D15,APOYO!K:L,2,FALSE),A15)</f>
        <v>68013</v>
      </c>
      <c r="C15" t="s">
        <v>1657</v>
      </c>
      <c r="D15" t="str">
        <f>IFERROR(VLOOKUP(C15,APOYO!J:K,2,FALSE),C15)</f>
        <v>AGUADA</v>
      </c>
      <c r="E15">
        <v>2013</v>
      </c>
      <c r="F15" t="s">
        <v>2189</v>
      </c>
      <c r="G15" t="s">
        <v>2189</v>
      </c>
      <c r="H15">
        <v>32</v>
      </c>
      <c r="I15" s="13" t="s">
        <v>2189</v>
      </c>
      <c r="J15" s="13" t="s">
        <v>2189</v>
      </c>
      <c r="K15" s="13" t="s">
        <v>2189</v>
      </c>
    </row>
    <row r="16" spans="1:12" hidden="1" x14ac:dyDescent="0.25">
      <c r="A16" t="str">
        <f>_xlfn.XLOOKUP(C16, 'Códigos DANE Municipios'!$B$2:$B$1123, 'Códigos DANE Municipios'!$A$2:$A$1123, "No encontrado")</f>
        <v>17013</v>
      </c>
      <c r="B16" t="str">
        <f>IFERROR(VLOOKUP(D16,APOYO!K:L,2,FALSE),A16)</f>
        <v>17013</v>
      </c>
      <c r="C16" t="s">
        <v>646</v>
      </c>
      <c r="D16" t="str">
        <f>IFERROR(VLOOKUP(C16,APOYO!J:K,2,FALSE),C16)</f>
        <v>AGUADAS</v>
      </c>
      <c r="E16">
        <v>2013</v>
      </c>
      <c r="F16" t="s">
        <v>2189</v>
      </c>
      <c r="G16" t="s">
        <v>2189</v>
      </c>
      <c r="H16">
        <v>29</v>
      </c>
      <c r="I16" s="13" t="s">
        <v>2189</v>
      </c>
      <c r="J16" s="13" t="s">
        <v>2189</v>
      </c>
      <c r="K16" s="13" t="s">
        <v>2189</v>
      </c>
    </row>
    <row r="17" spans="1:11" hidden="1" x14ac:dyDescent="0.25">
      <c r="A17" t="str">
        <f>_xlfn.XLOOKUP(C17, 'Códigos DANE Municipios'!$B$2:$B$1123, 'Códigos DANE Municipios'!$A$2:$A$1123, "No encontrado")</f>
        <v>85010</v>
      </c>
      <c r="B17" t="str">
        <f>IFERROR(VLOOKUP(D17,APOYO!K:L,2,FALSE),A17)</f>
        <v>85010</v>
      </c>
      <c r="C17" t="s">
        <v>2050</v>
      </c>
      <c r="D17" t="str">
        <f>IFERROR(VLOOKUP(C17,APOYO!J:K,2,FALSE),C17)</f>
        <v>AGUAZUL</v>
      </c>
      <c r="E17">
        <v>2013</v>
      </c>
      <c r="F17">
        <v>69</v>
      </c>
      <c r="G17" t="s">
        <v>2189</v>
      </c>
      <c r="H17">
        <v>31</v>
      </c>
      <c r="I17" s="13" t="s">
        <v>2189</v>
      </c>
      <c r="J17" s="13" t="s">
        <v>2189</v>
      </c>
      <c r="K17" s="13" t="s">
        <v>2189</v>
      </c>
    </row>
    <row r="18" spans="1:11" hidden="1" x14ac:dyDescent="0.25">
      <c r="A18" t="str">
        <f>_xlfn.XLOOKUP(C18, 'Códigos DANE Municipios'!$B$2:$B$1123, 'Códigos DANE Municipios'!$A$2:$A$1123, "No encontrado")</f>
        <v>20013</v>
      </c>
      <c r="B18" t="str">
        <f>IFERROR(VLOOKUP(D18,APOYO!K:L,2,FALSE),A18)</f>
        <v>20013</v>
      </c>
      <c r="C18" t="s">
        <v>812</v>
      </c>
      <c r="D18" t="str">
        <f>IFERROR(VLOOKUP(C18,APOYO!J:K,2,FALSE),C18)</f>
        <v>AGUSTÍN CODAZZI</v>
      </c>
      <c r="E18">
        <v>2013</v>
      </c>
      <c r="F18">
        <v>8</v>
      </c>
      <c r="G18" t="s">
        <v>2189</v>
      </c>
      <c r="H18">
        <v>20</v>
      </c>
      <c r="I18" s="13" t="s">
        <v>2189</v>
      </c>
      <c r="J18" s="13" t="s">
        <v>2189</v>
      </c>
      <c r="K18" s="13" t="s">
        <v>2189</v>
      </c>
    </row>
    <row r="19" spans="1:11" hidden="1" x14ac:dyDescent="0.25">
      <c r="A19" t="str">
        <f>_xlfn.XLOOKUP(C19, 'Códigos DANE Municipios'!$B$2:$B$1123, 'Códigos DANE Municipios'!$A$2:$A$1123, "No encontrado")</f>
        <v>41016</v>
      </c>
      <c r="B19" t="str">
        <f>IFERROR(VLOOKUP(D19,APOYO!K:L,2,FALSE),A19)</f>
        <v>41016</v>
      </c>
      <c r="C19" t="s">
        <v>1207</v>
      </c>
      <c r="D19" t="str">
        <f>IFERROR(VLOOKUP(C19,APOYO!J:K,2,FALSE),C19)</f>
        <v>AIPE</v>
      </c>
      <c r="E19">
        <v>2013</v>
      </c>
      <c r="F19" t="s">
        <v>2189</v>
      </c>
      <c r="G19" t="s">
        <v>2189</v>
      </c>
      <c r="H19">
        <v>3</v>
      </c>
      <c r="I19" s="13" t="s">
        <v>2189</v>
      </c>
      <c r="J19" s="13" t="s">
        <v>2189</v>
      </c>
      <c r="K19" s="13" t="s">
        <v>2189</v>
      </c>
    </row>
    <row r="20" spans="1:11" hidden="1" x14ac:dyDescent="0.25">
      <c r="A20" t="str">
        <f>_xlfn.XLOOKUP(C20, 'Códigos DANE Municipios'!$B$2:$B$1123, 'Códigos DANE Municipios'!$A$2:$A$1123, "No encontrado")</f>
        <v>25019</v>
      </c>
      <c r="B20" t="str">
        <f>IFERROR(VLOOKUP(D20,APOYO!K:L,2,FALSE),A20)</f>
        <v>25019</v>
      </c>
      <c r="C20" t="s">
        <v>918</v>
      </c>
      <c r="D20" t="str">
        <f>IFERROR(VLOOKUP(C20,APOYO!J:K,2,FALSE),C20)</f>
        <v>ALBÁN</v>
      </c>
      <c r="E20">
        <v>2013</v>
      </c>
      <c r="F20" t="s">
        <v>2189</v>
      </c>
      <c r="G20" t="s">
        <v>2189</v>
      </c>
      <c r="H20">
        <v>6</v>
      </c>
      <c r="I20" s="13" t="s">
        <v>2189</v>
      </c>
      <c r="J20" s="13" t="s">
        <v>2189</v>
      </c>
      <c r="K20" s="13" t="s">
        <v>2189</v>
      </c>
    </row>
    <row r="21" spans="1:11" hidden="1" x14ac:dyDescent="0.25">
      <c r="A21" t="str">
        <f>_xlfn.XLOOKUP(C21, 'Códigos DANE Municipios'!$B$2:$B$1123, 'Códigos DANE Municipios'!$A$2:$A$1123, "No encontrado")</f>
        <v>18029</v>
      </c>
      <c r="B21" t="str">
        <f>IFERROR(VLOOKUP(D21,APOYO!K:L,2,FALSE),A21)</f>
        <v>18029</v>
      </c>
      <c r="C21" t="s">
        <v>700</v>
      </c>
      <c r="D21" t="str">
        <f>IFERROR(VLOOKUP(C21,APOYO!J:K,2,FALSE),C21)</f>
        <v>ALBANIA</v>
      </c>
      <c r="E21">
        <v>2013</v>
      </c>
      <c r="F21" t="s">
        <v>2189</v>
      </c>
      <c r="G21" t="s">
        <v>2189</v>
      </c>
      <c r="H21">
        <v>21</v>
      </c>
      <c r="I21" s="13" t="s">
        <v>2189</v>
      </c>
      <c r="J21" s="13" t="s">
        <v>2189</v>
      </c>
      <c r="K21" s="13" t="s">
        <v>2189</v>
      </c>
    </row>
    <row r="22" spans="1:11" hidden="1" x14ac:dyDescent="0.25">
      <c r="A22" t="str">
        <f>_xlfn.XLOOKUP(C22, 'Códigos DANE Municipios'!$B$2:$B$1123, 'Códigos DANE Municipios'!$A$2:$A$1123, "No encontrado")</f>
        <v>76020</v>
      </c>
      <c r="B22" t="str">
        <f>IFERROR(VLOOKUP(D22,APOYO!K:L,2,FALSE),A22)</f>
        <v>76020</v>
      </c>
      <c r="C22" t="s">
        <v>1959</v>
      </c>
      <c r="D22" t="str">
        <f>IFERROR(VLOOKUP(C22,APOYO!J:K,2,FALSE),C22)</f>
        <v>ALCALÁ</v>
      </c>
      <c r="E22">
        <v>2013</v>
      </c>
      <c r="F22" t="s">
        <v>2189</v>
      </c>
      <c r="G22" t="s">
        <v>2189</v>
      </c>
      <c r="H22">
        <v>550</v>
      </c>
      <c r="I22" s="13" t="s">
        <v>2189</v>
      </c>
      <c r="J22" s="13" t="s">
        <v>2189</v>
      </c>
      <c r="K22" s="13" t="s">
        <v>2189</v>
      </c>
    </row>
    <row r="23" spans="1:11" hidden="1" x14ac:dyDescent="0.25">
      <c r="A23" t="str">
        <f>_xlfn.XLOOKUP(C23, 'Códigos DANE Municipios'!$B$2:$B$1123, 'Códigos DANE Municipios'!$A$2:$A$1123, "No encontrado")</f>
        <v>05021</v>
      </c>
      <c r="B23" t="str">
        <f>IFERROR(VLOOKUP(D23,APOYO!K:L,2,FALSE),A23)</f>
        <v>05021</v>
      </c>
      <c r="C23" t="s">
        <v>18</v>
      </c>
      <c r="D23" t="str">
        <f>IFERROR(VLOOKUP(C23,APOYO!J:K,2,FALSE),C23)</f>
        <v>ALEJANDRÍA</v>
      </c>
      <c r="E23">
        <v>2013</v>
      </c>
      <c r="F23" t="s">
        <v>2189</v>
      </c>
      <c r="G23" t="s">
        <v>2189</v>
      </c>
      <c r="H23">
        <v>6</v>
      </c>
      <c r="I23" s="13" t="s">
        <v>2189</v>
      </c>
      <c r="J23" s="13" t="s">
        <v>2189</v>
      </c>
      <c r="K23" s="13" t="s">
        <v>2189</v>
      </c>
    </row>
    <row r="24" spans="1:11" hidden="1" x14ac:dyDescent="0.25">
      <c r="A24" t="str">
        <f>_xlfn.XLOOKUP(C24, 'Códigos DANE Municipios'!$B$2:$B$1123, 'Códigos DANE Municipios'!$A$2:$A$1123, "No encontrado")</f>
        <v>41020</v>
      </c>
      <c r="B24" t="str">
        <f>IFERROR(VLOOKUP(D24,APOYO!K:L,2,FALSE),A24)</f>
        <v>41020</v>
      </c>
      <c r="C24" t="s">
        <v>1209</v>
      </c>
      <c r="D24" t="str">
        <f>IFERROR(VLOOKUP(C24,APOYO!J:K,2,FALSE),C24)</f>
        <v>ALGECIRAS</v>
      </c>
      <c r="E24">
        <v>2013</v>
      </c>
      <c r="F24" t="s">
        <v>2189</v>
      </c>
      <c r="G24" t="s">
        <v>2189</v>
      </c>
      <c r="H24">
        <v>1</v>
      </c>
      <c r="I24" s="13" t="s">
        <v>2189</v>
      </c>
      <c r="J24" s="13" t="s">
        <v>2189</v>
      </c>
      <c r="K24" s="13" t="s">
        <v>2189</v>
      </c>
    </row>
    <row r="25" spans="1:11" hidden="1" x14ac:dyDescent="0.25">
      <c r="A25" t="str">
        <f>_xlfn.XLOOKUP(C25, 'Códigos DANE Municipios'!$B$2:$B$1123, 'Códigos DANE Municipios'!$A$2:$A$1123, "No encontrado")</f>
        <v>73024</v>
      </c>
      <c r="B25" t="str">
        <f>IFERROR(VLOOKUP(D25,APOYO!K:L,2,FALSE),A25)</f>
        <v>73024</v>
      </c>
      <c r="C25" t="s">
        <v>1867</v>
      </c>
      <c r="D25" t="str">
        <f>IFERROR(VLOOKUP(C25,APOYO!J:K,2,FALSE),C25)</f>
        <v>ALPUJARRA</v>
      </c>
      <c r="E25">
        <v>2013</v>
      </c>
      <c r="F25" t="s">
        <v>2189</v>
      </c>
      <c r="G25" t="s">
        <v>2189</v>
      </c>
      <c r="H25">
        <v>8</v>
      </c>
      <c r="I25" s="13" t="s">
        <v>2189</v>
      </c>
      <c r="J25" s="13" t="s">
        <v>2189</v>
      </c>
      <c r="K25" s="13" t="s">
        <v>2189</v>
      </c>
    </row>
    <row r="26" spans="1:11" hidden="1" x14ac:dyDescent="0.25">
      <c r="A26" t="str">
        <f>_xlfn.XLOOKUP(C26, 'Códigos DANE Municipios'!$B$2:$B$1123, 'Códigos DANE Municipios'!$A$2:$A$1123, "No encontrado")</f>
        <v>73026</v>
      </c>
      <c r="B26" t="str">
        <f>IFERROR(VLOOKUP(D26,APOYO!K:L,2,FALSE),A26)</f>
        <v>73026</v>
      </c>
      <c r="C26" t="s">
        <v>1869</v>
      </c>
      <c r="D26" t="str">
        <f>IFERROR(VLOOKUP(C26,APOYO!J:K,2,FALSE),C26)</f>
        <v>ALVARADO</v>
      </c>
      <c r="E26">
        <v>2013</v>
      </c>
      <c r="F26" t="s">
        <v>2189</v>
      </c>
      <c r="G26" t="s">
        <v>2189</v>
      </c>
      <c r="H26">
        <v>1</v>
      </c>
      <c r="I26" s="13" t="s">
        <v>2189</v>
      </c>
      <c r="J26" s="13" t="s">
        <v>2189</v>
      </c>
      <c r="K26" s="13" t="s">
        <v>2189</v>
      </c>
    </row>
    <row r="27" spans="1:11" hidden="1" x14ac:dyDescent="0.25">
      <c r="A27" t="str">
        <f>_xlfn.XLOOKUP(C27, 'Códigos DANE Municipios'!$B$2:$B$1123, 'Códigos DANE Municipios'!$A$2:$A$1123, "No encontrado")</f>
        <v>05030</v>
      </c>
      <c r="B27" t="str">
        <f>IFERROR(VLOOKUP(D27,APOYO!K:L,2,FALSE),A27)</f>
        <v>05030</v>
      </c>
      <c r="C27" t="s">
        <v>20</v>
      </c>
      <c r="D27" t="str">
        <f>IFERROR(VLOOKUP(C27,APOYO!J:K,2,FALSE),C27)</f>
        <v>AMAGÁ</v>
      </c>
      <c r="E27">
        <v>2013</v>
      </c>
      <c r="F27" t="s">
        <v>2189</v>
      </c>
      <c r="G27" t="s">
        <v>2189</v>
      </c>
      <c r="H27">
        <v>6</v>
      </c>
      <c r="I27" s="13" t="s">
        <v>2189</v>
      </c>
      <c r="J27" s="13" t="s">
        <v>2189</v>
      </c>
      <c r="K27" s="13" t="s">
        <v>2189</v>
      </c>
    </row>
    <row r="28" spans="1:11" hidden="1" x14ac:dyDescent="0.25">
      <c r="A28" t="str">
        <f>_xlfn.XLOOKUP(C28, 'Códigos DANE Municipios'!$B$2:$B$1123, 'Códigos DANE Municipios'!$A$2:$A$1123, "No encontrado")</f>
        <v>05031</v>
      </c>
      <c r="B28" t="str">
        <f>IFERROR(VLOOKUP(D28,APOYO!K:L,2,FALSE),A28)</f>
        <v>05031</v>
      </c>
      <c r="C28" t="s">
        <v>22</v>
      </c>
      <c r="D28" t="str">
        <f>IFERROR(VLOOKUP(C28,APOYO!J:K,2,FALSE),C28)</f>
        <v>AMALFI</v>
      </c>
      <c r="E28">
        <v>2013</v>
      </c>
      <c r="F28">
        <v>25</v>
      </c>
      <c r="G28" t="s">
        <v>2189</v>
      </c>
      <c r="H28">
        <v>3</v>
      </c>
      <c r="I28" s="13" t="s">
        <v>2189</v>
      </c>
      <c r="J28" s="13" t="s">
        <v>2189</v>
      </c>
      <c r="K28" s="13" t="s">
        <v>2189</v>
      </c>
    </row>
    <row r="29" spans="1:11" hidden="1" x14ac:dyDescent="0.25">
      <c r="A29" t="str">
        <f>_xlfn.XLOOKUP(C29, 'Códigos DANE Municipios'!$B$2:$B$1123, 'Códigos DANE Municipios'!$A$2:$A$1123, "No encontrado")</f>
        <v>73030</v>
      </c>
      <c r="B29" t="str">
        <f>IFERROR(VLOOKUP(D29,APOYO!K:L,2,FALSE),A29)</f>
        <v>73030</v>
      </c>
      <c r="C29" t="s">
        <v>1871</v>
      </c>
      <c r="D29" t="str">
        <f>IFERROR(VLOOKUP(C29,APOYO!J:K,2,FALSE),C29)</f>
        <v>AMBALEMA</v>
      </c>
      <c r="E29">
        <v>2013</v>
      </c>
      <c r="F29">
        <v>2</v>
      </c>
      <c r="G29" t="s">
        <v>2189</v>
      </c>
      <c r="H29">
        <v>5</v>
      </c>
      <c r="I29" s="13" t="s">
        <v>2189</v>
      </c>
      <c r="J29" s="13" t="s">
        <v>2189</v>
      </c>
      <c r="K29" s="13" t="s">
        <v>2189</v>
      </c>
    </row>
    <row r="30" spans="1:11" hidden="1" x14ac:dyDescent="0.25">
      <c r="A30" t="str">
        <f>_xlfn.XLOOKUP(C30, 'Códigos DANE Municipios'!$B$2:$B$1123, 'Códigos DANE Municipios'!$A$2:$A$1123, "No encontrado")</f>
        <v>25035</v>
      </c>
      <c r="B30" t="str">
        <f>IFERROR(VLOOKUP(D30,APOYO!K:L,2,FALSE),A30)</f>
        <v>25035</v>
      </c>
      <c r="C30" t="s">
        <v>920</v>
      </c>
      <c r="D30" t="str">
        <f>IFERROR(VLOOKUP(C30,APOYO!J:K,2,FALSE),C30)</f>
        <v>ANAPOIMA</v>
      </c>
      <c r="E30">
        <v>2013</v>
      </c>
      <c r="F30" t="s">
        <v>2189</v>
      </c>
      <c r="G30" t="s">
        <v>2189</v>
      </c>
      <c r="H30">
        <v>78</v>
      </c>
      <c r="I30" s="13" t="s">
        <v>2189</v>
      </c>
      <c r="J30" s="13" t="s">
        <v>2189</v>
      </c>
      <c r="K30" s="13" t="s">
        <v>2189</v>
      </c>
    </row>
    <row r="31" spans="1:11" hidden="1" x14ac:dyDescent="0.25">
      <c r="A31" t="str">
        <f>_xlfn.XLOOKUP(C31, 'Códigos DANE Municipios'!$B$2:$B$1123, 'Códigos DANE Municipios'!$A$2:$A$1123, "No encontrado")</f>
        <v>76036</v>
      </c>
      <c r="B31" t="str">
        <f>IFERROR(VLOOKUP(D31,APOYO!K:L,2,FALSE),A31)</f>
        <v>76036</v>
      </c>
      <c r="C31" t="s">
        <v>1961</v>
      </c>
      <c r="D31" t="str">
        <f>IFERROR(VLOOKUP(C31,APOYO!J:K,2,FALSE),C31)</f>
        <v>ANDALUCÍA</v>
      </c>
      <c r="E31">
        <v>2013</v>
      </c>
      <c r="F31" t="s">
        <v>2189</v>
      </c>
      <c r="G31" t="s">
        <v>2189</v>
      </c>
      <c r="H31">
        <v>51</v>
      </c>
      <c r="I31" s="13" t="s">
        <v>2189</v>
      </c>
      <c r="J31" s="13" t="s">
        <v>2189</v>
      </c>
      <c r="K31" s="13" t="s">
        <v>2189</v>
      </c>
    </row>
    <row r="32" spans="1:11" hidden="1" x14ac:dyDescent="0.25">
      <c r="A32" t="str">
        <f>_xlfn.XLOOKUP(C32, 'Códigos DANE Municipios'!$B$2:$B$1123, 'Códigos DANE Municipios'!$A$2:$A$1123, "No encontrado")</f>
        <v>05034</v>
      </c>
      <c r="B32" t="str">
        <f>IFERROR(VLOOKUP(D32,APOYO!K:L,2,FALSE),A32)</f>
        <v>05034</v>
      </c>
      <c r="C32" t="s">
        <v>24</v>
      </c>
      <c r="D32" t="str">
        <f>IFERROR(VLOOKUP(C32,APOYO!J:K,2,FALSE),C32)</f>
        <v>ANDES</v>
      </c>
      <c r="E32">
        <v>2013</v>
      </c>
      <c r="F32" t="s">
        <v>2189</v>
      </c>
      <c r="G32" t="s">
        <v>2189</v>
      </c>
      <c r="H32">
        <v>4</v>
      </c>
      <c r="I32" s="13" t="s">
        <v>2189</v>
      </c>
      <c r="J32" s="13" t="s">
        <v>2189</v>
      </c>
      <c r="K32" s="13" t="s">
        <v>2189</v>
      </c>
    </row>
    <row r="33" spans="1:11" hidden="1" x14ac:dyDescent="0.25">
      <c r="A33" t="str">
        <f>_xlfn.XLOOKUP(C33, 'Códigos DANE Municipios'!$B$2:$B$1123, 'Códigos DANE Municipios'!$A$2:$A$1123, "No encontrado")</f>
        <v>05038</v>
      </c>
      <c r="B33" t="str">
        <f>IFERROR(VLOOKUP(D33,APOYO!K:L,2,FALSE),A33)</f>
        <v>05038</v>
      </c>
      <c r="C33" t="s">
        <v>28</v>
      </c>
      <c r="D33" t="str">
        <f>IFERROR(VLOOKUP(C33,APOYO!J:K,2,FALSE),C33)</f>
        <v>ANGOSTURA</v>
      </c>
      <c r="E33">
        <v>2013</v>
      </c>
      <c r="F33" t="s">
        <v>2189</v>
      </c>
      <c r="G33" t="s">
        <v>2189</v>
      </c>
      <c r="H33">
        <v>1</v>
      </c>
      <c r="I33" s="13" t="s">
        <v>2189</v>
      </c>
      <c r="J33" s="13" t="s">
        <v>2189</v>
      </c>
      <c r="K33" s="13" t="s">
        <v>2189</v>
      </c>
    </row>
    <row r="34" spans="1:11" hidden="1" x14ac:dyDescent="0.25">
      <c r="A34" t="str">
        <f>_xlfn.XLOOKUP(C34, 'Códigos DANE Municipios'!$B$2:$B$1123, 'Códigos DANE Municipios'!$A$2:$A$1123, "No encontrado")</f>
        <v>25040</v>
      </c>
      <c r="B34" t="str">
        <f>IFERROR(VLOOKUP(D34,APOYO!K:L,2,FALSE),A34)</f>
        <v>25040</v>
      </c>
      <c r="C34" t="s">
        <v>922</v>
      </c>
      <c r="D34" t="str">
        <f>IFERROR(VLOOKUP(C34,APOYO!J:K,2,FALSE),C34)</f>
        <v>ANOLAIMA</v>
      </c>
      <c r="E34">
        <v>2013</v>
      </c>
      <c r="F34" t="s">
        <v>2189</v>
      </c>
      <c r="G34" t="s">
        <v>2189</v>
      </c>
      <c r="H34">
        <v>34</v>
      </c>
      <c r="I34" s="13" t="s">
        <v>2189</v>
      </c>
      <c r="J34" s="13" t="s">
        <v>2189</v>
      </c>
      <c r="K34" s="13" t="s">
        <v>2189</v>
      </c>
    </row>
    <row r="35" spans="1:11" hidden="1" x14ac:dyDescent="0.25">
      <c r="A35" t="str">
        <f>_xlfn.XLOOKUP(C35, 'Códigos DANE Municipios'!$B$2:$B$1123, 'Códigos DANE Municipios'!$A$2:$A$1123, "No encontrado")</f>
        <v>05040</v>
      </c>
      <c r="B35" t="str">
        <f>IFERROR(VLOOKUP(D35,APOYO!K:L,2,FALSE),A35)</f>
        <v>05040</v>
      </c>
      <c r="C35" t="s">
        <v>30</v>
      </c>
      <c r="D35" t="str">
        <f>IFERROR(VLOOKUP(C35,APOYO!J:K,2,FALSE),C35)</f>
        <v>ANORÍ</v>
      </c>
      <c r="E35">
        <v>2013</v>
      </c>
      <c r="F35" t="s">
        <v>2189</v>
      </c>
      <c r="G35" t="s">
        <v>2189</v>
      </c>
      <c r="H35">
        <v>1</v>
      </c>
      <c r="I35" s="13" t="s">
        <v>2189</v>
      </c>
      <c r="J35" s="13" t="s">
        <v>2189</v>
      </c>
      <c r="K35" s="13" t="s">
        <v>2189</v>
      </c>
    </row>
    <row r="36" spans="1:11" hidden="1" x14ac:dyDescent="0.25">
      <c r="A36" t="str">
        <f>_xlfn.XLOOKUP(C36, 'Códigos DANE Municipios'!$B$2:$B$1123, 'Códigos DANE Municipios'!$A$2:$A$1123, "No encontrado")</f>
        <v>17042</v>
      </c>
      <c r="B36" t="str">
        <f>IFERROR(VLOOKUP(D36,APOYO!K:L,2,FALSE),A36)</f>
        <v>17042</v>
      </c>
      <c r="C36" t="s">
        <v>648</v>
      </c>
      <c r="D36" t="str">
        <f>IFERROR(VLOOKUP(C36,APOYO!J:K,2,FALSE),C36)</f>
        <v>ANSERMA</v>
      </c>
      <c r="E36">
        <v>2013</v>
      </c>
      <c r="F36" t="s">
        <v>2189</v>
      </c>
      <c r="G36" t="s">
        <v>2189</v>
      </c>
      <c r="H36">
        <v>64</v>
      </c>
      <c r="I36" s="13" t="s">
        <v>2189</v>
      </c>
      <c r="J36" s="13" t="s">
        <v>2189</v>
      </c>
      <c r="K36" s="13" t="s">
        <v>2189</v>
      </c>
    </row>
    <row r="37" spans="1:11" hidden="1" x14ac:dyDescent="0.25">
      <c r="A37" t="str">
        <f>_xlfn.XLOOKUP(C37, 'Códigos DANE Municipios'!$B$2:$B$1123, 'Códigos DANE Municipios'!$A$2:$A$1123, "No encontrado")</f>
        <v>76041</v>
      </c>
      <c r="B37" t="str">
        <f>IFERROR(VLOOKUP(D37,APOYO!K:L,2,FALSE),A37)</f>
        <v>76041</v>
      </c>
      <c r="C37" t="s">
        <v>1963</v>
      </c>
      <c r="D37" t="str">
        <f>IFERROR(VLOOKUP(C37,APOYO!J:K,2,FALSE),C37)</f>
        <v>ANSERMANUEVO</v>
      </c>
      <c r="E37">
        <v>2013</v>
      </c>
      <c r="F37" t="s">
        <v>2189</v>
      </c>
      <c r="G37" t="s">
        <v>2189</v>
      </c>
      <c r="H37">
        <v>15</v>
      </c>
      <c r="I37" s="13" t="s">
        <v>2189</v>
      </c>
      <c r="J37" s="13" t="s">
        <v>2189</v>
      </c>
      <c r="K37" s="13" t="s">
        <v>2189</v>
      </c>
    </row>
    <row r="38" spans="1:11" hidden="1" x14ac:dyDescent="0.25">
      <c r="A38" t="str">
        <f>_xlfn.XLOOKUP(C38, 'Códigos DANE Municipios'!$B$2:$B$1123, 'Códigos DANE Municipios'!$A$2:$A$1123, "No encontrado")</f>
        <v>05042</v>
      </c>
      <c r="B38" t="str">
        <f>IFERROR(VLOOKUP(D38,APOYO!K:L,2,FALSE),A38)</f>
        <v>05042</v>
      </c>
      <c r="C38" t="s">
        <v>32</v>
      </c>
      <c r="D38" t="str">
        <f>IFERROR(VLOOKUP(C38,APOYO!J:K,2,FALSE),C38)</f>
        <v>SANTA FÉ DE ANTIOQUIA</v>
      </c>
      <c r="E38">
        <v>2013</v>
      </c>
      <c r="F38" t="s">
        <v>2189</v>
      </c>
      <c r="G38" t="s">
        <v>2189</v>
      </c>
      <c r="H38">
        <v>11</v>
      </c>
      <c r="I38" s="13" t="s">
        <v>2189</v>
      </c>
      <c r="J38" s="13" t="s">
        <v>2189</v>
      </c>
      <c r="K38" s="13" t="s">
        <v>2189</v>
      </c>
    </row>
    <row r="39" spans="1:11" hidden="1" x14ac:dyDescent="0.25">
      <c r="A39" t="str">
        <f>_xlfn.XLOOKUP(C39, 'Códigos DANE Municipios'!$B$2:$B$1123, 'Códigos DANE Municipios'!$A$2:$A$1123, "No encontrado")</f>
        <v>05045</v>
      </c>
      <c r="B39" t="str">
        <f>IFERROR(VLOOKUP(D39,APOYO!K:L,2,FALSE),A39)</f>
        <v>05045</v>
      </c>
      <c r="C39" t="s">
        <v>36</v>
      </c>
      <c r="D39" t="str">
        <f>IFERROR(VLOOKUP(C39,APOYO!J:K,2,FALSE),C39)</f>
        <v>APARTADÓ</v>
      </c>
      <c r="E39">
        <v>2013</v>
      </c>
      <c r="F39">
        <v>9</v>
      </c>
      <c r="G39" t="s">
        <v>2189</v>
      </c>
      <c r="H39">
        <v>65</v>
      </c>
      <c r="I39" s="13" t="s">
        <v>2189</v>
      </c>
      <c r="J39" s="13" t="s">
        <v>2189</v>
      </c>
      <c r="K39" s="13" t="s">
        <v>2189</v>
      </c>
    </row>
    <row r="40" spans="1:11" hidden="1" x14ac:dyDescent="0.25">
      <c r="A40" t="str">
        <f>_xlfn.XLOOKUP(C40, 'Códigos DANE Municipios'!$B$2:$B$1123, 'Códigos DANE Municipios'!$A$2:$A$1123, "No encontrado")</f>
        <v>66045</v>
      </c>
      <c r="B40" t="str">
        <f>IFERROR(VLOOKUP(D40,APOYO!K:L,2,FALSE),A40)</f>
        <v>66045</v>
      </c>
      <c r="C40" t="s">
        <v>1630</v>
      </c>
      <c r="D40" t="str">
        <f>IFERROR(VLOOKUP(C40,APOYO!J:K,2,FALSE),C40)</f>
        <v>APÍA</v>
      </c>
      <c r="E40">
        <v>2013</v>
      </c>
      <c r="F40" t="s">
        <v>2189</v>
      </c>
      <c r="G40" t="s">
        <v>2189</v>
      </c>
      <c r="H40">
        <v>31</v>
      </c>
      <c r="I40" s="13" t="s">
        <v>2189</v>
      </c>
      <c r="J40" s="13" t="s">
        <v>2189</v>
      </c>
      <c r="K40" s="13" t="s">
        <v>2189</v>
      </c>
    </row>
    <row r="41" spans="1:11" hidden="1" x14ac:dyDescent="0.25">
      <c r="A41" t="str">
        <f>_xlfn.XLOOKUP(C41, 'Códigos DANE Municipios'!$B$2:$B$1123, 'Códigos DANE Municipios'!$A$2:$A$1123, "No encontrado")</f>
        <v>15047</v>
      </c>
      <c r="B41" t="str">
        <f>IFERROR(VLOOKUP(D41,APOYO!K:L,2,FALSE),A41)</f>
        <v>15047</v>
      </c>
      <c r="C41" t="s">
        <v>405</v>
      </c>
      <c r="D41" t="str">
        <f>IFERROR(VLOOKUP(C41,APOYO!J:K,2,FALSE),C41)</f>
        <v>AQUITANIA</v>
      </c>
      <c r="E41">
        <v>2013</v>
      </c>
      <c r="F41" t="s">
        <v>2189</v>
      </c>
      <c r="G41" t="s">
        <v>2189</v>
      </c>
      <c r="H41">
        <v>4</v>
      </c>
      <c r="I41" s="13" t="s">
        <v>2189</v>
      </c>
      <c r="J41" s="13" t="s">
        <v>2189</v>
      </c>
      <c r="K41" s="13" t="s">
        <v>2189</v>
      </c>
    </row>
    <row r="42" spans="1:11" hidden="1" x14ac:dyDescent="0.25">
      <c r="A42" t="str">
        <f>_xlfn.XLOOKUP(C42, 'Códigos DANE Municipios'!$B$2:$B$1123, 'Códigos DANE Municipios'!$A$2:$A$1123, "No encontrado")</f>
        <v>47053</v>
      </c>
      <c r="B42" t="str">
        <f>IFERROR(VLOOKUP(D42,APOYO!K:L,2,FALSE),A42)</f>
        <v>47053</v>
      </c>
      <c r="C42" t="s">
        <v>1304</v>
      </c>
      <c r="D42" t="str">
        <f>IFERROR(VLOOKUP(C42,APOYO!J:K,2,FALSE),C42)</f>
        <v>ARACATACA</v>
      </c>
      <c r="E42">
        <v>2013</v>
      </c>
      <c r="F42" t="s">
        <v>2189</v>
      </c>
      <c r="G42" t="s">
        <v>2189</v>
      </c>
      <c r="H42">
        <v>10</v>
      </c>
      <c r="I42" s="13" t="s">
        <v>2189</v>
      </c>
      <c r="J42" s="13" t="s">
        <v>2189</v>
      </c>
      <c r="K42" s="13" t="s">
        <v>2189</v>
      </c>
    </row>
    <row r="43" spans="1:11" hidden="1" x14ac:dyDescent="0.25">
      <c r="A43" t="str">
        <f>_xlfn.XLOOKUP(C43, 'Códigos DANE Municipios'!$B$2:$B$1123, 'Códigos DANE Municipios'!$A$2:$A$1123, "No encontrado")</f>
        <v>17050</v>
      </c>
      <c r="B43" t="str">
        <f>IFERROR(VLOOKUP(D43,APOYO!K:L,2,FALSE),A43)</f>
        <v>17050</v>
      </c>
      <c r="C43" t="s">
        <v>650</v>
      </c>
      <c r="D43" t="str">
        <f>IFERROR(VLOOKUP(C43,APOYO!J:K,2,FALSE),C43)</f>
        <v>ARANZAZU</v>
      </c>
      <c r="E43">
        <v>2013</v>
      </c>
      <c r="F43" t="s">
        <v>2189</v>
      </c>
      <c r="G43" t="s">
        <v>2189</v>
      </c>
      <c r="H43">
        <v>25</v>
      </c>
      <c r="I43" s="13" t="s">
        <v>2189</v>
      </c>
      <c r="J43" s="13" t="s">
        <v>2189</v>
      </c>
      <c r="K43" s="13" t="s">
        <v>2189</v>
      </c>
    </row>
    <row r="44" spans="1:11" hidden="1" x14ac:dyDescent="0.25">
      <c r="A44" t="str">
        <f>_xlfn.XLOOKUP(C44, 'Códigos DANE Municipios'!$B$2:$B$1123, 'Códigos DANE Municipios'!$A$2:$A$1123, "No encontrado")</f>
        <v>68051</v>
      </c>
      <c r="B44" t="str">
        <f>IFERROR(VLOOKUP(D44,APOYO!K:L,2,FALSE),A44)</f>
        <v>68051</v>
      </c>
      <c r="C44" t="s">
        <v>1660</v>
      </c>
      <c r="D44" t="str">
        <f>IFERROR(VLOOKUP(C44,APOYO!J:K,2,FALSE),C44)</f>
        <v>ARATOCA</v>
      </c>
      <c r="E44">
        <v>2013</v>
      </c>
      <c r="F44" t="s">
        <v>2189</v>
      </c>
      <c r="G44" t="s">
        <v>2189</v>
      </c>
      <c r="H44">
        <v>7</v>
      </c>
      <c r="I44" s="13" t="s">
        <v>2189</v>
      </c>
      <c r="J44" s="13" t="s">
        <v>2189</v>
      </c>
      <c r="K44" s="13" t="s">
        <v>2189</v>
      </c>
    </row>
    <row r="45" spans="1:11" hidden="1" x14ac:dyDescent="0.25">
      <c r="A45" t="str">
        <f>_xlfn.XLOOKUP(C45, 'Códigos DANE Municipios'!$B$2:$B$1123, 'Códigos DANE Municipios'!$A$2:$A$1123, "No encontrado")</f>
        <v>81001</v>
      </c>
      <c r="B45" t="str">
        <f>IFERROR(VLOOKUP(D45,APOYO!K:L,2,FALSE),A45)</f>
        <v>81001</v>
      </c>
      <c r="C45" t="s">
        <v>2034</v>
      </c>
      <c r="D45" t="str">
        <f>IFERROR(VLOOKUP(C45,APOYO!J:K,2,FALSE),C45)</f>
        <v>ARAUCA</v>
      </c>
      <c r="E45">
        <v>2013</v>
      </c>
      <c r="F45">
        <v>53131</v>
      </c>
      <c r="G45">
        <v>3</v>
      </c>
      <c r="H45">
        <v>130</v>
      </c>
      <c r="I45" s="13" t="s">
        <v>2189</v>
      </c>
      <c r="J45" s="13" t="s">
        <v>2189</v>
      </c>
      <c r="K45" s="13" t="s">
        <v>2189</v>
      </c>
    </row>
    <row r="46" spans="1:11" hidden="1" x14ac:dyDescent="0.25">
      <c r="A46" t="str">
        <f>_xlfn.XLOOKUP(C46, 'Códigos DANE Municipios'!$B$2:$B$1123, 'Códigos DANE Municipios'!$A$2:$A$1123, "No encontrado")</f>
        <v>81065</v>
      </c>
      <c r="B46" t="str">
        <f>IFERROR(VLOOKUP(D46,APOYO!K:L,2,FALSE),A46)</f>
        <v>81065</v>
      </c>
      <c r="C46" t="s">
        <v>2036</v>
      </c>
      <c r="D46" t="str">
        <f>IFERROR(VLOOKUP(C46,APOYO!J:K,2,FALSE),C46)</f>
        <v>ARAUQUITA</v>
      </c>
      <c r="E46">
        <v>2013</v>
      </c>
      <c r="F46">
        <v>5</v>
      </c>
      <c r="G46" t="s">
        <v>2189</v>
      </c>
      <c r="H46">
        <v>6</v>
      </c>
      <c r="I46" t="s">
        <v>2189</v>
      </c>
      <c r="J46" t="s">
        <v>2189</v>
      </c>
      <c r="K46" t="s">
        <v>2189</v>
      </c>
    </row>
    <row r="47" spans="1:11" hidden="1" x14ac:dyDescent="0.25">
      <c r="A47" t="str">
        <f>_xlfn.XLOOKUP(C47, 'Códigos DANE Municipios'!$B$2:$B$1123, 'Códigos DANE Municipios'!$A$2:$A$1123, "No encontrado")</f>
        <v>25053</v>
      </c>
      <c r="B47" t="str">
        <f>IFERROR(VLOOKUP(D47,APOYO!K:L,2,FALSE),A47)</f>
        <v>25053</v>
      </c>
      <c r="C47" t="s">
        <v>924</v>
      </c>
      <c r="D47" t="str">
        <f>IFERROR(VLOOKUP(C47,APOYO!J:K,2,FALSE),C47)</f>
        <v>ARBELÁEZ</v>
      </c>
      <c r="E47">
        <v>2013</v>
      </c>
      <c r="F47" t="s">
        <v>2189</v>
      </c>
      <c r="G47" t="s">
        <v>2189</v>
      </c>
      <c r="H47">
        <v>7</v>
      </c>
      <c r="I47" t="s">
        <v>2189</v>
      </c>
      <c r="J47" t="s">
        <v>2189</v>
      </c>
      <c r="K47" t="s">
        <v>2189</v>
      </c>
    </row>
    <row r="48" spans="1:11" hidden="1" x14ac:dyDescent="0.25">
      <c r="A48" t="str">
        <f>_xlfn.XLOOKUP(C48, 'Códigos DANE Municipios'!$B$2:$B$1123, 'Códigos DANE Municipios'!$A$2:$A$1123, "No encontrado")</f>
        <v>54051</v>
      </c>
      <c r="B48" t="str">
        <f>IFERROR(VLOOKUP(D48,APOYO!K:L,2,FALSE),A48)</f>
        <v>54051</v>
      </c>
      <c r="C48" t="s">
        <v>1533</v>
      </c>
      <c r="D48" t="str">
        <f>IFERROR(VLOOKUP(C48,APOYO!J:K,2,FALSE),C48)</f>
        <v>ARBOLEDAS</v>
      </c>
      <c r="E48">
        <v>2013</v>
      </c>
      <c r="F48" t="s">
        <v>2189</v>
      </c>
      <c r="G48" t="s">
        <v>2189</v>
      </c>
      <c r="H48">
        <v>3</v>
      </c>
      <c r="I48" s="13" t="s">
        <v>2189</v>
      </c>
      <c r="J48" s="13" t="s">
        <v>2189</v>
      </c>
      <c r="K48" s="13" t="s">
        <v>2189</v>
      </c>
    </row>
    <row r="49" spans="1:11" hidden="1" x14ac:dyDescent="0.25">
      <c r="A49" t="str">
        <f>_xlfn.XLOOKUP(C49, 'Códigos DANE Municipios'!$B$2:$B$1123, 'Códigos DANE Municipios'!$A$2:$A$1123, "No encontrado")</f>
        <v>05051</v>
      </c>
      <c r="B49" t="str">
        <f>IFERROR(VLOOKUP(D49,APOYO!K:L,2,FALSE),A49)</f>
        <v>05051</v>
      </c>
      <c r="C49" t="s">
        <v>38</v>
      </c>
      <c r="D49" t="str">
        <f>IFERROR(VLOOKUP(C49,APOYO!J:K,2,FALSE),C49)</f>
        <v>ARBOLETES</v>
      </c>
      <c r="E49">
        <v>2013</v>
      </c>
      <c r="F49" t="s">
        <v>2189</v>
      </c>
      <c r="G49" t="s">
        <v>2189</v>
      </c>
      <c r="H49">
        <v>5</v>
      </c>
      <c r="I49" s="13" t="s">
        <v>2189</v>
      </c>
      <c r="J49" s="13" t="s">
        <v>2189</v>
      </c>
      <c r="K49" s="13" t="s">
        <v>2189</v>
      </c>
    </row>
    <row r="50" spans="1:11" hidden="1" x14ac:dyDescent="0.25">
      <c r="A50" t="str">
        <f>_xlfn.XLOOKUP(C50, 'Códigos DANE Municipios'!$B$2:$B$1123, 'Códigos DANE Municipios'!$A$2:$A$1123, "No encontrado")</f>
        <v>15051</v>
      </c>
      <c r="B50" t="str">
        <f>IFERROR(VLOOKUP(D50,APOYO!K:L,2,FALSE),A50)</f>
        <v>15051</v>
      </c>
      <c r="C50" t="s">
        <v>407</v>
      </c>
      <c r="D50" t="str">
        <f>IFERROR(VLOOKUP(C50,APOYO!J:K,2,FALSE),C50)</f>
        <v>ARCABUCO</v>
      </c>
      <c r="E50">
        <v>2013</v>
      </c>
      <c r="F50" t="s">
        <v>2189</v>
      </c>
      <c r="G50" t="s">
        <v>2189</v>
      </c>
      <c r="H50">
        <v>1</v>
      </c>
      <c r="I50" s="13" t="s">
        <v>2189</v>
      </c>
      <c r="J50" s="13" t="s">
        <v>2189</v>
      </c>
      <c r="K50" s="13" t="s">
        <v>2189</v>
      </c>
    </row>
    <row r="51" spans="1:11" hidden="1" x14ac:dyDescent="0.25">
      <c r="A51" t="str">
        <f>_xlfn.XLOOKUP(C51, 'Códigos DANE Municipios'!$B$2:$B$1123, 'Códigos DANE Municipios'!$A$2:$A$1123, "No encontrado")</f>
        <v>05055</v>
      </c>
      <c r="B51" t="str">
        <f>IFERROR(VLOOKUP(D51,APOYO!K:L,2,FALSE),A51)</f>
        <v>05055</v>
      </c>
      <c r="C51" t="s">
        <v>40</v>
      </c>
      <c r="D51" t="str">
        <f>IFERROR(VLOOKUP(C51,APOYO!J:K,2,FALSE),C51)</f>
        <v>ARGELIA</v>
      </c>
      <c r="E51">
        <v>2013</v>
      </c>
      <c r="F51" t="s">
        <v>2189</v>
      </c>
      <c r="G51" t="s">
        <v>2189</v>
      </c>
      <c r="H51">
        <v>6</v>
      </c>
      <c r="I51" s="13" t="s">
        <v>2189</v>
      </c>
      <c r="J51" s="13" t="s">
        <v>2189</v>
      </c>
      <c r="K51" s="13" t="s">
        <v>2189</v>
      </c>
    </row>
    <row r="52" spans="1:11" hidden="1" x14ac:dyDescent="0.25">
      <c r="A52" t="str">
        <f>_xlfn.XLOOKUP(C52, 'Códigos DANE Municipios'!$B$2:$B$1123, 'Códigos DANE Municipios'!$A$2:$A$1123, "No encontrado")</f>
        <v>47058</v>
      </c>
      <c r="B52" t="str">
        <f>IFERROR(VLOOKUP(D52,APOYO!K:L,2,FALSE),A52)</f>
        <v>47058</v>
      </c>
      <c r="C52" t="s">
        <v>1306</v>
      </c>
      <c r="D52" t="str">
        <f>IFERROR(VLOOKUP(C52,APOYO!J:K,2,FALSE),C52)</f>
        <v>ARIGUANÍ</v>
      </c>
      <c r="E52">
        <v>2013</v>
      </c>
      <c r="F52" t="s">
        <v>2189</v>
      </c>
      <c r="G52" t="s">
        <v>2189</v>
      </c>
      <c r="H52">
        <v>3</v>
      </c>
      <c r="I52" s="13" t="s">
        <v>2189</v>
      </c>
      <c r="J52" s="13" t="s">
        <v>2189</v>
      </c>
      <c r="K52" s="13" t="s">
        <v>2189</v>
      </c>
    </row>
    <row r="53" spans="1:11" hidden="1" x14ac:dyDescent="0.25">
      <c r="A53" t="str">
        <f>_xlfn.XLOOKUP(C53, 'Códigos DANE Municipios'!$B$2:$B$1123, 'Códigos DANE Municipios'!$A$2:$A$1123, "No encontrado")</f>
        <v>13052</v>
      </c>
      <c r="B53" t="str">
        <f>IFERROR(VLOOKUP(D53,APOYO!K:L,2,FALSE),A53)</f>
        <v>13052</v>
      </c>
      <c r="C53" t="s">
        <v>317</v>
      </c>
      <c r="D53" t="str">
        <f>IFERROR(VLOOKUP(C53,APOYO!J:K,2,FALSE),C53)</f>
        <v>ARJONA</v>
      </c>
      <c r="E53">
        <v>2013</v>
      </c>
      <c r="F53" t="s">
        <v>2189</v>
      </c>
      <c r="G53" t="s">
        <v>2189</v>
      </c>
      <c r="H53">
        <v>35</v>
      </c>
      <c r="I53" s="13" t="s">
        <v>2189</v>
      </c>
      <c r="J53" s="13" t="s">
        <v>2189</v>
      </c>
      <c r="K53" s="13" t="s">
        <v>2189</v>
      </c>
    </row>
    <row r="54" spans="1:11" hidden="1" x14ac:dyDescent="0.25">
      <c r="A54" t="str">
        <f>_xlfn.XLOOKUP(C54, 'Códigos DANE Municipios'!$B$2:$B$1123, 'Códigos DANE Municipios'!$A$2:$A$1123, "No encontrado")</f>
        <v>05059</v>
      </c>
      <c r="B54" t="str">
        <f>IFERROR(VLOOKUP(D54,APOYO!K:L,2,FALSE),A54)</f>
        <v>05059</v>
      </c>
      <c r="C54" t="s">
        <v>42</v>
      </c>
      <c r="D54" t="str">
        <f>IFERROR(VLOOKUP(C54,APOYO!J:K,2,FALSE),C54)</f>
        <v>ARMENIA</v>
      </c>
      <c r="E54">
        <v>2013</v>
      </c>
      <c r="F54">
        <v>123982</v>
      </c>
      <c r="G54">
        <v>27456</v>
      </c>
      <c r="H54">
        <v>7338</v>
      </c>
      <c r="I54" s="13" t="s">
        <v>2189</v>
      </c>
      <c r="J54" s="13" t="s">
        <v>2189</v>
      </c>
      <c r="K54" s="13" t="s">
        <v>2189</v>
      </c>
    </row>
    <row r="55" spans="1:11" hidden="1" x14ac:dyDescent="0.25">
      <c r="A55" t="str">
        <f>_xlfn.XLOOKUP(C55, 'Códigos DANE Municipios'!$B$2:$B$1123, 'Códigos DANE Municipios'!$A$2:$A$1123, "No encontrado")</f>
        <v>73055</v>
      </c>
      <c r="B55" t="str">
        <f>IFERROR(VLOOKUP(D55,APOYO!K:L,2,FALSE),A55)</f>
        <v>73055</v>
      </c>
      <c r="C55" t="s">
        <v>1875</v>
      </c>
      <c r="D55" t="str">
        <f>IFERROR(VLOOKUP(C55,APOYO!J:K,2,FALSE),C55)</f>
        <v>ARMERO GUAYABAL</v>
      </c>
      <c r="E55">
        <v>2013</v>
      </c>
      <c r="F55" t="s">
        <v>2189</v>
      </c>
      <c r="G55" t="s">
        <v>2189</v>
      </c>
      <c r="H55">
        <v>12</v>
      </c>
      <c r="I55" s="13" t="s">
        <v>2189</v>
      </c>
      <c r="J55" s="13" t="s">
        <v>2189</v>
      </c>
      <c r="K55" s="13" t="s">
        <v>2189</v>
      </c>
    </row>
    <row r="56" spans="1:11" hidden="1" x14ac:dyDescent="0.25">
      <c r="A56" t="str">
        <f>_xlfn.XLOOKUP(C56, 'Códigos DANE Municipios'!$B$2:$B$1123, 'Códigos DANE Municipios'!$A$2:$A$1123, "No encontrado")</f>
        <v>20032</v>
      </c>
      <c r="B56" t="str">
        <f>IFERROR(VLOOKUP(D56,APOYO!K:L,2,FALSE),A56)</f>
        <v>20032</v>
      </c>
      <c r="C56" t="s">
        <v>814</v>
      </c>
      <c r="D56" t="str">
        <f>IFERROR(VLOOKUP(C56,APOYO!J:K,2,FALSE),C56)</f>
        <v>ASTREA</v>
      </c>
      <c r="E56">
        <v>2013</v>
      </c>
      <c r="F56" t="s">
        <v>2189</v>
      </c>
      <c r="G56" t="s">
        <v>2189</v>
      </c>
      <c r="H56">
        <v>2</v>
      </c>
      <c r="I56" s="13" t="s">
        <v>2189</v>
      </c>
      <c r="J56" s="13" t="s">
        <v>2189</v>
      </c>
      <c r="K56" s="13" t="s">
        <v>2189</v>
      </c>
    </row>
    <row r="57" spans="1:11" hidden="1" x14ac:dyDescent="0.25">
      <c r="A57" t="str">
        <f>_xlfn.XLOOKUP(C57, 'Códigos DANE Municipios'!$B$2:$B$1123, 'Códigos DANE Municipios'!$A$2:$A$1123, "No encontrado")</f>
        <v>23068</v>
      </c>
      <c r="B57" t="str">
        <f>IFERROR(VLOOKUP(D57,APOYO!K:L,2,FALSE),A57)</f>
        <v>23068</v>
      </c>
      <c r="C57" t="s">
        <v>860</v>
      </c>
      <c r="D57" t="str">
        <f>IFERROR(VLOOKUP(C57,APOYO!J:K,2,FALSE),C57)</f>
        <v>AYAPEL</v>
      </c>
      <c r="E57">
        <v>2013</v>
      </c>
      <c r="F57">
        <v>22</v>
      </c>
      <c r="G57" t="s">
        <v>2189</v>
      </c>
      <c r="H57">
        <v>7</v>
      </c>
      <c r="I57" s="13" t="s">
        <v>2189</v>
      </c>
      <c r="J57" s="13" t="s">
        <v>2189</v>
      </c>
      <c r="K57" s="13" t="s">
        <v>2189</v>
      </c>
    </row>
    <row r="58" spans="1:11" hidden="1" x14ac:dyDescent="0.25">
      <c r="A58" t="str">
        <f>_xlfn.XLOOKUP(C58, 'Códigos DANE Municipios'!$B$2:$B$1123, 'Códigos DANE Municipios'!$A$2:$A$1123, "No encontrado")</f>
        <v>27073</v>
      </c>
      <c r="B58" t="str">
        <f>IFERROR(VLOOKUP(D58,APOYO!K:L,2,FALSE),A58)</f>
        <v>27073</v>
      </c>
      <c r="C58" t="s">
        <v>1150</v>
      </c>
      <c r="D58" t="str">
        <f>IFERROR(VLOOKUP(C58,APOYO!J:K,2,FALSE),C58)</f>
        <v>BAGADÓ</v>
      </c>
      <c r="E58">
        <v>2013</v>
      </c>
      <c r="F58" t="s">
        <v>2189</v>
      </c>
      <c r="G58" t="s">
        <v>2189</v>
      </c>
      <c r="H58">
        <v>1</v>
      </c>
      <c r="I58" s="13" t="s">
        <v>2189</v>
      </c>
      <c r="J58" s="13" t="s">
        <v>2189</v>
      </c>
      <c r="K58" s="13" t="s">
        <v>2189</v>
      </c>
    </row>
    <row r="59" spans="1:11" hidden="1" x14ac:dyDescent="0.25">
      <c r="A59" t="str">
        <f>_xlfn.XLOOKUP(C59, 'Códigos DANE Municipios'!$B$2:$B$1123, 'Códigos DANE Municipios'!$A$2:$A$1123, "No encontrado")</f>
        <v>27075</v>
      </c>
      <c r="B59" t="str">
        <f>IFERROR(VLOOKUP(D59,APOYO!K:L,2,FALSE),A59)</f>
        <v>27075</v>
      </c>
      <c r="C59" t="s">
        <v>1152</v>
      </c>
      <c r="D59" t="str">
        <f>IFERROR(VLOOKUP(C59,APOYO!J:K,2,FALSE),C59)</f>
        <v>BAHÍA SOLANO</v>
      </c>
      <c r="E59">
        <v>2013</v>
      </c>
      <c r="F59">
        <v>17467</v>
      </c>
      <c r="G59" t="s">
        <v>2189</v>
      </c>
      <c r="H59">
        <v>33</v>
      </c>
      <c r="I59" s="13" t="s">
        <v>2189</v>
      </c>
      <c r="J59" s="13" t="s">
        <v>2189</v>
      </c>
      <c r="K59" s="13" t="s">
        <v>2189</v>
      </c>
    </row>
    <row r="60" spans="1:11" hidden="1" x14ac:dyDescent="0.25">
      <c r="A60" t="str">
        <f>_xlfn.XLOOKUP(C60, 'Códigos DANE Municipios'!$B$2:$B$1123, 'Códigos DANE Municipios'!$A$2:$A$1123, "No encontrado")</f>
        <v>27077</v>
      </c>
      <c r="B60" t="str">
        <f>IFERROR(VLOOKUP(D60,APOYO!K:L,2,FALSE),A60)</f>
        <v>27077</v>
      </c>
      <c r="C60" t="s">
        <v>1154</v>
      </c>
      <c r="D60" t="str">
        <f>IFERROR(VLOOKUP(C60,APOYO!J:K,2,FALSE),C60)</f>
        <v>BAJO BAUDÓ</v>
      </c>
      <c r="E60">
        <v>2013</v>
      </c>
      <c r="F60">
        <v>867</v>
      </c>
      <c r="G60" t="s">
        <v>2189</v>
      </c>
      <c r="H60" t="s">
        <v>2189</v>
      </c>
      <c r="I60" s="13" t="s">
        <v>2189</v>
      </c>
      <c r="J60" s="13" t="s">
        <v>2189</v>
      </c>
      <c r="K60" s="13" t="s">
        <v>2189</v>
      </c>
    </row>
    <row r="61" spans="1:11" hidden="1" x14ac:dyDescent="0.25">
      <c r="A61" t="str">
        <f>_xlfn.XLOOKUP(C61, 'Códigos DANE Municipios'!$B$2:$B$1123, 'Códigos DANE Municipios'!$A$2:$A$1123, "No encontrado")</f>
        <v>19075</v>
      </c>
      <c r="B61" t="str">
        <f>IFERROR(VLOOKUP(D61,APOYO!K:L,2,FALSE),A61)</f>
        <v>19075</v>
      </c>
      <c r="C61" t="s">
        <v>734</v>
      </c>
      <c r="D61" t="str">
        <f>IFERROR(VLOOKUP(C61,APOYO!J:K,2,FALSE),C61)</f>
        <v>BALBOA</v>
      </c>
      <c r="E61">
        <v>2013</v>
      </c>
      <c r="F61" t="s">
        <v>2189</v>
      </c>
      <c r="G61" t="s">
        <v>2189</v>
      </c>
      <c r="H61">
        <v>9</v>
      </c>
      <c r="I61" s="13" t="s">
        <v>2189</v>
      </c>
      <c r="J61" s="13" t="s">
        <v>2189</v>
      </c>
      <c r="K61" s="13" t="s">
        <v>2189</v>
      </c>
    </row>
    <row r="62" spans="1:11" hidden="1" x14ac:dyDescent="0.25">
      <c r="A62" t="str">
        <f>_xlfn.XLOOKUP(C62, 'Códigos DANE Municipios'!$B$2:$B$1123, 'Códigos DANE Municipios'!$A$2:$A$1123, "No encontrado")</f>
        <v>08078</v>
      </c>
      <c r="B62" t="str">
        <f>IFERROR(VLOOKUP(D62,APOYO!K:L,2,FALSE),A62)</f>
        <v>08078</v>
      </c>
      <c r="C62" t="s">
        <v>264</v>
      </c>
      <c r="D62" t="str">
        <f>IFERROR(VLOOKUP(C62,APOYO!J:K,2,FALSE),C62)</f>
        <v>BARANOA</v>
      </c>
      <c r="E62">
        <v>2013</v>
      </c>
      <c r="F62" t="s">
        <v>2189</v>
      </c>
      <c r="G62" t="s">
        <v>2189</v>
      </c>
      <c r="H62">
        <v>97</v>
      </c>
      <c r="I62" s="13" t="s">
        <v>2189</v>
      </c>
      <c r="J62" s="13" t="s">
        <v>2189</v>
      </c>
      <c r="K62" s="13" t="s">
        <v>2189</v>
      </c>
    </row>
    <row r="63" spans="1:11" hidden="1" x14ac:dyDescent="0.25">
      <c r="A63" t="str">
        <f>_xlfn.XLOOKUP(C63, 'Códigos DANE Municipios'!$B$2:$B$1123, 'Códigos DANE Municipios'!$A$2:$A$1123, "No encontrado")</f>
        <v>52079</v>
      </c>
      <c r="B63" t="str">
        <f>IFERROR(VLOOKUP(D63,APOYO!K:L,2,FALSE),A63)</f>
        <v>52079</v>
      </c>
      <c r="C63" t="s">
        <v>1421</v>
      </c>
      <c r="D63" t="str">
        <f>IFERROR(VLOOKUP(C63,APOYO!J:K,2,FALSE),C63)</f>
        <v>BARBACOAS</v>
      </c>
      <c r="E63">
        <v>2013</v>
      </c>
      <c r="F63" t="s">
        <v>2189</v>
      </c>
      <c r="G63" t="s">
        <v>2189</v>
      </c>
      <c r="H63">
        <v>11</v>
      </c>
      <c r="I63" s="13" t="s">
        <v>2189</v>
      </c>
      <c r="J63" s="13" t="s">
        <v>2189</v>
      </c>
      <c r="K63" s="13" t="s">
        <v>2189</v>
      </c>
    </row>
    <row r="64" spans="1:11" hidden="1" x14ac:dyDescent="0.25">
      <c r="A64" t="str">
        <f>_xlfn.XLOOKUP(C64, 'Códigos DANE Municipios'!$B$2:$B$1123, 'Códigos DANE Municipios'!$A$2:$A$1123, "No encontrado")</f>
        <v>05079</v>
      </c>
      <c r="B64" t="str">
        <f>IFERROR(VLOOKUP(D64,APOYO!K:L,2,FALSE),A64)</f>
        <v>05079</v>
      </c>
      <c r="C64" t="s">
        <v>44</v>
      </c>
      <c r="D64" t="str">
        <f>IFERROR(VLOOKUP(C64,APOYO!J:K,2,FALSE),C64)</f>
        <v>BARBOSA</v>
      </c>
      <c r="E64">
        <v>2013</v>
      </c>
      <c r="F64">
        <v>31</v>
      </c>
      <c r="G64" t="s">
        <v>2189</v>
      </c>
      <c r="H64">
        <v>87</v>
      </c>
      <c r="I64" s="13" t="s">
        <v>2189</v>
      </c>
      <c r="J64" s="13" t="s">
        <v>2189</v>
      </c>
      <c r="K64" s="13" t="s">
        <v>2189</v>
      </c>
    </row>
    <row r="65" spans="1:11" hidden="1" x14ac:dyDescent="0.25">
      <c r="A65" t="str">
        <f>_xlfn.XLOOKUP(C65, 'Códigos DANE Municipios'!$B$2:$B$1123, 'Códigos DANE Municipios'!$A$2:$A$1123, "No encontrado")</f>
        <v>68079</v>
      </c>
      <c r="B65" t="str">
        <f>IFERROR(VLOOKUP(D65,APOYO!K:L,2,FALSE),A65)</f>
        <v>68079</v>
      </c>
      <c r="C65" t="s">
        <v>1663</v>
      </c>
      <c r="D65" t="str">
        <f>IFERROR(VLOOKUP(C65,APOYO!J:K,2,FALSE),C65)</f>
        <v>BARICHARA</v>
      </c>
      <c r="E65">
        <v>2013</v>
      </c>
      <c r="F65" t="s">
        <v>2189</v>
      </c>
      <c r="G65" t="s">
        <v>2189</v>
      </c>
      <c r="H65">
        <v>49</v>
      </c>
      <c r="I65" s="13" t="s">
        <v>2189</v>
      </c>
      <c r="J65" s="13" t="s">
        <v>2189</v>
      </c>
      <c r="K65" s="13" t="s">
        <v>2189</v>
      </c>
    </row>
    <row r="66" spans="1:11" hidden="1" x14ac:dyDescent="0.25">
      <c r="A66" t="str">
        <f>_xlfn.XLOOKUP(C66, 'Códigos DANE Municipios'!$B$2:$B$1123, 'Códigos DANE Municipios'!$A$2:$A$1123, "No encontrado")</f>
        <v>50110</v>
      </c>
      <c r="B66" t="str">
        <f>IFERROR(VLOOKUP(D66,APOYO!K:L,2,FALSE),A66)</f>
        <v>50110</v>
      </c>
      <c r="C66" t="s">
        <v>1362</v>
      </c>
      <c r="D66" t="str">
        <f>IFERROR(VLOOKUP(C66,APOYO!J:K,2,FALSE),C66)</f>
        <v>BARRANCA DE UPÍA</v>
      </c>
      <c r="E66">
        <v>2013</v>
      </c>
      <c r="F66" t="s">
        <v>2189</v>
      </c>
      <c r="G66" t="s">
        <v>2189</v>
      </c>
      <c r="H66">
        <v>18</v>
      </c>
      <c r="I66" s="13" t="s">
        <v>2189</v>
      </c>
      <c r="J66" s="13" t="s">
        <v>2189</v>
      </c>
      <c r="K66" s="13" t="s">
        <v>2189</v>
      </c>
    </row>
    <row r="67" spans="1:11" hidden="1" x14ac:dyDescent="0.25">
      <c r="A67" t="str">
        <f>_xlfn.XLOOKUP(C67, 'Códigos DANE Municipios'!$B$2:$B$1123, 'Códigos DANE Municipios'!$A$2:$A$1123, "No encontrado")</f>
        <v>68081</v>
      </c>
      <c r="B67" t="str">
        <f>IFERROR(VLOOKUP(D67,APOYO!K:L,2,FALSE),A67)</f>
        <v>68081</v>
      </c>
      <c r="C67" t="s">
        <v>1665</v>
      </c>
      <c r="D67" t="str">
        <f>IFERROR(VLOOKUP(C67,APOYO!J:K,2,FALSE),C67)</f>
        <v>BARRANCABERMEJA</v>
      </c>
      <c r="E67">
        <v>2013</v>
      </c>
      <c r="F67">
        <v>104102</v>
      </c>
      <c r="G67">
        <v>842</v>
      </c>
      <c r="H67">
        <v>1055</v>
      </c>
      <c r="I67" s="13" t="s">
        <v>2189</v>
      </c>
      <c r="J67" s="13" t="s">
        <v>2189</v>
      </c>
      <c r="K67" s="13" t="s">
        <v>2189</v>
      </c>
    </row>
    <row r="68" spans="1:11" hidden="1" x14ac:dyDescent="0.25">
      <c r="A68" t="str">
        <f>_xlfn.XLOOKUP(C68, 'Códigos DANE Municipios'!$B$2:$B$1123, 'Códigos DANE Municipios'!$A$2:$A$1123, "No encontrado")</f>
        <v>44078</v>
      </c>
      <c r="B68" t="str">
        <f>IFERROR(VLOOKUP(D68,APOYO!K:L,2,FALSE),A68)</f>
        <v>44078</v>
      </c>
      <c r="C68" t="s">
        <v>1275</v>
      </c>
      <c r="D68" t="str">
        <f>IFERROR(VLOOKUP(C68,APOYO!J:K,2,FALSE),C68)</f>
        <v>BARRANCAS</v>
      </c>
      <c r="E68">
        <v>2013</v>
      </c>
      <c r="F68" t="s">
        <v>2189</v>
      </c>
      <c r="G68" t="s">
        <v>2189</v>
      </c>
      <c r="H68">
        <v>11</v>
      </c>
      <c r="I68" s="13" t="s">
        <v>2189</v>
      </c>
      <c r="J68" s="13" t="s">
        <v>2189</v>
      </c>
      <c r="K68" s="13" t="s">
        <v>2189</v>
      </c>
    </row>
    <row r="69" spans="1:11" hidden="1" x14ac:dyDescent="0.25">
      <c r="A69" t="str">
        <f>_xlfn.XLOOKUP(C69, 'Códigos DANE Municipios'!$B$2:$B$1123, 'Códigos DANE Municipios'!$A$2:$A$1123, "No encontrado")</f>
        <v>08001</v>
      </c>
      <c r="B69" t="str">
        <f>IFERROR(VLOOKUP(D69,APOYO!K:L,2,FALSE),A69)</f>
        <v>08001</v>
      </c>
      <c r="C69" t="s">
        <v>262</v>
      </c>
      <c r="D69" t="str">
        <f>IFERROR(VLOOKUP(C69,APOYO!J:K,2,FALSE),C69)</f>
        <v>BARRANQUILLA</v>
      </c>
      <c r="E69">
        <v>2013</v>
      </c>
      <c r="F69">
        <v>968184</v>
      </c>
      <c r="G69">
        <v>118350</v>
      </c>
      <c r="H69">
        <v>37246</v>
      </c>
      <c r="I69" s="13" t="s">
        <v>2189</v>
      </c>
      <c r="J69" s="13" t="s">
        <v>2189</v>
      </c>
      <c r="K69" s="13" t="s">
        <v>2189</v>
      </c>
    </row>
    <row r="70" spans="1:11" hidden="1" x14ac:dyDescent="0.25">
      <c r="A70" t="str">
        <f>_xlfn.XLOOKUP(C70, 'Códigos DANE Municipios'!$B$2:$B$1123, 'Códigos DANE Municipios'!$A$2:$A$1123, "No encontrado")</f>
        <v>17088</v>
      </c>
      <c r="B70" t="str">
        <f>IFERROR(VLOOKUP(D70,APOYO!K:L,2,FALSE),A70)</f>
        <v>17088</v>
      </c>
      <c r="C70" t="s">
        <v>652</v>
      </c>
      <c r="D70" t="str">
        <f>IFERROR(VLOOKUP(C70,APOYO!J:K,2,FALSE),C70)</f>
        <v>BELALCÁZAR</v>
      </c>
      <c r="E70">
        <v>2013</v>
      </c>
      <c r="F70" t="s">
        <v>2189</v>
      </c>
      <c r="G70" t="s">
        <v>2189</v>
      </c>
      <c r="H70">
        <v>3</v>
      </c>
      <c r="I70" s="13" t="s">
        <v>2189</v>
      </c>
      <c r="J70" s="13" t="s">
        <v>2189</v>
      </c>
      <c r="K70" s="13" t="s">
        <v>2189</v>
      </c>
    </row>
    <row r="71" spans="1:11" hidden="1" x14ac:dyDescent="0.25">
      <c r="A71" t="str">
        <f>_xlfn.XLOOKUP(C71, 'Códigos DANE Municipios'!$B$2:$B$1123, 'Códigos DANE Municipios'!$A$2:$A$1123, "No encontrado")</f>
        <v>15087</v>
      </c>
      <c r="B71" t="str">
        <f>IFERROR(VLOOKUP(D71,APOYO!K:L,2,FALSE),A71)</f>
        <v>15087</v>
      </c>
      <c r="C71" t="s">
        <v>409</v>
      </c>
      <c r="D71" t="str">
        <f>IFERROR(VLOOKUP(C71,APOYO!J:K,2,FALSE),C71)</f>
        <v>BELÉN</v>
      </c>
      <c r="E71">
        <v>2013</v>
      </c>
      <c r="F71" t="s">
        <v>2189</v>
      </c>
      <c r="G71" t="s">
        <v>2189</v>
      </c>
      <c r="H71">
        <v>6</v>
      </c>
      <c r="I71" s="13" t="s">
        <v>2189</v>
      </c>
      <c r="J71" s="13" t="s">
        <v>2189</v>
      </c>
      <c r="K71" s="13" t="s">
        <v>2189</v>
      </c>
    </row>
    <row r="72" spans="1:11" hidden="1" x14ac:dyDescent="0.25">
      <c r="A72" t="str">
        <f>_xlfn.XLOOKUP(C72, 'Códigos DANE Municipios'!$B$2:$B$1123, 'Códigos DANE Municipios'!$A$2:$A$1123, "No encontrado")</f>
        <v>66088</v>
      </c>
      <c r="B72" t="str">
        <f>IFERROR(VLOOKUP(D72,APOYO!K:L,2,FALSE),A72)</f>
        <v>66088</v>
      </c>
      <c r="C72" t="s">
        <v>1633</v>
      </c>
      <c r="D72" t="str">
        <f>IFERROR(VLOOKUP(C72,APOYO!J:K,2,FALSE),C72)</f>
        <v>BELÉN DE UMBRÍA</v>
      </c>
      <c r="E72">
        <v>2013</v>
      </c>
      <c r="F72" t="s">
        <v>2189</v>
      </c>
      <c r="G72" t="s">
        <v>2189</v>
      </c>
      <c r="H72">
        <v>31</v>
      </c>
      <c r="I72" s="13" t="s">
        <v>2189</v>
      </c>
      <c r="J72" s="13" t="s">
        <v>2189</v>
      </c>
      <c r="K72" s="13" t="s">
        <v>2189</v>
      </c>
    </row>
    <row r="73" spans="1:11" hidden="1" x14ac:dyDescent="0.25">
      <c r="A73" t="str">
        <f>_xlfn.XLOOKUP(C73, 'Códigos DANE Municipios'!$B$2:$B$1123, 'Códigos DANE Municipios'!$A$2:$A$1123, "No encontrado")</f>
        <v>05088</v>
      </c>
      <c r="B73" t="str">
        <f>IFERROR(VLOOKUP(D73,APOYO!K:L,2,FALSE),A73)</f>
        <v>05088</v>
      </c>
      <c r="C73" t="s">
        <v>48</v>
      </c>
      <c r="D73" t="str">
        <f>IFERROR(VLOOKUP(C73,APOYO!J:K,2,FALSE),C73)</f>
        <v>BELLO</v>
      </c>
      <c r="E73">
        <v>2013</v>
      </c>
      <c r="F73" t="s">
        <v>2189</v>
      </c>
      <c r="G73" t="s">
        <v>2189</v>
      </c>
      <c r="H73">
        <v>260</v>
      </c>
      <c r="I73" s="13" t="s">
        <v>2189</v>
      </c>
      <c r="J73" s="13" t="s">
        <v>2189</v>
      </c>
      <c r="K73" s="13" t="s">
        <v>2189</v>
      </c>
    </row>
    <row r="74" spans="1:11" hidden="1" x14ac:dyDescent="0.25">
      <c r="A74" t="str">
        <f>_xlfn.XLOOKUP(C74, 'Códigos DANE Municipios'!$B$2:$B$1123, 'Códigos DANE Municipios'!$A$2:$A$1123, "No encontrado")</f>
        <v>25086</v>
      </c>
      <c r="B74" t="str">
        <f>IFERROR(VLOOKUP(D74,APOYO!K:L,2,FALSE),A74)</f>
        <v>25086</v>
      </c>
      <c r="C74" t="s">
        <v>926</v>
      </c>
      <c r="D74" t="str">
        <f>IFERROR(VLOOKUP(C74,APOYO!J:K,2,FALSE),C74)</f>
        <v>BELTRÁN</v>
      </c>
      <c r="E74">
        <v>2013</v>
      </c>
      <c r="F74" t="s">
        <v>2189</v>
      </c>
      <c r="G74" t="s">
        <v>2189</v>
      </c>
      <c r="H74">
        <v>1</v>
      </c>
      <c r="I74" s="13" t="s">
        <v>2189</v>
      </c>
      <c r="J74" s="13" t="s">
        <v>2189</v>
      </c>
      <c r="K74" s="13" t="s">
        <v>2189</v>
      </c>
    </row>
    <row r="75" spans="1:11" hidden="1" x14ac:dyDescent="0.25">
      <c r="A75" t="str">
        <f>_xlfn.XLOOKUP(C75, 'Códigos DANE Municipios'!$B$2:$B$1123, 'Códigos DANE Municipios'!$A$2:$A$1123, "No encontrado")</f>
        <v>05091</v>
      </c>
      <c r="B75" t="str">
        <f>IFERROR(VLOOKUP(D75,APOYO!K:L,2,FALSE),A75)</f>
        <v>05091</v>
      </c>
      <c r="C75" t="s">
        <v>50</v>
      </c>
      <c r="D75" t="str">
        <f>IFERROR(VLOOKUP(C75,APOYO!J:K,2,FALSE),C75)</f>
        <v>BETANIA</v>
      </c>
      <c r="E75">
        <v>2013</v>
      </c>
      <c r="F75" t="s">
        <v>2189</v>
      </c>
      <c r="G75" t="s">
        <v>2189</v>
      </c>
      <c r="H75">
        <v>1</v>
      </c>
      <c r="I75" s="13" t="s">
        <v>2189</v>
      </c>
      <c r="J75" s="13" t="s">
        <v>2189</v>
      </c>
      <c r="K75" s="13" t="s">
        <v>2189</v>
      </c>
    </row>
    <row r="76" spans="1:11" hidden="1" x14ac:dyDescent="0.25">
      <c r="A76" t="str">
        <f>_xlfn.XLOOKUP(C76, 'Códigos DANE Municipios'!$B$2:$B$1123, 'Códigos DANE Municipios'!$A$2:$A$1123, "No encontrado")</f>
        <v>05093</v>
      </c>
      <c r="B76" t="str">
        <f>IFERROR(VLOOKUP(D76,APOYO!K:L,2,FALSE),A76)</f>
        <v>05093</v>
      </c>
      <c r="C76" t="s">
        <v>52</v>
      </c>
      <c r="D76" t="str">
        <f>IFERROR(VLOOKUP(C76,APOYO!J:K,2,FALSE),C76)</f>
        <v>BETULIA</v>
      </c>
      <c r="E76">
        <v>2013</v>
      </c>
      <c r="F76" t="s">
        <v>2189</v>
      </c>
      <c r="G76" t="s">
        <v>2189</v>
      </c>
      <c r="H76">
        <v>2</v>
      </c>
      <c r="I76" s="13" t="s">
        <v>2189</v>
      </c>
      <c r="J76" s="13" t="s">
        <v>2189</v>
      </c>
      <c r="K76" s="13" t="s">
        <v>2189</v>
      </c>
    </row>
    <row r="77" spans="1:11" hidden="1" x14ac:dyDescent="0.25">
      <c r="A77" t="str">
        <f>_xlfn.XLOOKUP(C77, 'Códigos DANE Municipios'!$B$2:$B$1123, 'Códigos DANE Municipios'!$A$2:$A$1123, "No encontrado")</f>
        <v>15097</v>
      </c>
      <c r="B77" t="str">
        <f>IFERROR(VLOOKUP(D77,APOYO!K:L,2,FALSE),A77)</f>
        <v>15097</v>
      </c>
      <c r="C77" t="s">
        <v>415</v>
      </c>
      <c r="D77" t="str">
        <f>IFERROR(VLOOKUP(C77,APOYO!J:K,2,FALSE),C77)</f>
        <v>BOAVITA</v>
      </c>
      <c r="E77">
        <v>2013</v>
      </c>
      <c r="F77" t="s">
        <v>2189</v>
      </c>
      <c r="G77" t="s">
        <v>2189</v>
      </c>
      <c r="H77">
        <v>14</v>
      </c>
      <c r="I77" s="13" t="s">
        <v>2189</v>
      </c>
      <c r="J77" s="13" t="s">
        <v>2189</v>
      </c>
      <c r="K77" s="13" t="s">
        <v>2189</v>
      </c>
    </row>
    <row r="78" spans="1:11" hidden="1" x14ac:dyDescent="0.25">
      <c r="A78" t="str">
        <f>_xlfn.XLOOKUP(C78, 'Códigos DANE Municipios'!$B$2:$B$1123, 'Códigos DANE Municipios'!$A$2:$A$1123, "No encontrado")</f>
        <v>54099</v>
      </c>
      <c r="B78" t="str">
        <f>IFERROR(VLOOKUP(D78,APOYO!K:L,2,FALSE),A78)</f>
        <v>54099</v>
      </c>
      <c r="C78" t="s">
        <v>1535</v>
      </c>
      <c r="D78" t="str">
        <f>IFERROR(VLOOKUP(C78,APOYO!J:K,2,FALSE),C78)</f>
        <v>BOCHALEMA</v>
      </c>
      <c r="E78">
        <v>2013</v>
      </c>
      <c r="F78" t="s">
        <v>2189</v>
      </c>
      <c r="G78" t="s">
        <v>2189</v>
      </c>
      <c r="H78">
        <v>10</v>
      </c>
      <c r="I78" s="13" t="s">
        <v>2189</v>
      </c>
      <c r="J78" s="13" t="s">
        <v>2189</v>
      </c>
      <c r="K78" s="13" t="s">
        <v>2189</v>
      </c>
    </row>
    <row r="79" spans="1:11" hidden="1" x14ac:dyDescent="0.25">
      <c r="A79" t="str">
        <f>_xlfn.XLOOKUP(C79, 'Códigos DANE Municipios'!$B$2:$B$1123, 'Códigos DANE Municipios'!$A$2:$A$1123, "No encontrado")</f>
        <v>11001</v>
      </c>
      <c r="B79" t="str">
        <f>IFERROR(VLOOKUP(D79,APOYO!K:L,2,FALSE),A79)</f>
        <v>11001</v>
      </c>
      <c r="C79" t="s">
        <v>307</v>
      </c>
      <c r="D79" t="str">
        <f>IFERROR(VLOOKUP(C79,APOYO!J:K,2,FALSE),C79)</f>
        <v>BOGOTÁ, D.C.</v>
      </c>
      <c r="E79">
        <v>2013</v>
      </c>
      <c r="F79">
        <v>7066632</v>
      </c>
      <c r="G79">
        <v>2972187</v>
      </c>
      <c r="H79">
        <v>763187</v>
      </c>
      <c r="I79">
        <v>15081</v>
      </c>
      <c r="J79" s="13" t="s">
        <v>2189</v>
      </c>
      <c r="K79" s="13" t="s">
        <v>2189</v>
      </c>
    </row>
    <row r="80" spans="1:11" hidden="1" x14ac:dyDescent="0.25">
      <c r="A80" t="str">
        <f>_xlfn.XLOOKUP(C80, 'Códigos DANE Municipios'!$B$2:$B$1123, 'Códigos DANE Municipios'!$A$2:$A$1123, "No encontrado")</f>
        <v>25099</v>
      </c>
      <c r="B80" t="str">
        <f>IFERROR(VLOOKUP(D80,APOYO!K:L,2,FALSE),A80)</f>
        <v>25099</v>
      </c>
      <c r="C80" t="s">
        <v>930</v>
      </c>
      <c r="D80" t="str">
        <f>IFERROR(VLOOKUP(C80,APOYO!J:K,2,FALSE),C80)</f>
        <v>BOJACÁ</v>
      </c>
      <c r="E80">
        <v>2013</v>
      </c>
      <c r="F80" t="s">
        <v>2189</v>
      </c>
      <c r="G80" t="s">
        <v>2189</v>
      </c>
      <c r="H80">
        <v>18</v>
      </c>
      <c r="I80" s="13" t="s">
        <v>2189</v>
      </c>
      <c r="J80" s="13" t="s">
        <v>2189</v>
      </c>
      <c r="K80" s="13" t="s">
        <v>2189</v>
      </c>
    </row>
    <row r="81" spans="1:11" hidden="1" x14ac:dyDescent="0.25">
      <c r="A81" t="str">
        <f>_xlfn.XLOOKUP(C81, 'Códigos DANE Municipios'!$B$2:$B$1123, 'Códigos DANE Municipios'!$A$2:$A$1123, "No encontrado")</f>
        <v>19100</v>
      </c>
      <c r="B81" t="str">
        <f>IFERROR(VLOOKUP(D81,APOYO!K:L,2,FALSE),A81)</f>
        <v>19100</v>
      </c>
      <c r="C81" t="s">
        <v>736</v>
      </c>
      <c r="D81" t="str">
        <f>IFERROR(VLOOKUP(C81,APOYO!J:K,2,FALSE),C81)</f>
        <v>BOLÍVAR</v>
      </c>
      <c r="E81">
        <v>2013</v>
      </c>
      <c r="F81" t="s">
        <v>2189</v>
      </c>
      <c r="G81" t="s">
        <v>2189</v>
      </c>
      <c r="H81">
        <v>43</v>
      </c>
      <c r="I81" s="13" t="s">
        <v>2189</v>
      </c>
      <c r="J81" s="13" t="s">
        <v>2189</v>
      </c>
      <c r="K81" s="13" t="s">
        <v>2189</v>
      </c>
    </row>
    <row r="82" spans="1:11" hidden="1" x14ac:dyDescent="0.25">
      <c r="A82" t="str">
        <f>_xlfn.XLOOKUP(C82, 'Códigos DANE Municipios'!$B$2:$B$1123, 'Códigos DANE Municipios'!$A$2:$A$1123, "No encontrado")</f>
        <v>20060</v>
      </c>
      <c r="B82" t="str">
        <f>IFERROR(VLOOKUP(D82,APOYO!K:L,2,FALSE),A82)</f>
        <v>20060</v>
      </c>
      <c r="C82" t="s">
        <v>818</v>
      </c>
      <c r="D82" t="str">
        <f>IFERROR(VLOOKUP(C82,APOYO!J:K,2,FALSE),C82)</f>
        <v>BOSCONIA</v>
      </c>
      <c r="E82">
        <v>2013</v>
      </c>
      <c r="F82" t="s">
        <v>2189</v>
      </c>
      <c r="G82" t="s">
        <v>2189</v>
      </c>
      <c r="H82">
        <v>6</v>
      </c>
      <c r="I82" s="13" t="s">
        <v>2189</v>
      </c>
      <c r="J82" s="13" t="s">
        <v>2189</v>
      </c>
      <c r="K82" s="13" t="s">
        <v>2189</v>
      </c>
    </row>
    <row r="83" spans="1:11" hidden="1" x14ac:dyDescent="0.25">
      <c r="A83" t="str">
        <f>_xlfn.XLOOKUP(C83, 'Códigos DANE Municipios'!$B$2:$B$1123, 'Códigos DANE Municipios'!$A$2:$A$1123, "No encontrado")</f>
        <v>15104</v>
      </c>
      <c r="B83" t="str">
        <f>IFERROR(VLOOKUP(D83,APOYO!K:L,2,FALSE),A83)</f>
        <v>15104</v>
      </c>
      <c r="C83" t="s">
        <v>417</v>
      </c>
      <c r="D83" t="str">
        <f>IFERROR(VLOOKUP(C83,APOYO!J:K,2,FALSE),C83)</f>
        <v>BOYACÁ</v>
      </c>
      <c r="E83">
        <v>2013</v>
      </c>
      <c r="F83" t="s">
        <v>2189</v>
      </c>
      <c r="G83" t="s">
        <v>2189</v>
      </c>
      <c r="H83">
        <v>42</v>
      </c>
      <c r="I83" s="13" t="s">
        <v>2189</v>
      </c>
      <c r="J83" s="13" t="s">
        <v>2189</v>
      </c>
      <c r="K83" s="13" t="s">
        <v>2189</v>
      </c>
    </row>
    <row r="84" spans="1:11" hidden="1" x14ac:dyDescent="0.25">
      <c r="A84" t="str">
        <f>_xlfn.XLOOKUP(C84, 'Códigos DANE Municipios'!$B$2:$B$1123, 'Códigos DANE Municipios'!$A$2:$A$1123, "No encontrado")</f>
        <v>05107</v>
      </c>
      <c r="B84" t="str">
        <f>IFERROR(VLOOKUP(D84,APOYO!K:L,2,FALSE),A84)</f>
        <v>05107</v>
      </c>
      <c r="C84" t="s">
        <v>56</v>
      </c>
      <c r="D84" t="str">
        <f>IFERROR(VLOOKUP(C84,APOYO!J:K,2,FALSE),C84)</f>
        <v>BRICEÑO</v>
      </c>
      <c r="E84">
        <v>2013</v>
      </c>
      <c r="F84" t="s">
        <v>2189</v>
      </c>
      <c r="G84" t="s">
        <v>2189</v>
      </c>
      <c r="H84">
        <v>2</v>
      </c>
      <c r="I84" s="13" t="s">
        <v>2189</v>
      </c>
      <c r="J84" s="13" t="s">
        <v>2189</v>
      </c>
      <c r="K84" s="13" t="s">
        <v>2189</v>
      </c>
    </row>
    <row r="85" spans="1:11" hidden="1" x14ac:dyDescent="0.25">
      <c r="A85" t="str">
        <f>_xlfn.XLOOKUP(C85, 'Códigos DANE Municipios'!$B$2:$B$1123, 'Códigos DANE Municipios'!$A$2:$A$1123, "No encontrado")</f>
        <v>68001</v>
      </c>
      <c r="B85" t="str">
        <f>IFERROR(VLOOKUP(D85,APOYO!K:L,2,FALSE),A85)</f>
        <v>68001</v>
      </c>
      <c r="C85" t="s">
        <v>1655</v>
      </c>
      <c r="D85" t="str">
        <f>IFERROR(VLOOKUP(C85,APOYO!J:K,2,FALSE),C85)</f>
        <v>BUCARAMANGA</v>
      </c>
      <c r="E85">
        <v>2013</v>
      </c>
      <c r="F85">
        <v>724195</v>
      </c>
      <c r="G85">
        <v>40245</v>
      </c>
      <c r="H85">
        <v>11852</v>
      </c>
      <c r="I85" s="13" t="s">
        <v>2189</v>
      </c>
      <c r="J85" s="13" t="s">
        <v>2189</v>
      </c>
      <c r="K85" s="13" t="s">
        <v>2189</v>
      </c>
    </row>
    <row r="86" spans="1:11" hidden="1" x14ac:dyDescent="0.25">
      <c r="A86" t="str">
        <f>_xlfn.XLOOKUP(C86, 'Códigos DANE Municipios'!$B$2:$B$1123, 'Códigos DANE Municipios'!$A$2:$A$1123, "No encontrado")</f>
        <v>76109</v>
      </c>
      <c r="B86" t="str">
        <f>IFERROR(VLOOKUP(D86,APOYO!K:L,2,FALSE),A86)</f>
        <v>76109</v>
      </c>
      <c r="C86" t="s">
        <v>1967</v>
      </c>
      <c r="D86" t="str">
        <f>IFERROR(VLOOKUP(C86,APOYO!J:K,2,FALSE),C86)</f>
        <v>BUENAVENTURA</v>
      </c>
      <c r="E86">
        <v>2013</v>
      </c>
      <c r="F86">
        <v>6686</v>
      </c>
      <c r="G86" t="s">
        <v>2189</v>
      </c>
      <c r="H86">
        <v>1264</v>
      </c>
      <c r="I86">
        <v>326</v>
      </c>
      <c r="J86" s="13" t="s">
        <v>2189</v>
      </c>
      <c r="K86" s="13" t="s">
        <v>2189</v>
      </c>
    </row>
    <row r="87" spans="1:11" hidden="1" x14ac:dyDescent="0.25">
      <c r="A87" t="str">
        <f>_xlfn.XLOOKUP(C87, 'Códigos DANE Municipios'!$B$2:$B$1123, 'Códigos DANE Municipios'!$A$2:$A$1123, "No encontrado")</f>
        <v>15109</v>
      </c>
      <c r="B87" t="str">
        <f>IFERROR(VLOOKUP(D87,APOYO!K:L,2,FALSE),A87)</f>
        <v>15109</v>
      </c>
      <c r="C87" t="s">
        <v>420</v>
      </c>
      <c r="D87" t="str">
        <f>IFERROR(VLOOKUP(C87,APOYO!J:K,2,FALSE),C87)</f>
        <v>BUENAVISTA</v>
      </c>
      <c r="E87">
        <v>2013</v>
      </c>
      <c r="F87" t="s">
        <v>2189</v>
      </c>
      <c r="G87" t="s">
        <v>2189</v>
      </c>
      <c r="H87">
        <v>5</v>
      </c>
      <c r="I87" s="13" t="s">
        <v>2189</v>
      </c>
      <c r="J87" s="13" t="s">
        <v>2189</v>
      </c>
      <c r="K87" s="13" t="s">
        <v>2189</v>
      </c>
    </row>
    <row r="88" spans="1:11" hidden="1" x14ac:dyDescent="0.25">
      <c r="A88" t="str">
        <f>_xlfn.XLOOKUP(C88, 'Códigos DANE Municipios'!$B$2:$B$1123, 'Códigos DANE Municipios'!$A$2:$A$1123, "No encontrado")</f>
        <v>52110</v>
      </c>
      <c r="B88" t="str">
        <f>IFERROR(VLOOKUP(D88,APOYO!K:L,2,FALSE),A88)</f>
        <v>52110</v>
      </c>
      <c r="C88" t="s">
        <v>1424</v>
      </c>
      <c r="D88" t="str">
        <f>IFERROR(VLOOKUP(C88,APOYO!J:K,2,FALSE),C88)</f>
        <v>BUESACO</v>
      </c>
      <c r="E88">
        <v>2013</v>
      </c>
      <c r="F88" t="s">
        <v>2189</v>
      </c>
      <c r="G88" t="s">
        <v>2189</v>
      </c>
      <c r="H88">
        <v>3</v>
      </c>
      <c r="I88" s="13" t="s">
        <v>2189</v>
      </c>
      <c r="J88" s="13" t="s">
        <v>2189</v>
      </c>
      <c r="K88" s="13" t="s">
        <v>2189</v>
      </c>
    </row>
    <row r="89" spans="1:11" hidden="1" x14ac:dyDescent="0.25">
      <c r="A89" t="str">
        <f>_xlfn.XLOOKUP(C89, 'Códigos DANE Municipios'!$B$2:$B$1123, 'Códigos DANE Municipios'!$A$2:$A$1123, "No encontrado")</f>
        <v>76111</v>
      </c>
      <c r="B89" t="str">
        <f>IFERROR(VLOOKUP(D89,APOYO!K:L,2,FALSE),A89)</f>
        <v>76111</v>
      </c>
      <c r="C89" t="s">
        <v>1969</v>
      </c>
      <c r="D89" t="str">
        <f>IFERROR(VLOOKUP(C89,APOYO!J:K,2,FALSE),C89)</f>
        <v>GUADALAJARA DE BUGA</v>
      </c>
      <c r="E89">
        <v>2013</v>
      </c>
      <c r="F89">
        <v>0</v>
      </c>
      <c r="G89" t="s">
        <v>2189</v>
      </c>
      <c r="H89">
        <v>811</v>
      </c>
      <c r="I89" s="13" t="s">
        <v>2189</v>
      </c>
      <c r="J89" s="13" t="s">
        <v>2189</v>
      </c>
      <c r="K89" s="13" t="s">
        <v>2189</v>
      </c>
    </row>
    <row r="90" spans="1:11" hidden="1" x14ac:dyDescent="0.25">
      <c r="A90" t="str">
        <f>_xlfn.XLOOKUP(C90, 'Códigos DANE Municipios'!$B$2:$B$1123, 'Códigos DANE Municipios'!$A$2:$A$1123, "No encontrado")</f>
        <v>76113</v>
      </c>
      <c r="B90" t="str">
        <f>IFERROR(VLOOKUP(D90,APOYO!K:L,2,FALSE),A90)</f>
        <v>76113</v>
      </c>
      <c r="C90" t="s">
        <v>1971</v>
      </c>
      <c r="D90" t="str">
        <f>IFERROR(VLOOKUP(C90,APOYO!J:K,2,FALSE),C90)</f>
        <v>BUGALAGRANDE</v>
      </c>
      <c r="E90">
        <v>2013</v>
      </c>
      <c r="F90" t="s">
        <v>2189</v>
      </c>
      <c r="G90" t="s">
        <v>2189</v>
      </c>
      <c r="H90">
        <v>235</v>
      </c>
      <c r="I90" s="13" t="s">
        <v>2189</v>
      </c>
      <c r="J90" s="13" t="s">
        <v>2189</v>
      </c>
      <c r="K90" s="13" t="s">
        <v>2189</v>
      </c>
    </row>
    <row r="91" spans="1:11" hidden="1" x14ac:dyDescent="0.25">
      <c r="A91" t="str">
        <f>_xlfn.XLOOKUP(C91, 'Códigos DANE Municipios'!$B$2:$B$1123, 'Códigos DANE Municipios'!$A$2:$A$1123, "No encontrado")</f>
        <v>05113</v>
      </c>
      <c r="B91" t="str">
        <f>IFERROR(VLOOKUP(D91,APOYO!K:L,2,FALSE),A91)</f>
        <v>05113</v>
      </c>
      <c r="C91" t="s">
        <v>58</v>
      </c>
      <c r="D91" t="str">
        <f>IFERROR(VLOOKUP(C91,APOYO!J:K,2,FALSE),C91)</f>
        <v>BURITICÁ</v>
      </c>
      <c r="E91">
        <v>2013</v>
      </c>
      <c r="F91" t="s">
        <v>2189</v>
      </c>
      <c r="G91" t="s">
        <v>2189</v>
      </c>
      <c r="H91">
        <v>6</v>
      </c>
      <c r="I91" s="13" t="s">
        <v>2189</v>
      </c>
      <c r="J91" s="13" t="s">
        <v>2189</v>
      </c>
      <c r="K91" s="13" t="s">
        <v>2189</v>
      </c>
    </row>
    <row r="92" spans="1:11" hidden="1" x14ac:dyDescent="0.25">
      <c r="A92" t="str">
        <f>_xlfn.XLOOKUP(C92, 'Códigos DANE Municipios'!$B$2:$B$1123, 'Códigos DANE Municipios'!$A$2:$A$1123, "No encontrado")</f>
        <v>25120</v>
      </c>
      <c r="B92" t="str">
        <f>IFERROR(VLOOKUP(D92,APOYO!K:L,2,FALSE),A92)</f>
        <v>25120</v>
      </c>
      <c r="C92" t="s">
        <v>932</v>
      </c>
      <c r="D92" t="str">
        <f>IFERROR(VLOOKUP(C92,APOYO!J:K,2,FALSE),C92)</f>
        <v>CABRERA</v>
      </c>
      <c r="E92">
        <v>2013</v>
      </c>
      <c r="F92" t="s">
        <v>2189</v>
      </c>
      <c r="G92" t="s">
        <v>2189</v>
      </c>
      <c r="H92">
        <v>4</v>
      </c>
      <c r="I92" s="13" t="s">
        <v>2189</v>
      </c>
      <c r="J92" s="13" t="s">
        <v>2189</v>
      </c>
      <c r="K92" s="13" t="s">
        <v>2189</v>
      </c>
    </row>
    <row r="93" spans="1:11" hidden="1" x14ac:dyDescent="0.25">
      <c r="A93" t="str">
        <f>_xlfn.XLOOKUP(C93, 'Códigos DANE Municipios'!$B$2:$B$1123, 'Códigos DANE Municipios'!$A$2:$A$1123, "No encontrado")</f>
        <v>50124</v>
      </c>
      <c r="B93" t="str">
        <f>IFERROR(VLOOKUP(D93,APOYO!K:L,2,FALSE),A93)</f>
        <v>50124</v>
      </c>
      <c r="C93" t="s">
        <v>1364</v>
      </c>
      <c r="D93" t="str">
        <f>IFERROR(VLOOKUP(C93,APOYO!J:K,2,FALSE),C93)</f>
        <v>CABUYARO</v>
      </c>
      <c r="E93">
        <v>2013</v>
      </c>
      <c r="F93">
        <v>3</v>
      </c>
      <c r="G93" t="s">
        <v>2189</v>
      </c>
      <c r="H93">
        <v>2</v>
      </c>
      <c r="I93" s="13" t="s">
        <v>2189</v>
      </c>
      <c r="J93" s="13" t="s">
        <v>2189</v>
      </c>
      <c r="K93" s="13" t="s">
        <v>2189</v>
      </c>
    </row>
    <row r="94" spans="1:11" hidden="1" x14ac:dyDescent="0.25">
      <c r="A94" t="str">
        <f>_xlfn.XLOOKUP(C94, 'Códigos DANE Municipios'!$B$2:$B$1123, 'Códigos DANE Municipios'!$A$2:$A$1123, "No encontrado")</f>
        <v>05120</v>
      </c>
      <c r="B94" t="str">
        <f>IFERROR(VLOOKUP(D94,APOYO!K:L,2,FALSE),A94)</f>
        <v>05120</v>
      </c>
      <c r="C94" t="s">
        <v>60</v>
      </c>
      <c r="D94" t="str">
        <f>IFERROR(VLOOKUP(C94,APOYO!J:K,2,FALSE),C94)</f>
        <v>CÁCERES</v>
      </c>
      <c r="E94">
        <v>2013</v>
      </c>
      <c r="F94" t="s">
        <v>2189</v>
      </c>
      <c r="G94" t="s">
        <v>2189</v>
      </c>
      <c r="H94">
        <v>3</v>
      </c>
      <c r="I94" s="13" t="s">
        <v>2189</v>
      </c>
      <c r="J94" s="13" t="s">
        <v>2189</v>
      </c>
      <c r="K94" s="13" t="s">
        <v>2189</v>
      </c>
    </row>
    <row r="95" spans="1:11" hidden="1" x14ac:dyDescent="0.25">
      <c r="A95" t="str">
        <f>_xlfn.XLOOKUP(C95, 'Códigos DANE Municipios'!$B$2:$B$1123, 'Códigos DANE Municipios'!$A$2:$A$1123, "No encontrado")</f>
        <v>25123</v>
      </c>
      <c r="B95" t="str">
        <f>IFERROR(VLOOKUP(D95,APOYO!K:L,2,FALSE),A95)</f>
        <v>25123</v>
      </c>
      <c r="C95" t="s">
        <v>934</v>
      </c>
      <c r="D95" t="str">
        <f>IFERROR(VLOOKUP(C95,APOYO!J:K,2,FALSE),C95)</f>
        <v>CACHIPAY</v>
      </c>
      <c r="E95">
        <v>2013</v>
      </c>
      <c r="F95" t="s">
        <v>2189</v>
      </c>
      <c r="G95" t="s">
        <v>2189</v>
      </c>
      <c r="H95">
        <v>21</v>
      </c>
      <c r="I95" s="13" t="s">
        <v>2189</v>
      </c>
      <c r="J95" s="13" t="s">
        <v>2189</v>
      </c>
      <c r="K95" s="13" t="s">
        <v>2189</v>
      </c>
    </row>
    <row r="96" spans="1:11" hidden="1" x14ac:dyDescent="0.25">
      <c r="A96" t="str">
        <f>_xlfn.XLOOKUP(C96, 'Códigos DANE Municipios'!$B$2:$B$1123, 'Códigos DANE Municipios'!$A$2:$A$1123, "No encontrado")</f>
        <v>68298</v>
      </c>
      <c r="B96" t="str">
        <f>IFERROR(VLOOKUP(D96,APOYO!K:L,2,FALSE),A96)</f>
        <v>68298</v>
      </c>
      <c r="C96" t="s">
        <v>1716</v>
      </c>
      <c r="D96" t="str">
        <f>IFERROR(VLOOKUP(C96,APOYO!J:K,2,FALSE),C96)</f>
        <v>GÁMBITA</v>
      </c>
      <c r="E96">
        <v>2013</v>
      </c>
      <c r="F96" t="s">
        <v>2189</v>
      </c>
      <c r="G96" t="s">
        <v>2189</v>
      </c>
      <c r="H96">
        <v>2</v>
      </c>
      <c r="I96" s="13" t="s">
        <v>2189</v>
      </c>
      <c r="J96" s="13" t="s">
        <v>2189</v>
      </c>
      <c r="K96" s="13" t="s">
        <v>2189</v>
      </c>
    </row>
    <row r="97" spans="1:11" hidden="1" x14ac:dyDescent="0.25">
      <c r="A97" t="str">
        <f>_xlfn.XLOOKUP(C97, 'Códigos DANE Municipios'!$B$2:$B$1123, 'Códigos DANE Municipios'!$A$2:$A$1123, "No encontrado")</f>
        <v>54125</v>
      </c>
      <c r="B97" t="str">
        <f>IFERROR(VLOOKUP(D97,APOYO!K:L,2,FALSE),A97)</f>
        <v>54125</v>
      </c>
      <c r="C97" t="s">
        <v>1539</v>
      </c>
      <c r="D97" t="str">
        <f>IFERROR(VLOOKUP(C97,APOYO!J:K,2,FALSE),C97)</f>
        <v>CÁCOTA</v>
      </c>
      <c r="E97">
        <v>2013</v>
      </c>
      <c r="F97" t="s">
        <v>2189</v>
      </c>
      <c r="G97" t="s">
        <v>2189</v>
      </c>
      <c r="H97">
        <v>2</v>
      </c>
      <c r="I97" s="13" t="s">
        <v>2189</v>
      </c>
      <c r="J97" s="13" t="s">
        <v>2189</v>
      </c>
      <c r="K97" s="13" t="s">
        <v>2189</v>
      </c>
    </row>
    <row r="98" spans="1:11" hidden="1" x14ac:dyDescent="0.25">
      <c r="A98" t="str">
        <f>_xlfn.XLOOKUP(C98, 'Códigos DANE Municipios'!$B$2:$B$1123, 'Códigos DANE Municipios'!$A$2:$A$1123, "No encontrado")</f>
        <v>05125</v>
      </c>
      <c r="B98" t="str">
        <f>IFERROR(VLOOKUP(D98,APOYO!K:L,2,FALSE),A98)</f>
        <v>05125</v>
      </c>
      <c r="C98" t="s">
        <v>62</v>
      </c>
      <c r="D98" t="str">
        <f>IFERROR(VLOOKUP(C98,APOYO!J:K,2,FALSE),C98)</f>
        <v>CAICEDO</v>
      </c>
      <c r="E98">
        <v>2013</v>
      </c>
      <c r="F98" t="s">
        <v>2189</v>
      </c>
      <c r="G98" t="s">
        <v>2189</v>
      </c>
      <c r="H98">
        <v>13</v>
      </c>
      <c r="I98" s="13" t="s">
        <v>2189</v>
      </c>
      <c r="J98" s="13" t="s">
        <v>2189</v>
      </c>
      <c r="K98" s="13" t="s">
        <v>2189</v>
      </c>
    </row>
    <row r="99" spans="1:11" hidden="1" x14ac:dyDescent="0.25">
      <c r="A99" t="str">
        <f>_xlfn.XLOOKUP(C99, 'Códigos DANE Municipios'!$B$2:$B$1123, 'Códigos DANE Municipios'!$A$2:$A$1123, "No encontrado")</f>
        <v>76122</v>
      </c>
      <c r="B99" t="str">
        <f>IFERROR(VLOOKUP(D99,APOYO!K:L,2,FALSE),A99)</f>
        <v>76122</v>
      </c>
      <c r="C99" t="s">
        <v>1973</v>
      </c>
      <c r="D99" t="str">
        <f>IFERROR(VLOOKUP(C99,APOYO!J:K,2,FALSE),C99)</f>
        <v>CAICEDONIA</v>
      </c>
      <c r="E99">
        <v>2013</v>
      </c>
      <c r="F99" t="s">
        <v>2189</v>
      </c>
      <c r="G99" t="s">
        <v>2189</v>
      </c>
      <c r="H99">
        <v>204</v>
      </c>
      <c r="I99" s="13" t="s">
        <v>2189</v>
      </c>
      <c r="J99" s="13" t="s">
        <v>2189</v>
      </c>
      <c r="K99" s="13" t="s">
        <v>2189</v>
      </c>
    </row>
    <row r="100" spans="1:11" hidden="1" x14ac:dyDescent="0.25">
      <c r="A100" t="str">
        <f>_xlfn.XLOOKUP(C100, 'Códigos DANE Municipios'!$B$2:$B$1123, 'Códigos DANE Municipios'!$A$2:$A$1123, "No encontrado")</f>
        <v>73124</v>
      </c>
      <c r="B100" t="str">
        <f>IFERROR(VLOOKUP(D100,APOYO!K:L,2,FALSE),A100)</f>
        <v>73124</v>
      </c>
      <c r="C100" t="s">
        <v>1879</v>
      </c>
      <c r="D100" t="str">
        <f>IFERROR(VLOOKUP(C100,APOYO!J:K,2,FALSE),C100)</f>
        <v>CAJAMARCA</v>
      </c>
      <c r="E100">
        <v>2013</v>
      </c>
      <c r="F100" t="s">
        <v>2189</v>
      </c>
      <c r="G100" t="s">
        <v>2189</v>
      </c>
      <c r="H100">
        <v>8</v>
      </c>
      <c r="I100" s="13" t="s">
        <v>2189</v>
      </c>
      <c r="J100" s="13" t="s">
        <v>2189</v>
      </c>
      <c r="K100" s="13" t="s">
        <v>2189</v>
      </c>
    </row>
    <row r="101" spans="1:11" hidden="1" x14ac:dyDescent="0.25">
      <c r="A101" t="str">
        <f>_xlfn.XLOOKUP(C101, 'Códigos DANE Municipios'!$B$2:$B$1123, 'Códigos DANE Municipios'!$A$2:$A$1123, "No encontrado")</f>
        <v>19130</v>
      </c>
      <c r="B101" t="str">
        <f>IFERROR(VLOOKUP(D101,APOYO!K:L,2,FALSE),A101)</f>
        <v>19130</v>
      </c>
      <c r="C101" t="s">
        <v>740</v>
      </c>
      <c r="D101" t="str">
        <f>IFERROR(VLOOKUP(C101,APOYO!J:K,2,FALSE),C101)</f>
        <v>CAJIBÍO</v>
      </c>
      <c r="E101">
        <v>2013</v>
      </c>
      <c r="F101" t="s">
        <v>2189</v>
      </c>
      <c r="G101" t="s">
        <v>2189</v>
      </c>
      <c r="H101">
        <v>3</v>
      </c>
      <c r="I101" s="13" t="s">
        <v>2189</v>
      </c>
      <c r="J101" s="13" t="s">
        <v>2189</v>
      </c>
      <c r="K101" s="13" t="s">
        <v>2189</v>
      </c>
    </row>
    <row r="102" spans="1:11" hidden="1" x14ac:dyDescent="0.25">
      <c r="A102" t="str">
        <f>_xlfn.XLOOKUP(C102, 'Códigos DANE Municipios'!$B$2:$B$1123, 'Códigos DANE Municipios'!$A$2:$A$1123, "No encontrado")</f>
        <v>25126</v>
      </c>
      <c r="B102" t="str">
        <f>IFERROR(VLOOKUP(D102,APOYO!K:L,2,FALSE),A102)</f>
        <v>25126</v>
      </c>
      <c r="C102" t="s">
        <v>936</v>
      </c>
      <c r="D102" t="str">
        <f>IFERROR(VLOOKUP(C102,APOYO!J:K,2,FALSE),C102)</f>
        <v>CAJICÁ</v>
      </c>
      <c r="E102">
        <v>2013</v>
      </c>
      <c r="F102" t="s">
        <v>2189</v>
      </c>
      <c r="G102" t="s">
        <v>2189</v>
      </c>
      <c r="H102">
        <v>255</v>
      </c>
      <c r="I102" s="13" t="s">
        <v>2189</v>
      </c>
      <c r="J102" s="13" t="s">
        <v>2189</v>
      </c>
      <c r="K102" s="13" t="s">
        <v>2189</v>
      </c>
    </row>
    <row r="103" spans="1:11" hidden="1" x14ac:dyDescent="0.25">
      <c r="A103" t="str">
        <f>_xlfn.XLOOKUP(C103, 'Códigos DANE Municipios'!$B$2:$B$1123, 'Códigos DANE Municipios'!$A$2:$A$1123, "No encontrado")</f>
        <v>13140</v>
      </c>
      <c r="B103" t="str">
        <f>IFERROR(VLOOKUP(D103,APOYO!K:L,2,FALSE),A103)</f>
        <v>13140</v>
      </c>
      <c r="C103" t="s">
        <v>323</v>
      </c>
      <c r="D103" t="str">
        <f>IFERROR(VLOOKUP(C103,APOYO!J:K,2,FALSE),C103)</f>
        <v>CALAMAR</v>
      </c>
      <c r="E103">
        <v>2013</v>
      </c>
      <c r="F103" t="s">
        <v>2189</v>
      </c>
      <c r="G103" t="s">
        <v>2189</v>
      </c>
      <c r="H103">
        <v>19</v>
      </c>
      <c r="I103" s="13" t="s">
        <v>2189</v>
      </c>
      <c r="J103" s="13" t="s">
        <v>2189</v>
      </c>
      <c r="K103" s="13" t="s">
        <v>2189</v>
      </c>
    </row>
    <row r="104" spans="1:11" hidden="1" x14ac:dyDescent="0.25">
      <c r="A104" t="str">
        <f>_xlfn.XLOOKUP(C104, 'Códigos DANE Municipios'!$B$2:$B$1123, 'Códigos DANE Municipios'!$A$2:$A$1123, "No encontrado")</f>
        <v>63130</v>
      </c>
      <c r="B104" t="str">
        <f>IFERROR(VLOOKUP(D104,APOYO!K:L,2,FALSE),A104)</f>
        <v>63130</v>
      </c>
      <c r="C104" t="s">
        <v>1609</v>
      </c>
      <c r="D104" t="str">
        <f>IFERROR(VLOOKUP(C104,APOYO!J:K,2,FALSE),C104)</f>
        <v>CALARCÁ</v>
      </c>
      <c r="E104">
        <v>2013</v>
      </c>
      <c r="F104" t="s">
        <v>2189</v>
      </c>
      <c r="G104" t="s">
        <v>2189</v>
      </c>
      <c r="H104">
        <v>221</v>
      </c>
      <c r="I104" s="13" t="s">
        <v>2189</v>
      </c>
      <c r="J104" s="13" t="s">
        <v>2189</v>
      </c>
      <c r="K104" s="13" t="s">
        <v>2189</v>
      </c>
    </row>
    <row r="105" spans="1:11" hidden="1" x14ac:dyDescent="0.25">
      <c r="A105" t="str">
        <f>_xlfn.XLOOKUP(C105, 'Códigos DANE Municipios'!$B$2:$B$1123, 'Códigos DANE Municipios'!$A$2:$A$1123, "No encontrado")</f>
        <v>05129</v>
      </c>
      <c r="B105" t="str">
        <f>IFERROR(VLOOKUP(D105,APOYO!K:L,2,FALSE),A105)</f>
        <v>05129</v>
      </c>
      <c r="C105" t="s">
        <v>64</v>
      </c>
      <c r="D105" t="str">
        <f>IFERROR(VLOOKUP(C105,APOYO!J:K,2,FALSE),C105)</f>
        <v>CALDAS</v>
      </c>
      <c r="E105">
        <v>2013</v>
      </c>
      <c r="F105" t="s">
        <v>2189</v>
      </c>
      <c r="G105" t="s">
        <v>2189</v>
      </c>
      <c r="H105">
        <v>38</v>
      </c>
      <c r="I105" s="13" t="s">
        <v>2189</v>
      </c>
      <c r="J105" s="13" t="s">
        <v>2189</v>
      </c>
      <c r="K105" s="13" t="s">
        <v>2189</v>
      </c>
    </row>
    <row r="106" spans="1:11" hidden="1" x14ac:dyDescent="0.25">
      <c r="A106" t="str">
        <f>_xlfn.XLOOKUP(C106, 'Códigos DANE Municipios'!$B$2:$B$1123, 'Códigos DANE Municipios'!$A$2:$A$1123, "No encontrado")</f>
        <v>19137</v>
      </c>
      <c r="B106" t="str">
        <f>IFERROR(VLOOKUP(D106,APOYO!K:L,2,FALSE),A106)</f>
        <v>19137</v>
      </c>
      <c r="C106" t="s">
        <v>742</v>
      </c>
      <c r="D106" t="str">
        <f>IFERROR(VLOOKUP(C106,APOYO!J:K,2,FALSE),C106)</f>
        <v>CALDONO</v>
      </c>
      <c r="E106">
        <v>2013</v>
      </c>
      <c r="F106" t="s">
        <v>2189</v>
      </c>
      <c r="G106" t="s">
        <v>2189</v>
      </c>
      <c r="H106">
        <v>9</v>
      </c>
      <c r="I106" s="13" t="s">
        <v>2189</v>
      </c>
      <c r="J106" s="13" t="s">
        <v>2189</v>
      </c>
      <c r="K106" s="13" t="s">
        <v>2189</v>
      </c>
    </row>
    <row r="107" spans="1:11" hidden="1" x14ac:dyDescent="0.25">
      <c r="A107" t="str">
        <f>_xlfn.XLOOKUP(C107, 'Códigos DANE Municipios'!$B$2:$B$1123, 'Códigos DANE Municipios'!$A$2:$A$1123, "No encontrado")</f>
        <v>76001</v>
      </c>
      <c r="B107" t="str">
        <f>IFERROR(VLOOKUP(D107,APOYO!K:L,2,FALSE),A107)</f>
        <v>76001</v>
      </c>
      <c r="C107" t="s">
        <v>1957</v>
      </c>
      <c r="D107" t="str">
        <f>IFERROR(VLOOKUP(C107,APOYO!J:K,2,FALSE),C107)</f>
        <v>CALI</v>
      </c>
      <c r="E107">
        <v>2013</v>
      </c>
      <c r="F107">
        <v>1744192</v>
      </c>
      <c r="G107">
        <v>371233</v>
      </c>
      <c r="H107">
        <v>114099</v>
      </c>
      <c r="I107" s="13" t="s">
        <v>2189</v>
      </c>
      <c r="J107" s="13" t="s">
        <v>2189</v>
      </c>
      <c r="K107" s="13" t="s">
        <v>2189</v>
      </c>
    </row>
    <row r="108" spans="1:11" hidden="1" x14ac:dyDescent="0.25">
      <c r="A108" t="str">
        <f>_xlfn.XLOOKUP(C108, 'Códigos DANE Municipios'!$B$2:$B$1123, 'Códigos DANE Municipios'!$A$2:$A$1123, "No encontrado")</f>
        <v>68132</v>
      </c>
      <c r="B108" t="str">
        <f>IFERROR(VLOOKUP(D108,APOYO!K:L,2,FALSE),A108)</f>
        <v>68132</v>
      </c>
      <c r="C108" t="s">
        <v>1670</v>
      </c>
      <c r="D108" t="str">
        <f>IFERROR(VLOOKUP(C108,APOYO!J:K,2,FALSE),C108)</f>
        <v>CALIFORNIA</v>
      </c>
      <c r="E108">
        <v>2013</v>
      </c>
      <c r="F108" t="s">
        <v>2189</v>
      </c>
      <c r="G108" t="s">
        <v>2189</v>
      </c>
      <c r="H108">
        <v>25</v>
      </c>
      <c r="I108" s="13" t="s">
        <v>2189</v>
      </c>
      <c r="J108" s="13" t="s">
        <v>2189</v>
      </c>
      <c r="K108" s="13" t="s">
        <v>2189</v>
      </c>
    </row>
    <row r="109" spans="1:11" hidden="1" x14ac:dyDescent="0.25">
      <c r="A109" t="str">
        <f>_xlfn.XLOOKUP(C109, 'Códigos DANE Municipios'!$B$2:$B$1123, 'Códigos DANE Municipios'!$A$2:$A$1123, "No encontrado")</f>
        <v>76126</v>
      </c>
      <c r="B109" t="str">
        <f>IFERROR(VLOOKUP(D109,APOYO!K:L,2,FALSE),A109)</f>
        <v>76126</v>
      </c>
      <c r="C109" t="s">
        <v>1975</v>
      </c>
      <c r="D109" t="str">
        <f>IFERROR(VLOOKUP(C109,APOYO!J:K,2,FALSE),C109)</f>
        <v>CALIMA</v>
      </c>
      <c r="E109">
        <v>2013</v>
      </c>
      <c r="F109" t="s">
        <v>2189</v>
      </c>
      <c r="G109" t="s">
        <v>2189</v>
      </c>
      <c r="H109">
        <v>421</v>
      </c>
      <c r="I109" s="13" t="s">
        <v>2189</v>
      </c>
      <c r="J109" s="13" t="s">
        <v>2189</v>
      </c>
      <c r="K109" s="13" t="s">
        <v>2189</v>
      </c>
    </row>
    <row r="110" spans="1:11" hidden="1" x14ac:dyDescent="0.25">
      <c r="A110" t="str">
        <f>_xlfn.XLOOKUP(C110, 'Códigos DANE Municipios'!$B$2:$B$1123, 'Códigos DANE Municipios'!$A$2:$A$1123, "No encontrado")</f>
        <v>19142</v>
      </c>
      <c r="B110" t="str">
        <f>IFERROR(VLOOKUP(D110,APOYO!K:L,2,FALSE),A110)</f>
        <v>19142</v>
      </c>
      <c r="C110" t="s">
        <v>744</v>
      </c>
      <c r="D110" t="str">
        <f>IFERROR(VLOOKUP(C110,APOYO!J:K,2,FALSE),C110)</f>
        <v>CALOTO</v>
      </c>
      <c r="E110">
        <v>2013</v>
      </c>
      <c r="F110">
        <v>8</v>
      </c>
      <c r="G110" t="s">
        <v>2189</v>
      </c>
      <c r="H110">
        <v>7</v>
      </c>
      <c r="I110" s="13" t="s">
        <v>2189</v>
      </c>
      <c r="J110" s="13" t="s">
        <v>2189</v>
      </c>
      <c r="K110" s="13" t="s">
        <v>2189</v>
      </c>
    </row>
    <row r="111" spans="1:11" hidden="1" x14ac:dyDescent="0.25">
      <c r="A111" t="str">
        <f>_xlfn.XLOOKUP(C111, 'Códigos DANE Municipios'!$B$2:$B$1123, 'Códigos DANE Municipios'!$A$2:$A$1123, "No encontrado")</f>
        <v>41132</v>
      </c>
      <c r="B111" t="str">
        <f>IFERROR(VLOOKUP(D111,APOYO!K:L,2,FALSE),A111)</f>
        <v>41132</v>
      </c>
      <c r="C111" t="s">
        <v>1215</v>
      </c>
      <c r="D111" t="str">
        <f>IFERROR(VLOOKUP(C111,APOYO!J:K,2,FALSE),C111)</f>
        <v>CAMPOALEGRE</v>
      </c>
      <c r="E111">
        <v>2013</v>
      </c>
      <c r="F111">
        <v>8</v>
      </c>
      <c r="G111" t="s">
        <v>2189</v>
      </c>
      <c r="H111">
        <v>11</v>
      </c>
      <c r="I111" s="13" t="s">
        <v>2189</v>
      </c>
      <c r="J111" s="13" t="s">
        <v>2189</v>
      </c>
      <c r="K111" s="13" t="s">
        <v>2189</v>
      </c>
    </row>
    <row r="112" spans="1:11" hidden="1" x14ac:dyDescent="0.25">
      <c r="A112" t="str">
        <f>_xlfn.XLOOKUP(C112, 'Códigos DANE Municipios'!$B$2:$B$1123, 'Códigos DANE Municipios'!$A$2:$A$1123, "No encontrado")</f>
        <v>08141</v>
      </c>
      <c r="B112" t="str">
        <f>IFERROR(VLOOKUP(D112,APOYO!K:L,2,FALSE),A112)</f>
        <v>08141</v>
      </c>
      <c r="C112" t="s">
        <v>268</v>
      </c>
      <c r="D112" t="str">
        <f>IFERROR(VLOOKUP(C112,APOYO!J:K,2,FALSE),C112)</f>
        <v>CANDELARIA</v>
      </c>
      <c r="E112">
        <v>2013</v>
      </c>
      <c r="F112" t="s">
        <v>2189</v>
      </c>
      <c r="G112" t="s">
        <v>2189</v>
      </c>
      <c r="H112">
        <v>78</v>
      </c>
      <c r="I112" s="13" t="s">
        <v>2189</v>
      </c>
      <c r="J112" s="13" t="s">
        <v>2189</v>
      </c>
      <c r="K112" s="13" t="s">
        <v>2189</v>
      </c>
    </row>
    <row r="113" spans="1:11" hidden="1" x14ac:dyDescent="0.25">
      <c r="A113" t="str">
        <f>_xlfn.XLOOKUP(C113, 'Códigos DANE Municipios'!$B$2:$B$1123, 'Códigos DANE Municipios'!$A$2:$A$1123, "No encontrado")</f>
        <v>13160</v>
      </c>
      <c r="B113" t="str">
        <f>IFERROR(VLOOKUP(D113,APOYO!K:L,2,FALSE),A113)</f>
        <v>13160</v>
      </c>
      <c r="C113" t="s">
        <v>325</v>
      </c>
      <c r="D113" t="str">
        <f>IFERROR(VLOOKUP(C113,APOYO!J:K,2,FALSE),C113)</f>
        <v>CANTAGALLO</v>
      </c>
      <c r="E113">
        <v>2013</v>
      </c>
      <c r="F113" t="s">
        <v>2189</v>
      </c>
      <c r="G113" t="s">
        <v>2189</v>
      </c>
      <c r="H113">
        <v>15</v>
      </c>
      <c r="I113" s="13" t="s">
        <v>2189</v>
      </c>
      <c r="J113" s="13" t="s">
        <v>2189</v>
      </c>
      <c r="K113" s="13" t="s">
        <v>2189</v>
      </c>
    </row>
    <row r="114" spans="1:11" hidden="1" x14ac:dyDescent="0.25">
      <c r="A114" t="str">
        <f>_xlfn.XLOOKUP(C114, 'Códigos DANE Municipios'!$B$2:$B$1123, 'Códigos DANE Municipios'!$A$2:$A$1123, "No encontrado")</f>
        <v>25148</v>
      </c>
      <c r="B114" t="str">
        <f>IFERROR(VLOOKUP(D114,APOYO!K:L,2,FALSE),A114)</f>
        <v>25148</v>
      </c>
      <c r="C114" t="s">
        <v>938</v>
      </c>
      <c r="D114" t="str">
        <f>IFERROR(VLOOKUP(C114,APOYO!J:K,2,FALSE),C114)</f>
        <v>CAPARRAPÍ</v>
      </c>
      <c r="E114">
        <v>2013</v>
      </c>
      <c r="F114" t="s">
        <v>2189</v>
      </c>
      <c r="G114" t="s">
        <v>2189</v>
      </c>
      <c r="H114">
        <v>3</v>
      </c>
      <c r="I114" s="13" t="s">
        <v>2189</v>
      </c>
      <c r="J114" s="13" t="s">
        <v>2189</v>
      </c>
      <c r="K114" s="13" t="s">
        <v>2189</v>
      </c>
    </row>
    <row r="115" spans="1:11" hidden="1" x14ac:dyDescent="0.25">
      <c r="A115" t="str">
        <f>_xlfn.XLOOKUP(C115, 'Códigos DANE Municipios'!$B$2:$B$1123, 'Códigos DANE Municipios'!$A$2:$A$1123, "No encontrado")</f>
        <v>68147</v>
      </c>
      <c r="B115" t="str">
        <f>IFERROR(VLOOKUP(D115,APOYO!K:L,2,FALSE),A115)</f>
        <v>68147</v>
      </c>
      <c r="C115" t="s">
        <v>1672</v>
      </c>
      <c r="D115" t="str">
        <f>IFERROR(VLOOKUP(C115,APOYO!J:K,2,FALSE),C115)</f>
        <v>CAPITANEJO</v>
      </c>
      <c r="E115">
        <v>2013</v>
      </c>
      <c r="F115" t="s">
        <v>2189</v>
      </c>
      <c r="G115" t="s">
        <v>2189</v>
      </c>
      <c r="H115">
        <v>2</v>
      </c>
      <c r="I115" s="13" t="s">
        <v>2189</v>
      </c>
      <c r="J115" s="13" t="s">
        <v>2189</v>
      </c>
      <c r="K115" s="13" t="s">
        <v>2189</v>
      </c>
    </row>
    <row r="116" spans="1:11" hidden="1" x14ac:dyDescent="0.25">
      <c r="A116" t="str">
        <f>_xlfn.XLOOKUP(C116, 'Códigos DANE Municipios'!$B$2:$B$1123, 'Códigos DANE Municipios'!$A$2:$A$1123, "No encontrado")</f>
        <v>25151</v>
      </c>
      <c r="B116" t="str">
        <f>IFERROR(VLOOKUP(D116,APOYO!K:L,2,FALSE),A116)</f>
        <v>25151</v>
      </c>
      <c r="C116" t="s">
        <v>940</v>
      </c>
      <c r="D116" t="str">
        <f>IFERROR(VLOOKUP(C116,APOYO!J:K,2,FALSE),C116)</f>
        <v>CÁQUEZA</v>
      </c>
      <c r="E116">
        <v>2013</v>
      </c>
      <c r="F116" t="s">
        <v>2189</v>
      </c>
      <c r="G116" t="s">
        <v>2189</v>
      </c>
      <c r="H116">
        <v>3</v>
      </c>
      <c r="I116" s="13" t="s">
        <v>2189</v>
      </c>
      <c r="J116" s="13" t="s">
        <v>2189</v>
      </c>
      <c r="K116" s="13" t="s">
        <v>2189</v>
      </c>
    </row>
    <row r="117" spans="1:11" hidden="1" x14ac:dyDescent="0.25">
      <c r="A117" t="str">
        <f>_xlfn.XLOOKUP(C117, 'Códigos DANE Municipios'!$B$2:$B$1123, 'Códigos DANE Municipios'!$A$2:$A$1123, "No encontrado")</f>
        <v>05142</v>
      </c>
      <c r="B117" t="str">
        <f>IFERROR(VLOOKUP(D117,APOYO!K:L,2,FALSE),A117)</f>
        <v>05142</v>
      </c>
      <c r="C117" t="s">
        <v>70</v>
      </c>
      <c r="D117" t="str">
        <f>IFERROR(VLOOKUP(C117,APOYO!J:K,2,FALSE),C117)</f>
        <v>CARACOLÍ</v>
      </c>
      <c r="E117">
        <v>2013</v>
      </c>
      <c r="F117" t="s">
        <v>2189</v>
      </c>
      <c r="G117" t="s">
        <v>2189</v>
      </c>
      <c r="H117">
        <v>3</v>
      </c>
      <c r="I117" s="13" t="s">
        <v>2189</v>
      </c>
      <c r="J117" s="13" t="s">
        <v>2189</v>
      </c>
      <c r="K117" s="13" t="s">
        <v>2189</v>
      </c>
    </row>
    <row r="118" spans="1:11" hidden="1" x14ac:dyDescent="0.25">
      <c r="A118" t="str">
        <f>_xlfn.XLOOKUP(C118, 'Códigos DANE Municipios'!$B$2:$B$1123, 'Códigos DANE Municipios'!$A$2:$A$1123, "No encontrado")</f>
        <v>05147</v>
      </c>
      <c r="B118" t="str">
        <f>IFERROR(VLOOKUP(D118,APOYO!K:L,2,FALSE),A118)</f>
        <v>05147</v>
      </c>
      <c r="C118" t="s">
        <v>74</v>
      </c>
      <c r="D118" t="str">
        <f>IFERROR(VLOOKUP(C118,APOYO!J:K,2,FALSE),C118)</f>
        <v>CAREPA</v>
      </c>
      <c r="E118">
        <v>2013</v>
      </c>
      <c r="F118">
        <v>105807</v>
      </c>
      <c r="G118" t="s">
        <v>2189</v>
      </c>
      <c r="H118">
        <v>14</v>
      </c>
      <c r="I118" t="s">
        <v>2189</v>
      </c>
      <c r="J118" t="s">
        <v>2189</v>
      </c>
      <c r="K118" t="s">
        <v>2189</v>
      </c>
    </row>
    <row r="119" spans="1:11" hidden="1" x14ac:dyDescent="0.25">
      <c r="A119" t="str">
        <f>_xlfn.XLOOKUP(C119, 'Códigos DANE Municipios'!$B$2:$B$1123, 'Códigos DANE Municipios'!$A$2:$A$1123, "No encontrado")</f>
        <v>73148</v>
      </c>
      <c r="B119" t="str">
        <f>IFERROR(VLOOKUP(D119,APOYO!K:L,2,FALSE),A119)</f>
        <v>73148</v>
      </c>
      <c r="C119" t="s">
        <v>1881</v>
      </c>
      <c r="D119" t="str">
        <f>IFERROR(VLOOKUP(C119,APOYO!J:K,2,FALSE),C119)</f>
        <v>CARMEN DE APICALÁ</v>
      </c>
      <c r="E119">
        <v>2013</v>
      </c>
      <c r="F119" t="s">
        <v>2189</v>
      </c>
      <c r="G119" t="s">
        <v>2189</v>
      </c>
      <c r="H119">
        <v>6</v>
      </c>
      <c r="I119" s="13" t="s">
        <v>2189</v>
      </c>
      <c r="J119" s="13" t="s">
        <v>2189</v>
      </c>
      <c r="K119" s="13" t="s">
        <v>2189</v>
      </c>
    </row>
    <row r="120" spans="1:11" hidden="1" x14ac:dyDescent="0.25">
      <c r="A120" t="str">
        <f>_xlfn.XLOOKUP(C120, 'Códigos DANE Municipios'!$B$2:$B$1123, 'Códigos DANE Municipios'!$A$2:$A$1123, "No encontrado")</f>
        <v>05148</v>
      </c>
      <c r="B120" t="str">
        <f>IFERROR(VLOOKUP(D120,APOYO!K:L,2,FALSE),A120)</f>
        <v>05148</v>
      </c>
      <c r="C120" t="s">
        <v>76</v>
      </c>
      <c r="D120" t="str">
        <f>IFERROR(VLOOKUP(C120,APOYO!J:K,2,FALSE),C120)</f>
        <v>EL CARMEN DE VIBORAL</v>
      </c>
      <c r="E120">
        <v>2013</v>
      </c>
      <c r="F120" t="s">
        <v>2189</v>
      </c>
      <c r="G120" t="s">
        <v>2189</v>
      </c>
      <c r="H120">
        <v>24</v>
      </c>
      <c r="I120" s="13" t="s">
        <v>2189</v>
      </c>
      <c r="J120" s="13" t="s">
        <v>2189</v>
      </c>
      <c r="K120" s="13" t="s">
        <v>2189</v>
      </c>
    </row>
    <row r="121" spans="1:11" hidden="1" x14ac:dyDescent="0.25">
      <c r="A121" t="str">
        <f>_xlfn.XLOOKUP(C121, 'Códigos DANE Municipios'!$B$2:$B$1123, 'Códigos DANE Municipios'!$A$2:$A$1123, "No encontrado")</f>
        <v>13001</v>
      </c>
      <c r="B121" t="str">
        <f>IFERROR(VLOOKUP(D121,APOYO!K:L,2,FALSE),A121)</f>
        <v>13001</v>
      </c>
      <c r="C121" t="s">
        <v>309</v>
      </c>
      <c r="D121" t="str">
        <f>IFERROR(VLOOKUP(C121,APOYO!J:K,2,FALSE),C121)</f>
        <v>CARTAGENA DE INDIAS</v>
      </c>
      <c r="E121">
        <v>2013</v>
      </c>
      <c r="F121">
        <v>1466246</v>
      </c>
      <c r="G121">
        <v>197493</v>
      </c>
      <c r="H121">
        <v>207399</v>
      </c>
      <c r="I121">
        <v>443458</v>
      </c>
      <c r="J121" s="13" t="s">
        <v>2189</v>
      </c>
      <c r="K121" s="13" t="s">
        <v>2189</v>
      </c>
    </row>
    <row r="122" spans="1:11" hidden="1" x14ac:dyDescent="0.25">
      <c r="A122" t="str">
        <f>_xlfn.XLOOKUP(C122, 'Códigos DANE Municipios'!$B$2:$B$1123, 'Códigos DANE Municipios'!$A$2:$A$1123, "No encontrado")</f>
        <v>18150</v>
      </c>
      <c r="B122" t="str">
        <f>IFERROR(VLOOKUP(D122,APOYO!K:L,2,FALSE),A122)</f>
        <v>18150</v>
      </c>
      <c r="C122" t="s">
        <v>704</v>
      </c>
      <c r="D122" t="str">
        <f>IFERROR(VLOOKUP(C122,APOYO!J:K,2,FALSE),C122)</f>
        <v>CARTAGENA DEL CHAIRÁ</v>
      </c>
      <c r="E122">
        <v>2013</v>
      </c>
      <c r="F122" t="s">
        <v>2189</v>
      </c>
      <c r="G122" t="s">
        <v>2189</v>
      </c>
      <c r="H122">
        <v>158</v>
      </c>
      <c r="I122" s="13" t="s">
        <v>2189</v>
      </c>
      <c r="J122" s="13" t="s">
        <v>2189</v>
      </c>
      <c r="K122" s="13" t="s">
        <v>2189</v>
      </c>
    </row>
    <row r="123" spans="1:11" hidden="1" x14ac:dyDescent="0.25">
      <c r="A123" t="str">
        <f>_xlfn.XLOOKUP(C123, 'Códigos DANE Municipios'!$B$2:$B$1123, 'Códigos DANE Municipios'!$A$2:$A$1123, "No encontrado")</f>
        <v>76147</v>
      </c>
      <c r="B123" t="str">
        <f>IFERROR(VLOOKUP(D123,APOYO!K:L,2,FALSE),A123)</f>
        <v>76147</v>
      </c>
      <c r="C123" t="s">
        <v>1978</v>
      </c>
      <c r="D123" t="str">
        <f>IFERROR(VLOOKUP(C123,APOYO!J:K,2,FALSE),C123)</f>
        <v>CARTAGO</v>
      </c>
      <c r="E123">
        <v>2013</v>
      </c>
      <c r="F123">
        <v>24</v>
      </c>
      <c r="G123" t="s">
        <v>2189</v>
      </c>
      <c r="H123">
        <v>1161</v>
      </c>
      <c r="I123" s="13" t="s">
        <v>2189</v>
      </c>
      <c r="J123" s="13" t="s">
        <v>2189</v>
      </c>
      <c r="K123" s="13" t="s">
        <v>2189</v>
      </c>
    </row>
    <row r="124" spans="1:11" hidden="1" x14ac:dyDescent="0.25">
      <c r="A124" t="str">
        <f>_xlfn.XLOOKUP(C124, 'Códigos DANE Municipios'!$B$2:$B$1123, 'Códigos DANE Municipios'!$A$2:$A$1123, "No encontrado")</f>
        <v>97161</v>
      </c>
      <c r="B124" t="str">
        <f>IFERROR(VLOOKUP(D124,APOYO!K:L,2,FALSE),A124)</f>
        <v>97161</v>
      </c>
      <c r="C124" t="s">
        <v>2153</v>
      </c>
      <c r="D124" t="str">
        <f>IFERROR(VLOOKUP(C124,APOYO!J:K,2,FALSE),C124)</f>
        <v>CARURÚ</v>
      </c>
      <c r="E124">
        <v>2013</v>
      </c>
      <c r="F124">
        <v>1877</v>
      </c>
      <c r="G124" t="s">
        <v>2189</v>
      </c>
      <c r="H124">
        <v>19</v>
      </c>
      <c r="I124" s="13" t="s">
        <v>2189</v>
      </c>
      <c r="J124" s="13" t="s">
        <v>2189</v>
      </c>
      <c r="K124" s="13" t="s">
        <v>2189</v>
      </c>
    </row>
    <row r="125" spans="1:11" hidden="1" x14ac:dyDescent="0.25">
      <c r="A125" t="str">
        <f>_xlfn.XLOOKUP(C125, 'Códigos DANE Municipios'!$B$2:$B$1123, 'Códigos DANE Municipios'!$A$2:$A$1123, "No encontrado")</f>
        <v>50150</v>
      </c>
      <c r="B125" t="str">
        <f>IFERROR(VLOOKUP(D125,APOYO!K:L,2,FALSE),A125)</f>
        <v>50150</v>
      </c>
      <c r="C125" t="s">
        <v>1366</v>
      </c>
      <c r="D125" t="str">
        <f>IFERROR(VLOOKUP(C125,APOYO!J:K,2,FALSE),C125)</f>
        <v>CASTILLA LA NUEVA</v>
      </c>
      <c r="E125">
        <v>2013</v>
      </c>
      <c r="F125">
        <v>5</v>
      </c>
      <c r="G125" t="s">
        <v>2189</v>
      </c>
      <c r="H125">
        <v>8</v>
      </c>
      <c r="I125" s="13" t="s">
        <v>2189</v>
      </c>
      <c r="J125" s="13" t="s">
        <v>2189</v>
      </c>
      <c r="K125" s="13" t="s">
        <v>2189</v>
      </c>
    </row>
    <row r="126" spans="1:11" hidden="1" x14ac:dyDescent="0.25">
      <c r="A126" t="str">
        <f>_xlfn.XLOOKUP(C126, 'Códigos DANE Municipios'!$B$2:$B$1123, 'Códigos DANE Municipios'!$A$2:$A$1123, "No encontrado")</f>
        <v>05154</v>
      </c>
      <c r="B126" t="str">
        <f>IFERROR(VLOOKUP(D126,APOYO!K:L,2,FALSE),A126)</f>
        <v>05154</v>
      </c>
      <c r="C126" t="s">
        <v>80</v>
      </c>
      <c r="D126" t="str">
        <f>IFERROR(VLOOKUP(C126,APOYO!J:K,2,FALSE),C126)</f>
        <v>CAUCASIA</v>
      </c>
      <c r="E126">
        <v>2013</v>
      </c>
      <c r="F126">
        <v>17505</v>
      </c>
      <c r="G126" t="s">
        <v>2189</v>
      </c>
      <c r="H126">
        <v>32</v>
      </c>
      <c r="I126" s="13" t="s">
        <v>2189</v>
      </c>
      <c r="J126" s="13" t="s">
        <v>2189</v>
      </c>
      <c r="K126" s="13" t="s">
        <v>2189</v>
      </c>
    </row>
    <row r="127" spans="1:11" hidden="1" x14ac:dyDescent="0.25">
      <c r="A127" t="str">
        <f>_xlfn.XLOOKUP(C127, 'Códigos DANE Municipios'!$B$2:$B$1123, 'Códigos DANE Municipios'!$A$2:$A$1123, "No encontrado")</f>
        <v>68160</v>
      </c>
      <c r="B127" t="str">
        <f>IFERROR(VLOOKUP(D127,APOYO!K:L,2,FALSE),A127)</f>
        <v>68160</v>
      </c>
      <c r="C127" t="s">
        <v>1676</v>
      </c>
      <c r="D127" t="str">
        <f>IFERROR(VLOOKUP(C127,APOYO!J:K,2,FALSE),C127)</f>
        <v>CEPITÁ</v>
      </c>
      <c r="E127">
        <v>2013</v>
      </c>
      <c r="F127" t="s">
        <v>2189</v>
      </c>
      <c r="G127" t="s">
        <v>2189</v>
      </c>
      <c r="H127">
        <v>1</v>
      </c>
      <c r="I127" s="13" t="s">
        <v>2189</v>
      </c>
      <c r="J127" s="13" t="s">
        <v>2189</v>
      </c>
      <c r="K127" s="13" t="s">
        <v>2189</v>
      </c>
    </row>
    <row r="128" spans="1:11" hidden="1" x14ac:dyDescent="0.25">
      <c r="A128" t="str">
        <f>_xlfn.XLOOKUP(C128, 'Códigos DANE Municipios'!$B$2:$B$1123, 'Códigos DANE Municipios'!$A$2:$A$1123, "No encontrado")</f>
        <v>23162</v>
      </c>
      <c r="B128" t="str">
        <f>IFERROR(VLOOKUP(D128,APOYO!K:L,2,FALSE),A128)</f>
        <v>23162</v>
      </c>
      <c r="C128" t="s">
        <v>865</v>
      </c>
      <c r="D128" t="str">
        <f>IFERROR(VLOOKUP(C128,APOYO!J:K,2,FALSE),C128)</f>
        <v>CERETÉ</v>
      </c>
      <c r="E128">
        <v>2013</v>
      </c>
      <c r="F128" t="s">
        <v>2189</v>
      </c>
      <c r="G128" t="s">
        <v>2189</v>
      </c>
      <c r="H128">
        <v>27</v>
      </c>
      <c r="I128" s="13" t="s">
        <v>2189</v>
      </c>
      <c r="J128" s="13" t="s">
        <v>2189</v>
      </c>
      <c r="K128" s="13" t="s">
        <v>2189</v>
      </c>
    </row>
    <row r="129" spans="1:11" hidden="1" x14ac:dyDescent="0.25">
      <c r="A129" t="str">
        <f>_xlfn.XLOOKUP(C129, 'Códigos DANE Municipios'!$B$2:$B$1123, 'Códigos DANE Municipios'!$A$2:$A$1123, "No encontrado")</f>
        <v>52240</v>
      </c>
      <c r="B129" t="str">
        <f>IFERROR(VLOOKUP(D129,APOYO!K:L,2,FALSE),A129)</f>
        <v>52240</v>
      </c>
      <c r="C129" t="s">
        <v>1439</v>
      </c>
      <c r="D129" t="str">
        <f>IFERROR(VLOOKUP(C129,APOYO!J:K,2,FALSE),C129)</f>
        <v>CHACHAGÜÍ</v>
      </c>
      <c r="E129">
        <v>2013</v>
      </c>
      <c r="F129" t="s">
        <v>2189</v>
      </c>
      <c r="G129" t="s">
        <v>2189</v>
      </c>
      <c r="H129">
        <v>5</v>
      </c>
      <c r="I129" s="13" t="s">
        <v>2189</v>
      </c>
      <c r="J129" s="13" t="s">
        <v>2189</v>
      </c>
      <c r="K129" s="13" t="s">
        <v>2189</v>
      </c>
    </row>
    <row r="130" spans="1:11" hidden="1" x14ac:dyDescent="0.25">
      <c r="A130" t="str">
        <f>_xlfn.XLOOKUP(C130, 'Códigos DANE Municipios'!$B$2:$B$1123, 'Códigos DANE Municipios'!$A$2:$A$1123, "No encontrado")</f>
        <v>25168</v>
      </c>
      <c r="B130" t="str">
        <f>IFERROR(VLOOKUP(D130,APOYO!K:L,2,FALSE),A130)</f>
        <v>25168</v>
      </c>
      <c r="C130" t="s">
        <v>944</v>
      </c>
      <c r="D130" t="str">
        <f>IFERROR(VLOOKUP(C130,APOYO!J:K,2,FALSE),C130)</f>
        <v>CHAGUANÍ</v>
      </c>
      <c r="E130">
        <v>2013</v>
      </c>
      <c r="F130" t="s">
        <v>2189</v>
      </c>
      <c r="G130" t="s">
        <v>2189</v>
      </c>
      <c r="H130">
        <v>1</v>
      </c>
      <c r="I130" s="13" t="s">
        <v>2189</v>
      </c>
      <c r="J130" s="13" t="s">
        <v>2189</v>
      </c>
      <c r="K130" s="13" t="s">
        <v>2189</v>
      </c>
    </row>
    <row r="131" spans="1:11" hidden="1" x14ac:dyDescent="0.25">
      <c r="A131" t="str">
        <f>_xlfn.XLOOKUP(C131, 'Códigos DANE Municipios'!$B$2:$B$1123, 'Códigos DANE Municipios'!$A$2:$A$1123, "No encontrado")</f>
        <v>73168</v>
      </c>
      <c r="B131" t="str">
        <f>IFERROR(VLOOKUP(D131,APOYO!K:L,2,FALSE),A131)</f>
        <v>73168</v>
      </c>
      <c r="C131" t="s">
        <v>1885</v>
      </c>
      <c r="D131" t="str">
        <f>IFERROR(VLOOKUP(C131,APOYO!J:K,2,FALSE),C131)</f>
        <v>CHAPARRAL</v>
      </c>
      <c r="E131">
        <v>2013</v>
      </c>
      <c r="F131">
        <v>331</v>
      </c>
      <c r="G131" t="s">
        <v>2189</v>
      </c>
      <c r="H131">
        <v>51</v>
      </c>
      <c r="I131" t="s">
        <v>2189</v>
      </c>
      <c r="J131" t="s">
        <v>2189</v>
      </c>
      <c r="K131" t="s">
        <v>2189</v>
      </c>
    </row>
    <row r="132" spans="1:11" hidden="1" x14ac:dyDescent="0.25">
      <c r="A132" t="str">
        <f>_xlfn.XLOOKUP(C132, 'Códigos DANE Municipios'!$B$2:$B$1123, 'Códigos DANE Municipios'!$A$2:$A$1123, "No encontrado")</f>
        <v>68167</v>
      </c>
      <c r="B132" t="str">
        <f>IFERROR(VLOOKUP(D132,APOYO!K:L,2,FALSE),A132)</f>
        <v>68167</v>
      </c>
      <c r="C132" t="s">
        <v>1680</v>
      </c>
      <c r="D132" t="str">
        <f>IFERROR(VLOOKUP(C132,APOYO!J:K,2,FALSE),C132)</f>
        <v>CHARALÁ</v>
      </c>
      <c r="E132">
        <v>2013</v>
      </c>
      <c r="F132" t="s">
        <v>2189</v>
      </c>
      <c r="G132" t="s">
        <v>2189</v>
      </c>
      <c r="H132">
        <v>8</v>
      </c>
      <c r="I132">
        <v>43</v>
      </c>
      <c r="J132" s="13" t="s">
        <v>2189</v>
      </c>
      <c r="K132" s="13" t="s">
        <v>2189</v>
      </c>
    </row>
    <row r="133" spans="1:11" hidden="1" x14ac:dyDescent="0.25">
      <c r="A133" t="str">
        <f>_xlfn.XLOOKUP(C133, 'Códigos DANE Municipios'!$B$2:$B$1123, 'Códigos DANE Municipios'!$A$2:$A$1123, "No encontrado")</f>
        <v>25175</v>
      </c>
      <c r="B133" t="str">
        <f>IFERROR(VLOOKUP(D133,APOYO!K:L,2,FALSE),A133)</f>
        <v>25175</v>
      </c>
      <c r="C133" t="s">
        <v>946</v>
      </c>
      <c r="D133" t="str">
        <f>IFERROR(VLOOKUP(C133,APOYO!J:K,2,FALSE),C133)</f>
        <v>CHÍA</v>
      </c>
      <c r="E133">
        <v>2013</v>
      </c>
      <c r="F133">
        <v>2118</v>
      </c>
      <c r="G133">
        <v>2</v>
      </c>
      <c r="H133">
        <v>1294</v>
      </c>
      <c r="I133" s="13" t="s">
        <v>2189</v>
      </c>
      <c r="J133" s="13" t="s">
        <v>2189</v>
      </c>
      <c r="K133" s="13" t="s">
        <v>2189</v>
      </c>
    </row>
    <row r="134" spans="1:11" hidden="1" x14ac:dyDescent="0.25">
      <c r="A134" t="str">
        <f>_xlfn.XLOOKUP(C134, 'Códigos DANE Municipios'!$B$2:$B$1123, 'Códigos DANE Municipios'!$A$2:$A$1123, "No encontrado")</f>
        <v>20175</v>
      </c>
      <c r="B134" t="str">
        <f>IFERROR(VLOOKUP(D134,APOYO!K:L,2,FALSE),A134)</f>
        <v>20175</v>
      </c>
      <c r="C134" t="s">
        <v>820</v>
      </c>
      <c r="D134" t="str">
        <f>IFERROR(VLOOKUP(C134,APOYO!J:K,2,FALSE),C134)</f>
        <v>CHIMICHAGUA</v>
      </c>
      <c r="E134">
        <v>2013</v>
      </c>
      <c r="F134" t="s">
        <v>2189</v>
      </c>
      <c r="G134" t="s">
        <v>2189</v>
      </c>
      <c r="H134">
        <v>2</v>
      </c>
      <c r="I134" s="13" t="s">
        <v>2189</v>
      </c>
      <c r="J134" s="13" t="s">
        <v>2189</v>
      </c>
      <c r="K134" s="13" t="s">
        <v>2189</v>
      </c>
    </row>
    <row r="135" spans="1:11" hidden="1" x14ac:dyDescent="0.25">
      <c r="A135" t="str">
        <f>_xlfn.XLOOKUP(C135, 'Códigos DANE Municipios'!$B$2:$B$1123, 'Códigos DANE Municipios'!$A$2:$A$1123, "No encontrado")</f>
        <v>54172</v>
      </c>
      <c r="B135" t="str">
        <f>IFERROR(VLOOKUP(D135,APOYO!K:L,2,FALSE),A135)</f>
        <v>54172</v>
      </c>
      <c r="C135" t="s">
        <v>1543</v>
      </c>
      <c r="D135" t="str">
        <f>IFERROR(VLOOKUP(C135,APOYO!J:K,2,FALSE),C135)</f>
        <v>CHINÁCOTA</v>
      </c>
      <c r="E135">
        <v>2013</v>
      </c>
      <c r="F135" t="s">
        <v>2189</v>
      </c>
      <c r="G135" t="s">
        <v>2189</v>
      </c>
      <c r="H135">
        <v>20</v>
      </c>
      <c r="I135" s="13" t="s">
        <v>2189</v>
      </c>
      <c r="J135" s="13" t="s">
        <v>2189</v>
      </c>
      <c r="K135" s="13" t="s">
        <v>2189</v>
      </c>
    </row>
    <row r="136" spans="1:11" hidden="1" x14ac:dyDescent="0.25">
      <c r="A136" t="str">
        <f>_xlfn.XLOOKUP(C136, 'Códigos DANE Municipios'!$B$2:$B$1123, 'Códigos DANE Municipios'!$A$2:$A$1123, "No encontrado")</f>
        <v>17174</v>
      </c>
      <c r="B136" t="str">
        <f>IFERROR(VLOOKUP(D136,APOYO!K:L,2,FALSE),A136)</f>
        <v>17174</v>
      </c>
      <c r="C136" t="s">
        <v>654</v>
      </c>
      <c r="D136" t="str">
        <f>IFERROR(VLOOKUP(C136,APOYO!J:K,2,FALSE),C136)</f>
        <v>CHINCHINÁ</v>
      </c>
      <c r="E136">
        <v>2013</v>
      </c>
      <c r="F136" t="s">
        <v>2189</v>
      </c>
      <c r="G136" t="s">
        <v>2189</v>
      </c>
      <c r="H136">
        <v>158</v>
      </c>
      <c r="I136" s="13" t="s">
        <v>2189</v>
      </c>
      <c r="J136" s="13" t="s">
        <v>2189</v>
      </c>
      <c r="K136" s="13" t="s">
        <v>2189</v>
      </c>
    </row>
    <row r="137" spans="1:11" hidden="1" x14ac:dyDescent="0.25">
      <c r="A137" t="str">
        <f>_xlfn.XLOOKUP(C137, 'Códigos DANE Municipios'!$B$2:$B$1123, 'Códigos DANE Municipios'!$A$2:$A$1123, "No encontrado")</f>
        <v>23182</v>
      </c>
      <c r="B137" t="str">
        <f>IFERROR(VLOOKUP(D137,APOYO!K:L,2,FALSE),A137)</f>
        <v>23182</v>
      </c>
      <c r="C137" t="s">
        <v>869</v>
      </c>
      <c r="D137" t="str">
        <f>IFERROR(VLOOKUP(C137,APOYO!J:K,2,FALSE),C137)</f>
        <v>CHINÚ</v>
      </c>
      <c r="E137">
        <v>2013</v>
      </c>
      <c r="F137" t="s">
        <v>2189</v>
      </c>
      <c r="G137" t="s">
        <v>2189</v>
      </c>
      <c r="H137">
        <v>10</v>
      </c>
      <c r="I137" s="13" t="s">
        <v>2189</v>
      </c>
      <c r="J137" s="13" t="s">
        <v>2189</v>
      </c>
      <c r="K137" s="13" t="s">
        <v>2189</v>
      </c>
    </row>
    <row r="138" spans="1:11" hidden="1" x14ac:dyDescent="0.25">
      <c r="A138" t="str">
        <f>_xlfn.XLOOKUP(C138, 'Códigos DANE Municipios'!$B$2:$B$1123, 'Códigos DANE Municipios'!$A$2:$A$1123, "No encontrado")</f>
        <v>25178</v>
      </c>
      <c r="B138" t="str">
        <f>IFERROR(VLOOKUP(D138,APOYO!K:L,2,FALSE),A138)</f>
        <v>25178</v>
      </c>
      <c r="C138" t="s">
        <v>948</v>
      </c>
      <c r="D138" t="str">
        <f>IFERROR(VLOOKUP(C138,APOYO!J:K,2,FALSE),C138)</f>
        <v>CHIPAQUE</v>
      </c>
      <c r="E138">
        <v>2013</v>
      </c>
      <c r="F138" t="s">
        <v>2189</v>
      </c>
      <c r="G138" t="s">
        <v>2189</v>
      </c>
      <c r="H138">
        <v>6</v>
      </c>
      <c r="I138" s="13" t="s">
        <v>2189</v>
      </c>
      <c r="J138" s="13" t="s">
        <v>2189</v>
      </c>
      <c r="K138" s="13" t="s">
        <v>2189</v>
      </c>
    </row>
    <row r="139" spans="1:11" hidden="1" x14ac:dyDescent="0.25">
      <c r="A139" t="str">
        <f>_xlfn.XLOOKUP(C139, 'Códigos DANE Municipios'!$B$2:$B$1123, 'Códigos DANE Municipios'!$A$2:$A$1123, "No encontrado")</f>
        <v>15176</v>
      </c>
      <c r="B139" t="str">
        <f>IFERROR(VLOOKUP(D139,APOYO!K:L,2,FALSE),A139)</f>
        <v>15176</v>
      </c>
      <c r="C139" t="s">
        <v>431</v>
      </c>
      <c r="D139" t="str">
        <f>IFERROR(VLOOKUP(C139,APOYO!J:K,2,FALSE),C139)</f>
        <v>CHIQUINQUIRÁ</v>
      </c>
      <c r="E139">
        <v>2013</v>
      </c>
      <c r="F139" t="s">
        <v>2189</v>
      </c>
      <c r="G139" t="s">
        <v>2189</v>
      </c>
      <c r="H139">
        <v>53</v>
      </c>
      <c r="I139" s="13" t="s">
        <v>2189</v>
      </c>
      <c r="J139" s="13" t="s">
        <v>2189</v>
      </c>
      <c r="K139" s="13" t="s">
        <v>2189</v>
      </c>
    </row>
    <row r="140" spans="1:11" hidden="1" x14ac:dyDescent="0.25">
      <c r="A140" t="str">
        <f>_xlfn.XLOOKUP(C140, 'Códigos DANE Municipios'!$B$2:$B$1123, 'Códigos DANE Municipios'!$A$2:$A$1123, "No encontrado")</f>
        <v>20178</v>
      </c>
      <c r="B140" t="str">
        <f>IFERROR(VLOOKUP(D140,APOYO!K:L,2,FALSE),A140)</f>
        <v>20178</v>
      </c>
      <c r="C140" t="s">
        <v>822</v>
      </c>
      <c r="D140" t="str">
        <f>IFERROR(VLOOKUP(C140,APOYO!J:K,2,FALSE),C140)</f>
        <v>CHIRIGUANÁ</v>
      </c>
      <c r="E140">
        <v>2013</v>
      </c>
      <c r="F140">
        <v>4004</v>
      </c>
      <c r="G140" t="s">
        <v>2189</v>
      </c>
      <c r="H140">
        <v>3</v>
      </c>
      <c r="I140" s="13" t="s">
        <v>2189</v>
      </c>
      <c r="J140" s="13" t="s">
        <v>2189</v>
      </c>
      <c r="K140" s="13" t="s">
        <v>2189</v>
      </c>
    </row>
    <row r="141" spans="1:11" hidden="1" x14ac:dyDescent="0.25">
      <c r="A141" t="str">
        <f>_xlfn.XLOOKUP(C141, 'Códigos DANE Municipios'!$B$2:$B$1123, 'Códigos DANE Municipios'!$A$2:$A$1123, "No encontrado")</f>
        <v>15180</v>
      </c>
      <c r="B141" t="str">
        <f>IFERROR(VLOOKUP(D141,APOYO!K:L,2,FALSE),A141)</f>
        <v>15180</v>
      </c>
      <c r="C141" t="s">
        <v>433</v>
      </c>
      <c r="D141" t="str">
        <f>IFERROR(VLOOKUP(C141,APOYO!J:K,2,FALSE),C141)</f>
        <v>CHISCAS</v>
      </c>
      <c r="E141">
        <v>2013</v>
      </c>
      <c r="F141" t="s">
        <v>2189</v>
      </c>
      <c r="G141" t="s">
        <v>2189</v>
      </c>
      <c r="H141">
        <v>2</v>
      </c>
      <c r="I141" s="13" t="s">
        <v>2189</v>
      </c>
      <c r="J141" s="13" t="s">
        <v>2189</v>
      </c>
      <c r="K141" s="13" t="s">
        <v>2189</v>
      </c>
    </row>
    <row r="142" spans="1:11" hidden="1" x14ac:dyDescent="0.25">
      <c r="A142" t="str">
        <f>_xlfn.XLOOKUP(C142, 'Códigos DANE Municipios'!$B$2:$B$1123, 'Códigos DANE Municipios'!$A$2:$A$1123, "No encontrado")</f>
        <v>54174</v>
      </c>
      <c r="B142" t="str">
        <f>IFERROR(VLOOKUP(D142,APOYO!K:L,2,FALSE),A142)</f>
        <v>54174</v>
      </c>
      <c r="C142" t="s">
        <v>1545</v>
      </c>
      <c r="D142" t="str">
        <f>IFERROR(VLOOKUP(C142,APOYO!J:K,2,FALSE),C142)</f>
        <v>CHITAGÁ</v>
      </c>
      <c r="E142">
        <v>2013</v>
      </c>
      <c r="F142" t="s">
        <v>2189</v>
      </c>
      <c r="G142" t="s">
        <v>2189</v>
      </c>
      <c r="H142">
        <v>2</v>
      </c>
      <c r="I142" s="13" t="s">
        <v>2189</v>
      </c>
      <c r="J142" s="13" t="s">
        <v>2189</v>
      </c>
      <c r="K142" s="13" t="s">
        <v>2189</v>
      </c>
    </row>
    <row r="143" spans="1:11" hidden="1" x14ac:dyDescent="0.25">
      <c r="A143" t="str">
        <f>_xlfn.XLOOKUP(C143, 'Códigos DANE Municipios'!$B$2:$B$1123, 'Códigos DANE Municipios'!$A$2:$A$1123, "No encontrado")</f>
        <v>15236</v>
      </c>
      <c r="B143" t="str">
        <f>IFERROR(VLOOKUP(D143,APOYO!K:L,2,FALSE),A143)</f>
        <v>15236</v>
      </c>
      <c r="C143" t="s">
        <v>459</v>
      </c>
      <c r="D143" t="str">
        <f>IFERROR(VLOOKUP(C143,APOYO!J:K,2,FALSE),C143)</f>
        <v>CHIVOR</v>
      </c>
      <c r="E143">
        <v>2013</v>
      </c>
      <c r="F143" t="s">
        <v>2189</v>
      </c>
      <c r="G143" t="s">
        <v>2189</v>
      </c>
      <c r="H143">
        <v>1</v>
      </c>
      <c r="I143" s="13" t="s">
        <v>2189</v>
      </c>
      <c r="J143" s="13" t="s">
        <v>2189</v>
      </c>
      <c r="K143" s="13" t="s">
        <v>2189</v>
      </c>
    </row>
    <row r="144" spans="1:11" hidden="1" x14ac:dyDescent="0.25">
      <c r="A144" t="str">
        <f>_xlfn.XLOOKUP(C144, 'Códigos DANE Municipios'!$B$2:$B$1123, 'Códigos DANE Municipios'!$A$2:$A$1123, "No encontrado")</f>
        <v>25181</v>
      </c>
      <c r="B144" t="str">
        <f>IFERROR(VLOOKUP(D144,APOYO!K:L,2,FALSE),A144)</f>
        <v>25181</v>
      </c>
      <c r="C144" t="s">
        <v>950</v>
      </c>
      <c r="D144" t="str">
        <f>IFERROR(VLOOKUP(C144,APOYO!J:K,2,FALSE),C144)</f>
        <v>CHOACHÍ</v>
      </c>
      <c r="E144">
        <v>2013</v>
      </c>
      <c r="F144" t="s">
        <v>2189</v>
      </c>
      <c r="G144" t="s">
        <v>2189</v>
      </c>
      <c r="H144">
        <v>13</v>
      </c>
      <c r="I144" s="13" t="s">
        <v>2189</v>
      </c>
      <c r="J144" s="13" t="s">
        <v>2189</v>
      </c>
      <c r="K144" s="13" t="s">
        <v>2189</v>
      </c>
    </row>
    <row r="145" spans="1:11" hidden="1" x14ac:dyDescent="0.25">
      <c r="A145" t="str">
        <f>_xlfn.XLOOKUP(C145, 'Códigos DANE Municipios'!$B$2:$B$1123, 'Códigos DANE Municipios'!$A$2:$A$1123, "No encontrado")</f>
        <v>25183</v>
      </c>
      <c r="B145" t="str">
        <f>IFERROR(VLOOKUP(D145,APOYO!K:L,2,FALSE),A145)</f>
        <v>25183</v>
      </c>
      <c r="C145" t="s">
        <v>952</v>
      </c>
      <c r="D145" t="str">
        <f>IFERROR(VLOOKUP(C145,APOYO!J:K,2,FALSE),C145)</f>
        <v>CHOCONTÁ</v>
      </c>
      <c r="E145">
        <v>2013</v>
      </c>
      <c r="F145" t="s">
        <v>2189</v>
      </c>
      <c r="G145" t="s">
        <v>2189</v>
      </c>
      <c r="H145">
        <v>7</v>
      </c>
      <c r="I145" s="13" t="s">
        <v>2189</v>
      </c>
      <c r="J145" s="13" t="s">
        <v>2189</v>
      </c>
      <c r="K145" s="13" t="s">
        <v>2189</v>
      </c>
    </row>
    <row r="146" spans="1:11" hidden="1" x14ac:dyDescent="0.25">
      <c r="A146" t="str">
        <f>_xlfn.XLOOKUP(C146, 'Códigos DANE Municipios'!$B$2:$B$1123, 'Códigos DANE Municipios'!$A$2:$A$1123, "No encontrado")</f>
        <v>47189</v>
      </c>
      <c r="B146" t="str">
        <f>IFERROR(VLOOKUP(D146,APOYO!K:L,2,FALSE),A146)</f>
        <v>47189</v>
      </c>
      <c r="C146" t="s">
        <v>1312</v>
      </c>
      <c r="D146" t="str">
        <f>IFERROR(VLOOKUP(C146,APOYO!J:K,2,FALSE),C146)</f>
        <v>CIÉNAGA</v>
      </c>
      <c r="E146">
        <v>2013</v>
      </c>
      <c r="F146" t="s">
        <v>2189</v>
      </c>
      <c r="G146" t="s">
        <v>2189</v>
      </c>
      <c r="H146">
        <v>35</v>
      </c>
      <c r="I146" s="13" t="s">
        <v>2189</v>
      </c>
      <c r="J146" s="13" t="s">
        <v>2189</v>
      </c>
      <c r="K146" s="13" t="s">
        <v>2189</v>
      </c>
    </row>
    <row r="147" spans="1:11" hidden="1" x14ac:dyDescent="0.25">
      <c r="A147" t="str">
        <f>_xlfn.XLOOKUP(C147, 'Códigos DANE Municipios'!$B$2:$B$1123, 'Códigos DANE Municipios'!$A$2:$A$1123, "No encontrado")</f>
        <v>23189</v>
      </c>
      <c r="B147" t="str">
        <f>IFERROR(VLOOKUP(D147,APOYO!K:L,2,FALSE),A147)</f>
        <v>23189</v>
      </c>
      <c r="C147" t="s">
        <v>871</v>
      </c>
      <c r="D147" t="str">
        <f>IFERROR(VLOOKUP(C147,APOYO!J:K,2,FALSE),C147)</f>
        <v>CIÉNAGA DE ORO</v>
      </c>
      <c r="E147">
        <v>2013</v>
      </c>
      <c r="F147" t="s">
        <v>2189</v>
      </c>
      <c r="G147" t="s">
        <v>2189</v>
      </c>
      <c r="H147">
        <v>3</v>
      </c>
      <c r="I147" s="13" t="s">
        <v>2189</v>
      </c>
      <c r="J147" s="13" t="s">
        <v>2189</v>
      </c>
      <c r="K147" s="13" t="s">
        <v>2189</v>
      </c>
    </row>
    <row r="148" spans="1:11" hidden="1" x14ac:dyDescent="0.25">
      <c r="A148" t="str">
        <f>_xlfn.XLOOKUP(C148, 'Códigos DANE Municipios'!$B$2:$B$1123, 'Códigos DANE Municipios'!$A$2:$A$1123, "No encontrado")</f>
        <v>68190</v>
      </c>
      <c r="B148" t="str">
        <f>IFERROR(VLOOKUP(D148,APOYO!K:L,2,FALSE),A148)</f>
        <v>68190</v>
      </c>
      <c r="C148" t="s">
        <v>1688</v>
      </c>
      <c r="D148" t="str">
        <f>IFERROR(VLOOKUP(C148,APOYO!J:K,2,FALSE),C148)</f>
        <v>CIMITARRA</v>
      </c>
      <c r="E148">
        <v>2013</v>
      </c>
      <c r="F148">
        <v>36</v>
      </c>
      <c r="G148" t="s">
        <v>2189</v>
      </c>
      <c r="H148">
        <v>2</v>
      </c>
      <c r="I148" s="13" t="s">
        <v>2189</v>
      </c>
      <c r="J148" s="13" t="s">
        <v>2189</v>
      </c>
      <c r="K148" s="13" t="s">
        <v>2189</v>
      </c>
    </row>
    <row r="149" spans="1:11" hidden="1" x14ac:dyDescent="0.25">
      <c r="A149" t="str">
        <f>_xlfn.XLOOKUP(C149, 'Códigos DANE Municipios'!$B$2:$B$1123, 'Códigos DANE Municipios'!$A$2:$A$1123, "No encontrado")</f>
        <v>63190</v>
      </c>
      <c r="B149" t="str">
        <f>IFERROR(VLOOKUP(D149,APOYO!K:L,2,FALSE),A149)</f>
        <v>63190</v>
      </c>
      <c r="C149" t="s">
        <v>1611</v>
      </c>
      <c r="D149" t="str">
        <f>IFERROR(VLOOKUP(C149,APOYO!J:K,2,FALSE),C149)</f>
        <v>CIRCASIA</v>
      </c>
      <c r="E149">
        <v>2013</v>
      </c>
      <c r="F149" t="s">
        <v>2189</v>
      </c>
      <c r="G149" t="s">
        <v>2189</v>
      </c>
      <c r="H149">
        <v>65</v>
      </c>
      <c r="I149" s="13" t="s">
        <v>2189</v>
      </c>
      <c r="J149" s="13" t="s">
        <v>2189</v>
      </c>
      <c r="K149" s="13" t="s">
        <v>2189</v>
      </c>
    </row>
    <row r="150" spans="1:11" hidden="1" x14ac:dyDescent="0.25">
      <c r="A150" t="str">
        <f>_xlfn.XLOOKUP(C150, 'Códigos DANE Municipios'!$B$2:$B$1123, 'Códigos DANE Municipios'!$A$2:$A$1123, "No encontrado")</f>
        <v>05190</v>
      </c>
      <c r="B150" t="str">
        <f>IFERROR(VLOOKUP(D150,APOYO!K:L,2,FALSE),A150)</f>
        <v>05190</v>
      </c>
      <c r="C150" t="s">
        <v>84</v>
      </c>
      <c r="D150" t="str">
        <f>IFERROR(VLOOKUP(C150,APOYO!J:K,2,FALSE),C150)</f>
        <v>CISNEROS</v>
      </c>
      <c r="E150">
        <v>2013</v>
      </c>
      <c r="F150" t="s">
        <v>2189</v>
      </c>
      <c r="G150" t="s">
        <v>2189</v>
      </c>
      <c r="H150">
        <v>1</v>
      </c>
      <c r="I150" s="13" t="s">
        <v>2189</v>
      </c>
      <c r="J150" s="13" t="s">
        <v>2189</v>
      </c>
      <c r="K150" s="13" t="s">
        <v>2189</v>
      </c>
    </row>
    <row r="151" spans="1:11" hidden="1" x14ac:dyDescent="0.25">
      <c r="A151" t="str">
        <f>_xlfn.XLOOKUP(C151, 'Códigos DANE Municipios'!$B$2:$B$1123, 'Códigos DANE Municipios'!$A$2:$A$1123, "No encontrado")</f>
        <v>05197</v>
      </c>
      <c r="B151" t="str">
        <f>IFERROR(VLOOKUP(D151,APOYO!K:L,2,FALSE),A151)</f>
        <v>05197</v>
      </c>
      <c r="C151" t="s">
        <v>86</v>
      </c>
      <c r="D151" t="str">
        <f>IFERROR(VLOOKUP(C151,APOYO!J:K,2,FALSE),C151)</f>
        <v>COCORNÁ</v>
      </c>
      <c r="E151">
        <v>2013</v>
      </c>
      <c r="F151" t="s">
        <v>2189</v>
      </c>
      <c r="G151" t="s">
        <v>2189</v>
      </c>
      <c r="H151">
        <v>2</v>
      </c>
      <c r="I151" s="13" t="s">
        <v>2189</v>
      </c>
      <c r="J151" s="13" t="s">
        <v>2189</v>
      </c>
      <c r="K151" s="13" t="s">
        <v>2189</v>
      </c>
    </row>
    <row r="152" spans="1:11" hidden="1" x14ac:dyDescent="0.25">
      <c r="A152" t="str">
        <f>_xlfn.XLOOKUP(C152, 'Códigos DANE Municipios'!$B$2:$B$1123, 'Códigos DANE Municipios'!$A$2:$A$1123, "No encontrado")</f>
        <v>73200</v>
      </c>
      <c r="B152" t="str">
        <f>IFERROR(VLOOKUP(D152,APOYO!K:L,2,FALSE),A152)</f>
        <v>73200</v>
      </c>
      <c r="C152" t="s">
        <v>1887</v>
      </c>
      <c r="D152" t="str">
        <f>IFERROR(VLOOKUP(C152,APOYO!J:K,2,FALSE),C152)</f>
        <v>COELLO</v>
      </c>
      <c r="E152">
        <v>2013</v>
      </c>
      <c r="F152" t="s">
        <v>2189</v>
      </c>
      <c r="G152" t="s">
        <v>2189</v>
      </c>
      <c r="H152">
        <v>1</v>
      </c>
      <c r="I152" s="13" t="s">
        <v>2189</v>
      </c>
      <c r="J152" s="13" t="s">
        <v>2189</v>
      </c>
      <c r="K152" s="13" t="s">
        <v>2189</v>
      </c>
    </row>
    <row r="153" spans="1:11" hidden="1" x14ac:dyDescent="0.25">
      <c r="A153" t="str">
        <f>_xlfn.XLOOKUP(C153, 'Códigos DANE Municipios'!$B$2:$B$1123, 'Códigos DANE Municipios'!$A$2:$A$1123, "No encontrado")</f>
        <v>25200</v>
      </c>
      <c r="B153" t="str">
        <f>IFERROR(VLOOKUP(D153,APOYO!K:L,2,FALSE),A153)</f>
        <v>25200</v>
      </c>
      <c r="C153" t="s">
        <v>954</v>
      </c>
      <c r="D153" t="str">
        <f>IFERROR(VLOOKUP(C153,APOYO!J:K,2,FALSE),C153)</f>
        <v>COGUA</v>
      </c>
      <c r="E153">
        <v>2013</v>
      </c>
      <c r="F153" t="s">
        <v>2189</v>
      </c>
      <c r="G153" t="s">
        <v>2189</v>
      </c>
      <c r="H153">
        <v>7</v>
      </c>
      <c r="I153" s="13" t="s">
        <v>2189</v>
      </c>
      <c r="J153" s="13" t="s">
        <v>2189</v>
      </c>
      <c r="K153" s="13" t="s">
        <v>2189</v>
      </c>
    </row>
    <row r="154" spans="1:11" hidden="1" x14ac:dyDescent="0.25">
      <c r="A154" t="str">
        <f>_xlfn.XLOOKUP(C154, 'Códigos DANE Municipios'!$B$2:$B$1123, 'Códigos DANE Municipios'!$A$2:$A$1123, "No encontrado")</f>
        <v>41206</v>
      </c>
      <c r="B154" t="str">
        <f>IFERROR(VLOOKUP(D154,APOYO!K:L,2,FALSE),A154)</f>
        <v>41206</v>
      </c>
      <c r="C154" t="s">
        <v>1217</v>
      </c>
      <c r="D154" t="str">
        <f>IFERROR(VLOOKUP(C154,APOYO!J:K,2,FALSE),C154)</f>
        <v>COLOMBIA</v>
      </c>
      <c r="E154">
        <v>2013</v>
      </c>
      <c r="F154" t="s">
        <v>2189</v>
      </c>
      <c r="G154" t="s">
        <v>2189</v>
      </c>
      <c r="H154">
        <v>5</v>
      </c>
      <c r="I154" s="13" t="s">
        <v>2189</v>
      </c>
      <c r="J154" s="13" t="s">
        <v>2189</v>
      </c>
      <c r="K154" s="13" t="s">
        <v>2189</v>
      </c>
    </row>
    <row r="155" spans="1:11" hidden="1" x14ac:dyDescent="0.25">
      <c r="A155" t="str">
        <f>_xlfn.XLOOKUP(C155, 'Códigos DANE Municipios'!$B$2:$B$1123, 'Códigos DANE Municipios'!$A$2:$A$1123, "No encontrado")</f>
        <v>52203</v>
      </c>
      <c r="B155" t="str">
        <f>IFERROR(VLOOKUP(D155,APOYO!K:L,2,FALSE),A155)</f>
        <v>52203</v>
      </c>
      <c r="C155" t="s">
        <v>1426</v>
      </c>
      <c r="D155" t="str">
        <f>IFERROR(VLOOKUP(C155,APOYO!J:K,2,FALSE),C155)</f>
        <v>COLÓN</v>
      </c>
      <c r="E155">
        <v>2013</v>
      </c>
      <c r="F155" t="s">
        <v>2189</v>
      </c>
      <c r="G155" t="s">
        <v>2189</v>
      </c>
      <c r="H155">
        <v>3</v>
      </c>
      <c r="I155" s="13" t="s">
        <v>2189</v>
      </c>
      <c r="J155" s="13" t="s">
        <v>2189</v>
      </c>
      <c r="K155" s="13" t="s">
        <v>2189</v>
      </c>
    </row>
    <row r="156" spans="1:11" hidden="1" x14ac:dyDescent="0.25">
      <c r="A156" t="str">
        <f>_xlfn.XLOOKUP(C156, 'Códigos DANE Municipios'!$B$2:$B$1123, 'Códigos DANE Municipios'!$A$2:$A$1123, "No encontrado")</f>
        <v>05206</v>
      </c>
      <c r="B156" t="str">
        <f>IFERROR(VLOOKUP(D156,APOYO!K:L,2,FALSE),A156)</f>
        <v>05206</v>
      </c>
      <c r="C156" t="s">
        <v>88</v>
      </c>
      <c r="D156" t="str">
        <f>IFERROR(VLOOKUP(C156,APOYO!J:K,2,FALSE),C156)</f>
        <v>CONCEPCIÓN</v>
      </c>
      <c r="E156">
        <v>2013</v>
      </c>
      <c r="F156" t="s">
        <v>2189</v>
      </c>
      <c r="G156" t="s">
        <v>2189</v>
      </c>
      <c r="H156">
        <v>1</v>
      </c>
      <c r="I156" s="13" t="s">
        <v>2189</v>
      </c>
      <c r="J156" s="13" t="s">
        <v>2189</v>
      </c>
      <c r="K156" s="13" t="s">
        <v>2189</v>
      </c>
    </row>
    <row r="157" spans="1:11" hidden="1" x14ac:dyDescent="0.25">
      <c r="A157" t="str">
        <f>_xlfn.XLOOKUP(C157, 'Códigos DANE Municipios'!$B$2:$B$1123, 'Códigos DANE Municipios'!$A$2:$A$1123, "No encontrado")</f>
        <v>05209</v>
      </c>
      <c r="B157" t="str">
        <f>IFERROR(VLOOKUP(D157,APOYO!K:L,2,FALSE),A157)</f>
        <v>05209</v>
      </c>
      <c r="C157" t="s">
        <v>90</v>
      </c>
      <c r="D157" t="str">
        <f>IFERROR(VLOOKUP(C157,APOYO!J:K,2,FALSE),C157)</f>
        <v>CONCORDIA</v>
      </c>
      <c r="E157">
        <v>2013</v>
      </c>
      <c r="F157" t="s">
        <v>2189</v>
      </c>
      <c r="G157" t="s">
        <v>2189</v>
      </c>
      <c r="H157">
        <v>1</v>
      </c>
      <c r="I157" s="13" t="s">
        <v>2189</v>
      </c>
      <c r="J157" s="13" t="s">
        <v>2189</v>
      </c>
      <c r="K157" s="13" t="s">
        <v>2189</v>
      </c>
    </row>
    <row r="158" spans="1:11" hidden="1" x14ac:dyDescent="0.25">
      <c r="A158" t="str">
        <f>_xlfn.XLOOKUP(C158, 'Códigos DANE Municipios'!$B$2:$B$1123, 'Códigos DANE Municipios'!$A$2:$A$1123, "No encontrado")</f>
        <v>27205</v>
      </c>
      <c r="B158" t="str">
        <f>IFERROR(VLOOKUP(D158,APOYO!K:L,2,FALSE),A158)</f>
        <v>27205</v>
      </c>
      <c r="C158" t="s">
        <v>1164</v>
      </c>
      <c r="D158" t="str">
        <f>IFERROR(VLOOKUP(C158,APOYO!J:K,2,FALSE),C158)</f>
        <v>CONDOTO</v>
      </c>
      <c r="E158">
        <v>2013</v>
      </c>
      <c r="F158">
        <v>1629</v>
      </c>
      <c r="G158" t="s">
        <v>2189</v>
      </c>
      <c r="H158" t="s">
        <v>2189</v>
      </c>
      <c r="I158" s="13" t="s">
        <v>2189</v>
      </c>
      <c r="J158" s="13" t="s">
        <v>2189</v>
      </c>
      <c r="K158" s="13" t="s">
        <v>2189</v>
      </c>
    </row>
    <row r="159" spans="1:11" hidden="1" x14ac:dyDescent="0.25">
      <c r="A159" t="str">
        <f>_xlfn.XLOOKUP(C159, 'Códigos DANE Municipios'!$B$2:$B$1123, 'Códigos DANE Municipios'!$A$2:$A$1123, "No encontrado")</f>
        <v>52207</v>
      </c>
      <c r="B159" t="str">
        <f>IFERROR(VLOOKUP(D159,APOYO!K:L,2,FALSE),A159)</f>
        <v>52207</v>
      </c>
      <c r="C159" t="s">
        <v>1428</v>
      </c>
      <c r="D159" t="str">
        <f>IFERROR(VLOOKUP(C159,APOYO!J:K,2,FALSE),C159)</f>
        <v>CONSACÁ</v>
      </c>
      <c r="E159">
        <v>2013</v>
      </c>
      <c r="F159" t="s">
        <v>2189</v>
      </c>
      <c r="G159" t="s">
        <v>2189</v>
      </c>
      <c r="H159">
        <v>2</v>
      </c>
      <c r="I159" s="13" t="s">
        <v>2189</v>
      </c>
      <c r="J159" s="13" t="s">
        <v>2189</v>
      </c>
      <c r="K159" s="13" t="s">
        <v>2189</v>
      </c>
    </row>
    <row r="160" spans="1:11" hidden="1" x14ac:dyDescent="0.25">
      <c r="A160" t="str">
        <f>_xlfn.XLOOKUP(C160, 'Códigos DANE Municipios'!$B$2:$B$1123, 'Códigos DANE Municipios'!$A$2:$A$1123, "No encontrado")</f>
        <v>52210</v>
      </c>
      <c r="B160" t="str">
        <f>IFERROR(VLOOKUP(D160,APOYO!K:L,2,FALSE),A160)</f>
        <v>52210</v>
      </c>
      <c r="C160" t="s">
        <v>1430</v>
      </c>
      <c r="D160" t="str">
        <f>IFERROR(VLOOKUP(C160,APOYO!J:K,2,FALSE),C160)</f>
        <v>CONTADERO</v>
      </c>
      <c r="E160">
        <v>2013</v>
      </c>
      <c r="F160" t="s">
        <v>2189</v>
      </c>
      <c r="G160" t="s">
        <v>2189</v>
      </c>
      <c r="H160">
        <v>1</v>
      </c>
      <c r="I160" s="13" t="s">
        <v>2189</v>
      </c>
      <c r="J160" s="13" t="s">
        <v>2189</v>
      </c>
      <c r="K160" s="13" t="s">
        <v>2189</v>
      </c>
    </row>
    <row r="161" spans="1:11" hidden="1" x14ac:dyDescent="0.25">
      <c r="A161" t="str">
        <f>_xlfn.XLOOKUP(C161, 'Códigos DANE Municipios'!$B$2:$B$1123, 'Códigos DANE Municipios'!$A$2:$A$1123, "No encontrado")</f>
        <v>05212</v>
      </c>
      <c r="B161" t="str">
        <f>IFERROR(VLOOKUP(D161,APOYO!K:L,2,FALSE),A161)</f>
        <v>05212</v>
      </c>
      <c r="C161" t="s">
        <v>92</v>
      </c>
      <c r="D161" t="str">
        <f>IFERROR(VLOOKUP(C161,APOYO!J:K,2,FALSE),C161)</f>
        <v>COPACABANA</v>
      </c>
      <c r="E161">
        <v>2013</v>
      </c>
      <c r="F161" t="s">
        <v>2189</v>
      </c>
      <c r="G161" t="s">
        <v>2189</v>
      </c>
      <c r="H161">
        <v>61</v>
      </c>
      <c r="I161" s="13" t="s">
        <v>2189</v>
      </c>
      <c r="J161" s="13" t="s">
        <v>2189</v>
      </c>
      <c r="K161" s="13" t="s">
        <v>2189</v>
      </c>
    </row>
    <row r="162" spans="1:11" hidden="1" x14ac:dyDescent="0.25">
      <c r="A162" t="str">
        <f>_xlfn.XLOOKUP(C162, 'Códigos DANE Municipios'!$B$2:$B$1123, 'Códigos DANE Municipios'!$A$2:$A$1123, "No encontrado")</f>
        <v>13212</v>
      </c>
      <c r="B162" t="str">
        <f>IFERROR(VLOOKUP(D162,APOYO!K:L,2,FALSE),A162)</f>
        <v>13212</v>
      </c>
      <c r="C162" t="s">
        <v>329</v>
      </c>
      <c r="D162" t="str">
        <f>IFERROR(VLOOKUP(C162,APOYO!J:K,2,FALSE),C162)</f>
        <v>CÓRDOBA</v>
      </c>
      <c r="E162">
        <v>2013</v>
      </c>
      <c r="F162" t="s">
        <v>2189</v>
      </c>
      <c r="G162" t="s">
        <v>2189</v>
      </c>
      <c r="H162">
        <v>12</v>
      </c>
      <c r="I162" s="13" t="s">
        <v>2189</v>
      </c>
      <c r="J162" s="13" t="s">
        <v>2189</v>
      </c>
      <c r="K162" s="13" t="s">
        <v>2189</v>
      </c>
    </row>
    <row r="163" spans="1:11" hidden="1" x14ac:dyDescent="0.25">
      <c r="A163" t="str">
        <f>_xlfn.XLOOKUP(C163, 'Códigos DANE Municipios'!$B$2:$B$1123, 'Códigos DANE Municipios'!$A$2:$A$1123, "No encontrado")</f>
        <v>19212</v>
      </c>
      <c r="B163" t="str">
        <f>IFERROR(VLOOKUP(D163,APOYO!K:L,2,FALSE),A163)</f>
        <v>19212</v>
      </c>
      <c r="C163" t="s">
        <v>746</v>
      </c>
      <c r="D163" t="str">
        <f>IFERROR(VLOOKUP(C163,APOYO!J:K,2,FALSE),C163)</f>
        <v>CORINTO</v>
      </c>
      <c r="E163">
        <v>2013</v>
      </c>
      <c r="F163" t="s">
        <v>2189</v>
      </c>
      <c r="G163" t="s">
        <v>2189</v>
      </c>
      <c r="H163">
        <v>6</v>
      </c>
      <c r="I163" s="13" t="s">
        <v>2189</v>
      </c>
      <c r="J163" s="13" t="s">
        <v>2189</v>
      </c>
      <c r="K163" s="13" t="s">
        <v>2189</v>
      </c>
    </row>
    <row r="164" spans="1:11" hidden="1" x14ac:dyDescent="0.25">
      <c r="A164" t="str">
        <f>_xlfn.XLOOKUP(C164, 'Códigos DANE Municipios'!$B$2:$B$1123, 'Códigos DANE Municipios'!$A$2:$A$1123, "No encontrado")</f>
        <v>70215</v>
      </c>
      <c r="B164" t="str">
        <f>IFERROR(VLOOKUP(D164,APOYO!K:L,2,FALSE),A164)</f>
        <v>70215</v>
      </c>
      <c r="C164" t="s">
        <v>1823</v>
      </c>
      <c r="D164" t="str">
        <f>IFERROR(VLOOKUP(C164,APOYO!J:K,2,FALSE),C164)</f>
        <v>COROZAL</v>
      </c>
      <c r="E164">
        <v>2013</v>
      </c>
      <c r="F164">
        <v>15585</v>
      </c>
      <c r="G164" t="s">
        <v>2189</v>
      </c>
      <c r="H164">
        <v>36</v>
      </c>
      <c r="I164" s="13" t="s">
        <v>2189</v>
      </c>
      <c r="J164" s="13" t="s">
        <v>2189</v>
      </c>
      <c r="K164" s="13" t="s">
        <v>2189</v>
      </c>
    </row>
    <row r="165" spans="1:11" hidden="1" x14ac:dyDescent="0.25">
      <c r="A165" t="str">
        <f>_xlfn.XLOOKUP(C165, 'Códigos DANE Municipios'!$B$2:$B$1123, 'Códigos DANE Municipios'!$A$2:$A$1123, "No encontrado")</f>
        <v>25214</v>
      </c>
      <c r="B165" t="str">
        <f>IFERROR(VLOOKUP(D165,APOYO!K:L,2,FALSE),A165)</f>
        <v>25214</v>
      </c>
      <c r="C165" t="s">
        <v>956</v>
      </c>
      <c r="D165" t="str">
        <f>IFERROR(VLOOKUP(C165,APOYO!J:K,2,FALSE),C165)</f>
        <v>COTA</v>
      </c>
      <c r="E165">
        <v>2013</v>
      </c>
      <c r="F165" t="s">
        <v>2189</v>
      </c>
      <c r="G165" t="s">
        <v>2189</v>
      </c>
      <c r="H165">
        <v>215</v>
      </c>
      <c r="I165" s="13" t="s">
        <v>2189</v>
      </c>
      <c r="J165" s="13" t="s">
        <v>2189</v>
      </c>
      <c r="K165" s="13" t="s">
        <v>2189</v>
      </c>
    </row>
    <row r="166" spans="1:11" hidden="1" x14ac:dyDescent="0.25">
      <c r="A166" t="str">
        <f>_xlfn.XLOOKUP(C166, 'Códigos DANE Municipios'!$B$2:$B$1123, 'Códigos DANE Municipios'!$A$2:$A$1123, "No encontrado")</f>
        <v>70221</v>
      </c>
      <c r="B166" t="str">
        <f>IFERROR(VLOOKUP(D166,APOYO!K:L,2,FALSE),A166)</f>
        <v>70221</v>
      </c>
      <c r="C166" t="s">
        <v>1825</v>
      </c>
      <c r="D166" t="str">
        <f>IFERROR(VLOOKUP(C166,APOYO!J:K,2,FALSE),C166)</f>
        <v>COVEÑAS</v>
      </c>
      <c r="E166">
        <v>2013</v>
      </c>
      <c r="F166">
        <v>467</v>
      </c>
      <c r="G166" t="s">
        <v>2189</v>
      </c>
      <c r="H166">
        <v>51</v>
      </c>
      <c r="I166" s="13" t="s">
        <v>2189</v>
      </c>
      <c r="J166" s="13" t="s">
        <v>2189</v>
      </c>
      <c r="K166" s="13" t="s">
        <v>2189</v>
      </c>
    </row>
    <row r="167" spans="1:11" hidden="1" x14ac:dyDescent="0.25">
      <c r="A167" t="str">
        <f>_xlfn.XLOOKUP(C167, 'Códigos DANE Municipios'!$B$2:$B$1123, 'Códigos DANE Municipios'!$A$2:$A$1123, "No encontrado")</f>
        <v>81220</v>
      </c>
      <c r="B167" t="str">
        <f>IFERROR(VLOOKUP(D167,APOYO!K:L,2,FALSE),A167)</f>
        <v>81220</v>
      </c>
      <c r="C167" t="s">
        <v>2038</v>
      </c>
      <c r="D167" t="str">
        <f>IFERROR(VLOOKUP(C167,APOYO!J:K,2,FALSE),C167)</f>
        <v>CRAVO NORTE</v>
      </c>
      <c r="E167">
        <v>2013</v>
      </c>
      <c r="F167">
        <v>390</v>
      </c>
      <c r="G167" t="s">
        <v>2189</v>
      </c>
      <c r="H167">
        <v>1</v>
      </c>
      <c r="I167" s="13" t="s">
        <v>2189</v>
      </c>
      <c r="J167" s="13" t="s">
        <v>2189</v>
      </c>
      <c r="K167" s="13" t="s">
        <v>2189</v>
      </c>
    </row>
    <row r="168" spans="1:11" hidden="1" x14ac:dyDescent="0.25">
      <c r="A168" t="str">
        <f>_xlfn.XLOOKUP(C168, 'Códigos DANE Municipios'!$B$2:$B$1123, 'Códigos DANE Municipios'!$A$2:$A$1123, "No encontrado")</f>
        <v>15223</v>
      </c>
      <c r="B168" t="str">
        <f>IFERROR(VLOOKUP(D168,APOYO!K:L,2,FALSE),A168)</f>
        <v>15223</v>
      </c>
      <c r="C168" t="s">
        <v>451</v>
      </c>
      <c r="D168" t="str">
        <f>IFERROR(VLOOKUP(C168,APOYO!J:K,2,FALSE),C168)</f>
        <v>CUBARÁ</v>
      </c>
      <c r="E168">
        <v>2013</v>
      </c>
      <c r="F168" t="s">
        <v>2189</v>
      </c>
      <c r="G168" t="s">
        <v>2189</v>
      </c>
      <c r="H168">
        <v>3</v>
      </c>
      <c r="I168" s="13" t="s">
        <v>2189</v>
      </c>
      <c r="J168" s="13" t="s">
        <v>2189</v>
      </c>
      <c r="K168" s="13" t="s">
        <v>2189</v>
      </c>
    </row>
    <row r="169" spans="1:11" hidden="1" x14ac:dyDescent="0.25">
      <c r="A169" t="str">
        <f>_xlfn.XLOOKUP(C169, 'Códigos DANE Municipios'!$B$2:$B$1123, 'Códigos DANE Municipios'!$A$2:$A$1123, "No encontrado")</f>
        <v>50223</v>
      </c>
      <c r="B169" t="str">
        <f>IFERROR(VLOOKUP(D169,APOYO!K:L,2,FALSE),A169)</f>
        <v>50223</v>
      </c>
      <c r="C169" t="s">
        <v>1368</v>
      </c>
      <c r="D169" t="str">
        <f>IFERROR(VLOOKUP(C169,APOYO!J:K,2,FALSE),C169)</f>
        <v>SAN LUIS DE CUBARRAL</v>
      </c>
      <c r="E169">
        <v>2013</v>
      </c>
      <c r="F169" t="s">
        <v>2189</v>
      </c>
      <c r="G169" t="s">
        <v>2189</v>
      </c>
      <c r="H169">
        <v>1</v>
      </c>
      <c r="I169" s="13" t="s">
        <v>2189</v>
      </c>
      <c r="J169" s="13" t="s">
        <v>2189</v>
      </c>
      <c r="K169" s="13" t="s">
        <v>2189</v>
      </c>
    </row>
    <row r="170" spans="1:11" hidden="1" x14ac:dyDescent="0.25">
      <c r="A170" t="str">
        <f>_xlfn.XLOOKUP(C170, 'Códigos DANE Municipios'!$B$2:$B$1123, 'Códigos DANE Municipios'!$A$2:$A$1123, "No encontrado")</f>
        <v>15224</v>
      </c>
      <c r="B170" t="str">
        <f>IFERROR(VLOOKUP(D170,APOYO!K:L,2,FALSE),A170)</f>
        <v>15224</v>
      </c>
      <c r="C170" t="s">
        <v>453</v>
      </c>
      <c r="D170" t="str">
        <f>IFERROR(VLOOKUP(C170,APOYO!J:K,2,FALSE),C170)</f>
        <v>CUCAITA</v>
      </c>
      <c r="E170">
        <v>2013</v>
      </c>
      <c r="F170" t="s">
        <v>2189</v>
      </c>
      <c r="G170" t="s">
        <v>2189</v>
      </c>
      <c r="H170">
        <v>8</v>
      </c>
      <c r="I170" s="13" t="s">
        <v>2189</v>
      </c>
      <c r="J170" s="13" t="s">
        <v>2189</v>
      </c>
      <c r="K170" s="13" t="s">
        <v>2189</v>
      </c>
    </row>
    <row r="171" spans="1:11" hidden="1" x14ac:dyDescent="0.25">
      <c r="A171" t="str">
        <f>_xlfn.XLOOKUP(C171, 'Códigos DANE Municipios'!$B$2:$B$1123, 'Códigos DANE Municipios'!$A$2:$A$1123, "No encontrado")</f>
        <v>25224</v>
      </c>
      <c r="B171" t="str">
        <f>IFERROR(VLOOKUP(D171,APOYO!K:L,2,FALSE),A171)</f>
        <v>25224</v>
      </c>
      <c r="C171" t="s">
        <v>958</v>
      </c>
      <c r="D171" t="str">
        <f>IFERROR(VLOOKUP(C171,APOYO!J:K,2,FALSE),C171)</f>
        <v>CUCUNUBÁ</v>
      </c>
      <c r="E171">
        <v>2013</v>
      </c>
      <c r="F171" t="s">
        <v>2189</v>
      </c>
      <c r="G171" t="s">
        <v>2189</v>
      </c>
      <c r="H171">
        <v>16</v>
      </c>
      <c r="I171" s="13" t="s">
        <v>2189</v>
      </c>
      <c r="J171" s="13" t="s">
        <v>2189</v>
      </c>
      <c r="K171" s="13" t="s">
        <v>2189</v>
      </c>
    </row>
    <row r="172" spans="1:11" hidden="1" x14ac:dyDescent="0.25">
      <c r="A172" t="str">
        <f>_xlfn.XLOOKUP(C172, 'Códigos DANE Municipios'!$B$2:$B$1123, 'Códigos DANE Municipios'!$A$2:$A$1123, "No encontrado")</f>
        <v>54001</v>
      </c>
      <c r="B172" t="str">
        <f>IFERROR(VLOOKUP(D172,APOYO!K:L,2,FALSE),A172)</f>
        <v>54001</v>
      </c>
      <c r="C172" t="s">
        <v>1529</v>
      </c>
      <c r="D172" t="str">
        <f>IFERROR(VLOOKUP(C172,APOYO!J:K,2,FALSE),C172)</f>
        <v>CÚCUTA</v>
      </c>
      <c r="E172">
        <v>2013</v>
      </c>
      <c r="F172">
        <v>419844</v>
      </c>
      <c r="G172">
        <v>17839</v>
      </c>
      <c r="H172">
        <v>13766</v>
      </c>
      <c r="I172" s="13" t="s">
        <v>2189</v>
      </c>
      <c r="J172" s="13" t="s">
        <v>2189</v>
      </c>
      <c r="K172" s="13" t="s">
        <v>2189</v>
      </c>
    </row>
    <row r="173" spans="1:11" hidden="1" x14ac:dyDescent="0.25">
      <c r="A173" t="str">
        <f>_xlfn.XLOOKUP(C173, 'Códigos DANE Municipios'!$B$2:$B$1123, 'Códigos DANE Municipios'!$A$2:$A$1123, "No encontrado")</f>
        <v>54223</v>
      </c>
      <c r="B173" t="str">
        <f>IFERROR(VLOOKUP(D173,APOYO!K:L,2,FALSE),A173)</f>
        <v>54223</v>
      </c>
      <c r="C173" t="s">
        <v>1549</v>
      </c>
      <c r="D173" t="str">
        <f>IFERROR(VLOOKUP(C173,APOYO!J:K,2,FALSE),C173)</f>
        <v>CUCUTILLA</v>
      </c>
      <c r="E173">
        <v>2013</v>
      </c>
      <c r="F173" t="s">
        <v>2189</v>
      </c>
      <c r="G173" t="s">
        <v>2189</v>
      </c>
      <c r="H173">
        <v>166</v>
      </c>
      <c r="I173" s="13" t="s">
        <v>2189</v>
      </c>
      <c r="J173" s="13" t="s">
        <v>2189</v>
      </c>
      <c r="K173" s="13" t="s">
        <v>2189</v>
      </c>
    </row>
    <row r="174" spans="1:11" hidden="1" x14ac:dyDescent="0.25">
      <c r="A174" t="str">
        <f>_xlfn.XLOOKUP(C174, 'Códigos DANE Municipios'!$B$2:$B$1123, 'Códigos DANE Municipios'!$A$2:$A$1123, "No encontrado")</f>
        <v>15226</v>
      </c>
      <c r="B174" t="str">
        <f>IFERROR(VLOOKUP(D174,APOYO!K:L,2,FALSE),A174)</f>
        <v>15226</v>
      </c>
      <c r="C174" t="s">
        <v>455</v>
      </c>
      <c r="D174" t="str">
        <f>IFERROR(VLOOKUP(C174,APOYO!J:K,2,FALSE),C174)</f>
        <v>CUÍTIVA</v>
      </c>
      <c r="E174">
        <v>2013</v>
      </c>
      <c r="F174" t="s">
        <v>2189</v>
      </c>
      <c r="G174" t="s">
        <v>2189</v>
      </c>
      <c r="H174">
        <v>10</v>
      </c>
      <c r="I174" s="13" t="s">
        <v>2189</v>
      </c>
      <c r="J174" s="13" t="s">
        <v>2189</v>
      </c>
      <c r="K174" s="13" t="s">
        <v>2189</v>
      </c>
    </row>
    <row r="175" spans="1:11" hidden="1" x14ac:dyDescent="0.25">
      <c r="A175" t="str">
        <f>_xlfn.XLOOKUP(C175, 'Códigos DANE Municipios'!$B$2:$B$1123, 'Códigos DANE Municipios'!$A$2:$A$1123, "No encontrado")</f>
        <v>50226</v>
      </c>
      <c r="B175" t="str">
        <f>IFERROR(VLOOKUP(D175,APOYO!K:L,2,FALSE),A175)</f>
        <v>50226</v>
      </c>
      <c r="C175" t="s">
        <v>1370</v>
      </c>
      <c r="D175" t="str">
        <f>IFERROR(VLOOKUP(C175,APOYO!J:K,2,FALSE),C175)</f>
        <v>CUMARAL</v>
      </c>
      <c r="E175">
        <v>2013</v>
      </c>
      <c r="F175">
        <v>2</v>
      </c>
      <c r="G175" t="s">
        <v>2189</v>
      </c>
      <c r="H175">
        <v>11</v>
      </c>
      <c r="I175" s="13" t="s">
        <v>2189</v>
      </c>
      <c r="J175" s="13" t="s">
        <v>2189</v>
      </c>
      <c r="K175" s="13" t="s">
        <v>2189</v>
      </c>
    </row>
    <row r="176" spans="1:11" hidden="1" x14ac:dyDescent="0.25">
      <c r="A176" t="str">
        <f>_xlfn.XLOOKUP(C176, 'Códigos DANE Municipios'!$B$2:$B$1123, 'Códigos DANE Municipios'!$A$2:$A$1123, "No encontrado")</f>
        <v>99773</v>
      </c>
      <c r="B176" t="str">
        <f>IFERROR(VLOOKUP(D176,APOYO!K:L,2,FALSE),A176)</f>
        <v>99773</v>
      </c>
      <c r="C176" t="s">
        <v>2169</v>
      </c>
      <c r="D176" t="str">
        <f>IFERROR(VLOOKUP(C176,APOYO!J:K,2,FALSE),C176)</f>
        <v>CUMARIBO</v>
      </c>
      <c r="E176">
        <v>2013</v>
      </c>
      <c r="F176">
        <v>765</v>
      </c>
      <c r="G176" t="s">
        <v>2189</v>
      </c>
      <c r="H176">
        <v>3</v>
      </c>
      <c r="I176" s="13" t="s">
        <v>2189</v>
      </c>
      <c r="J176" s="13" t="s">
        <v>2189</v>
      </c>
      <c r="K176" s="13" t="s">
        <v>2189</v>
      </c>
    </row>
    <row r="177" spans="1:11" hidden="1" x14ac:dyDescent="0.25">
      <c r="A177" t="str">
        <f>_xlfn.XLOOKUP(C177, 'Códigos DANE Municipios'!$B$2:$B$1123, 'Códigos DANE Municipios'!$A$2:$A$1123, "No encontrado")</f>
        <v>52227</v>
      </c>
      <c r="B177" t="str">
        <f>IFERROR(VLOOKUP(D177,APOYO!K:L,2,FALSE),A177)</f>
        <v>52227</v>
      </c>
      <c r="C177" t="s">
        <v>1435</v>
      </c>
      <c r="D177" t="str">
        <f>IFERROR(VLOOKUP(C177,APOYO!J:K,2,FALSE),C177)</f>
        <v>CUMBAL</v>
      </c>
      <c r="E177">
        <v>2013</v>
      </c>
      <c r="F177" t="s">
        <v>2189</v>
      </c>
      <c r="G177" t="s">
        <v>2189</v>
      </c>
      <c r="H177">
        <v>5</v>
      </c>
      <c r="I177" s="13" t="s">
        <v>2189</v>
      </c>
      <c r="J177" s="13" t="s">
        <v>2189</v>
      </c>
      <c r="K177" s="13" t="s">
        <v>2189</v>
      </c>
    </row>
    <row r="178" spans="1:11" hidden="1" x14ac:dyDescent="0.25">
      <c r="A178" t="str">
        <f>_xlfn.XLOOKUP(C178, 'Códigos DANE Municipios'!$B$2:$B$1123, 'Códigos DANE Municipios'!$A$2:$A$1123, "No encontrado")</f>
        <v>68229</v>
      </c>
      <c r="B178" t="str">
        <f>IFERROR(VLOOKUP(D178,APOYO!K:L,2,FALSE),A178)</f>
        <v>68229</v>
      </c>
      <c r="C178" t="s">
        <v>1697</v>
      </c>
      <c r="D178" t="str">
        <f>IFERROR(VLOOKUP(C178,APOYO!J:K,2,FALSE),C178)</f>
        <v>CURITÍ</v>
      </c>
      <c r="E178">
        <v>2013</v>
      </c>
      <c r="F178" t="s">
        <v>2189</v>
      </c>
      <c r="G178" t="s">
        <v>2189</v>
      </c>
      <c r="H178">
        <v>4</v>
      </c>
      <c r="I178" s="13" t="s">
        <v>2189</v>
      </c>
      <c r="J178" s="13" t="s">
        <v>2189</v>
      </c>
      <c r="K178" s="13" t="s">
        <v>2189</v>
      </c>
    </row>
    <row r="179" spans="1:11" hidden="1" x14ac:dyDescent="0.25">
      <c r="A179" t="str">
        <f>_xlfn.XLOOKUP(C179, 'Códigos DANE Municipios'!$B$2:$B$1123, 'Códigos DANE Municipios'!$A$2:$A$1123, "No encontrado")</f>
        <v>20228</v>
      </c>
      <c r="B179" t="str">
        <f>IFERROR(VLOOKUP(D179,APOYO!K:L,2,FALSE),A179)</f>
        <v>20228</v>
      </c>
      <c r="C179" t="s">
        <v>824</v>
      </c>
      <c r="D179" t="str">
        <f>IFERROR(VLOOKUP(C179,APOYO!J:K,2,FALSE),C179)</f>
        <v>CURUMANÍ</v>
      </c>
      <c r="E179">
        <v>2013</v>
      </c>
      <c r="F179" t="s">
        <v>2189</v>
      </c>
      <c r="G179" t="s">
        <v>2189</v>
      </c>
      <c r="H179">
        <v>9</v>
      </c>
      <c r="I179" s="13" t="s">
        <v>2189</v>
      </c>
      <c r="J179" s="13" t="s">
        <v>2189</v>
      </c>
      <c r="K179" s="13" t="s">
        <v>2189</v>
      </c>
    </row>
    <row r="180" spans="1:11" hidden="1" x14ac:dyDescent="0.25">
      <c r="A180" t="str">
        <f>_xlfn.XLOOKUP(C180, 'Códigos DANE Municipios'!$B$2:$B$1123, 'Códigos DANE Municipios'!$A$2:$A$1123, "No encontrado")</f>
        <v>76233</v>
      </c>
      <c r="B180" t="str">
        <f>IFERROR(VLOOKUP(D180,APOYO!K:L,2,FALSE),A180)</f>
        <v>76233</v>
      </c>
      <c r="C180" t="s">
        <v>1980</v>
      </c>
      <c r="D180" t="str">
        <f>IFERROR(VLOOKUP(C180,APOYO!J:K,2,FALSE),C180)</f>
        <v>DAGUA</v>
      </c>
      <c r="E180">
        <v>2013</v>
      </c>
      <c r="F180" t="s">
        <v>2189</v>
      </c>
      <c r="G180" t="s">
        <v>2189</v>
      </c>
      <c r="H180">
        <v>12</v>
      </c>
      <c r="I180" s="13" t="s">
        <v>2189</v>
      </c>
      <c r="J180" s="13" t="s">
        <v>2189</v>
      </c>
      <c r="K180" s="13" t="s">
        <v>2189</v>
      </c>
    </row>
    <row r="181" spans="1:11" hidden="1" x14ac:dyDescent="0.25">
      <c r="A181" t="str">
        <f>_xlfn.XLOOKUP(C181, 'Códigos DANE Municipios'!$B$2:$B$1123, 'Códigos DANE Municipios'!$A$2:$A$1123, "No encontrado")</f>
        <v>44090</v>
      </c>
      <c r="B181" t="str">
        <f>IFERROR(VLOOKUP(D181,APOYO!K:L,2,FALSE),A181)</f>
        <v>44090</v>
      </c>
      <c r="C181" t="s">
        <v>1277</v>
      </c>
      <c r="D181" t="str">
        <f>IFERROR(VLOOKUP(C181,APOYO!J:K,2,FALSE),C181)</f>
        <v>DIBULLA</v>
      </c>
      <c r="E181">
        <v>2013</v>
      </c>
      <c r="F181" t="s">
        <v>2189</v>
      </c>
      <c r="G181" t="s">
        <v>2189</v>
      </c>
      <c r="H181">
        <v>27</v>
      </c>
      <c r="I181" s="13" t="s">
        <v>2189</v>
      </c>
      <c r="J181" s="13" t="s">
        <v>2189</v>
      </c>
      <c r="K181" s="13" t="s">
        <v>2189</v>
      </c>
    </row>
    <row r="182" spans="1:11" hidden="1" x14ac:dyDescent="0.25">
      <c r="A182" t="str">
        <f>_xlfn.XLOOKUP(C182, 'Códigos DANE Municipios'!$B$2:$B$1123, 'Códigos DANE Municipios'!$A$2:$A$1123, "No encontrado")</f>
        <v>44098</v>
      </c>
      <c r="B182" t="str">
        <f>IFERROR(VLOOKUP(D182,APOYO!K:L,2,FALSE),A182)</f>
        <v>44098</v>
      </c>
      <c r="C182" t="s">
        <v>1279</v>
      </c>
      <c r="D182" t="str">
        <f>IFERROR(VLOOKUP(C182,APOYO!J:K,2,FALSE),C182)</f>
        <v>DISTRACCIÓN</v>
      </c>
      <c r="E182">
        <v>2013</v>
      </c>
      <c r="F182">
        <v>86</v>
      </c>
      <c r="G182" t="s">
        <v>2189</v>
      </c>
      <c r="H182">
        <v>1</v>
      </c>
      <c r="I182" s="13" t="s">
        <v>2189</v>
      </c>
      <c r="J182" s="13" t="s">
        <v>2189</v>
      </c>
      <c r="K182" s="13" t="s">
        <v>2189</v>
      </c>
    </row>
    <row r="183" spans="1:11" hidden="1" x14ac:dyDescent="0.25">
      <c r="A183" t="str">
        <f>_xlfn.XLOOKUP(C183, 'Códigos DANE Municipios'!$B$2:$B$1123, 'Códigos DANE Municipios'!$A$2:$A$1123, "No encontrado")</f>
        <v>05237</v>
      </c>
      <c r="B183" t="str">
        <f>IFERROR(VLOOKUP(D183,APOYO!K:L,2,FALSE),A183)</f>
        <v>05237</v>
      </c>
      <c r="C183" t="s">
        <v>96</v>
      </c>
      <c r="D183" t="str">
        <f>IFERROR(VLOOKUP(C183,APOYO!J:K,2,FALSE),C183)</f>
        <v>DONMATÍAS</v>
      </c>
      <c r="E183">
        <v>2013</v>
      </c>
      <c r="F183" t="s">
        <v>2189</v>
      </c>
      <c r="G183" t="s">
        <v>2189</v>
      </c>
      <c r="H183">
        <v>23</v>
      </c>
      <c r="I183" s="13" t="s">
        <v>2189</v>
      </c>
      <c r="J183" s="13" t="s">
        <v>2189</v>
      </c>
      <c r="K183" s="13" t="s">
        <v>2189</v>
      </c>
    </row>
    <row r="184" spans="1:11" hidden="1" x14ac:dyDescent="0.25">
      <c r="A184" t="str">
        <f>_xlfn.XLOOKUP(C184, 'Códigos DANE Municipios'!$B$2:$B$1123, 'Códigos DANE Municipios'!$A$2:$A$1123, "No encontrado")</f>
        <v>66170</v>
      </c>
      <c r="B184" t="str">
        <f>IFERROR(VLOOKUP(D184,APOYO!K:L,2,FALSE),A184)</f>
        <v>66170</v>
      </c>
      <c r="C184" t="s">
        <v>1635</v>
      </c>
      <c r="D184" t="str">
        <f>IFERROR(VLOOKUP(C184,APOYO!J:K,2,FALSE),C184)</f>
        <v>DOSQUEBRADAS</v>
      </c>
      <c r="E184">
        <v>2013</v>
      </c>
      <c r="F184" t="s">
        <v>2189</v>
      </c>
      <c r="G184" t="s">
        <v>2189</v>
      </c>
      <c r="H184">
        <v>454</v>
      </c>
      <c r="I184" s="13" t="s">
        <v>2189</v>
      </c>
      <c r="J184" s="13" t="s">
        <v>2189</v>
      </c>
      <c r="K184" s="13" t="s">
        <v>2189</v>
      </c>
    </row>
    <row r="185" spans="1:11" hidden="1" x14ac:dyDescent="0.25">
      <c r="A185" t="str">
        <f>_xlfn.XLOOKUP(C185, 'Códigos DANE Municipios'!$B$2:$B$1123, 'Códigos DANE Municipios'!$A$2:$A$1123, "No encontrado")</f>
        <v>15238</v>
      </c>
      <c r="B185" t="str">
        <f>IFERROR(VLOOKUP(D185,APOYO!K:L,2,FALSE),A185)</f>
        <v>15238</v>
      </c>
      <c r="C185" t="s">
        <v>461</v>
      </c>
      <c r="D185" t="str">
        <f>IFERROR(VLOOKUP(C185,APOYO!J:K,2,FALSE),C185)</f>
        <v>DUITAMA</v>
      </c>
      <c r="E185">
        <v>2013</v>
      </c>
      <c r="F185" t="s">
        <v>2189</v>
      </c>
      <c r="G185" t="s">
        <v>2189</v>
      </c>
      <c r="H185">
        <v>337</v>
      </c>
      <c r="I185" s="13" t="s">
        <v>2189</v>
      </c>
      <c r="J185" s="13" t="s">
        <v>2189</v>
      </c>
      <c r="K185" s="13" t="s">
        <v>2189</v>
      </c>
    </row>
    <row r="186" spans="1:11" hidden="1" x14ac:dyDescent="0.25">
      <c r="A186" t="str">
        <f>_xlfn.XLOOKUP(C186, 'Códigos DANE Municipios'!$B$2:$B$1123, 'Códigos DANE Municipios'!$A$2:$A$1123, "No encontrado")</f>
        <v>05240</v>
      </c>
      <c r="B186" t="str">
        <f>IFERROR(VLOOKUP(D186,APOYO!K:L,2,FALSE),A186)</f>
        <v>05240</v>
      </c>
      <c r="C186" t="s">
        <v>98</v>
      </c>
      <c r="D186" t="str">
        <f>IFERROR(VLOOKUP(C186,APOYO!J:K,2,FALSE),C186)</f>
        <v>EBÉJICO</v>
      </c>
      <c r="E186">
        <v>2013</v>
      </c>
      <c r="F186" t="s">
        <v>2189</v>
      </c>
      <c r="G186" t="s">
        <v>2189</v>
      </c>
      <c r="H186">
        <v>1</v>
      </c>
      <c r="I186" s="13" t="s">
        <v>2189</v>
      </c>
      <c r="J186" s="13" t="s">
        <v>2189</v>
      </c>
      <c r="K186" s="13" t="s">
        <v>2189</v>
      </c>
    </row>
    <row r="187" spans="1:11" hidden="1" x14ac:dyDescent="0.25">
      <c r="A187" t="str">
        <f>_xlfn.XLOOKUP(C187, 'Códigos DANE Municipios'!$B$2:$B$1123, 'Códigos DANE Municipios'!$A$2:$A$1123, "No encontrado")</f>
        <v>05250</v>
      </c>
      <c r="B187" t="str">
        <f>IFERROR(VLOOKUP(D187,APOYO!K:L,2,FALSE),A187)</f>
        <v>05250</v>
      </c>
      <c r="C187" t="s">
        <v>100</v>
      </c>
      <c r="D187" t="str">
        <f>IFERROR(VLOOKUP(C187,APOYO!J:K,2,FALSE),C187)</f>
        <v>EL BAGRE</v>
      </c>
      <c r="E187">
        <v>2013</v>
      </c>
      <c r="F187">
        <v>5104</v>
      </c>
      <c r="G187">
        <v>2</v>
      </c>
      <c r="H187">
        <v>5</v>
      </c>
      <c r="I187" s="13" t="s">
        <v>2189</v>
      </c>
      <c r="J187" s="13" t="s">
        <v>2189</v>
      </c>
      <c r="K187" s="13" t="s">
        <v>2189</v>
      </c>
    </row>
    <row r="188" spans="1:11" hidden="1" x14ac:dyDescent="0.25">
      <c r="A188" t="str">
        <f>_xlfn.XLOOKUP(C188, 'Códigos DANE Municipios'!$B$2:$B$1123, 'Códigos DANE Municipios'!$A$2:$A$1123, "No encontrado")</f>
        <v>47245</v>
      </c>
      <c r="B188" t="str">
        <f>IFERROR(VLOOKUP(D188,APOYO!K:L,2,FALSE),A188)</f>
        <v>47245</v>
      </c>
      <c r="C188" t="s">
        <v>1315</v>
      </c>
      <c r="D188" t="str">
        <f>IFERROR(VLOOKUP(C188,APOYO!J:K,2,FALSE),C188)</f>
        <v>EL BANCO</v>
      </c>
      <c r="E188">
        <v>2013</v>
      </c>
      <c r="F188">
        <v>216</v>
      </c>
      <c r="G188" t="s">
        <v>2189</v>
      </c>
      <c r="H188">
        <v>16</v>
      </c>
      <c r="I188" s="13" t="s">
        <v>2189</v>
      </c>
      <c r="J188" s="13" t="s">
        <v>2189</v>
      </c>
      <c r="K188" s="13" t="s">
        <v>2189</v>
      </c>
    </row>
    <row r="189" spans="1:11" hidden="1" x14ac:dyDescent="0.25">
      <c r="A189" t="str">
        <f>_xlfn.XLOOKUP(C189, 'Códigos DANE Municipios'!$B$2:$B$1123, 'Códigos DANE Municipios'!$A$2:$A$1123, "No encontrado")</f>
        <v>76246</v>
      </c>
      <c r="B189" t="str">
        <f>IFERROR(VLOOKUP(D189,APOYO!K:L,2,FALSE),A189)</f>
        <v>76246</v>
      </c>
      <c r="C189" t="s">
        <v>1984</v>
      </c>
      <c r="D189" t="str">
        <f>IFERROR(VLOOKUP(C189,APOYO!J:K,2,FALSE),C189)</f>
        <v>EL CAIRO</v>
      </c>
      <c r="E189">
        <v>2013</v>
      </c>
      <c r="F189" t="s">
        <v>2189</v>
      </c>
      <c r="G189" t="s">
        <v>2189</v>
      </c>
      <c r="H189">
        <v>1</v>
      </c>
      <c r="I189" s="13" t="s">
        <v>2189</v>
      </c>
      <c r="J189" s="13" t="s">
        <v>2189</v>
      </c>
      <c r="K189" s="13" t="s">
        <v>2189</v>
      </c>
    </row>
    <row r="190" spans="1:11" hidden="1" x14ac:dyDescent="0.25">
      <c r="A190" t="str">
        <f>_xlfn.XLOOKUP(C190, 'Códigos DANE Municipios'!$B$2:$B$1123, 'Códigos DANE Municipios'!$A$2:$A$1123, "No encontrado")</f>
        <v>54245</v>
      </c>
      <c r="B190" t="str">
        <f>IFERROR(VLOOKUP(D190,APOYO!K:L,2,FALSE),A190)</f>
        <v>54245</v>
      </c>
      <c r="C190" t="s">
        <v>1553</v>
      </c>
      <c r="D190" t="str">
        <f>IFERROR(VLOOKUP(C190,APOYO!J:K,2,FALSE),C190)</f>
        <v>EL CARMEN</v>
      </c>
      <c r="E190">
        <v>2013</v>
      </c>
      <c r="F190">
        <v>4</v>
      </c>
      <c r="G190" t="s">
        <v>2189</v>
      </c>
      <c r="H190">
        <v>12</v>
      </c>
      <c r="I190" s="13" t="s">
        <v>2189</v>
      </c>
      <c r="J190" s="13" t="s">
        <v>2189</v>
      </c>
      <c r="K190" s="13" t="s">
        <v>2189</v>
      </c>
    </row>
    <row r="191" spans="1:11" hidden="1" x14ac:dyDescent="0.25">
      <c r="A191" t="str">
        <f>_xlfn.XLOOKUP(C191, 'Códigos DANE Municipios'!$B$2:$B$1123, 'Códigos DANE Municipios'!$A$2:$A$1123, "No encontrado")</f>
        <v>13244</v>
      </c>
      <c r="B191" t="str">
        <f>IFERROR(VLOOKUP(D191,APOYO!K:L,2,FALSE),A191)</f>
        <v>13244</v>
      </c>
      <c r="C191" t="s">
        <v>333</v>
      </c>
      <c r="D191" t="str">
        <f>IFERROR(VLOOKUP(C191,APOYO!J:K,2,FALSE),C191)</f>
        <v>EL CARMEN DE BOLÍVAR</v>
      </c>
      <c r="E191">
        <v>2013</v>
      </c>
      <c r="F191" t="s">
        <v>2189</v>
      </c>
      <c r="G191" t="s">
        <v>2189</v>
      </c>
      <c r="H191">
        <v>14</v>
      </c>
      <c r="I191" s="13" t="s">
        <v>2189</v>
      </c>
      <c r="J191" s="13" t="s">
        <v>2189</v>
      </c>
      <c r="K191" s="13" t="s">
        <v>2189</v>
      </c>
    </row>
    <row r="192" spans="1:11" hidden="1" x14ac:dyDescent="0.25">
      <c r="A192" t="str">
        <f>_xlfn.XLOOKUP(C192, 'Códigos DANE Municipios'!$B$2:$B$1123, 'Códigos DANE Municipios'!$A$2:$A$1123, "No encontrado")</f>
        <v>76248</v>
      </c>
      <c r="B192" t="str">
        <f>IFERROR(VLOOKUP(D192,APOYO!K:L,2,FALSE),A192)</f>
        <v>76248</v>
      </c>
      <c r="C192" t="s">
        <v>1986</v>
      </c>
      <c r="D192" t="str">
        <f>IFERROR(VLOOKUP(C192,APOYO!J:K,2,FALSE),C192)</f>
        <v>EL CERRITO</v>
      </c>
      <c r="E192">
        <v>2013</v>
      </c>
      <c r="F192" t="s">
        <v>2189</v>
      </c>
      <c r="G192" t="s">
        <v>2189</v>
      </c>
      <c r="H192">
        <v>92</v>
      </c>
      <c r="I192" s="13" t="s">
        <v>2189</v>
      </c>
      <c r="J192" s="13" t="s">
        <v>2189</v>
      </c>
      <c r="K192" s="13" t="s">
        <v>2189</v>
      </c>
    </row>
    <row r="193" spans="1:11" hidden="1" x14ac:dyDescent="0.25">
      <c r="A193" t="str">
        <f>_xlfn.XLOOKUP(C193, 'Códigos DANE Municipios'!$B$2:$B$1123, 'Códigos DANE Municipios'!$A$2:$A$1123, "No encontrado")</f>
        <v>15244</v>
      </c>
      <c r="B193" t="str">
        <f>IFERROR(VLOOKUP(D193,APOYO!K:L,2,FALSE),A193)</f>
        <v>15244</v>
      </c>
      <c r="C193" t="s">
        <v>463</v>
      </c>
      <c r="D193" t="str">
        <f>IFERROR(VLOOKUP(C193,APOYO!J:K,2,FALSE),C193)</f>
        <v>EL COCUY</v>
      </c>
      <c r="E193">
        <v>2013</v>
      </c>
      <c r="F193" t="s">
        <v>2189</v>
      </c>
      <c r="G193" t="s">
        <v>2189</v>
      </c>
      <c r="H193">
        <v>7</v>
      </c>
      <c r="I193">
        <v>14147</v>
      </c>
      <c r="J193" s="13" t="s">
        <v>2189</v>
      </c>
      <c r="K193" s="13" t="s">
        <v>2189</v>
      </c>
    </row>
    <row r="194" spans="1:11" hidden="1" x14ac:dyDescent="0.25">
      <c r="A194" t="str">
        <f>_xlfn.XLOOKUP(C194, 'Códigos DANE Municipios'!$B$2:$B$1123, 'Códigos DANE Municipios'!$A$2:$A$1123, "No encontrado")</f>
        <v>25245</v>
      </c>
      <c r="B194" t="str">
        <f>IFERROR(VLOOKUP(D194,APOYO!K:L,2,FALSE),A194)</f>
        <v>25245</v>
      </c>
      <c r="C194" t="s">
        <v>960</v>
      </c>
      <c r="D194" t="str">
        <f>IFERROR(VLOOKUP(C194,APOYO!J:K,2,FALSE),C194)</f>
        <v>EL COLEGIO</v>
      </c>
      <c r="E194">
        <v>2013</v>
      </c>
      <c r="F194" t="s">
        <v>2189</v>
      </c>
      <c r="G194" t="s">
        <v>2189</v>
      </c>
      <c r="H194">
        <v>10</v>
      </c>
      <c r="I194" s="13" t="s">
        <v>2189</v>
      </c>
      <c r="J194" s="13" t="s">
        <v>2189</v>
      </c>
      <c r="K194" s="13" t="s">
        <v>2189</v>
      </c>
    </row>
    <row r="195" spans="1:11" hidden="1" x14ac:dyDescent="0.25">
      <c r="A195" t="str">
        <f>_xlfn.XLOOKUP(C195, 'Códigos DANE Municipios'!$B$2:$B$1123, 'Códigos DANE Municipios'!$A$2:$A$1123, "No encontrado")</f>
        <v>20238</v>
      </c>
      <c r="B195" t="str">
        <f>IFERROR(VLOOKUP(D195,APOYO!K:L,2,FALSE),A195)</f>
        <v>20238</v>
      </c>
      <c r="C195" t="s">
        <v>826</v>
      </c>
      <c r="D195" t="str">
        <f>IFERROR(VLOOKUP(C195,APOYO!J:K,2,FALSE),C195)</f>
        <v>EL COPEY</v>
      </c>
      <c r="E195">
        <v>2013</v>
      </c>
      <c r="F195">
        <v>11</v>
      </c>
      <c r="G195" t="s">
        <v>2189</v>
      </c>
      <c r="H195">
        <v>3</v>
      </c>
      <c r="I195" s="13" t="s">
        <v>2189</v>
      </c>
      <c r="J195" s="13" t="s">
        <v>2189</v>
      </c>
      <c r="K195" s="13" t="s">
        <v>2189</v>
      </c>
    </row>
    <row r="196" spans="1:11" hidden="1" x14ac:dyDescent="0.25">
      <c r="A196" t="str">
        <f>_xlfn.XLOOKUP(C196, 'Códigos DANE Municipios'!$B$2:$B$1123, 'Códigos DANE Municipios'!$A$2:$A$1123, "No encontrado")</f>
        <v>18247</v>
      </c>
      <c r="B196" t="str">
        <f>IFERROR(VLOOKUP(D196,APOYO!K:L,2,FALSE),A196)</f>
        <v>18247</v>
      </c>
      <c r="C196" t="s">
        <v>708</v>
      </c>
      <c r="D196" t="str">
        <f>IFERROR(VLOOKUP(C196,APOYO!J:K,2,FALSE),C196)</f>
        <v>EL DONCELLO</v>
      </c>
      <c r="E196">
        <v>2013</v>
      </c>
      <c r="F196" t="s">
        <v>2189</v>
      </c>
      <c r="G196" t="s">
        <v>2189</v>
      </c>
      <c r="H196">
        <v>7</v>
      </c>
      <c r="I196" s="13" t="s">
        <v>2189</v>
      </c>
      <c r="J196" s="13" t="s">
        <v>2189</v>
      </c>
      <c r="K196" s="13" t="s">
        <v>2189</v>
      </c>
    </row>
    <row r="197" spans="1:11" hidden="1" x14ac:dyDescent="0.25">
      <c r="A197" t="str">
        <f>_xlfn.XLOOKUP(C197, 'Códigos DANE Municipios'!$B$2:$B$1123, 'Códigos DANE Municipios'!$A$2:$A$1123, "No encontrado")</f>
        <v>50270</v>
      </c>
      <c r="B197" t="str">
        <f>IFERROR(VLOOKUP(D197,APOYO!K:L,2,FALSE),A197)</f>
        <v>50270</v>
      </c>
      <c r="C197" t="s">
        <v>1376</v>
      </c>
      <c r="D197" t="str">
        <f>IFERROR(VLOOKUP(C197,APOYO!J:K,2,FALSE),C197)</f>
        <v>EL DORADO</v>
      </c>
      <c r="E197">
        <v>2013</v>
      </c>
      <c r="F197" t="s">
        <v>2189</v>
      </c>
      <c r="G197" t="s">
        <v>2189</v>
      </c>
      <c r="H197">
        <v>1</v>
      </c>
      <c r="I197" s="13" t="s">
        <v>2189</v>
      </c>
      <c r="J197" s="13" t="s">
        <v>2189</v>
      </c>
      <c r="K197" s="13" t="s">
        <v>2189</v>
      </c>
    </row>
    <row r="198" spans="1:11" hidden="1" x14ac:dyDescent="0.25">
      <c r="A198" t="str">
        <f>_xlfn.XLOOKUP(C198, 'Códigos DANE Municipios'!$B$2:$B$1123, 'Códigos DANE Municipios'!$A$2:$A$1123, "No encontrado")</f>
        <v>76250</v>
      </c>
      <c r="B198" t="str">
        <f>IFERROR(VLOOKUP(D198,APOYO!K:L,2,FALSE),A198)</f>
        <v>76250</v>
      </c>
      <c r="C198" t="s">
        <v>1988</v>
      </c>
      <c r="D198" t="str">
        <f>IFERROR(VLOOKUP(C198,APOYO!J:K,2,FALSE),C198)</f>
        <v>EL DOVIO</v>
      </c>
      <c r="E198">
        <v>2013</v>
      </c>
      <c r="F198" t="s">
        <v>2189</v>
      </c>
      <c r="G198" t="s">
        <v>2189</v>
      </c>
      <c r="H198">
        <v>3</v>
      </c>
      <c r="I198" s="13" t="s">
        <v>2189</v>
      </c>
      <c r="J198" s="13" t="s">
        <v>2189</v>
      </c>
      <c r="K198" s="13" t="s">
        <v>2189</v>
      </c>
    </row>
    <row r="199" spans="1:11" hidden="1" x14ac:dyDescent="0.25">
      <c r="A199" t="str">
        <f>_xlfn.XLOOKUP(C199, 'Códigos DANE Municipios'!$B$2:$B$1123, 'Códigos DANE Municipios'!$A$2:$A$1123, "No encontrado")</f>
        <v>20250</v>
      </c>
      <c r="B199" t="str">
        <f>IFERROR(VLOOKUP(D199,APOYO!K:L,2,FALSE),A199)</f>
        <v>20250</v>
      </c>
      <c r="C199" t="s">
        <v>828</v>
      </c>
      <c r="D199" t="str">
        <f>IFERROR(VLOOKUP(C199,APOYO!J:K,2,FALSE),C199)</f>
        <v>EL PASO</v>
      </c>
      <c r="E199">
        <v>2013</v>
      </c>
      <c r="F199">
        <v>6</v>
      </c>
      <c r="G199" t="s">
        <v>2189</v>
      </c>
      <c r="H199">
        <v>2</v>
      </c>
      <c r="I199" s="13" t="s">
        <v>2189</v>
      </c>
      <c r="J199" s="13" t="s">
        <v>2189</v>
      </c>
      <c r="K199" s="13" t="s">
        <v>2189</v>
      </c>
    </row>
    <row r="200" spans="1:11" hidden="1" x14ac:dyDescent="0.25">
      <c r="A200" t="str">
        <f>_xlfn.XLOOKUP(C200, 'Códigos DANE Municipios'!$B$2:$B$1123, 'Códigos DANE Municipios'!$A$2:$A$1123, "No encontrado")</f>
        <v>18256</v>
      </c>
      <c r="B200" t="str">
        <f>IFERROR(VLOOKUP(D200,APOYO!K:L,2,FALSE),A200)</f>
        <v>18256</v>
      </c>
      <c r="C200" t="s">
        <v>710</v>
      </c>
      <c r="D200" t="str">
        <f>IFERROR(VLOOKUP(C200,APOYO!J:K,2,FALSE),C200)</f>
        <v>EL PAUJÍL</v>
      </c>
      <c r="E200">
        <v>2013</v>
      </c>
      <c r="F200" t="s">
        <v>2189</v>
      </c>
      <c r="G200" t="s">
        <v>2189</v>
      </c>
      <c r="H200">
        <v>3</v>
      </c>
      <c r="I200" s="13" t="s">
        <v>2189</v>
      </c>
      <c r="J200" s="13" t="s">
        <v>2189</v>
      </c>
      <c r="K200" s="13" t="s">
        <v>2189</v>
      </c>
    </row>
    <row r="201" spans="1:11" hidden="1" x14ac:dyDescent="0.25">
      <c r="A201" t="str">
        <f>_xlfn.XLOOKUP(C201, 'Códigos DANE Municipios'!$B$2:$B$1123, 'Códigos DANE Municipios'!$A$2:$A$1123, "No encontrado")</f>
        <v>13268</v>
      </c>
      <c r="B201" t="str">
        <f>IFERROR(VLOOKUP(D201,APOYO!K:L,2,FALSE),A201)</f>
        <v>13268</v>
      </c>
      <c r="C201" t="s">
        <v>337</v>
      </c>
      <c r="D201" t="str">
        <f>IFERROR(VLOOKUP(C201,APOYO!J:K,2,FALSE),C201)</f>
        <v>EL PEÑÓN</v>
      </c>
      <c r="E201">
        <v>2013</v>
      </c>
      <c r="F201" t="s">
        <v>2189</v>
      </c>
      <c r="G201" t="s">
        <v>2189</v>
      </c>
      <c r="H201">
        <v>6</v>
      </c>
      <c r="I201" s="13" t="s">
        <v>2189</v>
      </c>
      <c r="J201" s="13" t="s">
        <v>2189</v>
      </c>
      <c r="K201" s="13" t="s">
        <v>2189</v>
      </c>
    </row>
    <row r="202" spans="1:11" hidden="1" x14ac:dyDescent="0.25">
      <c r="A202" t="str">
        <f>_xlfn.XLOOKUP(C202, 'Códigos DANE Municipios'!$B$2:$B$1123, 'Códigos DANE Municipios'!$A$2:$A$1123, "No encontrado")</f>
        <v>68255</v>
      </c>
      <c r="B202" t="str">
        <f>IFERROR(VLOOKUP(D202,APOYO!K:L,2,FALSE),A202)</f>
        <v>68255</v>
      </c>
      <c r="C202" t="s">
        <v>1704</v>
      </c>
      <c r="D202" t="str">
        <f>IFERROR(VLOOKUP(C202,APOYO!J:K,2,FALSE),C202)</f>
        <v>EL PLAYÓN</v>
      </c>
      <c r="E202">
        <v>2013</v>
      </c>
      <c r="F202" t="s">
        <v>2189</v>
      </c>
      <c r="G202" t="s">
        <v>2189</v>
      </c>
      <c r="H202">
        <v>1</v>
      </c>
      <c r="I202" s="13" t="s">
        <v>2189</v>
      </c>
      <c r="J202" s="13" t="s">
        <v>2189</v>
      </c>
      <c r="K202" s="13" t="s">
        <v>2189</v>
      </c>
    </row>
    <row r="203" spans="1:11" hidden="1" x14ac:dyDescent="0.25">
      <c r="A203" t="str">
        <f>_xlfn.XLOOKUP(C203, 'Códigos DANE Municipios'!$B$2:$B$1123, 'Códigos DANE Municipios'!$A$2:$A$1123, "No encontrado")</f>
        <v>95025</v>
      </c>
      <c r="B203" t="str">
        <f>IFERROR(VLOOKUP(D203,APOYO!K:L,2,FALSE),A203)</f>
        <v>95025</v>
      </c>
      <c r="C203" t="s">
        <v>2148</v>
      </c>
      <c r="D203" t="str">
        <f>IFERROR(VLOOKUP(C203,APOYO!J:K,2,FALSE),C203)</f>
        <v>EL RETORNO</v>
      </c>
      <c r="E203">
        <v>2013</v>
      </c>
      <c r="F203">
        <v>3</v>
      </c>
      <c r="G203" t="s">
        <v>2189</v>
      </c>
      <c r="H203">
        <v>3</v>
      </c>
      <c r="I203" s="13" t="s">
        <v>2189</v>
      </c>
      <c r="J203" s="13" t="s">
        <v>2189</v>
      </c>
      <c r="K203" s="13" t="s">
        <v>2189</v>
      </c>
    </row>
    <row r="204" spans="1:11" hidden="1" x14ac:dyDescent="0.25">
      <c r="A204" t="str">
        <f>_xlfn.XLOOKUP(C204, 'Códigos DANE Municipios'!$B$2:$B$1123, 'Códigos DANE Municipios'!$A$2:$A$1123, "No encontrado")</f>
        <v>25260</v>
      </c>
      <c r="B204" t="str">
        <f>IFERROR(VLOOKUP(D204,APOYO!K:L,2,FALSE),A204)</f>
        <v>25260</v>
      </c>
      <c r="C204" t="s">
        <v>963</v>
      </c>
      <c r="D204" t="str">
        <f>IFERROR(VLOOKUP(C204,APOYO!J:K,2,FALSE),C204)</f>
        <v>EL ROSAL</v>
      </c>
      <c r="E204">
        <v>2013</v>
      </c>
      <c r="F204" t="s">
        <v>2189</v>
      </c>
      <c r="G204" t="s">
        <v>2189</v>
      </c>
      <c r="H204">
        <v>2</v>
      </c>
      <c r="I204" s="13" t="s">
        <v>2189</v>
      </c>
      <c r="J204" s="13" t="s">
        <v>2189</v>
      </c>
      <c r="K204" s="13" t="s">
        <v>2189</v>
      </c>
    </row>
    <row r="205" spans="1:11" hidden="1" x14ac:dyDescent="0.25">
      <c r="A205" t="str">
        <f>_xlfn.XLOOKUP(C205, 'Códigos DANE Municipios'!$B$2:$B$1123, 'Códigos DANE Municipios'!$A$2:$A$1123, "No encontrado")</f>
        <v>52256</v>
      </c>
      <c r="B205" t="str">
        <f>IFERROR(VLOOKUP(D205,APOYO!K:L,2,FALSE),A205)</f>
        <v>52256</v>
      </c>
      <c r="C205" t="s">
        <v>1445</v>
      </c>
      <c r="D205" t="str">
        <f>IFERROR(VLOOKUP(C205,APOYO!J:K,2,FALSE),C205)</f>
        <v>EL ROSARIO</v>
      </c>
      <c r="E205">
        <v>2013</v>
      </c>
      <c r="F205" t="s">
        <v>2189</v>
      </c>
      <c r="G205" t="s">
        <v>2189</v>
      </c>
      <c r="H205">
        <v>3</v>
      </c>
      <c r="I205" s="13" t="s">
        <v>2189</v>
      </c>
      <c r="J205" s="13" t="s">
        <v>2189</v>
      </c>
      <c r="K205" s="13" t="s">
        <v>2189</v>
      </c>
    </row>
    <row r="206" spans="1:11" hidden="1" x14ac:dyDescent="0.25">
      <c r="A206" t="str">
        <f>_xlfn.XLOOKUP(C206, 'Códigos DANE Municipios'!$B$2:$B$1123, 'Códigos DANE Municipios'!$A$2:$A$1123, "No encontrado")</f>
        <v>54250</v>
      </c>
      <c r="B206" t="str">
        <f>IFERROR(VLOOKUP(D206,APOYO!K:L,2,FALSE),A206)</f>
        <v>54250</v>
      </c>
      <c r="C206" t="s">
        <v>1555</v>
      </c>
      <c r="D206" t="str">
        <f>IFERROR(VLOOKUP(C206,APOYO!J:K,2,FALSE),C206)</f>
        <v>EL TARRA</v>
      </c>
      <c r="E206">
        <v>2013</v>
      </c>
      <c r="F206" t="s">
        <v>2189</v>
      </c>
      <c r="G206" t="s">
        <v>2189</v>
      </c>
      <c r="H206">
        <v>1</v>
      </c>
      <c r="I206" s="13" t="s">
        <v>2189</v>
      </c>
      <c r="J206" s="13" t="s">
        <v>2189</v>
      </c>
      <c r="K206" s="13" t="s">
        <v>2189</v>
      </c>
    </row>
    <row r="207" spans="1:11" hidden="1" x14ac:dyDescent="0.25">
      <c r="A207" t="str">
        <f>_xlfn.XLOOKUP(C207, 'Códigos DANE Municipios'!$B$2:$B$1123, 'Códigos DANE Municipios'!$A$2:$A$1123, "No encontrado")</f>
        <v>54261</v>
      </c>
      <c r="B207" t="str">
        <f>IFERROR(VLOOKUP(D207,APOYO!K:L,2,FALSE),A207)</f>
        <v>54261</v>
      </c>
      <c r="C207" t="s">
        <v>1557</v>
      </c>
      <c r="D207" t="str">
        <f>IFERROR(VLOOKUP(C207,APOYO!J:K,2,FALSE),C207)</f>
        <v>EL ZULIA</v>
      </c>
      <c r="E207">
        <v>2013</v>
      </c>
      <c r="F207" t="s">
        <v>2189</v>
      </c>
      <c r="G207" t="s">
        <v>2189</v>
      </c>
      <c r="H207">
        <v>1</v>
      </c>
      <c r="I207" s="13" t="s">
        <v>2189</v>
      </c>
      <c r="J207" s="13" t="s">
        <v>2189</v>
      </c>
      <c r="K207" s="13" t="s">
        <v>2189</v>
      </c>
    </row>
    <row r="208" spans="1:11" hidden="1" x14ac:dyDescent="0.25">
      <c r="A208" t="str">
        <f>_xlfn.XLOOKUP(C208, 'Códigos DANE Municipios'!$B$2:$B$1123, 'Códigos DANE Municipios'!$A$2:$A$1123, "No encontrado")</f>
        <v>41244</v>
      </c>
      <c r="B208" t="str">
        <f>IFERROR(VLOOKUP(D208,APOYO!K:L,2,FALSE),A208)</f>
        <v>41244</v>
      </c>
      <c r="C208" t="s">
        <v>1219</v>
      </c>
      <c r="D208" t="str">
        <f>IFERROR(VLOOKUP(C208,APOYO!J:K,2,FALSE),C208)</f>
        <v>ELÍAS</v>
      </c>
      <c r="E208">
        <v>2013</v>
      </c>
      <c r="F208" t="s">
        <v>2189</v>
      </c>
      <c r="G208" t="s">
        <v>2189</v>
      </c>
      <c r="H208">
        <v>2</v>
      </c>
      <c r="I208" s="13" t="s">
        <v>2189</v>
      </c>
      <c r="J208" s="13" t="s">
        <v>2189</v>
      </c>
      <c r="K208" s="13" t="s">
        <v>2189</v>
      </c>
    </row>
    <row r="209" spans="1:11" hidden="1" x14ac:dyDescent="0.25">
      <c r="A209" t="str">
        <f>_xlfn.XLOOKUP(C209, 'Códigos DANE Municipios'!$B$2:$B$1123, 'Códigos DANE Municipios'!$A$2:$A$1123, "No encontrado")</f>
        <v>05264</v>
      </c>
      <c r="B209" t="str">
        <f>IFERROR(VLOOKUP(D209,APOYO!K:L,2,FALSE),A209)</f>
        <v>05264</v>
      </c>
      <c r="C209" t="s">
        <v>102</v>
      </c>
      <c r="D209" t="str">
        <f>IFERROR(VLOOKUP(C209,APOYO!J:K,2,FALSE),C209)</f>
        <v>ENTRERRÍOS</v>
      </c>
      <c r="E209">
        <v>2013</v>
      </c>
      <c r="F209" t="s">
        <v>2189</v>
      </c>
      <c r="G209" t="s">
        <v>2189</v>
      </c>
      <c r="H209">
        <v>1</v>
      </c>
      <c r="I209" s="13" t="s">
        <v>2189</v>
      </c>
      <c r="J209" s="13" t="s">
        <v>2189</v>
      </c>
      <c r="K209" s="13" t="s">
        <v>2189</v>
      </c>
    </row>
    <row r="210" spans="1:11" hidden="1" x14ac:dyDescent="0.25">
      <c r="A210" t="str">
        <f>_xlfn.XLOOKUP(C210, 'Códigos DANE Municipios'!$B$2:$B$1123, 'Códigos DANE Municipios'!$A$2:$A$1123, "No encontrado")</f>
        <v>05266</v>
      </c>
      <c r="B210" t="str">
        <f>IFERROR(VLOOKUP(D210,APOYO!K:L,2,FALSE),A210)</f>
        <v>05266</v>
      </c>
      <c r="C210" t="s">
        <v>104</v>
      </c>
      <c r="D210" t="str">
        <f>IFERROR(VLOOKUP(C210,APOYO!J:K,2,FALSE),C210)</f>
        <v>ENVIGADO</v>
      </c>
      <c r="E210">
        <v>2013</v>
      </c>
      <c r="F210" t="s">
        <v>2189</v>
      </c>
      <c r="G210" t="s">
        <v>2189</v>
      </c>
      <c r="H210">
        <v>628</v>
      </c>
      <c r="I210" s="13" t="s">
        <v>2189</v>
      </c>
      <c r="J210" s="13" t="s">
        <v>2189</v>
      </c>
      <c r="K210" s="13" t="s">
        <v>2189</v>
      </c>
    </row>
    <row r="211" spans="1:11" hidden="1" x14ac:dyDescent="0.25">
      <c r="A211" t="str">
        <f>_xlfn.XLOOKUP(C211, 'Códigos DANE Municipios'!$B$2:$B$1123, 'Códigos DANE Municipios'!$A$2:$A$1123, "No encontrado")</f>
        <v>73268</v>
      </c>
      <c r="B211" t="str">
        <f>IFERROR(VLOOKUP(D211,APOYO!K:L,2,FALSE),A211)</f>
        <v>73268</v>
      </c>
      <c r="C211" t="s">
        <v>1895</v>
      </c>
      <c r="D211" t="str">
        <f>IFERROR(VLOOKUP(C211,APOYO!J:K,2,FALSE),C211)</f>
        <v>ESPINAL</v>
      </c>
      <c r="E211">
        <v>2013</v>
      </c>
      <c r="F211">
        <v>10</v>
      </c>
      <c r="G211" t="s">
        <v>2189</v>
      </c>
      <c r="H211">
        <v>62</v>
      </c>
      <c r="I211" s="13" t="s">
        <v>2189</v>
      </c>
      <c r="J211" s="13" t="s">
        <v>2189</v>
      </c>
      <c r="K211" s="13" t="s">
        <v>2189</v>
      </c>
    </row>
    <row r="212" spans="1:11" hidden="1" x14ac:dyDescent="0.25">
      <c r="A212" t="str">
        <f>_xlfn.XLOOKUP(C212, 'Códigos DANE Municipios'!$B$2:$B$1123, 'Códigos DANE Municipios'!$A$2:$A$1123, "No encontrado")</f>
        <v>25269</v>
      </c>
      <c r="B212" t="str">
        <f>IFERROR(VLOOKUP(D212,APOYO!K:L,2,FALSE),A212)</f>
        <v>25269</v>
      </c>
      <c r="C212" t="s">
        <v>965</v>
      </c>
      <c r="D212" t="str">
        <f>IFERROR(VLOOKUP(C212,APOYO!J:K,2,FALSE),C212)</f>
        <v>FACATATIVÁ</v>
      </c>
      <c r="E212">
        <v>2013</v>
      </c>
      <c r="F212" t="s">
        <v>2189</v>
      </c>
      <c r="G212" t="s">
        <v>2189</v>
      </c>
      <c r="H212">
        <v>253</v>
      </c>
      <c r="I212" s="13" t="s">
        <v>2189</v>
      </c>
      <c r="J212" s="13" t="s">
        <v>2189</v>
      </c>
      <c r="K212" s="13" t="s">
        <v>2189</v>
      </c>
    </row>
    <row r="213" spans="1:11" hidden="1" x14ac:dyDescent="0.25">
      <c r="A213" t="str">
        <f>_xlfn.XLOOKUP(C213, 'Códigos DANE Municipios'!$B$2:$B$1123, 'Códigos DANE Municipios'!$A$2:$A$1123, "No encontrado")</f>
        <v>17272</v>
      </c>
      <c r="B213" t="str">
        <f>IFERROR(VLOOKUP(D213,APOYO!K:L,2,FALSE),A213)</f>
        <v>17272</v>
      </c>
      <c r="C213" t="s">
        <v>656</v>
      </c>
      <c r="D213" t="str">
        <f>IFERROR(VLOOKUP(C213,APOYO!J:K,2,FALSE),C213)</f>
        <v>FILADELFIA</v>
      </c>
      <c r="E213">
        <v>2013</v>
      </c>
      <c r="F213" t="s">
        <v>2189</v>
      </c>
      <c r="G213" t="s">
        <v>2189</v>
      </c>
      <c r="H213">
        <v>3</v>
      </c>
      <c r="I213" s="13" t="s">
        <v>2189</v>
      </c>
      <c r="J213" s="13" t="s">
        <v>2189</v>
      </c>
      <c r="K213" s="13" t="s">
        <v>2189</v>
      </c>
    </row>
    <row r="214" spans="1:11" hidden="1" x14ac:dyDescent="0.25">
      <c r="A214" t="str">
        <f>_xlfn.XLOOKUP(C214, 'Códigos DANE Municipios'!$B$2:$B$1123, 'Códigos DANE Municipios'!$A$2:$A$1123, "No encontrado")</f>
        <v>63272</v>
      </c>
      <c r="B214" t="str">
        <f>IFERROR(VLOOKUP(D214,APOYO!K:L,2,FALSE),A214)</f>
        <v>63272</v>
      </c>
      <c r="C214" t="s">
        <v>1614</v>
      </c>
      <c r="D214" t="str">
        <f>IFERROR(VLOOKUP(C214,APOYO!J:K,2,FALSE),C214)</f>
        <v>FILANDIA</v>
      </c>
      <c r="E214">
        <v>2013</v>
      </c>
      <c r="F214" t="s">
        <v>2189</v>
      </c>
      <c r="G214" t="s">
        <v>2189</v>
      </c>
      <c r="H214">
        <v>77</v>
      </c>
      <c r="I214" s="13" t="s">
        <v>2189</v>
      </c>
      <c r="J214" s="13" t="s">
        <v>2189</v>
      </c>
      <c r="K214" s="13" t="s">
        <v>2189</v>
      </c>
    </row>
    <row r="215" spans="1:11" hidden="1" x14ac:dyDescent="0.25">
      <c r="A215" t="str">
        <f>_xlfn.XLOOKUP(C215, 'Códigos DANE Municipios'!$B$2:$B$1123, 'Códigos DANE Municipios'!$A$2:$A$1123, "No encontrado")</f>
        <v>15272</v>
      </c>
      <c r="B215" t="str">
        <f>IFERROR(VLOOKUP(D215,APOYO!K:L,2,FALSE),A215)</f>
        <v>15272</v>
      </c>
      <c r="C215" t="s">
        <v>467</v>
      </c>
      <c r="D215" t="str">
        <f>IFERROR(VLOOKUP(C215,APOYO!J:K,2,FALSE),C215)</f>
        <v>FIRAVITOBA</v>
      </c>
      <c r="E215">
        <v>2013</v>
      </c>
      <c r="F215">
        <v>218</v>
      </c>
      <c r="G215" t="s">
        <v>2189</v>
      </c>
      <c r="H215">
        <v>2</v>
      </c>
      <c r="I215" s="13" t="s">
        <v>2189</v>
      </c>
      <c r="J215" s="13" t="s">
        <v>2189</v>
      </c>
      <c r="K215" s="13" t="s">
        <v>2189</v>
      </c>
    </row>
    <row r="216" spans="1:11" hidden="1" x14ac:dyDescent="0.25">
      <c r="A216" t="str">
        <f>_xlfn.XLOOKUP(C216, 'Códigos DANE Municipios'!$B$2:$B$1123, 'Códigos DANE Municipios'!$A$2:$A$1123, "No encontrado")</f>
        <v>73275</v>
      </c>
      <c r="B216" t="str">
        <f>IFERROR(VLOOKUP(D216,APOYO!K:L,2,FALSE),A216)</f>
        <v>73275</v>
      </c>
      <c r="C216" t="s">
        <v>1899</v>
      </c>
      <c r="D216" t="str">
        <f>IFERROR(VLOOKUP(C216,APOYO!J:K,2,FALSE),C216)</f>
        <v>FLANDES</v>
      </c>
      <c r="E216">
        <v>2013</v>
      </c>
      <c r="F216">
        <v>320</v>
      </c>
      <c r="G216" t="s">
        <v>2189</v>
      </c>
      <c r="H216">
        <v>11</v>
      </c>
      <c r="I216" s="13" t="s">
        <v>2189</v>
      </c>
      <c r="J216" s="13" t="s">
        <v>2189</v>
      </c>
      <c r="K216" s="13" t="s">
        <v>2189</v>
      </c>
    </row>
    <row r="217" spans="1:11" hidden="1" x14ac:dyDescent="0.25">
      <c r="A217" t="str">
        <f>_xlfn.XLOOKUP(C217, 'Códigos DANE Municipios'!$B$2:$B$1123, 'Códigos DANE Municipios'!$A$2:$A$1123, "No encontrado")</f>
        <v>18001</v>
      </c>
      <c r="B217" t="str">
        <f>IFERROR(VLOOKUP(D217,APOYO!K:L,2,FALSE),A217)</f>
        <v>18001</v>
      </c>
      <c r="C217" t="s">
        <v>698</v>
      </c>
      <c r="D217" t="str">
        <f>IFERROR(VLOOKUP(C217,APOYO!J:K,2,FALSE),C217)</f>
        <v>FLORENCIA</v>
      </c>
      <c r="E217">
        <v>2013</v>
      </c>
      <c r="F217">
        <v>36701</v>
      </c>
      <c r="G217">
        <v>127</v>
      </c>
      <c r="H217" t="s">
        <v>2189</v>
      </c>
      <c r="I217" s="13" t="s">
        <v>2189</v>
      </c>
      <c r="J217" s="13" t="s">
        <v>2189</v>
      </c>
      <c r="K217" s="13" t="s">
        <v>2189</v>
      </c>
    </row>
    <row r="218" spans="1:11" hidden="1" x14ac:dyDescent="0.25">
      <c r="A218" t="str">
        <f>_xlfn.XLOOKUP(C218, 'Códigos DANE Municipios'!$B$2:$B$1123, 'Códigos DANE Municipios'!$A$2:$A$1123, "No encontrado")</f>
        <v>15276</v>
      </c>
      <c r="B218" t="str">
        <f>IFERROR(VLOOKUP(D218,APOYO!K:L,2,FALSE),A218)</f>
        <v>15276</v>
      </c>
      <c r="C218" t="s">
        <v>469</v>
      </c>
      <c r="D218" t="str">
        <f>IFERROR(VLOOKUP(C218,APOYO!J:K,2,FALSE),C218)</f>
        <v>FLORESTA</v>
      </c>
      <c r="E218">
        <v>2013</v>
      </c>
      <c r="F218" t="s">
        <v>2189</v>
      </c>
      <c r="G218" t="s">
        <v>2189</v>
      </c>
      <c r="H218">
        <v>1</v>
      </c>
      <c r="I218" s="13" t="s">
        <v>2189</v>
      </c>
      <c r="J218" s="13" t="s">
        <v>2189</v>
      </c>
      <c r="K218" s="13" t="s">
        <v>2189</v>
      </c>
    </row>
    <row r="219" spans="1:11" hidden="1" x14ac:dyDescent="0.25">
      <c r="A219" t="str">
        <f>_xlfn.XLOOKUP(C219, 'Códigos DANE Municipios'!$B$2:$B$1123, 'Códigos DANE Municipios'!$A$2:$A$1123, "No encontrado")</f>
        <v>68271</v>
      </c>
      <c r="B219" t="str">
        <f>IFERROR(VLOOKUP(D219,APOYO!K:L,2,FALSE),A219)</f>
        <v>68271</v>
      </c>
      <c r="C219" t="s">
        <v>1710</v>
      </c>
      <c r="D219" t="str">
        <f>IFERROR(VLOOKUP(C219,APOYO!J:K,2,FALSE),C219)</f>
        <v>FLORIÁN</v>
      </c>
      <c r="E219">
        <v>2013</v>
      </c>
      <c r="F219" t="s">
        <v>2189</v>
      </c>
      <c r="G219" t="s">
        <v>2189</v>
      </c>
      <c r="H219">
        <v>1</v>
      </c>
      <c r="I219" s="13" t="s">
        <v>2189</v>
      </c>
      <c r="J219" s="13" t="s">
        <v>2189</v>
      </c>
      <c r="K219" s="13" t="s">
        <v>2189</v>
      </c>
    </row>
    <row r="220" spans="1:11" hidden="1" x14ac:dyDescent="0.25">
      <c r="A220" t="str">
        <f>_xlfn.XLOOKUP(C220, 'Códigos DANE Municipios'!$B$2:$B$1123, 'Códigos DANE Municipios'!$A$2:$A$1123, "No encontrado")</f>
        <v>76275</v>
      </c>
      <c r="B220" t="str">
        <f>IFERROR(VLOOKUP(D220,APOYO!K:L,2,FALSE),A220)</f>
        <v>76275</v>
      </c>
      <c r="C220" t="s">
        <v>1990</v>
      </c>
      <c r="D220" t="str">
        <f>IFERROR(VLOOKUP(C220,APOYO!J:K,2,FALSE),C220)</f>
        <v>FLORIDA</v>
      </c>
      <c r="E220">
        <v>2013</v>
      </c>
      <c r="F220" t="s">
        <v>2189</v>
      </c>
      <c r="G220" t="s">
        <v>2189</v>
      </c>
      <c r="H220">
        <v>98</v>
      </c>
      <c r="I220" s="13" t="s">
        <v>2189</v>
      </c>
      <c r="J220" s="13" t="s">
        <v>2189</v>
      </c>
      <c r="K220" s="13" t="s">
        <v>2189</v>
      </c>
    </row>
    <row r="221" spans="1:11" hidden="1" x14ac:dyDescent="0.25">
      <c r="A221" t="str">
        <f>_xlfn.XLOOKUP(C221, 'Códigos DANE Municipios'!$B$2:$B$1123, 'Códigos DANE Municipios'!$A$2:$A$1123, "No encontrado")</f>
        <v>68276</v>
      </c>
      <c r="B221" t="str">
        <f>IFERROR(VLOOKUP(D221,APOYO!K:L,2,FALSE),A221)</f>
        <v>68276</v>
      </c>
      <c r="C221" t="s">
        <v>1712</v>
      </c>
      <c r="D221" t="str">
        <f>IFERROR(VLOOKUP(C221,APOYO!J:K,2,FALSE),C221)</f>
        <v>FLORIDABLANCA</v>
      </c>
      <c r="E221">
        <v>2013</v>
      </c>
      <c r="F221" t="s">
        <v>2189</v>
      </c>
      <c r="G221" t="s">
        <v>2189</v>
      </c>
      <c r="H221">
        <v>185</v>
      </c>
      <c r="I221" s="13" t="s">
        <v>2189</v>
      </c>
      <c r="J221" s="13" t="s">
        <v>2189</v>
      </c>
      <c r="K221" s="13" t="s">
        <v>2189</v>
      </c>
    </row>
    <row r="222" spans="1:11" hidden="1" x14ac:dyDescent="0.25">
      <c r="A222" t="str">
        <f>_xlfn.XLOOKUP(C222, 'Códigos DANE Municipios'!$B$2:$B$1123, 'Códigos DANE Municipios'!$A$2:$A$1123, "No encontrado")</f>
        <v>44279</v>
      </c>
      <c r="B222" t="str">
        <f>IFERROR(VLOOKUP(D222,APOYO!K:L,2,FALSE),A222)</f>
        <v>44279</v>
      </c>
      <c r="C222" t="s">
        <v>1283</v>
      </c>
      <c r="D222" t="str">
        <f>IFERROR(VLOOKUP(C222,APOYO!J:K,2,FALSE),C222)</f>
        <v>FONSECA</v>
      </c>
      <c r="E222">
        <v>2013</v>
      </c>
      <c r="F222" t="s">
        <v>2189</v>
      </c>
      <c r="G222" t="s">
        <v>2189</v>
      </c>
      <c r="H222">
        <v>22</v>
      </c>
      <c r="I222" s="13" t="s">
        <v>2189</v>
      </c>
      <c r="J222" s="13" t="s">
        <v>2189</v>
      </c>
      <c r="K222" s="13" t="s">
        <v>2189</v>
      </c>
    </row>
    <row r="223" spans="1:11" hidden="1" x14ac:dyDescent="0.25">
      <c r="A223" t="str">
        <f>_xlfn.XLOOKUP(C223, 'Códigos DANE Municipios'!$B$2:$B$1123, 'Códigos DANE Municipios'!$A$2:$A$1123, "No encontrado")</f>
        <v>81300</v>
      </c>
      <c r="B223" t="str">
        <f>IFERROR(VLOOKUP(D223,APOYO!K:L,2,FALSE),A223)</f>
        <v>81300</v>
      </c>
      <c r="C223" t="s">
        <v>2040</v>
      </c>
      <c r="D223" t="str">
        <f>IFERROR(VLOOKUP(C223,APOYO!J:K,2,FALSE),C223)</f>
        <v>FORTUL</v>
      </c>
      <c r="E223">
        <v>2013</v>
      </c>
      <c r="F223" t="s">
        <v>2189</v>
      </c>
      <c r="G223" t="s">
        <v>2189</v>
      </c>
      <c r="H223">
        <v>2</v>
      </c>
      <c r="I223" s="13" t="s">
        <v>2189</v>
      </c>
      <c r="J223" s="13" t="s">
        <v>2189</v>
      </c>
      <c r="K223" s="13" t="s">
        <v>2189</v>
      </c>
    </row>
    <row r="224" spans="1:11" hidden="1" x14ac:dyDescent="0.25">
      <c r="A224" t="str">
        <f>_xlfn.XLOOKUP(C224, 'Códigos DANE Municipios'!$B$2:$B$1123, 'Códigos DANE Municipios'!$A$2:$A$1123, "No encontrado")</f>
        <v>05282</v>
      </c>
      <c r="B224" t="str">
        <f>IFERROR(VLOOKUP(D224,APOYO!K:L,2,FALSE),A224)</f>
        <v>05282</v>
      </c>
      <c r="C224" t="s">
        <v>106</v>
      </c>
      <c r="D224" t="str">
        <f>IFERROR(VLOOKUP(C224,APOYO!J:K,2,FALSE),C224)</f>
        <v>FREDONIA</v>
      </c>
      <c r="E224">
        <v>2013</v>
      </c>
      <c r="F224" t="s">
        <v>2189</v>
      </c>
      <c r="G224" t="s">
        <v>2189</v>
      </c>
      <c r="H224">
        <v>8</v>
      </c>
      <c r="I224" s="13" t="s">
        <v>2189</v>
      </c>
      <c r="J224" s="13" t="s">
        <v>2189</v>
      </c>
      <c r="K224" s="13" t="s">
        <v>2189</v>
      </c>
    </row>
    <row r="225" spans="1:11" hidden="1" x14ac:dyDescent="0.25">
      <c r="A225" t="str">
        <f>_xlfn.XLOOKUP(C225, 'Códigos DANE Municipios'!$B$2:$B$1123, 'Códigos DANE Municipios'!$A$2:$A$1123, "No encontrado")</f>
        <v>73283</v>
      </c>
      <c r="B225" t="str">
        <f>IFERROR(VLOOKUP(D225,APOYO!K:L,2,FALSE),A225)</f>
        <v>73283</v>
      </c>
      <c r="C225" t="s">
        <v>1901</v>
      </c>
      <c r="D225" t="str">
        <f>IFERROR(VLOOKUP(C225,APOYO!J:K,2,FALSE),C225)</f>
        <v>FRESNO</v>
      </c>
      <c r="E225">
        <v>2013</v>
      </c>
      <c r="F225" t="s">
        <v>2189</v>
      </c>
      <c r="G225" t="s">
        <v>2189</v>
      </c>
      <c r="H225">
        <v>14</v>
      </c>
      <c r="I225" s="13" t="s">
        <v>2189</v>
      </c>
      <c r="J225" s="13" t="s">
        <v>2189</v>
      </c>
      <c r="K225" s="13" t="s">
        <v>2189</v>
      </c>
    </row>
    <row r="226" spans="1:11" hidden="1" x14ac:dyDescent="0.25">
      <c r="A226" t="str">
        <f>_xlfn.XLOOKUP(C226, 'Códigos DANE Municipios'!$B$2:$B$1123, 'Códigos DANE Municipios'!$A$2:$A$1123, "No encontrado")</f>
        <v>05284</v>
      </c>
      <c r="B226" t="str">
        <f>IFERROR(VLOOKUP(D226,APOYO!K:L,2,FALSE),A226)</f>
        <v>05284</v>
      </c>
      <c r="C226" t="s">
        <v>108</v>
      </c>
      <c r="D226" t="str">
        <f>IFERROR(VLOOKUP(C226,APOYO!J:K,2,FALSE),C226)</f>
        <v>FRONTINO</v>
      </c>
      <c r="E226">
        <v>2013</v>
      </c>
      <c r="F226">
        <v>14</v>
      </c>
      <c r="G226" t="s">
        <v>2189</v>
      </c>
      <c r="H226" t="s">
        <v>2189</v>
      </c>
      <c r="I226" s="13" t="s">
        <v>2189</v>
      </c>
      <c r="J226" s="13" t="s">
        <v>2189</v>
      </c>
      <c r="K226" s="13" t="s">
        <v>2189</v>
      </c>
    </row>
    <row r="227" spans="1:11" hidden="1" x14ac:dyDescent="0.25">
      <c r="A227" t="str">
        <f>_xlfn.XLOOKUP(C227, 'Códigos DANE Municipios'!$B$2:$B$1123, 'Códigos DANE Municipios'!$A$2:$A$1123, "No encontrado")</f>
        <v>50287</v>
      </c>
      <c r="B227" t="str">
        <f>IFERROR(VLOOKUP(D227,APOYO!K:L,2,FALSE),A227)</f>
        <v>50287</v>
      </c>
      <c r="C227" t="s">
        <v>1378</v>
      </c>
      <c r="D227" t="str">
        <f>IFERROR(VLOOKUP(C227,APOYO!J:K,2,FALSE),C227)</f>
        <v>FUENTE DE ORO</v>
      </c>
      <c r="E227">
        <v>2013</v>
      </c>
      <c r="F227">
        <v>13</v>
      </c>
      <c r="G227" t="s">
        <v>2189</v>
      </c>
      <c r="H227">
        <v>1</v>
      </c>
      <c r="I227" s="13" t="s">
        <v>2189</v>
      </c>
      <c r="J227" s="13" t="s">
        <v>2189</v>
      </c>
      <c r="K227" s="13" t="s">
        <v>2189</v>
      </c>
    </row>
    <row r="228" spans="1:11" hidden="1" x14ac:dyDescent="0.25">
      <c r="A228" t="str">
        <f>_xlfn.XLOOKUP(C228, 'Códigos DANE Municipios'!$B$2:$B$1123, 'Códigos DANE Municipios'!$A$2:$A$1123, "No encontrado")</f>
        <v>47288</v>
      </c>
      <c r="B228" t="str">
        <f>IFERROR(VLOOKUP(D228,APOYO!K:L,2,FALSE),A228)</f>
        <v>47288</v>
      </c>
      <c r="C228" t="s">
        <v>1321</v>
      </c>
      <c r="D228" t="str">
        <f>IFERROR(VLOOKUP(C228,APOYO!J:K,2,FALSE),C228)</f>
        <v>FUNDACIÓN</v>
      </c>
      <c r="E228">
        <v>2013</v>
      </c>
      <c r="F228" t="s">
        <v>2189</v>
      </c>
      <c r="G228" t="s">
        <v>2189</v>
      </c>
      <c r="H228">
        <v>15</v>
      </c>
      <c r="I228" s="13" t="s">
        <v>2189</v>
      </c>
      <c r="J228" s="13" t="s">
        <v>2189</v>
      </c>
      <c r="K228" s="13" t="s">
        <v>2189</v>
      </c>
    </row>
    <row r="229" spans="1:11" hidden="1" x14ac:dyDescent="0.25">
      <c r="A229" t="str">
        <f>_xlfn.XLOOKUP(C229, 'Códigos DANE Municipios'!$B$2:$B$1123, 'Códigos DANE Municipios'!$A$2:$A$1123, "No encontrado")</f>
        <v>52287</v>
      </c>
      <c r="B229" t="str">
        <f>IFERROR(VLOOKUP(D229,APOYO!K:L,2,FALSE),A229)</f>
        <v>52287</v>
      </c>
      <c r="C229" t="s">
        <v>1450</v>
      </c>
      <c r="D229" t="str">
        <f>IFERROR(VLOOKUP(C229,APOYO!J:K,2,FALSE),C229)</f>
        <v>FUNES</v>
      </c>
      <c r="E229">
        <v>2013</v>
      </c>
      <c r="F229" t="s">
        <v>2189</v>
      </c>
      <c r="G229" t="s">
        <v>2189</v>
      </c>
      <c r="H229">
        <v>5</v>
      </c>
      <c r="I229" s="13" t="s">
        <v>2189</v>
      </c>
      <c r="J229" s="13" t="s">
        <v>2189</v>
      </c>
      <c r="K229" s="13" t="s">
        <v>2189</v>
      </c>
    </row>
    <row r="230" spans="1:11" hidden="1" x14ac:dyDescent="0.25">
      <c r="A230" t="str">
        <f>_xlfn.XLOOKUP(C230, 'Códigos DANE Municipios'!$B$2:$B$1123, 'Códigos DANE Municipios'!$A$2:$A$1123, "No encontrado")</f>
        <v>25286</v>
      </c>
      <c r="B230" t="str">
        <f>IFERROR(VLOOKUP(D230,APOYO!K:L,2,FALSE),A230)</f>
        <v>25286</v>
      </c>
      <c r="C230" t="s">
        <v>971</v>
      </c>
      <c r="D230" t="str">
        <f>IFERROR(VLOOKUP(C230,APOYO!J:K,2,FALSE),C230)</f>
        <v>FUNZA</v>
      </c>
      <c r="E230">
        <v>2013</v>
      </c>
      <c r="F230" t="s">
        <v>2189</v>
      </c>
      <c r="G230" t="s">
        <v>2189</v>
      </c>
      <c r="H230">
        <v>188</v>
      </c>
      <c r="I230" s="13" t="s">
        <v>2189</v>
      </c>
      <c r="J230" s="13" t="s">
        <v>2189</v>
      </c>
      <c r="K230" s="13" t="s">
        <v>2189</v>
      </c>
    </row>
    <row r="231" spans="1:11" hidden="1" x14ac:dyDescent="0.25">
      <c r="A231" t="str">
        <f>_xlfn.XLOOKUP(C231, 'Códigos DANE Municipios'!$B$2:$B$1123, 'Códigos DANE Municipios'!$A$2:$A$1123, "No encontrado")</f>
        <v>25290</v>
      </c>
      <c r="B231" t="str">
        <f>IFERROR(VLOOKUP(D231,APOYO!K:L,2,FALSE),A231)</f>
        <v>25290</v>
      </c>
      <c r="C231" t="s">
        <v>975</v>
      </c>
      <c r="D231" t="str">
        <f>IFERROR(VLOOKUP(C231,APOYO!J:K,2,FALSE),C231)</f>
        <v>FUSAGASUGÁ</v>
      </c>
      <c r="E231">
        <v>2013</v>
      </c>
      <c r="F231" t="s">
        <v>2189</v>
      </c>
      <c r="G231" t="s">
        <v>2189</v>
      </c>
      <c r="H231">
        <v>919</v>
      </c>
      <c r="I231" s="13" t="s">
        <v>2189</v>
      </c>
      <c r="J231" s="13" t="s">
        <v>2189</v>
      </c>
      <c r="K231" s="13" t="s">
        <v>2189</v>
      </c>
    </row>
    <row r="232" spans="1:11" hidden="1" x14ac:dyDescent="0.25">
      <c r="A232" t="str">
        <f>_xlfn.XLOOKUP(C232, 'Códigos DANE Municipios'!$B$2:$B$1123, 'Códigos DANE Municipios'!$A$2:$A$1123, "No encontrado")</f>
        <v>25295</v>
      </c>
      <c r="B232" t="str">
        <f>IFERROR(VLOOKUP(D232,APOYO!K:L,2,FALSE),A232)</f>
        <v>25295</v>
      </c>
      <c r="C232" t="s">
        <v>979</v>
      </c>
      <c r="D232" t="str">
        <f>IFERROR(VLOOKUP(C232,APOYO!J:K,2,FALSE),C232)</f>
        <v>GACHANCIPÁ</v>
      </c>
      <c r="E232">
        <v>2013</v>
      </c>
      <c r="F232" t="s">
        <v>2189</v>
      </c>
      <c r="G232" t="s">
        <v>2189</v>
      </c>
      <c r="H232">
        <v>22</v>
      </c>
      <c r="I232" s="13" t="s">
        <v>2189</v>
      </c>
      <c r="J232" s="13" t="s">
        <v>2189</v>
      </c>
      <c r="K232" s="13" t="s">
        <v>2189</v>
      </c>
    </row>
    <row r="233" spans="1:11" hidden="1" x14ac:dyDescent="0.25">
      <c r="A233" t="str">
        <f>_xlfn.XLOOKUP(C233, 'Códigos DANE Municipios'!$B$2:$B$1123, 'Códigos DANE Municipios'!$A$2:$A$1123, "No encontrado")</f>
        <v>15293</v>
      </c>
      <c r="B233" t="str">
        <f>IFERROR(VLOOKUP(D233,APOYO!K:L,2,FALSE),A233)</f>
        <v>15293</v>
      </c>
      <c r="C233" t="s">
        <v>471</v>
      </c>
      <c r="D233" t="str">
        <f>IFERROR(VLOOKUP(C233,APOYO!J:K,2,FALSE),C233)</f>
        <v>GACHANTIVÁ</v>
      </c>
      <c r="E233">
        <v>2013</v>
      </c>
      <c r="F233" t="s">
        <v>2189</v>
      </c>
      <c r="G233" t="s">
        <v>2189</v>
      </c>
      <c r="H233">
        <v>4</v>
      </c>
      <c r="I233" s="13" t="s">
        <v>2189</v>
      </c>
      <c r="J233" s="13" t="s">
        <v>2189</v>
      </c>
      <c r="K233" s="13" t="s">
        <v>2189</v>
      </c>
    </row>
    <row r="234" spans="1:11" hidden="1" x14ac:dyDescent="0.25">
      <c r="A234" t="str">
        <f>_xlfn.XLOOKUP(C234, 'Códigos DANE Municipios'!$B$2:$B$1123, 'Códigos DANE Municipios'!$A$2:$A$1123, "No encontrado")</f>
        <v>68296</v>
      </c>
      <c r="B234" t="str">
        <f>IFERROR(VLOOKUP(D234,APOYO!K:L,2,FALSE),A234)</f>
        <v>68296</v>
      </c>
      <c r="C234" t="s">
        <v>1714</v>
      </c>
      <c r="D234" t="str">
        <f>IFERROR(VLOOKUP(C234,APOYO!J:K,2,FALSE),C234)</f>
        <v>GALÁN</v>
      </c>
      <c r="E234">
        <v>2013</v>
      </c>
      <c r="F234" t="s">
        <v>2189</v>
      </c>
      <c r="G234" t="s">
        <v>2189</v>
      </c>
      <c r="H234">
        <v>1</v>
      </c>
      <c r="I234" s="13" t="s">
        <v>2189</v>
      </c>
      <c r="J234" s="13" t="s">
        <v>2189</v>
      </c>
      <c r="K234" s="13" t="s">
        <v>2189</v>
      </c>
    </row>
    <row r="235" spans="1:11" hidden="1" x14ac:dyDescent="0.25">
      <c r="A235" t="str">
        <f>_xlfn.XLOOKUP(C235, 'Códigos DANE Municipios'!$B$2:$B$1123, 'Códigos DANE Municipios'!$A$2:$A$1123, "No encontrado")</f>
        <v>08296</v>
      </c>
      <c r="B235" t="str">
        <f>IFERROR(VLOOKUP(D235,APOYO!K:L,2,FALSE),A235)</f>
        <v>08296</v>
      </c>
      <c r="C235" t="s">
        <v>270</v>
      </c>
      <c r="D235" t="str">
        <f>IFERROR(VLOOKUP(C235,APOYO!J:K,2,FALSE),C235)</f>
        <v>GALAPA</v>
      </c>
      <c r="E235">
        <v>2013</v>
      </c>
      <c r="F235" t="s">
        <v>2189</v>
      </c>
      <c r="G235" t="s">
        <v>2189</v>
      </c>
      <c r="H235">
        <v>22</v>
      </c>
      <c r="I235" s="13" t="s">
        <v>2189</v>
      </c>
      <c r="J235" s="13" t="s">
        <v>2189</v>
      </c>
      <c r="K235" s="13" t="s">
        <v>2189</v>
      </c>
    </row>
    <row r="236" spans="1:11" hidden="1" x14ac:dyDescent="0.25">
      <c r="A236" t="str">
        <f>_xlfn.XLOOKUP(C236, 'Códigos DANE Municipios'!$B$2:$B$1123, 'Códigos DANE Municipios'!$A$2:$A$1123, "No encontrado")</f>
        <v>15299</v>
      </c>
      <c r="B236" t="str">
        <f>IFERROR(VLOOKUP(D236,APOYO!K:L,2,FALSE),A236)</f>
        <v>15299</v>
      </c>
      <c r="C236" t="s">
        <v>475</v>
      </c>
      <c r="D236" t="str">
        <f>IFERROR(VLOOKUP(C236,APOYO!J:K,2,FALSE),C236)</f>
        <v>GARAGOA</v>
      </c>
      <c r="E236">
        <v>2013</v>
      </c>
      <c r="F236" t="s">
        <v>2189</v>
      </c>
      <c r="G236" t="s">
        <v>2189</v>
      </c>
      <c r="H236">
        <v>18</v>
      </c>
      <c r="I236" s="13" t="s">
        <v>2189</v>
      </c>
      <c r="J236" s="13" t="s">
        <v>2189</v>
      </c>
      <c r="K236" s="13" t="s">
        <v>2189</v>
      </c>
    </row>
    <row r="237" spans="1:11" hidden="1" x14ac:dyDescent="0.25">
      <c r="A237" t="str">
        <f>_xlfn.XLOOKUP(C237, 'Códigos DANE Municipios'!$B$2:$B$1123, 'Códigos DANE Municipios'!$A$2:$A$1123, "No encontrado")</f>
        <v>41298</v>
      </c>
      <c r="B237" t="str">
        <f>IFERROR(VLOOKUP(D237,APOYO!K:L,2,FALSE),A237)</f>
        <v>41298</v>
      </c>
      <c r="C237" t="s">
        <v>1221</v>
      </c>
      <c r="D237" t="str">
        <f>IFERROR(VLOOKUP(C237,APOYO!J:K,2,FALSE),C237)</f>
        <v>GARZÓN</v>
      </c>
      <c r="E237">
        <v>2013</v>
      </c>
      <c r="F237" t="s">
        <v>2189</v>
      </c>
      <c r="G237" t="s">
        <v>2189</v>
      </c>
      <c r="H237">
        <v>66</v>
      </c>
      <c r="I237" s="13" t="s">
        <v>2189</v>
      </c>
      <c r="J237" s="13" t="s">
        <v>2189</v>
      </c>
      <c r="K237" s="13" t="s">
        <v>2189</v>
      </c>
    </row>
    <row r="238" spans="1:11" hidden="1" x14ac:dyDescent="0.25">
      <c r="A238" t="str">
        <f>_xlfn.XLOOKUP(C238, 'Códigos DANE Municipios'!$B$2:$B$1123, 'Códigos DANE Municipios'!$A$2:$A$1123, "No encontrado")</f>
        <v>63302</v>
      </c>
      <c r="B238" t="str">
        <f>IFERROR(VLOOKUP(D238,APOYO!K:L,2,FALSE),A238)</f>
        <v>63302</v>
      </c>
      <c r="C238" t="s">
        <v>1616</v>
      </c>
      <c r="D238" t="str">
        <f>IFERROR(VLOOKUP(C238,APOYO!J:K,2,FALSE),C238)</f>
        <v>GÉNOVA</v>
      </c>
      <c r="E238">
        <v>2013</v>
      </c>
      <c r="F238" t="s">
        <v>2189</v>
      </c>
      <c r="G238" t="s">
        <v>2189</v>
      </c>
      <c r="H238">
        <v>3</v>
      </c>
      <c r="I238" s="13" t="s">
        <v>2189</v>
      </c>
      <c r="J238" s="13" t="s">
        <v>2189</v>
      </c>
      <c r="K238" s="13" t="s">
        <v>2189</v>
      </c>
    </row>
    <row r="239" spans="1:11" hidden="1" x14ac:dyDescent="0.25">
      <c r="A239" t="str">
        <f>_xlfn.XLOOKUP(C239, 'Códigos DANE Municipios'!$B$2:$B$1123, 'Códigos DANE Municipios'!$A$2:$A$1123, "No encontrado")</f>
        <v>41306</v>
      </c>
      <c r="B239" t="str">
        <f>IFERROR(VLOOKUP(D239,APOYO!K:L,2,FALSE),A239)</f>
        <v>41306</v>
      </c>
      <c r="C239" t="s">
        <v>1223</v>
      </c>
      <c r="D239" t="str">
        <f>IFERROR(VLOOKUP(C239,APOYO!J:K,2,FALSE),C239)</f>
        <v>GIGANTE</v>
      </c>
      <c r="E239">
        <v>2013</v>
      </c>
      <c r="F239" t="s">
        <v>2189</v>
      </c>
      <c r="G239" t="s">
        <v>2189</v>
      </c>
      <c r="H239">
        <v>5</v>
      </c>
      <c r="I239" s="13" t="s">
        <v>2189</v>
      </c>
      <c r="J239" s="13" t="s">
        <v>2189</v>
      </c>
      <c r="K239" s="13" t="s">
        <v>2189</v>
      </c>
    </row>
    <row r="240" spans="1:11" hidden="1" x14ac:dyDescent="0.25">
      <c r="A240" t="str">
        <f>_xlfn.XLOOKUP(C240, 'Códigos DANE Municipios'!$B$2:$B$1123, 'Códigos DANE Municipios'!$A$2:$A$1123, "No encontrado")</f>
        <v>76306</v>
      </c>
      <c r="B240" t="str">
        <f>IFERROR(VLOOKUP(D240,APOYO!K:L,2,FALSE),A240)</f>
        <v>76306</v>
      </c>
      <c r="C240" t="s">
        <v>1992</v>
      </c>
      <c r="D240" t="str">
        <f>IFERROR(VLOOKUP(C240,APOYO!J:K,2,FALSE),C240)</f>
        <v>GINEBRA</v>
      </c>
      <c r="E240">
        <v>2013</v>
      </c>
      <c r="F240" t="s">
        <v>2189</v>
      </c>
      <c r="G240" t="s">
        <v>2189</v>
      </c>
      <c r="H240">
        <v>70</v>
      </c>
      <c r="I240" s="13" t="s">
        <v>2189</v>
      </c>
      <c r="J240" s="13" t="s">
        <v>2189</v>
      </c>
      <c r="K240" s="13" t="s">
        <v>2189</v>
      </c>
    </row>
    <row r="241" spans="1:11" hidden="1" x14ac:dyDescent="0.25">
      <c r="A241" t="str">
        <f>_xlfn.XLOOKUP(C241, 'Códigos DANE Municipios'!$B$2:$B$1123, 'Códigos DANE Municipios'!$A$2:$A$1123, "No encontrado")</f>
        <v>05306</v>
      </c>
      <c r="B241" t="str">
        <f>IFERROR(VLOOKUP(D241,APOYO!K:L,2,FALSE),A241)</f>
        <v>05306</v>
      </c>
      <c r="C241" t="s">
        <v>110</v>
      </c>
      <c r="D241" t="str">
        <f>IFERROR(VLOOKUP(C241,APOYO!J:K,2,FALSE),C241)</f>
        <v>GIRALDO</v>
      </c>
      <c r="E241">
        <v>2013</v>
      </c>
      <c r="F241" t="s">
        <v>2189</v>
      </c>
      <c r="G241" t="s">
        <v>2189</v>
      </c>
      <c r="H241">
        <v>4</v>
      </c>
      <c r="I241" s="13" t="s">
        <v>2189</v>
      </c>
      <c r="J241" s="13" t="s">
        <v>2189</v>
      </c>
      <c r="K241" s="13" t="s">
        <v>2189</v>
      </c>
    </row>
    <row r="242" spans="1:11" hidden="1" x14ac:dyDescent="0.25">
      <c r="A242" t="str">
        <f>_xlfn.XLOOKUP(C242, 'Códigos DANE Municipios'!$B$2:$B$1123, 'Códigos DANE Municipios'!$A$2:$A$1123, "No encontrado")</f>
        <v>25307</v>
      </c>
      <c r="B242" t="str">
        <f>IFERROR(VLOOKUP(D242,APOYO!K:L,2,FALSE),A242)</f>
        <v>25307</v>
      </c>
      <c r="C242" t="s">
        <v>985</v>
      </c>
      <c r="D242" t="str">
        <f>IFERROR(VLOOKUP(C242,APOYO!J:K,2,FALSE),C242)</f>
        <v>GIRARDOT</v>
      </c>
      <c r="E242">
        <v>2013</v>
      </c>
      <c r="F242" t="s">
        <v>2189</v>
      </c>
      <c r="G242" t="s">
        <v>2189</v>
      </c>
      <c r="H242">
        <v>388</v>
      </c>
      <c r="I242" s="13" t="s">
        <v>2189</v>
      </c>
      <c r="J242" s="13" t="s">
        <v>2189</v>
      </c>
      <c r="K242" s="13" t="s">
        <v>2189</v>
      </c>
    </row>
    <row r="243" spans="1:11" hidden="1" x14ac:dyDescent="0.25">
      <c r="A243" t="str">
        <f>_xlfn.XLOOKUP(C243, 'Códigos DANE Municipios'!$B$2:$B$1123, 'Códigos DANE Municipios'!$A$2:$A$1123, "No encontrado")</f>
        <v>05308</v>
      </c>
      <c r="B243" t="str">
        <f>IFERROR(VLOOKUP(D243,APOYO!K:L,2,FALSE),A243)</f>
        <v>05308</v>
      </c>
      <c r="C243" t="s">
        <v>112</v>
      </c>
      <c r="D243" t="str">
        <f>IFERROR(VLOOKUP(C243,APOYO!J:K,2,FALSE),C243)</f>
        <v>GIRARDOTA</v>
      </c>
      <c r="E243">
        <v>2013</v>
      </c>
      <c r="F243" t="s">
        <v>2189</v>
      </c>
      <c r="G243" t="s">
        <v>2189</v>
      </c>
      <c r="H243">
        <v>29</v>
      </c>
      <c r="I243" s="13" t="s">
        <v>2189</v>
      </c>
      <c r="J243" s="13" t="s">
        <v>2189</v>
      </c>
      <c r="K243" s="13" t="s">
        <v>2189</v>
      </c>
    </row>
    <row r="244" spans="1:11" hidden="1" x14ac:dyDescent="0.25">
      <c r="A244" t="str">
        <f>_xlfn.XLOOKUP(C244, 'Códigos DANE Municipios'!$B$2:$B$1123, 'Códigos DANE Municipios'!$A$2:$A$1123, "No encontrado")</f>
        <v>68307</v>
      </c>
      <c r="B244" t="str">
        <f>IFERROR(VLOOKUP(D244,APOYO!K:L,2,FALSE),A244)</f>
        <v>68307</v>
      </c>
      <c r="C244" t="s">
        <v>1718</v>
      </c>
      <c r="D244" t="str">
        <f>IFERROR(VLOOKUP(C244,APOYO!J:K,2,FALSE),C244)</f>
        <v>GIRÓN</v>
      </c>
      <c r="E244">
        <v>2013</v>
      </c>
      <c r="F244" t="s">
        <v>2189</v>
      </c>
      <c r="G244" t="s">
        <v>2189</v>
      </c>
      <c r="H244">
        <v>52</v>
      </c>
      <c r="I244" s="13" t="s">
        <v>2189</v>
      </c>
      <c r="J244" s="13" t="s">
        <v>2189</v>
      </c>
      <c r="K244" s="13" t="s">
        <v>2189</v>
      </c>
    </row>
    <row r="245" spans="1:11" hidden="1" x14ac:dyDescent="0.25">
      <c r="A245" t="str">
        <f>_xlfn.XLOOKUP(C245, 'Códigos DANE Municipios'!$B$2:$B$1123, 'Códigos DANE Municipios'!$A$2:$A$1123, "No encontrado")</f>
        <v>05310</v>
      </c>
      <c r="B245" t="str">
        <f>IFERROR(VLOOKUP(D245,APOYO!K:L,2,FALSE),A245)</f>
        <v>05310</v>
      </c>
      <c r="C245" t="s">
        <v>114</v>
      </c>
      <c r="D245" t="str">
        <f>IFERROR(VLOOKUP(C245,APOYO!J:K,2,FALSE),C245)</f>
        <v>GÓMEZ PLATA</v>
      </c>
      <c r="E245">
        <v>2013</v>
      </c>
      <c r="F245" t="s">
        <v>2189</v>
      </c>
      <c r="G245" t="s">
        <v>2189</v>
      </c>
      <c r="H245">
        <v>2</v>
      </c>
      <c r="I245" s="13" t="s">
        <v>2189</v>
      </c>
      <c r="J245" s="13" t="s">
        <v>2189</v>
      </c>
      <c r="K245" s="13" t="s">
        <v>2189</v>
      </c>
    </row>
    <row r="246" spans="1:11" hidden="1" x14ac:dyDescent="0.25">
      <c r="A246" t="str">
        <f>_xlfn.XLOOKUP(C246, 'Códigos DANE Municipios'!$B$2:$B$1123, 'Códigos DANE Municipios'!$A$2:$A$1123, "No encontrado")</f>
        <v>05313</v>
      </c>
      <c r="B246" t="str">
        <f>IFERROR(VLOOKUP(D246,APOYO!K:L,2,FALSE),A246)</f>
        <v>05313</v>
      </c>
      <c r="C246" t="s">
        <v>116</v>
      </c>
      <c r="D246" t="str">
        <f>IFERROR(VLOOKUP(C246,APOYO!J:K,2,FALSE),C246)</f>
        <v>GRANADA</v>
      </c>
      <c r="E246">
        <v>2013</v>
      </c>
      <c r="F246" t="s">
        <v>2189</v>
      </c>
      <c r="G246" t="s">
        <v>2189</v>
      </c>
      <c r="H246">
        <v>1</v>
      </c>
      <c r="I246" s="13" t="s">
        <v>2189</v>
      </c>
      <c r="J246" s="13" t="s">
        <v>2189</v>
      </c>
      <c r="K246" s="13" t="s">
        <v>2189</v>
      </c>
    </row>
    <row r="247" spans="1:11" hidden="1" x14ac:dyDescent="0.25">
      <c r="A247" t="str">
        <f>_xlfn.XLOOKUP(C247, 'Códigos DANE Municipios'!$B$2:$B$1123, 'Códigos DANE Municipios'!$A$2:$A$1123, "No encontrado")</f>
        <v>05313</v>
      </c>
      <c r="B247" t="str">
        <f>IFERROR(VLOOKUP(D247,APOYO!K:L,2,FALSE),A247)</f>
        <v>05313</v>
      </c>
      <c r="C247" t="s">
        <v>116</v>
      </c>
      <c r="D247" t="str">
        <f>IFERROR(VLOOKUP(C247,APOYO!J:K,2,FALSE),C247)</f>
        <v>GRANADA</v>
      </c>
      <c r="E247">
        <v>2013</v>
      </c>
      <c r="F247" t="s">
        <v>2189</v>
      </c>
      <c r="G247" t="s">
        <v>2189</v>
      </c>
      <c r="H247">
        <v>10</v>
      </c>
      <c r="I247" s="13" t="s">
        <v>2189</v>
      </c>
      <c r="J247" s="13" t="s">
        <v>2189</v>
      </c>
      <c r="K247" s="13" t="s">
        <v>2189</v>
      </c>
    </row>
    <row r="248" spans="1:11" hidden="1" x14ac:dyDescent="0.25">
      <c r="A248" t="str">
        <f>_xlfn.XLOOKUP(C248, 'Códigos DANE Municipios'!$B$2:$B$1123, 'Códigos DANE Municipios'!$A$2:$A$1123, "No encontrado")</f>
        <v>05313</v>
      </c>
      <c r="B248" t="str">
        <f>IFERROR(VLOOKUP(D248,APOYO!K:L,2,FALSE),A248)</f>
        <v>05313</v>
      </c>
      <c r="C248" t="s">
        <v>116</v>
      </c>
      <c r="D248" t="str">
        <f>IFERROR(VLOOKUP(C248,APOYO!J:K,2,FALSE),C248)</f>
        <v>GRANADA</v>
      </c>
      <c r="E248">
        <v>2013</v>
      </c>
      <c r="F248" t="s">
        <v>2189</v>
      </c>
      <c r="G248" t="s">
        <v>2189</v>
      </c>
      <c r="H248">
        <v>24</v>
      </c>
      <c r="I248" s="13" t="s">
        <v>2189</v>
      </c>
      <c r="J248" s="13" t="s">
        <v>2189</v>
      </c>
      <c r="K248" s="13" t="s">
        <v>2189</v>
      </c>
    </row>
    <row r="249" spans="1:11" hidden="1" x14ac:dyDescent="0.25">
      <c r="A249" t="str">
        <f>_xlfn.XLOOKUP(C249, 'Códigos DANE Municipios'!$B$2:$B$1123, 'Códigos DANE Municipios'!$A$2:$A$1123, "No encontrado")</f>
        <v>15317</v>
      </c>
      <c r="B249" t="str">
        <f>IFERROR(VLOOKUP(D249,APOYO!K:L,2,FALSE),A249)</f>
        <v>15317</v>
      </c>
      <c r="C249" t="s">
        <v>477</v>
      </c>
      <c r="D249" t="str">
        <f>IFERROR(VLOOKUP(C249,APOYO!J:K,2,FALSE),C249)</f>
        <v>GUACAMAYAS</v>
      </c>
      <c r="E249">
        <v>2013</v>
      </c>
      <c r="F249" t="s">
        <v>2189</v>
      </c>
      <c r="G249" t="s">
        <v>2189</v>
      </c>
      <c r="H249">
        <v>1</v>
      </c>
      <c r="I249" s="13" t="s">
        <v>2189</v>
      </c>
      <c r="J249" s="13" t="s">
        <v>2189</v>
      </c>
      <c r="K249" s="13" t="s">
        <v>2189</v>
      </c>
    </row>
    <row r="250" spans="1:11" hidden="1" x14ac:dyDescent="0.25">
      <c r="A250" t="str">
        <f>_xlfn.XLOOKUP(C250, 'Códigos DANE Municipios'!$B$2:$B$1123, 'Códigos DANE Municipios'!$A$2:$A$1123, "No encontrado")</f>
        <v>76318</v>
      </c>
      <c r="B250" t="str">
        <f>IFERROR(VLOOKUP(D250,APOYO!K:L,2,FALSE),A250)</f>
        <v>76318</v>
      </c>
      <c r="C250" t="s">
        <v>1994</v>
      </c>
      <c r="D250" t="str">
        <f>IFERROR(VLOOKUP(C250,APOYO!J:K,2,FALSE),C250)</f>
        <v>GUACARÍ</v>
      </c>
      <c r="E250">
        <v>2013</v>
      </c>
      <c r="F250" t="s">
        <v>2189</v>
      </c>
      <c r="G250" t="s">
        <v>2189</v>
      </c>
      <c r="H250">
        <v>64</v>
      </c>
      <c r="I250" s="13" t="s">
        <v>2189</v>
      </c>
      <c r="J250" s="13" t="s">
        <v>2189</v>
      </c>
      <c r="K250" s="13" t="s">
        <v>2189</v>
      </c>
    </row>
    <row r="251" spans="1:11" hidden="1" x14ac:dyDescent="0.25">
      <c r="A251" t="str">
        <f>_xlfn.XLOOKUP(C251, 'Códigos DANE Municipios'!$B$2:$B$1123, 'Códigos DANE Municipios'!$A$2:$A$1123, "No encontrado")</f>
        <v>52317</v>
      </c>
      <c r="B251" t="str">
        <f>IFERROR(VLOOKUP(D251,APOYO!K:L,2,FALSE),A251)</f>
        <v>52317</v>
      </c>
      <c r="C251" t="s">
        <v>1452</v>
      </c>
      <c r="D251" t="str">
        <f>IFERROR(VLOOKUP(C251,APOYO!J:K,2,FALSE),C251)</f>
        <v>GUACHUCAL</v>
      </c>
      <c r="E251">
        <v>2013</v>
      </c>
      <c r="F251" t="s">
        <v>2189</v>
      </c>
      <c r="G251" t="s">
        <v>2189</v>
      </c>
      <c r="H251">
        <v>1</v>
      </c>
      <c r="I251" s="13" t="s">
        <v>2189</v>
      </c>
      <c r="J251" s="13" t="s">
        <v>2189</v>
      </c>
      <c r="K251" s="13" t="s">
        <v>2189</v>
      </c>
    </row>
    <row r="252" spans="1:11" hidden="1" x14ac:dyDescent="0.25">
      <c r="A252" t="str">
        <f>_xlfn.XLOOKUP(C252, 'Códigos DANE Municipios'!$B$2:$B$1123, 'Códigos DANE Municipios'!$A$2:$A$1123, "No encontrado")</f>
        <v>05315</v>
      </c>
      <c r="B252" t="str">
        <f>IFERROR(VLOOKUP(D252,APOYO!K:L,2,FALSE),A252)</f>
        <v>05315</v>
      </c>
      <c r="C252" t="s">
        <v>118</v>
      </c>
      <c r="D252" t="str">
        <f>IFERROR(VLOOKUP(C252,APOYO!J:K,2,FALSE),C252)</f>
        <v>GUADALUPE</v>
      </c>
      <c r="E252">
        <v>2013</v>
      </c>
      <c r="F252" t="s">
        <v>2189</v>
      </c>
      <c r="G252" t="s">
        <v>2189</v>
      </c>
      <c r="H252">
        <v>2</v>
      </c>
      <c r="I252" s="13" t="s">
        <v>2189</v>
      </c>
      <c r="J252" s="13" t="s">
        <v>2189</v>
      </c>
      <c r="K252" s="13" t="s">
        <v>2189</v>
      </c>
    </row>
    <row r="253" spans="1:11" hidden="1" x14ac:dyDescent="0.25">
      <c r="A253" t="str">
        <f>_xlfn.XLOOKUP(C253, 'Códigos DANE Municipios'!$B$2:$B$1123, 'Códigos DANE Municipios'!$A$2:$A$1123, "No encontrado")</f>
        <v>25320</v>
      </c>
      <c r="B253" t="str">
        <f>IFERROR(VLOOKUP(D253,APOYO!K:L,2,FALSE),A253)</f>
        <v>25320</v>
      </c>
      <c r="C253" t="s">
        <v>990</v>
      </c>
      <c r="D253" t="str">
        <f>IFERROR(VLOOKUP(C253,APOYO!J:K,2,FALSE),C253)</f>
        <v>GUADUAS</v>
      </c>
      <c r="E253">
        <v>2013</v>
      </c>
      <c r="F253" t="s">
        <v>2189</v>
      </c>
      <c r="G253" t="s">
        <v>2189</v>
      </c>
      <c r="H253">
        <v>20</v>
      </c>
      <c r="I253" s="13" t="s">
        <v>2189</v>
      </c>
      <c r="J253" s="13" t="s">
        <v>2189</v>
      </c>
      <c r="K253" s="13" t="s">
        <v>2189</v>
      </c>
    </row>
    <row r="254" spans="1:11" hidden="1" x14ac:dyDescent="0.25">
      <c r="A254" t="str">
        <f>_xlfn.XLOOKUP(C254, 'Códigos DANE Municipios'!$B$2:$B$1123, 'Códigos DANE Municipios'!$A$2:$A$1123, "No encontrado")</f>
        <v>47318</v>
      </c>
      <c r="B254" t="str">
        <f>IFERROR(VLOOKUP(D254,APOYO!K:L,2,FALSE),A254)</f>
        <v>47318</v>
      </c>
      <c r="C254" t="s">
        <v>1323</v>
      </c>
      <c r="D254" t="str">
        <f>IFERROR(VLOOKUP(C254,APOYO!J:K,2,FALSE),C254)</f>
        <v>GUAMAL</v>
      </c>
      <c r="E254">
        <v>2013</v>
      </c>
      <c r="F254" t="s">
        <v>2189</v>
      </c>
      <c r="G254" t="s">
        <v>2189</v>
      </c>
      <c r="H254">
        <v>22</v>
      </c>
      <c r="I254" s="13" t="s">
        <v>2189</v>
      </c>
      <c r="J254" s="13" t="s">
        <v>2189</v>
      </c>
      <c r="K254" s="13" t="s">
        <v>2189</v>
      </c>
    </row>
    <row r="255" spans="1:11" hidden="1" x14ac:dyDescent="0.25">
      <c r="A255" t="str">
        <f>_xlfn.XLOOKUP(C255, 'Códigos DANE Municipios'!$B$2:$B$1123, 'Códigos DANE Municipios'!$A$2:$A$1123, "No encontrado")</f>
        <v>73319</v>
      </c>
      <c r="B255" t="str">
        <f>IFERROR(VLOOKUP(D255,APOYO!K:L,2,FALSE),A255)</f>
        <v>73319</v>
      </c>
      <c r="C255" t="s">
        <v>1903</v>
      </c>
      <c r="D255" t="str">
        <f>IFERROR(VLOOKUP(C255,APOYO!J:K,2,FALSE),C255)</f>
        <v>GUAMO</v>
      </c>
      <c r="E255">
        <v>2013</v>
      </c>
      <c r="F255" t="s">
        <v>2189</v>
      </c>
      <c r="G255" t="s">
        <v>2189</v>
      </c>
      <c r="H255">
        <v>8</v>
      </c>
      <c r="I255" s="13" t="s">
        <v>2189</v>
      </c>
      <c r="J255" s="13" t="s">
        <v>2189</v>
      </c>
      <c r="K255" s="13" t="s">
        <v>2189</v>
      </c>
    </row>
    <row r="256" spans="1:11" hidden="1" x14ac:dyDescent="0.25">
      <c r="A256" t="str">
        <f>_xlfn.XLOOKUP(C256, 'Códigos DANE Municipios'!$B$2:$B$1123, 'Códigos DANE Municipios'!$A$2:$A$1123, "No encontrado")</f>
        <v>19318</v>
      </c>
      <c r="B256" t="str">
        <f>IFERROR(VLOOKUP(D256,APOYO!K:L,2,FALSE),A256)</f>
        <v>19318</v>
      </c>
      <c r="C256" t="s">
        <v>753</v>
      </c>
      <c r="D256" t="str">
        <f>IFERROR(VLOOKUP(C256,APOYO!J:K,2,FALSE),C256)</f>
        <v>GUAPÍ</v>
      </c>
      <c r="E256">
        <v>2013</v>
      </c>
      <c r="F256">
        <v>15124</v>
      </c>
      <c r="G256" t="s">
        <v>2189</v>
      </c>
      <c r="H256">
        <v>3</v>
      </c>
      <c r="I256">
        <v>2823</v>
      </c>
      <c r="J256" s="13" t="s">
        <v>2189</v>
      </c>
      <c r="K256" s="13" t="s">
        <v>2189</v>
      </c>
    </row>
    <row r="257" spans="1:11" hidden="1" x14ac:dyDescent="0.25">
      <c r="A257" t="str">
        <f>_xlfn.XLOOKUP(C257, 'Códigos DANE Municipios'!$B$2:$B$1123, 'Códigos DANE Municipios'!$A$2:$A$1123, "No encontrado")</f>
        <v>70265</v>
      </c>
      <c r="B257" t="str">
        <f>IFERROR(VLOOKUP(D257,APOYO!K:L,2,FALSE),A257)</f>
        <v>70265</v>
      </c>
      <c r="C257" t="s">
        <v>1833</v>
      </c>
      <c r="D257" t="str">
        <f>IFERROR(VLOOKUP(C257,APOYO!J:K,2,FALSE),C257)</f>
        <v>GUARANDA</v>
      </c>
      <c r="E257">
        <v>2013</v>
      </c>
      <c r="F257" t="s">
        <v>2189</v>
      </c>
      <c r="G257" t="s">
        <v>2189</v>
      </c>
      <c r="H257">
        <v>1</v>
      </c>
      <c r="I257" s="13" t="s">
        <v>2189</v>
      </c>
      <c r="J257" s="13" t="s">
        <v>2189</v>
      </c>
      <c r="K257" s="13" t="s">
        <v>2189</v>
      </c>
    </row>
    <row r="258" spans="1:11" hidden="1" x14ac:dyDescent="0.25">
      <c r="A258" t="str">
        <f>_xlfn.XLOOKUP(C258, 'Códigos DANE Municipios'!$B$2:$B$1123, 'Códigos DANE Municipios'!$A$2:$A$1123, "No encontrado")</f>
        <v>05318</v>
      </c>
      <c r="B258" t="str">
        <f>IFERROR(VLOOKUP(D258,APOYO!K:L,2,FALSE),A258)</f>
        <v>05318</v>
      </c>
      <c r="C258" t="s">
        <v>120</v>
      </c>
      <c r="D258" t="str">
        <f>IFERROR(VLOOKUP(C258,APOYO!J:K,2,FALSE),C258)</f>
        <v>GUARNE</v>
      </c>
      <c r="E258">
        <v>2013</v>
      </c>
      <c r="F258" t="s">
        <v>2189</v>
      </c>
      <c r="G258" t="s">
        <v>2189</v>
      </c>
      <c r="H258">
        <v>59</v>
      </c>
      <c r="I258" s="13" t="s">
        <v>2189</v>
      </c>
      <c r="J258" s="13" t="s">
        <v>2189</v>
      </c>
      <c r="K258" s="13" t="s">
        <v>2189</v>
      </c>
    </row>
    <row r="259" spans="1:11" hidden="1" x14ac:dyDescent="0.25">
      <c r="A259" t="str">
        <f>_xlfn.XLOOKUP(C259, 'Códigos DANE Municipios'!$B$2:$B$1123, 'Códigos DANE Municipios'!$A$2:$A$1123, "No encontrado")</f>
        <v>25322</v>
      </c>
      <c r="B259" t="str">
        <f>IFERROR(VLOOKUP(D259,APOYO!K:L,2,FALSE),A259)</f>
        <v>25322</v>
      </c>
      <c r="C259" t="s">
        <v>992</v>
      </c>
      <c r="D259" t="str">
        <f>IFERROR(VLOOKUP(C259,APOYO!J:K,2,FALSE),C259)</f>
        <v>GUASCA</v>
      </c>
      <c r="E259">
        <v>2013</v>
      </c>
      <c r="F259" t="s">
        <v>2189</v>
      </c>
      <c r="G259" t="s">
        <v>2189</v>
      </c>
      <c r="H259">
        <v>10</v>
      </c>
      <c r="I259" s="13" t="s">
        <v>2189</v>
      </c>
      <c r="J259" s="13" t="s">
        <v>2189</v>
      </c>
      <c r="K259" s="13" t="s">
        <v>2189</v>
      </c>
    </row>
    <row r="260" spans="1:11" hidden="1" x14ac:dyDescent="0.25">
      <c r="A260" t="str">
        <f>_xlfn.XLOOKUP(C260, 'Códigos DANE Municipios'!$B$2:$B$1123, 'Códigos DANE Municipios'!$A$2:$A$1123, "No encontrado")</f>
        <v>05321</v>
      </c>
      <c r="B260" t="str">
        <f>IFERROR(VLOOKUP(D260,APOYO!K:L,2,FALSE),A260)</f>
        <v>05321</v>
      </c>
      <c r="C260" t="s">
        <v>122</v>
      </c>
      <c r="D260" t="str">
        <f>IFERROR(VLOOKUP(C260,APOYO!J:K,2,FALSE),C260)</f>
        <v>GUATAPÉ</v>
      </c>
      <c r="E260">
        <v>2013</v>
      </c>
      <c r="F260" t="s">
        <v>2189</v>
      </c>
      <c r="G260" t="s">
        <v>2189</v>
      </c>
      <c r="H260">
        <v>34</v>
      </c>
      <c r="I260" s="13" t="s">
        <v>2189</v>
      </c>
      <c r="J260" s="13" t="s">
        <v>2189</v>
      </c>
      <c r="K260" s="13" t="s">
        <v>2189</v>
      </c>
    </row>
    <row r="261" spans="1:11" hidden="1" x14ac:dyDescent="0.25">
      <c r="A261" t="str">
        <f>_xlfn.XLOOKUP(C261, 'Códigos DANE Municipios'!$B$2:$B$1123, 'Códigos DANE Municipios'!$A$2:$A$1123, "No encontrado")</f>
        <v>25326</v>
      </c>
      <c r="B261" t="str">
        <f>IFERROR(VLOOKUP(D261,APOYO!K:L,2,FALSE),A261)</f>
        <v>25326</v>
      </c>
      <c r="C261" t="s">
        <v>996</v>
      </c>
      <c r="D261" t="str">
        <f>IFERROR(VLOOKUP(C261,APOYO!J:K,2,FALSE),C261)</f>
        <v>GUATAVITA</v>
      </c>
      <c r="E261">
        <v>2013</v>
      </c>
      <c r="F261" t="s">
        <v>2189</v>
      </c>
      <c r="G261" t="s">
        <v>2189</v>
      </c>
      <c r="H261">
        <v>16</v>
      </c>
      <c r="I261" s="13" t="s">
        <v>2189</v>
      </c>
      <c r="J261" s="13" t="s">
        <v>2189</v>
      </c>
      <c r="K261" s="13" t="s">
        <v>2189</v>
      </c>
    </row>
    <row r="262" spans="1:11" hidden="1" x14ac:dyDescent="0.25">
      <c r="A262" t="str">
        <f>_xlfn.XLOOKUP(C262, 'Códigos DANE Municipios'!$B$2:$B$1123, 'Códigos DANE Municipios'!$A$2:$A$1123, "No encontrado")</f>
        <v>15322</v>
      </c>
      <c r="B262" t="str">
        <f>IFERROR(VLOOKUP(D262,APOYO!K:L,2,FALSE),A262)</f>
        <v>15322</v>
      </c>
      <c r="C262" t="s">
        <v>479</v>
      </c>
      <c r="D262" t="str">
        <f>IFERROR(VLOOKUP(C262,APOYO!J:K,2,FALSE),C262)</f>
        <v>GUATEQUE</v>
      </c>
      <c r="E262">
        <v>2013</v>
      </c>
      <c r="F262" t="s">
        <v>2189</v>
      </c>
      <c r="G262" t="s">
        <v>2189</v>
      </c>
      <c r="H262">
        <v>2</v>
      </c>
      <c r="I262" s="13" t="s">
        <v>2189</v>
      </c>
      <c r="J262" s="13" t="s">
        <v>2189</v>
      </c>
      <c r="K262" s="13" t="s">
        <v>2189</v>
      </c>
    </row>
    <row r="263" spans="1:11" hidden="1" x14ac:dyDescent="0.25">
      <c r="A263" t="str">
        <f>_xlfn.XLOOKUP(C263, 'Códigos DANE Municipios'!$B$2:$B$1123, 'Códigos DANE Municipios'!$A$2:$A$1123, "No encontrado")</f>
        <v>66318</v>
      </c>
      <c r="B263" t="str">
        <f>IFERROR(VLOOKUP(D263,APOYO!K:L,2,FALSE),A263)</f>
        <v>66318</v>
      </c>
      <c r="C263" t="s">
        <v>1637</v>
      </c>
      <c r="D263" t="str">
        <f>IFERROR(VLOOKUP(C263,APOYO!J:K,2,FALSE),C263)</f>
        <v>GUÁTICA</v>
      </c>
      <c r="E263">
        <v>2013</v>
      </c>
      <c r="F263" t="s">
        <v>2189</v>
      </c>
      <c r="G263" t="s">
        <v>2189</v>
      </c>
      <c r="H263">
        <v>9</v>
      </c>
      <c r="I263" s="13" t="s">
        <v>2189</v>
      </c>
      <c r="J263" s="13" t="s">
        <v>2189</v>
      </c>
      <c r="K263" s="13" t="s">
        <v>2189</v>
      </c>
    </row>
    <row r="264" spans="1:11" hidden="1" x14ac:dyDescent="0.25">
      <c r="A264" t="str">
        <f>_xlfn.XLOOKUP(C264, 'Códigos DANE Municipios'!$B$2:$B$1123, 'Códigos DANE Municipios'!$A$2:$A$1123, "No encontrado")</f>
        <v>15325</v>
      </c>
      <c r="B264" t="str">
        <f>IFERROR(VLOOKUP(D264,APOYO!K:L,2,FALSE),A264)</f>
        <v>15325</v>
      </c>
      <c r="C264" t="s">
        <v>481</v>
      </c>
      <c r="D264" t="str">
        <f>IFERROR(VLOOKUP(C264,APOYO!J:K,2,FALSE),C264)</f>
        <v>GUAYATÁ</v>
      </c>
      <c r="E264">
        <v>2013</v>
      </c>
      <c r="F264" t="s">
        <v>2189</v>
      </c>
      <c r="G264" t="s">
        <v>2189</v>
      </c>
      <c r="H264">
        <v>2</v>
      </c>
      <c r="I264" s="13" t="s">
        <v>2189</v>
      </c>
      <c r="J264" s="13" t="s">
        <v>2189</v>
      </c>
      <c r="K264" s="13" t="s">
        <v>2189</v>
      </c>
    </row>
    <row r="265" spans="1:11" hidden="1" x14ac:dyDescent="0.25">
      <c r="A265" t="str">
        <f>_xlfn.XLOOKUP(C265, 'Códigos DANE Municipios'!$B$2:$B$1123, 'Códigos DANE Municipios'!$A$2:$A$1123, "No encontrado")</f>
        <v>68327</v>
      </c>
      <c r="B265" t="str">
        <f>IFERROR(VLOOKUP(D265,APOYO!K:L,2,FALSE),A265)</f>
        <v>68327</v>
      </c>
      <c r="C265" t="s">
        <v>1727</v>
      </c>
      <c r="D265" t="str">
        <f>IFERROR(VLOOKUP(C265,APOYO!J:K,2,FALSE),C265)</f>
        <v>GÜEPSA</v>
      </c>
      <c r="E265">
        <v>2013</v>
      </c>
      <c r="F265" t="s">
        <v>2189</v>
      </c>
      <c r="G265" t="s">
        <v>2189</v>
      </c>
      <c r="H265">
        <v>4</v>
      </c>
      <c r="I265" s="13" t="s">
        <v>2189</v>
      </c>
      <c r="J265" s="13" t="s">
        <v>2189</v>
      </c>
      <c r="K265" s="13" t="s">
        <v>2189</v>
      </c>
    </row>
    <row r="266" spans="1:11" hidden="1" x14ac:dyDescent="0.25">
      <c r="A266" t="str">
        <f>_xlfn.XLOOKUP(C266, 'Códigos DANE Municipios'!$B$2:$B$1123, 'Códigos DANE Municipios'!$A$2:$A$1123, "No encontrado")</f>
        <v>15332</v>
      </c>
      <c r="B266" t="str">
        <f>IFERROR(VLOOKUP(D266,APOYO!K:L,2,FALSE),A266)</f>
        <v>15332</v>
      </c>
      <c r="C266" t="s">
        <v>483</v>
      </c>
      <c r="D266" t="str">
        <f>IFERROR(VLOOKUP(C266,APOYO!J:K,2,FALSE),C266)</f>
        <v>GÜICÁN</v>
      </c>
      <c r="E266">
        <v>2013</v>
      </c>
      <c r="F266" t="s">
        <v>2189</v>
      </c>
      <c r="G266" t="s">
        <v>2189</v>
      </c>
      <c r="H266">
        <v>1</v>
      </c>
      <c r="I266" s="13" t="s">
        <v>2189</v>
      </c>
      <c r="J266" s="13" t="s">
        <v>2189</v>
      </c>
      <c r="K266" s="13" t="s">
        <v>2189</v>
      </c>
    </row>
    <row r="267" spans="1:11" hidden="1" x14ac:dyDescent="0.25">
      <c r="A267" t="str">
        <f>_xlfn.XLOOKUP(C267, 'Códigos DANE Municipios'!$B$2:$B$1123, 'Códigos DANE Municipios'!$A$2:$A$1123, "No encontrado")</f>
        <v>85125</v>
      </c>
      <c r="B267" t="str">
        <f>IFERROR(VLOOKUP(D267,APOYO!K:L,2,FALSE),A267)</f>
        <v>85125</v>
      </c>
      <c r="C267" t="s">
        <v>2054</v>
      </c>
      <c r="D267" t="str">
        <f>IFERROR(VLOOKUP(C267,APOYO!J:K,2,FALSE),C267)</f>
        <v>HATO COROZAL</v>
      </c>
      <c r="E267">
        <v>2013</v>
      </c>
      <c r="F267">
        <v>66</v>
      </c>
      <c r="G267" t="s">
        <v>2189</v>
      </c>
      <c r="H267">
        <v>2</v>
      </c>
      <c r="I267" s="13" t="s">
        <v>2189</v>
      </c>
      <c r="J267" s="13" t="s">
        <v>2189</v>
      </c>
      <c r="K267" s="13" t="s">
        <v>2189</v>
      </c>
    </row>
    <row r="268" spans="1:11" hidden="1" x14ac:dyDescent="0.25">
      <c r="A268" t="str">
        <f>_xlfn.XLOOKUP(C268, 'Códigos DANE Municipios'!$B$2:$B$1123, 'Códigos DANE Municipios'!$A$2:$A$1123, "No encontrado")</f>
        <v>73349</v>
      </c>
      <c r="B268" t="str">
        <f>IFERROR(VLOOKUP(D268,APOYO!K:L,2,FALSE),A268)</f>
        <v>73349</v>
      </c>
      <c r="C268" t="s">
        <v>1907</v>
      </c>
      <c r="D268" t="str">
        <f>IFERROR(VLOOKUP(C268,APOYO!J:K,2,FALSE),C268)</f>
        <v>HONDA</v>
      </c>
      <c r="E268">
        <v>2013</v>
      </c>
      <c r="F268" t="s">
        <v>2189</v>
      </c>
      <c r="G268" t="s">
        <v>2189</v>
      </c>
      <c r="H268">
        <v>36</v>
      </c>
      <c r="I268" s="13" t="s">
        <v>2189</v>
      </c>
      <c r="J268" s="13" t="s">
        <v>2189</v>
      </c>
      <c r="K268" s="13" t="s">
        <v>2189</v>
      </c>
    </row>
    <row r="269" spans="1:11" hidden="1" x14ac:dyDescent="0.25">
      <c r="A269" t="str">
        <f>_xlfn.XLOOKUP(C269, 'Códigos DANE Municipios'!$B$2:$B$1123, 'Códigos DANE Municipios'!$A$2:$A$1123, "No encontrado")</f>
        <v>73001</v>
      </c>
      <c r="B269" t="str">
        <f>IFERROR(VLOOKUP(D269,APOYO!K:L,2,FALSE),A269)</f>
        <v>73001</v>
      </c>
      <c r="C269" t="s">
        <v>1865</v>
      </c>
      <c r="D269" t="str">
        <f>IFERROR(VLOOKUP(C269,APOYO!J:K,2,FALSE),C269)</f>
        <v>IBAGUÉ</v>
      </c>
      <c r="E269">
        <v>2013</v>
      </c>
      <c r="F269">
        <v>72586</v>
      </c>
      <c r="G269">
        <v>1942</v>
      </c>
      <c r="H269">
        <v>3391</v>
      </c>
      <c r="I269">
        <v>21004</v>
      </c>
      <c r="J269" s="13" t="s">
        <v>2189</v>
      </c>
      <c r="K269" s="13" t="s">
        <v>2189</v>
      </c>
    </row>
    <row r="270" spans="1:11" hidden="1" x14ac:dyDescent="0.25">
      <c r="A270" t="str">
        <f>_xlfn.XLOOKUP(C270, 'Códigos DANE Municipios'!$B$2:$B$1123, 'Códigos DANE Municipios'!$A$2:$A$1123, "No encontrado")</f>
        <v>73352</v>
      </c>
      <c r="B270" t="str">
        <f>IFERROR(VLOOKUP(D270,APOYO!K:L,2,FALSE),A270)</f>
        <v>73352</v>
      </c>
      <c r="C270" t="s">
        <v>1909</v>
      </c>
      <c r="D270" t="str">
        <f>IFERROR(VLOOKUP(C270,APOYO!J:K,2,FALSE),C270)</f>
        <v>ICONONZO</v>
      </c>
      <c r="E270">
        <v>2013</v>
      </c>
      <c r="F270" t="s">
        <v>2189</v>
      </c>
      <c r="G270" t="s">
        <v>2189</v>
      </c>
      <c r="H270">
        <v>2</v>
      </c>
      <c r="I270" s="13" t="s">
        <v>2189</v>
      </c>
      <c r="J270" s="13" t="s">
        <v>2189</v>
      </c>
      <c r="K270" s="13" t="s">
        <v>2189</v>
      </c>
    </row>
    <row r="271" spans="1:11" hidden="1" x14ac:dyDescent="0.25">
      <c r="A271" t="str">
        <f>_xlfn.XLOOKUP(C271, 'Códigos DANE Municipios'!$B$2:$B$1123, 'Códigos DANE Municipios'!$A$2:$A$1123, "No encontrado")</f>
        <v>41357</v>
      </c>
      <c r="B271" t="str">
        <f>IFERROR(VLOOKUP(D271,APOYO!K:L,2,FALSE),A271)</f>
        <v>41357</v>
      </c>
      <c r="C271" t="s">
        <v>1228</v>
      </c>
      <c r="D271" t="str">
        <f>IFERROR(VLOOKUP(C271,APOYO!J:K,2,FALSE),C271)</f>
        <v>ÍQUIRA</v>
      </c>
      <c r="E271">
        <v>2013</v>
      </c>
      <c r="F271" t="s">
        <v>2189</v>
      </c>
      <c r="G271" t="s">
        <v>2189</v>
      </c>
      <c r="H271">
        <v>4</v>
      </c>
      <c r="I271" s="13" t="s">
        <v>2189</v>
      </c>
      <c r="J271" s="13" t="s">
        <v>2189</v>
      </c>
      <c r="K271" s="13" t="s">
        <v>2189</v>
      </c>
    </row>
    <row r="272" spans="1:11" hidden="1" x14ac:dyDescent="0.25">
      <c r="A272" t="str">
        <f>_xlfn.XLOOKUP(C272, 'Códigos DANE Municipios'!$B$2:$B$1123, 'Códigos DANE Municipios'!$A$2:$A$1123, "No encontrado")</f>
        <v>52352</v>
      </c>
      <c r="B272" t="str">
        <f>IFERROR(VLOOKUP(D272,APOYO!K:L,2,FALSE),A272)</f>
        <v>52352</v>
      </c>
      <c r="C272" t="s">
        <v>1458</v>
      </c>
      <c r="D272" t="str">
        <f>IFERROR(VLOOKUP(C272,APOYO!J:K,2,FALSE),C272)</f>
        <v>ILES</v>
      </c>
      <c r="E272">
        <v>2013</v>
      </c>
      <c r="F272" t="s">
        <v>2189</v>
      </c>
      <c r="G272" t="s">
        <v>2189</v>
      </c>
      <c r="H272">
        <v>1</v>
      </c>
      <c r="I272" s="13" t="s">
        <v>2189</v>
      </c>
      <c r="J272" s="13" t="s">
        <v>2189</v>
      </c>
      <c r="K272" s="13" t="s">
        <v>2189</v>
      </c>
    </row>
    <row r="273" spans="1:11" hidden="1" x14ac:dyDescent="0.25">
      <c r="A273" t="str">
        <f>_xlfn.XLOOKUP(C273, 'Códigos DANE Municipios'!$B$2:$B$1123, 'Códigos DANE Municipios'!$A$2:$A$1123, "No encontrado")</f>
        <v>19355</v>
      </c>
      <c r="B273" t="str">
        <f>IFERROR(VLOOKUP(D273,APOYO!K:L,2,FALSE),A273)</f>
        <v>19355</v>
      </c>
      <c r="C273" t="s">
        <v>755</v>
      </c>
      <c r="D273" t="str">
        <f>IFERROR(VLOOKUP(C273,APOYO!J:K,2,FALSE),C273)</f>
        <v>INZÁ</v>
      </c>
      <c r="E273">
        <v>2013</v>
      </c>
      <c r="F273" t="s">
        <v>2189</v>
      </c>
      <c r="G273" t="s">
        <v>2189</v>
      </c>
      <c r="H273">
        <v>2</v>
      </c>
      <c r="I273" s="13" t="s">
        <v>2189</v>
      </c>
      <c r="J273" s="13" t="s">
        <v>2189</v>
      </c>
      <c r="K273" s="13" t="s">
        <v>2189</v>
      </c>
    </row>
    <row r="274" spans="1:11" hidden="1" x14ac:dyDescent="0.25">
      <c r="A274" t="str">
        <f>_xlfn.XLOOKUP(C274, 'Códigos DANE Municipios'!$B$2:$B$1123, 'Códigos DANE Municipios'!$A$2:$A$1123, "No encontrado")</f>
        <v>52356</v>
      </c>
      <c r="B274" t="str">
        <f>IFERROR(VLOOKUP(D274,APOYO!K:L,2,FALSE),A274)</f>
        <v>52356</v>
      </c>
      <c r="C274" t="s">
        <v>1462</v>
      </c>
      <c r="D274" t="str">
        <f>IFERROR(VLOOKUP(C274,APOYO!J:K,2,FALSE),C274)</f>
        <v>IPIALES</v>
      </c>
      <c r="E274">
        <v>2013</v>
      </c>
      <c r="F274" t="s">
        <v>2189</v>
      </c>
      <c r="G274" t="s">
        <v>2189</v>
      </c>
      <c r="H274">
        <v>4673</v>
      </c>
      <c r="I274" s="13" t="s">
        <v>2189</v>
      </c>
      <c r="J274" s="13" t="s">
        <v>2189</v>
      </c>
      <c r="K274" s="13" t="s">
        <v>2189</v>
      </c>
    </row>
    <row r="275" spans="1:11" hidden="1" x14ac:dyDescent="0.25">
      <c r="A275" t="str">
        <f>_xlfn.XLOOKUP(C275, 'Códigos DANE Municipios'!$B$2:$B$1123, 'Códigos DANE Municipios'!$A$2:$A$1123, "No encontrado")</f>
        <v>27361</v>
      </c>
      <c r="B275" t="str">
        <f>IFERROR(VLOOKUP(D275,APOYO!K:L,2,FALSE),A275)</f>
        <v>27361</v>
      </c>
      <c r="C275" t="s">
        <v>1170</v>
      </c>
      <c r="D275" t="str">
        <f>IFERROR(VLOOKUP(C275,APOYO!J:K,2,FALSE),C275)</f>
        <v>ISTMINA</v>
      </c>
      <c r="E275">
        <v>2013</v>
      </c>
      <c r="F275" t="s">
        <v>2189</v>
      </c>
      <c r="G275" t="s">
        <v>2189</v>
      </c>
      <c r="H275">
        <v>5</v>
      </c>
      <c r="I275" s="13" t="s">
        <v>2189</v>
      </c>
      <c r="J275" s="13" t="s">
        <v>2189</v>
      </c>
      <c r="K275" s="13" t="s">
        <v>2189</v>
      </c>
    </row>
    <row r="276" spans="1:11" hidden="1" x14ac:dyDescent="0.25">
      <c r="A276" t="str">
        <f>_xlfn.XLOOKUP(C276, 'Códigos DANE Municipios'!$B$2:$B$1123, 'Códigos DANE Municipios'!$A$2:$A$1123, "No encontrado")</f>
        <v>05360</v>
      </c>
      <c r="B276" t="str">
        <f>IFERROR(VLOOKUP(D276,APOYO!K:L,2,FALSE),A276)</f>
        <v>05360</v>
      </c>
      <c r="C276" t="s">
        <v>128</v>
      </c>
      <c r="D276" t="str">
        <f>IFERROR(VLOOKUP(C276,APOYO!J:K,2,FALSE),C276)</f>
        <v>ITAGÜÍ</v>
      </c>
      <c r="E276">
        <v>2013</v>
      </c>
      <c r="F276" t="s">
        <v>2189</v>
      </c>
      <c r="G276" t="s">
        <v>2189</v>
      </c>
      <c r="H276">
        <v>300</v>
      </c>
      <c r="I276" s="13" t="s">
        <v>2189</v>
      </c>
      <c r="J276" s="13" t="s">
        <v>2189</v>
      </c>
      <c r="K276" s="13" t="s">
        <v>2189</v>
      </c>
    </row>
    <row r="277" spans="1:11" hidden="1" x14ac:dyDescent="0.25">
      <c r="A277" t="str">
        <f>_xlfn.XLOOKUP(C277, 'Códigos DANE Municipios'!$B$2:$B$1123, 'Códigos DANE Municipios'!$A$2:$A$1123, "No encontrado")</f>
        <v>05361</v>
      </c>
      <c r="B277" t="str">
        <f>IFERROR(VLOOKUP(D277,APOYO!K:L,2,FALSE),A277)</f>
        <v>05361</v>
      </c>
      <c r="C277" t="s">
        <v>130</v>
      </c>
      <c r="D277" t="str">
        <f>IFERROR(VLOOKUP(C277,APOYO!J:K,2,FALSE),C277)</f>
        <v>ITUANGO</v>
      </c>
      <c r="E277">
        <v>2013</v>
      </c>
      <c r="F277">
        <v>15</v>
      </c>
      <c r="G277" t="s">
        <v>2189</v>
      </c>
      <c r="H277">
        <v>1</v>
      </c>
      <c r="I277" s="13" t="s">
        <v>2189</v>
      </c>
      <c r="J277" s="13" t="s">
        <v>2189</v>
      </c>
      <c r="K277" s="13" t="s">
        <v>2189</v>
      </c>
    </row>
    <row r="278" spans="1:11" hidden="1" x14ac:dyDescent="0.25">
      <c r="A278" t="str">
        <f>_xlfn.XLOOKUP(C278, 'Códigos DANE Municipios'!$B$2:$B$1123, 'Códigos DANE Municipios'!$A$2:$A$1123, "No encontrado")</f>
        <v>15362</v>
      </c>
      <c r="B278" t="str">
        <f>IFERROR(VLOOKUP(D278,APOYO!K:L,2,FALSE),A278)</f>
        <v>15362</v>
      </c>
      <c r="C278" t="s">
        <v>485</v>
      </c>
      <c r="D278" t="str">
        <f>IFERROR(VLOOKUP(C278,APOYO!J:K,2,FALSE),C278)</f>
        <v>IZA</v>
      </c>
      <c r="E278">
        <v>2013</v>
      </c>
      <c r="F278" t="s">
        <v>2189</v>
      </c>
      <c r="G278" t="s">
        <v>2189</v>
      </c>
      <c r="H278">
        <v>1</v>
      </c>
      <c r="I278" s="13" t="s">
        <v>2189</v>
      </c>
      <c r="J278" s="13" t="s">
        <v>2189</v>
      </c>
      <c r="K278" s="13" t="s">
        <v>2189</v>
      </c>
    </row>
    <row r="279" spans="1:11" hidden="1" x14ac:dyDescent="0.25">
      <c r="A279" t="str">
        <f>_xlfn.XLOOKUP(C279, 'Códigos DANE Municipios'!$B$2:$B$1123, 'Códigos DANE Municipios'!$A$2:$A$1123, "No encontrado")</f>
        <v>76364</v>
      </c>
      <c r="B279" t="str">
        <f>IFERROR(VLOOKUP(D279,APOYO!K:L,2,FALSE),A279)</f>
        <v>76364</v>
      </c>
      <c r="C279" t="s">
        <v>1996</v>
      </c>
      <c r="D279" t="str">
        <f>IFERROR(VLOOKUP(C279,APOYO!J:K,2,FALSE),C279)</f>
        <v>JAMUNDÍ</v>
      </c>
      <c r="E279">
        <v>2013</v>
      </c>
      <c r="F279" t="s">
        <v>2189</v>
      </c>
      <c r="G279" t="s">
        <v>2189</v>
      </c>
      <c r="H279">
        <v>330</v>
      </c>
      <c r="I279" s="13" t="s">
        <v>2189</v>
      </c>
      <c r="J279" s="13" t="s">
        <v>2189</v>
      </c>
      <c r="K279" s="13" t="s">
        <v>2189</v>
      </c>
    </row>
    <row r="280" spans="1:11" hidden="1" x14ac:dyDescent="0.25">
      <c r="A280" t="str">
        <f>_xlfn.XLOOKUP(C280, 'Códigos DANE Municipios'!$B$2:$B$1123, 'Códigos DANE Municipios'!$A$2:$A$1123, "No encontrado")</f>
        <v>05364</v>
      </c>
      <c r="B280" t="str">
        <f>IFERROR(VLOOKUP(D280,APOYO!K:L,2,FALSE),A280)</f>
        <v>05364</v>
      </c>
      <c r="C280" t="s">
        <v>132</v>
      </c>
      <c r="D280" t="str">
        <f>IFERROR(VLOOKUP(C280,APOYO!J:K,2,FALSE),C280)</f>
        <v>JARDÍN</v>
      </c>
      <c r="E280">
        <v>2013</v>
      </c>
      <c r="F280" t="s">
        <v>2189</v>
      </c>
      <c r="G280" t="s">
        <v>2189</v>
      </c>
      <c r="H280">
        <v>9</v>
      </c>
      <c r="I280" s="13" t="s">
        <v>2189</v>
      </c>
      <c r="J280" s="13" t="s">
        <v>2189</v>
      </c>
      <c r="K280" s="13" t="s">
        <v>2189</v>
      </c>
    </row>
    <row r="281" spans="1:11" hidden="1" x14ac:dyDescent="0.25">
      <c r="A281" t="str">
        <f>_xlfn.XLOOKUP(C281, 'Códigos DANE Municipios'!$B$2:$B$1123, 'Códigos DANE Municipios'!$A$2:$A$1123, "No encontrado")</f>
        <v>15367</v>
      </c>
      <c r="B281" t="str">
        <f>IFERROR(VLOOKUP(D281,APOYO!K:L,2,FALSE),A281)</f>
        <v>15367</v>
      </c>
      <c r="C281" t="s">
        <v>487</v>
      </c>
      <c r="D281" t="str">
        <f>IFERROR(VLOOKUP(C281,APOYO!J:K,2,FALSE),C281)</f>
        <v>JENESANO</v>
      </c>
      <c r="E281">
        <v>2013</v>
      </c>
      <c r="F281" t="s">
        <v>2189</v>
      </c>
      <c r="G281" t="s">
        <v>2189</v>
      </c>
      <c r="H281">
        <v>5</v>
      </c>
      <c r="I281" s="13" t="s">
        <v>2189</v>
      </c>
      <c r="J281" s="13" t="s">
        <v>2189</v>
      </c>
      <c r="K281" s="13" t="s">
        <v>2189</v>
      </c>
    </row>
    <row r="282" spans="1:11" hidden="1" x14ac:dyDescent="0.25">
      <c r="A282" t="str">
        <f>_xlfn.XLOOKUP(C282, 'Códigos DANE Municipios'!$B$2:$B$1123, 'Códigos DANE Municipios'!$A$2:$A$1123, "No encontrado")</f>
        <v>05368</v>
      </c>
      <c r="B282" t="str">
        <f>IFERROR(VLOOKUP(D282,APOYO!K:L,2,FALSE),A282)</f>
        <v>05368</v>
      </c>
      <c r="C282" t="s">
        <v>134</v>
      </c>
      <c r="D282" t="str">
        <f>IFERROR(VLOOKUP(C282,APOYO!J:K,2,FALSE),C282)</f>
        <v>JERICÓ</v>
      </c>
      <c r="E282">
        <v>2013</v>
      </c>
      <c r="F282" t="s">
        <v>2189</v>
      </c>
      <c r="G282" t="s">
        <v>2189</v>
      </c>
      <c r="H282">
        <v>5</v>
      </c>
      <c r="I282" s="13" t="s">
        <v>2189</v>
      </c>
      <c r="J282" s="13" t="s">
        <v>2189</v>
      </c>
      <c r="K282" s="13" t="s">
        <v>2189</v>
      </c>
    </row>
    <row r="283" spans="1:11" hidden="1" x14ac:dyDescent="0.25">
      <c r="A283" t="str">
        <f>_xlfn.XLOOKUP(C283, 'Códigos DANE Municipios'!$B$2:$B$1123, 'Códigos DANE Municipios'!$A$2:$A$1123, "No encontrado")</f>
        <v>08372</v>
      </c>
      <c r="B283" t="str">
        <f>IFERROR(VLOOKUP(D283,APOYO!K:L,2,FALSE),A283)</f>
        <v>08372</v>
      </c>
      <c r="C283" t="s">
        <v>272</v>
      </c>
      <c r="D283" t="str">
        <f>IFERROR(VLOOKUP(C283,APOYO!J:K,2,FALSE),C283)</f>
        <v>JUAN DE ACOSTA</v>
      </c>
      <c r="E283">
        <v>2013</v>
      </c>
      <c r="F283" t="s">
        <v>2189</v>
      </c>
      <c r="G283" t="s">
        <v>2189</v>
      </c>
      <c r="H283">
        <v>15</v>
      </c>
      <c r="I283" s="13" t="s">
        <v>2189</v>
      </c>
      <c r="J283" s="13" t="s">
        <v>2189</v>
      </c>
      <c r="K283" s="13" t="s">
        <v>2189</v>
      </c>
    </row>
    <row r="284" spans="1:11" hidden="1" x14ac:dyDescent="0.25">
      <c r="A284" t="str">
        <f>_xlfn.XLOOKUP(C284, 'Códigos DANE Municipios'!$B$2:$B$1123, 'Códigos DANE Municipios'!$A$2:$A$1123, "No encontrado")</f>
        <v>27372</v>
      </c>
      <c r="B284" t="str">
        <f>IFERROR(VLOOKUP(D284,APOYO!K:L,2,FALSE),A284)</f>
        <v>27372</v>
      </c>
      <c r="C284" t="s">
        <v>1172</v>
      </c>
      <c r="D284" t="str">
        <f>IFERROR(VLOOKUP(C284,APOYO!J:K,2,FALSE),C284)</f>
        <v>JURADÓ</v>
      </c>
      <c r="E284">
        <v>2013</v>
      </c>
      <c r="F284">
        <v>281</v>
      </c>
      <c r="G284" t="s">
        <v>2189</v>
      </c>
      <c r="H284">
        <v>9</v>
      </c>
      <c r="I284" s="13" t="s">
        <v>2189</v>
      </c>
      <c r="J284" s="13" t="s">
        <v>2189</v>
      </c>
      <c r="K284" s="13" t="s">
        <v>2189</v>
      </c>
    </row>
    <row r="285" spans="1:11" hidden="1" x14ac:dyDescent="0.25">
      <c r="A285" t="str">
        <f>_xlfn.XLOOKUP(C285, 'Códigos DANE Municipios'!$B$2:$B$1123, 'Códigos DANE Municipios'!$A$2:$A$1123, "No encontrado")</f>
        <v>41378</v>
      </c>
      <c r="B285" t="str">
        <f>IFERROR(VLOOKUP(D285,APOYO!K:L,2,FALSE),A285)</f>
        <v>41378</v>
      </c>
      <c r="C285" t="s">
        <v>1232</v>
      </c>
      <c r="D285" t="str">
        <f>IFERROR(VLOOKUP(C285,APOYO!J:K,2,FALSE),C285)</f>
        <v>LA ARGENTINA</v>
      </c>
      <c r="E285">
        <v>2013</v>
      </c>
      <c r="F285" t="s">
        <v>2189</v>
      </c>
      <c r="G285" t="s">
        <v>2189</v>
      </c>
      <c r="H285">
        <v>1</v>
      </c>
      <c r="I285" s="13" t="s">
        <v>2189</v>
      </c>
      <c r="J285" s="13" t="s">
        <v>2189</v>
      </c>
      <c r="K285" s="13" t="s">
        <v>2189</v>
      </c>
    </row>
    <row r="286" spans="1:11" hidden="1" x14ac:dyDescent="0.25">
      <c r="A286" t="str">
        <f>_xlfn.XLOOKUP(C286, 'Códigos DANE Municipios'!$B$2:$B$1123, 'Códigos DANE Municipios'!$A$2:$A$1123, "No encontrado")</f>
        <v>25377</v>
      </c>
      <c r="B286" t="str">
        <f>IFERROR(VLOOKUP(D286,APOYO!K:L,2,FALSE),A286)</f>
        <v>25377</v>
      </c>
      <c r="C286" t="s">
        <v>1008</v>
      </c>
      <c r="D286" t="str">
        <f>IFERROR(VLOOKUP(C286,APOYO!J:K,2,FALSE),C286)</f>
        <v>LA CALERA</v>
      </c>
      <c r="E286">
        <v>2013</v>
      </c>
      <c r="F286" t="s">
        <v>2189</v>
      </c>
      <c r="G286" t="s">
        <v>2189</v>
      </c>
      <c r="H286">
        <v>96</v>
      </c>
      <c r="I286" s="13" t="s">
        <v>2189</v>
      </c>
      <c r="J286" s="13" t="s">
        <v>2189</v>
      </c>
      <c r="K286" s="13" t="s">
        <v>2189</v>
      </c>
    </row>
    <row r="287" spans="1:11" hidden="1" x14ac:dyDescent="0.25">
      <c r="A287" t="str">
        <f>_xlfn.XLOOKUP(C287, 'Códigos DANE Municipios'!$B$2:$B$1123, 'Códigos DANE Municipios'!$A$2:$A$1123, "No encontrado")</f>
        <v>05376</v>
      </c>
      <c r="B287" t="str">
        <f>IFERROR(VLOOKUP(D287,APOYO!K:L,2,FALSE),A287)</f>
        <v>05376</v>
      </c>
      <c r="C287" t="s">
        <v>136</v>
      </c>
      <c r="D287" t="str">
        <f>IFERROR(VLOOKUP(C287,APOYO!J:K,2,FALSE),C287)</f>
        <v>LA CEJA</v>
      </c>
      <c r="E287">
        <v>2013</v>
      </c>
      <c r="F287" t="s">
        <v>2189</v>
      </c>
      <c r="G287" t="s">
        <v>2189</v>
      </c>
      <c r="H287">
        <v>105</v>
      </c>
      <c r="I287" s="13" t="s">
        <v>2189</v>
      </c>
      <c r="J287" s="13" t="s">
        <v>2189</v>
      </c>
      <c r="K287" s="13" t="s">
        <v>2189</v>
      </c>
    </row>
    <row r="288" spans="1:11" hidden="1" x14ac:dyDescent="0.25">
      <c r="A288" t="str">
        <f>_xlfn.XLOOKUP(C288, 'Códigos DANE Municipios'!$B$2:$B$1123, 'Códigos DANE Municipios'!$A$2:$A$1123, "No encontrado")</f>
        <v>66383</v>
      </c>
      <c r="B288" t="str">
        <f>IFERROR(VLOOKUP(D288,APOYO!K:L,2,FALSE),A288)</f>
        <v>66383</v>
      </c>
      <c r="C288" t="s">
        <v>1639</v>
      </c>
      <c r="D288" t="str">
        <f>IFERROR(VLOOKUP(C288,APOYO!J:K,2,FALSE),C288)</f>
        <v>LA CELIA</v>
      </c>
      <c r="E288">
        <v>2013</v>
      </c>
      <c r="F288" t="s">
        <v>2189</v>
      </c>
      <c r="G288" t="s">
        <v>2189</v>
      </c>
      <c r="H288">
        <v>1</v>
      </c>
      <c r="I288" s="13" t="s">
        <v>2189</v>
      </c>
      <c r="J288" s="13" t="s">
        <v>2189</v>
      </c>
      <c r="K288" s="13" t="s">
        <v>2189</v>
      </c>
    </row>
    <row r="289" spans="1:11" hidden="1" x14ac:dyDescent="0.25">
      <c r="A289" t="str">
        <f>_xlfn.XLOOKUP(C289, 'Códigos DANE Municipios'!$B$2:$B$1123, 'Códigos DANE Municipios'!$A$2:$A$1123, "No encontrado")</f>
        <v>91405</v>
      </c>
      <c r="B289" t="str">
        <f>IFERROR(VLOOKUP(D289,APOYO!K:L,2,FALSE),A289)</f>
        <v>91405</v>
      </c>
      <c r="C289" t="s">
        <v>2112</v>
      </c>
      <c r="D289" t="str">
        <f>IFERROR(VLOOKUP(C289,APOYO!J:K,2,FALSE),C289)</f>
        <v>LA CHORRERA</v>
      </c>
      <c r="E289">
        <v>2013</v>
      </c>
      <c r="F289">
        <v>909</v>
      </c>
      <c r="G289" t="s">
        <v>2189</v>
      </c>
      <c r="H289">
        <v>3</v>
      </c>
      <c r="I289" s="13" t="s">
        <v>2189</v>
      </c>
      <c r="J289" s="13" t="s">
        <v>2189</v>
      </c>
      <c r="K289" s="13" t="s">
        <v>2189</v>
      </c>
    </row>
    <row r="290" spans="1:11" hidden="1" x14ac:dyDescent="0.25">
      <c r="A290" t="str">
        <f>_xlfn.XLOOKUP(C290, 'Códigos DANE Municipios'!$B$2:$B$1123, 'Códigos DANE Municipios'!$A$2:$A$1123, "No encontrado")</f>
        <v>52378</v>
      </c>
      <c r="B290" t="str">
        <f>IFERROR(VLOOKUP(D290,APOYO!K:L,2,FALSE),A290)</f>
        <v>52378</v>
      </c>
      <c r="C290" t="s">
        <v>1464</v>
      </c>
      <c r="D290" t="str">
        <f>IFERROR(VLOOKUP(C290,APOYO!J:K,2,FALSE),C290)</f>
        <v>LA CRUZ</v>
      </c>
      <c r="E290">
        <v>2013</v>
      </c>
      <c r="F290" t="s">
        <v>2189</v>
      </c>
      <c r="G290" t="s">
        <v>2189</v>
      </c>
      <c r="H290">
        <v>4</v>
      </c>
      <c r="I290" s="13" t="s">
        <v>2189</v>
      </c>
      <c r="J290" s="13" t="s">
        <v>2189</v>
      </c>
      <c r="K290" s="13" t="s">
        <v>2189</v>
      </c>
    </row>
    <row r="291" spans="1:11" hidden="1" x14ac:dyDescent="0.25">
      <c r="A291" t="str">
        <f>_xlfn.XLOOKUP(C291, 'Códigos DANE Municipios'!$B$2:$B$1123, 'Códigos DANE Municipios'!$A$2:$A$1123, "No encontrado")</f>
        <v>76377</v>
      </c>
      <c r="B291" t="str">
        <f>IFERROR(VLOOKUP(D291,APOYO!K:L,2,FALSE),A291)</f>
        <v>76377</v>
      </c>
      <c r="C291" t="s">
        <v>1998</v>
      </c>
      <c r="D291" t="str">
        <f>IFERROR(VLOOKUP(C291,APOYO!J:K,2,FALSE),C291)</f>
        <v>LA CUMBRE</v>
      </c>
      <c r="E291">
        <v>2013</v>
      </c>
      <c r="F291" t="s">
        <v>2189</v>
      </c>
      <c r="G291" t="s">
        <v>2189</v>
      </c>
      <c r="H291">
        <v>9</v>
      </c>
      <c r="I291" s="13" t="s">
        <v>2189</v>
      </c>
      <c r="J291" s="13" t="s">
        <v>2189</v>
      </c>
      <c r="K291" s="13" t="s">
        <v>2189</v>
      </c>
    </row>
    <row r="292" spans="1:11" hidden="1" x14ac:dyDescent="0.25">
      <c r="A292" t="str">
        <f>_xlfn.XLOOKUP(C292, 'Códigos DANE Municipios'!$B$2:$B$1123, 'Códigos DANE Municipios'!$A$2:$A$1123, "No encontrado")</f>
        <v>17380</v>
      </c>
      <c r="B292" t="str">
        <f>IFERROR(VLOOKUP(D292,APOYO!K:L,2,FALSE),A292)</f>
        <v>17380</v>
      </c>
      <c r="C292" t="s">
        <v>658</v>
      </c>
      <c r="D292" t="str">
        <f>IFERROR(VLOOKUP(C292,APOYO!J:K,2,FALSE),C292)</f>
        <v>LA DORADA</v>
      </c>
      <c r="E292">
        <v>2013</v>
      </c>
      <c r="F292" t="s">
        <v>2189</v>
      </c>
      <c r="G292" t="s">
        <v>2189</v>
      </c>
      <c r="H292">
        <v>123</v>
      </c>
      <c r="I292" s="13" t="s">
        <v>2189</v>
      </c>
      <c r="J292" s="13" t="s">
        <v>2189</v>
      </c>
      <c r="K292" s="13" t="s">
        <v>2189</v>
      </c>
    </row>
    <row r="293" spans="1:11" hidden="1" x14ac:dyDescent="0.25">
      <c r="A293" t="str">
        <f>_xlfn.XLOOKUP(C293, 'Códigos DANE Municipios'!$B$2:$B$1123, 'Códigos DANE Municipios'!$A$2:$A$1123, "No encontrado")</f>
        <v>05380</v>
      </c>
      <c r="B293" t="str">
        <f>IFERROR(VLOOKUP(D293,APOYO!K:L,2,FALSE),A293)</f>
        <v>05380</v>
      </c>
      <c r="C293" t="s">
        <v>138</v>
      </c>
      <c r="D293" t="str">
        <f>IFERROR(VLOOKUP(C293,APOYO!J:K,2,FALSE),C293)</f>
        <v>LA ESTRELLA</v>
      </c>
      <c r="E293">
        <v>2013</v>
      </c>
      <c r="F293" t="s">
        <v>2189</v>
      </c>
      <c r="G293" t="s">
        <v>2189</v>
      </c>
      <c r="H293">
        <v>28</v>
      </c>
      <c r="I293" s="13" t="s">
        <v>2189</v>
      </c>
      <c r="J293" s="13" t="s">
        <v>2189</v>
      </c>
      <c r="K293" s="13" t="s">
        <v>2189</v>
      </c>
    </row>
    <row r="294" spans="1:11" hidden="1" x14ac:dyDescent="0.25">
      <c r="A294" t="str">
        <f>_xlfn.XLOOKUP(C294, 'Códigos DANE Municipios'!$B$2:$B$1123, 'Códigos DANE Municipios'!$A$2:$A$1123, "No encontrado")</f>
        <v>52381</v>
      </c>
      <c r="B294" t="str">
        <f>IFERROR(VLOOKUP(D294,APOYO!K:L,2,FALSE),A294)</f>
        <v>52381</v>
      </c>
      <c r="C294" t="s">
        <v>1466</v>
      </c>
      <c r="D294" t="str">
        <f>IFERROR(VLOOKUP(C294,APOYO!J:K,2,FALSE),C294)</f>
        <v>LA FLORIDA</v>
      </c>
      <c r="E294">
        <v>2013</v>
      </c>
      <c r="F294" t="s">
        <v>2189</v>
      </c>
      <c r="G294" t="s">
        <v>2189</v>
      </c>
      <c r="H294">
        <v>3</v>
      </c>
      <c r="I294" s="13" t="s">
        <v>2189</v>
      </c>
      <c r="J294" s="13" t="s">
        <v>2189</v>
      </c>
      <c r="K294" s="13" t="s">
        <v>2189</v>
      </c>
    </row>
    <row r="295" spans="1:11" hidden="1" x14ac:dyDescent="0.25">
      <c r="A295" t="str">
        <f>_xlfn.XLOOKUP(C295, 'Códigos DANE Municipios'!$B$2:$B$1123, 'Códigos DANE Municipios'!$A$2:$A$1123, "No encontrado")</f>
        <v>20383</v>
      </c>
      <c r="B295" t="str">
        <f>IFERROR(VLOOKUP(D295,APOYO!K:L,2,FALSE),A295)</f>
        <v>20383</v>
      </c>
      <c r="C295" t="s">
        <v>834</v>
      </c>
      <c r="D295" t="str">
        <f>IFERROR(VLOOKUP(C295,APOYO!J:K,2,FALSE),C295)</f>
        <v>LA GLORIA</v>
      </c>
      <c r="E295">
        <v>2013</v>
      </c>
      <c r="F295" t="s">
        <v>2189</v>
      </c>
      <c r="G295" t="s">
        <v>2189</v>
      </c>
      <c r="H295">
        <v>3</v>
      </c>
      <c r="I295" s="13" t="s">
        <v>2189</v>
      </c>
      <c r="J295" s="13" t="s">
        <v>2189</v>
      </c>
      <c r="K295" s="13" t="s">
        <v>2189</v>
      </c>
    </row>
    <row r="296" spans="1:11" hidden="1" x14ac:dyDescent="0.25">
      <c r="A296" t="str">
        <f>_xlfn.XLOOKUP(C296, 'Códigos DANE Municipios'!$B$2:$B$1123, 'Códigos DANE Municipios'!$A$2:$A$1123, "No encontrado")</f>
        <v>20400</v>
      </c>
      <c r="B296" t="str">
        <f>IFERROR(VLOOKUP(D296,APOYO!K:L,2,FALSE),A296)</f>
        <v>20400</v>
      </c>
      <c r="C296" t="s">
        <v>836</v>
      </c>
      <c r="D296" t="str">
        <f>IFERROR(VLOOKUP(C296,APOYO!J:K,2,FALSE),C296)</f>
        <v>LA JAGUA DE IBIRICO</v>
      </c>
      <c r="E296">
        <v>2013</v>
      </c>
      <c r="F296">
        <v>377</v>
      </c>
      <c r="G296" t="s">
        <v>2189</v>
      </c>
      <c r="H296">
        <v>6</v>
      </c>
      <c r="I296" s="13" t="s">
        <v>2189</v>
      </c>
      <c r="J296" s="13" t="s">
        <v>2189</v>
      </c>
      <c r="K296" s="13" t="s">
        <v>2189</v>
      </c>
    </row>
    <row r="297" spans="1:11" hidden="1" x14ac:dyDescent="0.25">
      <c r="A297" t="str">
        <f>_xlfn.XLOOKUP(C297, 'Códigos DANE Municipios'!$B$2:$B$1123, 'Códigos DANE Municipios'!$A$2:$A$1123, "No encontrado")</f>
        <v>50350</v>
      </c>
      <c r="B297" t="str">
        <f>IFERROR(VLOOKUP(D297,APOYO!K:L,2,FALSE),A297)</f>
        <v>50350</v>
      </c>
      <c r="C297" t="s">
        <v>1386</v>
      </c>
      <c r="D297" t="str">
        <f>IFERROR(VLOOKUP(C297,APOYO!J:K,2,FALSE),C297)</f>
        <v>LA MACARENA</v>
      </c>
      <c r="E297">
        <v>2013</v>
      </c>
      <c r="F297">
        <v>9190</v>
      </c>
      <c r="G297" t="s">
        <v>2189</v>
      </c>
      <c r="H297" t="s">
        <v>2189</v>
      </c>
      <c r="I297">
        <v>0</v>
      </c>
      <c r="J297" s="13" t="s">
        <v>2189</v>
      </c>
      <c r="K297" s="13" t="s">
        <v>2189</v>
      </c>
    </row>
    <row r="298" spans="1:11" hidden="1" x14ac:dyDescent="0.25">
      <c r="A298" t="str">
        <f>_xlfn.XLOOKUP(C298, 'Códigos DANE Municipios'!$B$2:$B$1123, 'Códigos DANE Municipios'!$A$2:$A$1123, "No encontrado")</f>
        <v>17388</v>
      </c>
      <c r="B298" t="str">
        <f>IFERROR(VLOOKUP(D298,APOYO!K:L,2,FALSE),A298)</f>
        <v>17388</v>
      </c>
      <c r="C298" t="s">
        <v>660</v>
      </c>
      <c r="D298" t="str">
        <f>IFERROR(VLOOKUP(C298,APOYO!J:K,2,FALSE),C298)</f>
        <v>LA MERCED</v>
      </c>
      <c r="E298">
        <v>2013</v>
      </c>
      <c r="F298" t="s">
        <v>2189</v>
      </c>
      <c r="G298" t="s">
        <v>2189</v>
      </c>
      <c r="H298">
        <v>2</v>
      </c>
      <c r="I298" s="13" t="s">
        <v>2189</v>
      </c>
      <c r="J298" s="13" t="s">
        <v>2189</v>
      </c>
      <c r="K298" s="13" t="s">
        <v>2189</v>
      </c>
    </row>
    <row r="299" spans="1:11" hidden="1" x14ac:dyDescent="0.25">
      <c r="A299" t="str">
        <f>_xlfn.XLOOKUP(C299, 'Códigos DANE Municipios'!$B$2:$B$1123, 'Códigos DANE Municipios'!$A$2:$A$1123, "No encontrado")</f>
        <v>25386</v>
      </c>
      <c r="B299" t="str">
        <f>IFERROR(VLOOKUP(D299,APOYO!K:L,2,FALSE),A299)</f>
        <v>25386</v>
      </c>
      <c r="C299" t="s">
        <v>1010</v>
      </c>
      <c r="D299" t="str">
        <f>IFERROR(VLOOKUP(C299,APOYO!J:K,2,FALSE),C299)</f>
        <v>LA MESA</v>
      </c>
      <c r="E299">
        <v>2013</v>
      </c>
      <c r="F299" t="s">
        <v>2189</v>
      </c>
      <c r="G299" t="s">
        <v>2189</v>
      </c>
      <c r="H299">
        <v>86</v>
      </c>
      <c r="I299" s="13" t="s">
        <v>2189</v>
      </c>
      <c r="J299" s="13" t="s">
        <v>2189</v>
      </c>
      <c r="K299" s="13" t="s">
        <v>2189</v>
      </c>
    </row>
    <row r="300" spans="1:11" hidden="1" x14ac:dyDescent="0.25">
      <c r="A300" t="str">
        <f>_xlfn.XLOOKUP(C300, 'Códigos DANE Municipios'!$B$2:$B$1123, 'Códigos DANE Municipios'!$A$2:$A$1123, "No encontrado")</f>
        <v>20621</v>
      </c>
      <c r="B300" t="str">
        <f>IFERROR(VLOOKUP(D300,APOYO!K:L,2,FALSE),A300)</f>
        <v>20621</v>
      </c>
      <c r="C300" t="s">
        <v>848</v>
      </c>
      <c r="D300" t="str">
        <f>IFERROR(VLOOKUP(C300,APOYO!J:K,2,FALSE),C300)</f>
        <v>LA PAZ</v>
      </c>
      <c r="E300">
        <v>2013</v>
      </c>
      <c r="F300" t="s">
        <v>2189</v>
      </c>
      <c r="G300" t="s">
        <v>2189</v>
      </c>
      <c r="H300">
        <v>1</v>
      </c>
      <c r="I300" s="13" t="s">
        <v>2189</v>
      </c>
      <c r="J300" s="13" t="s">
        <v>2189</v>
      </c>
      <c r="K300" s="13" t="s">
        <v>2189</v>
      </c>
    </row>
    <row r="301" spans="1:11" hidden="1" x14ac:dyDescent="0.25">
      <c r="A301" t="str">
        <f>_xlfn.XLOOKUP(C301, 'Códigos DANE Municipios'!$B$2:$B$1123, 'Códigos DANE Municipios'!$A$2:$A$1123, "No encontrado")</f>
        <v>91407</v>
      </c>
      <c r="B301" t="str">
        <f>IFERROR(VLOOKUP(D301,APOYO!K:L,2,FALSE),A301)</f>
        <v>91407</v>
      </c>
      <c r="C301" t="s">
        <v>2114</v>
      </c>
      <c r="D301" t="str">
        <f>IFERROR(VLOOKUP(C301,APOYO!J:K,2,FALSE),C301)</f>
        <v>LA PEDRERA</v>
      </c>
      <c r="E301">
        <v>2013</v>
      </c>
      <c r="F301">
        <v>1627</v>
      </c>
      <c r="G301" t="s">
        <v>2189</v>
      </c>
      <c r="H301">
        <v>1</v>
      </c>
      <c r="I301" s="13" t="s">
        <v>2189</v>
      </c>
      <c r="J301" s="13" t="s">
        <v>2189</v>
      </c>
      <c r="K301" s="13" t="s">
        <v>2189</v>
      </c>
    </row>
    <row r="302" spans="1:11" hidden="1" x14ac:dyDescent="0.25">
      <c r="A302" t="str">
        <f>_xlfn.XLOOKUP(C302, 'Códigos DANE Municipios'!$B$2:$B$1123, 'Códigos DANE Municipios'!$A$2:$A$1123, "No encontrado")</f>
        <v>41396</v>
      </c>
      <c r="B302" t="str">
        <f>IFERROR(VLOOKUP(D302,APOYO!K:L,2,FALSE),A302)</f>
        <v>41396</v>
      </c>
      <c r="C302" t="s">
        <v>1234</v>
      </c>
      <c r="D302" t="str">
        <f>IFERROR(VLOOKUP(C302,APOYO!J:K,2,FALSE),C302)</f>
        <v>LA PLATA</v>
      </c>
      <c r="E302">
        <v>2013</v>
      </c>
      <c r="F302" t="s">
        <v>2189</v>
      </c>
      <c r="G302" t="s">
        <v>2189</v>
      </c>
      <c r="H302">
        <v>51</v>
      </c>
      <c r="I302" s="13" t="s">
        <v>2189</v>
      </c>
      <c r="J302" s="13" t="s">
        <v>2189</v>
      </c>
      <c r="K302" s="13" t="s">
        <v>2189</v>
      </c>
    </row>
    <row r="303" spans="1:11" hidden="1" x14ac:dyDescent="0.25">
      <c r="A303" t="str">
        <f>_xlfn.XLOOKUP(C303, 'Códigos DANE Municipios'!$B$2:$B$1123, 'Códigos DANE Municipios'!$A$2:$A$1123, "No encontrado")</f>
        <v>54398</v>
      </c>
      <c r="B303" t="str">
        <f>IFERROR(VLOOKUP(D303,APOYO!K:L,2,FALSE),A303)</f>
        <v>54398</v>
      </c>
      <c r="C303" t="s">
        <v>1569</v>
      </c>
      <c r="D303" t="str">
        <f>IFERROR(VLOOKUP(C303,APOYO!J:K,2,FALSE),C303)</f>
        <v>LA PLAYA</v>
      </c>
      <c r="E303">
        <v>2013</v>
      </c>
      <c r="F303" t="s">
        <v>2189</v>
      </c>
      <c r="G303" t="s">
        <v>2189</v>
      </c>
      <c r="H303">
        <v>1</v>
      </c>
      <c r="I303">
        <v>0</v>
      </c>
      <c r="J303" s="13" t="s">
        <v>2189</v>
      </c>
      <c r="K303" s="13" t="s">
        <v>2189</v>
      </c>
    </row>
    <row r="304" spans="1:11" hidden="1" x14ac:dyDescent="0.25">
      <c r="A304" t="str">
        <f>_xlfn.XLOOKUP(C304, 'Códigos DANE Municipios'!$B$2:$B$1123, 'Códigos DANE Municipios'!$A$2:$A$1123, "No encontrado")</f>
        <v>99524</v>
      </c>
      <c r="B304" t="str">
        <f>IFERROR(VLOOKUP(D304,APOYO!K:L,2,FALSE),A304)</f>
        <v>99524</v>
      </c>
      <c r="C304" t="s">
        <v>2165</v>
      </c>
      <c r="D304" t="str">
        <f>IFERROR(VLOOKUP(C304,APOYO!J:K,2,FALSE),C304)</f>
        <v>LA PRIMAVERA</v>
      </c>
      <c r="E304">
        <v>2013</v>
      </c>
      <c r="F304">
        <v>3300</v>
      </c>
      <c r="G304">
        <v>5</v>
      </c>
      <c r="H304">
        <v>1</v>
      </c>
      <c r="I304" s="13" t="s">
        <v>2189</v>
      </c>
      <c r="J304" s="13" t="s">
        <v>2189</v>
      </c>
      <c r="K304" s="13" t="s">
        <v>2189</v>
      </c>
    </row>
    <row r="305" spans="1:11" hidden="1" x14ac:dyDescent="0.25">
      <c r="A305" t="str">
        <f>_xlfn.XLOOKUP(C305, 'Códigos DANE Municipios'!$B$2:$B$1123, 'Códigos DANE Municipios'!$A$2:$A$1123, "No encontrado")</f>
        <v>19392</v>
      </c>
      <c r="B305" t="str">
        <f>IFERROR(VLOOKUP(D305,APOYO!K:L,2,FALSE),A305)</f>
        <v>19392</v>
      </c>
      <c r="C305" t="s">
        <v>759</v>
      </c>
      <c r="D305" t="str">
        <f>IFERROR(VLOOKUP(C305,APOYO!J:K,2,FALSE),C305)</f>
        <v>LA SIERRA</v>
      </c>
      <c r="E305">
        <v>2013</v>
      </c>
      <c r="F305" t="s">
        <v>2189</v>
      </c>
      <c r="G305" t="s">
        <v>2189</v>
      </c>
      <c r="H305">
        <v>1</v>
      </c>
      <c r="I305" s="13" t="s">
        <v>2189</v>
      </c>
      <c r="J305" s="13" t="s">
        <v>2189</v>
      </c>
      <c r="K305" s="13" t="s">
        <v>2189</v>
      </c>
    </row>
    <row r="306" spans="1:11" hidden="1" x14ac:dyDescent="0.25">
      <c r="A306" t="str">
        <f>_xlfn.XLOOKUP(C306, 'Códigos DANE Municipios'!$B$2:$B$1123, 'Códigos DANE Municipios'!$A$2:$A$1123, "No encontrado")</f>
        <v>63401</v>
      </c>
      <c r="B306" t="str">
        <f>IFERROR(VLOOKUP(D306,APOYO!K:L,2,FALSE),A306)</f>
        <v>63401</v>
      </c>
      <c r="C306" t="s">
        <v>1618</v>
      </c>
      <c r="D306" t="str">
        <f>IFERROR(VLOOKUP(C306,APOYO!J:K,2,FALSE),C306)</f>
        <v>LA TEBAIDA</v>
      </c>
      <c r="E306">
        <v>2013</v>
      </c>
      <c r="F306">
        <v>0</v>
      </c>
      <c r="G306" t="s">
        <v>2189</v>
      </c>
      <c r="H306">
        <v>84</v>
      </c>
      <c r="I306" s="13" t="s">
        <v>2189</v>
      </c>
      <c r="J306" s="13" t="s">
        <v>2189</v>
      </c>
      <c r="K306" s="13" t="s">
        <v>2189</v>
      </c>
    </row>
    <row r="307" spans="1:11" hidden="1" x14ac:dyDescent="0.25">
      <c r="A307" t="str">
        <f>_xlfn.XLOOKUP(C307, 'Códigos DANE Municipios'!$B$2:$B$1123, 'Códigos DANE Municipios'!$A$2:$A$1123, "No encontrado")</f>
        <v>05400</v>
      </c>
      <c r="B307" t="str">
        <f>IFERROR(VLOOKUP(D307,APOYO!K:L,2,FALSE),A307)</f>
        <v>05400</v>
      </c>
      <c r="C307" t="s">
        <v>142</v>
      </c>
      <c r="D307" t="str">
        <f>IFERROR(VLOOKUP(C307,APOYO!J:K,2,FALSE),C307)</f>
        <v>LA UNIÓN</v>
      </c>
      <c r="E307">
        <v>2013</v>
      </c>
      <c r="F307" t="s">
        <v>2189</v>
      </c>
      <c r="G307" t="s">
        <v>2189</v>
      </c>
      <c r="H307">
        <v>124</v>
      </c>
      <c r="I307" s="13" t="s">
        <v>2189</v>
      </c>
      <c r="J307" s="13" t="s">
        <v>2189</v>
      </c>
      <c r="K307" s="13" t="s">
        <v>2189</v>
      </c>
    </row>
    <row r="308" spans="1:11" hidden="1" x14ac:dyDescent="0.25">
      <c r="A308" t="str">
        <f>_xlfn.XLOOKUP(C308, 'Códigos DANE Municipios'!$B$2:$B$1123, 'Códigos DANE Municipios'!$A$2:$A$1123, "No encontrado")</f>
        <v>50370</v>
      </c>
      <c r="B308" t="str">
        <f>IFERROR(VLOOKUP(D308,APOYO!K:L,2,FALSE),A308)</f>
        <v>50370</v>
      </c>
      <c r="C308" t="s">
        <v>1388</v>
      </c>
      <c r="D308" t="str">
        <f>IFERROR(VLOOKUP(C308,APOYO!J:K,2,FALSE),C308)</f>
        <v>URIBE</v>
      </c>
      <c r="E308">
        <v>2013</v>
      </c>
      <c r="F308">
        <v>1184</v>
      </c>
      <c r="G308" t="s">
        <v>2189</v>
      </c>
      <c r="H308" t="s">
        <v>2189</v>
      </c>
      <c r="I308" s="13" t="s">
        <v>2189</v>
      </c>
      <c r="J308" s="13" t="s">
        <v>2189</v>
      </c>
      <c r="K308" s="13" t="s">
        <v>2189</v>
      </c>
    </row>
    <row r="309" spans="1:11" hidden="1" x14ac:dyDescent="0.25">
      <c r="A309" t="str">
        <f>_xlfn.XLOOKUP(C309, 'Códigos DANE Municipios'!$B$2:$B$1123, 'Códigos DANE Municipios'!$A$2:$A$1123, "No encontrado")</f>
        <v>19397</v>
      </c>
      <c r="B309" t="str">
        <f>IFERROR(VLOOKUP(D309,APOYO!K:L,2,FALSE),A309)</f>
        <v>19397</v>
      </c>
      <c r="C309" t="s">
        <v>761</v>
      </c>
      <c r="D309" t="str">
        <f>IFERROR(VLOOKUP(C309,APOYO!J:K,2,FALSE),C309)</f>
        <v>LA VEGA</v>
      </c>
      <c r="E309">
        <v>2013</v>
      </c>
      <c r="F309" t="s">
        <v>2189</v>
      </c>
      <c r="G309" t="s">
        <v>2189</v>
      </c>
      <c r="H309">
        <v>38</v>
      </c>
      <c r="I309" s="13" t="s">
        <v>2189</v>
      </c>
      <c r="J309" s="13" t="s">
        <v>2189</v>
      </c>
      <c r="K309" s="13" t="s">
        <v>2189</v>
      </c>
    </row>
    <row r="310" spans="1:11" hidden="1" x14ac:dyDescent="0.25">
      <c r="A310" t="str">
        <f>_xlfn.XLOOKUP(C310, 'Códigos DANE Municipios'!$B$2:$B$1123, 'Códigos DANE Municipios'!$A$2:$A$1123, "No encontrado")</f>
        <v>15401</v>
      </c>
      <c r="B310" t="str">
        <f>IFERROR(VLOOKUP(D310,APOYO!K:L,2,FALSE),A310)</f>
        <v>15401</v>
      </c>
      <c r="C310" t="s">
        <v>494</v>
      </c>
      <c r="D310" t="str">
        <f>IFERROR(VLOOKUP(C310,APOYO!J:K,2,FALSE),C310)</f>
        <v>LA VICTORIA</v>
      </c>
      <c r="E310">
        <v>2013</v>
      </c>
      <c r="F310" t="s">
        <v>2189</v>
      </c>
      <c r="G310" t="s">
        <v>2189</v>
      </c>
      <c r="H310">
        <v>50</v>
      </c>
      <c r="I310" s="13" t="s">
        <v>2189</v>
      </c>
      <c r="J310" s="13" t="s">
        <v>2189</v>
      </c>
      <c r="K310" s="13" t="s">
        <v>2189</v>
      </c>
    </row>
    <row r="311" spans="1:11" hidden="1" x14ac:dyDescent="0.25">
      <c r="A311" t="str">
        <f>_xlfn.XLOOKUP(C311, 'Códigos DANE Municipios'!$B$2:$B$1123, 'Códigos DANE Municipios'!$A$2:$A$1123, "No encontrado")</f>
        <v>66400</v>
      </c>
      <c r="B311" t="str">
        <f>IFERROR(VLOOKUP(D311,APOYO!K:L,2,FALSE),A311)</f>
        <v>66400</v>
      </c>
      <c r="C311" t="s">
        <v>1641</v>
      </c>
      <c r="D311" t="str">
        <f>IFERROR(VLOOKUP(C311,APOYO!J:K,2,FALSE),C311)</f>
        <v>LA VIRGINIA</v>
      </c>
      <c r="E311">
        <v>2013</v>
      </c>
      <c r="F311" t="s">
        <v>2189</v>
      </c>
      <c r="G311" t="s">
        <v>2189</v>
      </c>
      <c r="H311">
        <v>73</v>
      </c>
      <c r="I311" s="13" t="s">
        <v>2189</v>
      </c>
      <c r="J311" s="13" t="s">
        <v>2189</v>
      </c>
      <c r="K311" s="13" t="s">
        <v>2189</v>
      </c>
    </row>
    <row r="312" spans="1:11" hidden="1" x14ac:dyDescent="0.25">
      <c r="A312" t="str">
        <f>_xlfn.XLOOKUP(C312, 'Códigos DANE Municipios'!$B$2:$B$1123, 'Códigos DANE Municipios'!$A$2:$A$1123, "No encontrado")</f>
        <v>68406</v>
      </c>
      <c r="B312" t="str">
        <f>IFERROR(VLOOKUP(D312,APOYO!K:L,2,FALSE),A312)</f>
        <v>68406</v>
      </c>
      <c r="C312" t="s">
        <v>1740</v>
      </c>
      <c r="D312" t="str">
        <f>IFERROR(VLOOKUP(C312,APOYO!J:K,2,FALSE),C312)</f>
        <v>LEBRIJA</v>
      </c>
      <c r="E312">
        <v>2013</v>
      </c>
      <c r="F312" t="s">
        <v>2189</v>
      </c>
      <c r="G312" t="s">
        <v>2189</v>
      </c>
      <c r="H312">
        <v>14</v>
      </c>
      <c r="I312" s="13" t="s">
        <v>2189</v>
      </c>
      <c r="J312" s="13" t="s">
        <v>2189</v>
      </c>
      <c r="K312" s="13" t="s">
        <v>2189</v>
      </c>
    </row>
    <row r="313" spans="1:11" hidden="1" x14ac:dyDescent="0.25">
      <c r="A313" t="str">
        <f>_xlfn.XLOOKUP(C313, 'Códigos DANE Municipios'!$B$2:$B$1123, 'Códigos DANE Municipios'!$A$2:$A$1123, "No encontrado")</f>
        <v>25407</v>
      </c>
      <c r="B313" t="str">
        <f>IFERROR(VLOOKUP(D313,APOYO!K:L,2,FALSE),A313)</f>
        <v>25407</v>
      </c>
      <c r="C313" t="s">
        <v>1017</v>
      </c>
      <c r="D313" t="str">
        <f>IFERROR(VLOOKUP(C313,APOYO!J:K,2,FALSE),C313)</f>
        <v>LENGUAZAQUE</v>
      </c>
      <c r="E313">
        <v>2013</v>
      </c>
      <c r="F313" t="s">
        <v>2189</v>
      </c>
      <c r="G313" t="s">
        <v>2189</v>
      </c>
      <c r="H313">
        <v>2</v>
      </c>
      <c r="I313" s="13" t="s">
        <v>2189</v>
      </c>
      <c r="J313" s="13" t="s">
        <v>2189</v>
      </c>
      <c r="K313" s="13" t="s">
        <v>2189</v>
      </c>
    </row>
    <row r="314" spans="1:11" hidden="1" x14ac:dyDescent="0.25">
      <c r="A314" t="str">
        <f>_xlfn.XLOOKUP(C314, 'Códigos DANE Municipios'!$B$2:$B$1123, 'Códigos DANE Municipios'!$A$2:$A$1123, "No encontrado")</f>
        <v>73408</v>
      </c>
      <c r="B314" t="str">
        <f>IFERROR(VLOOKUP(D314,APOYO!K:L,2,FALSE),A314)</f>
        <v>73408</v>
      </c>
      <c r="C314" t="s">
        <v>1911</v>
      </c>
      <c r="D314" t="str">
        <f>IFERROR(VLOOKUP(C314,APOYO!J:K,2,FALSE),C314)</f>
        <v>LÉRIDA</v>
      </c>
      <c r="E314">
        <v>2013</v>
      </c>
      <c r="F314" t="s">
        <v>2189</v>
      </c>
      <c r="G314">
        <v>7</v>
      </c>
      <c r="H314">
        <v>4</v>
      </c>
      <c r="I314" s="13" t="s">
        <v>2189</v>
      </c>
      <c r="J314" s="13" t="s">
        <v>2189</v>
      </c>
      <c r="K314" s="13" t="s">
        <v>2189</v>
      </c>
    </row>
    <row r="315" spans="1:11" hidden="1" x14ac:dyDescent="0.25">
      <c r="A315" t="str">
        <f>_xlfn.XLOOKUP(C315, 'Códigos DANE Municipios'!$B$2:$B$1123, 'Códigos DANE Municipios'!$A$2:$A$1123, "No encontrado")</f>
        <v>91001</v>
      </c>
      <c r="B315" t="str">
        <f>IFERROR(VLOOKUP(D315,APOYO!K:L,2,FALSE),A315)</f>
        <v>91001</v>
      </c>
      <c r="C315" t="s">
        <v>2108</v>
      </c>
      <c r="D315" t="str">
        <f>IFERROR(VLOOKUP(C315,APOYO!J:K,2,FALSE),C315)</f>
        <v>LETICIA</v>
      </c>
      <c r="E315">
        <v>2013</v>
      </c>
      <c r="F315">
        <v>87935</v>
      </c>
      <c r="G315">
        <v>238</v>
      </c>
      <c r="H315">
        <v>3035</v>
      </c>
      <c r="I315">
        <v>0</v>
      </c>
      <c r="J315" s="13" t="s">
        <v>2189</v>
      </c>
      <c r="K315" s="13" t="s">
        <v>2189</v>
      </c>
    </row>
    <row r="316" spans="1:11" hidden="1" x14ac:dyDescent="0.25">
      <c r="A316" t="str">
        <f>_xlfn.XLOOKUP(C316, 'Códigos DANE Municipios'!$B$2:$B$1123, 'Códigos DANE Municipios'!$A$2:$A$1123, "No encontrado")</f>
        <v>73411</v>
      </c>
      <c r="B316" t="str">
        <f>IFERROR(VLOOKUP(D316,APOYO!K:L,2,FALSE),A316)</f>
        <v>73411</v>
      </c>
      <c r="C316" t="s">
        <v>1913</v>
      </c>
      <c r="D316" t="str">
        <f>IFERROR(VLOOKUP(C316,APOYO!J:K,2,FALSE),C316)</f>
        <v>LÍBANO</v>
      </c>
      <c r="E316">
        <v>2013</v>
      </c>
      <c r="F316" t="s">
        <v>2189</v>
      </c>
      <c r="G316" t="s">
        <v>2189</v>
      </c>
      <c r="H316">
        <v>40</v>
      </c>
      <c r="I316" s="13" t="s">
        <v>2189</v>
      </c>
      <c r="J316" s="13" t="s">
        <v>2189</v>
      </c>
      <c r="K316" s="13" t="s">
        <v>2189</v>
      </c>
    </row>
    <row r="317" spans="1:11" hidden="1" x14ac:dyDescent="0.25">
      <c r="A317" t="str">
        <f>_xlfn.XLOOKUP(C317, 'Códigos DANE Municipios'!$B$2:$B$1123, 'Códigos DANE Municipios'!$A$2:$A$1123, "No encontrado")</f>
        <v>05411</v>
      </c>
      <c r="B317" t="str">
        <f>IFERROR(VLOOKUP(D317,APOYO!K:L,2,FALSE),A317)</f>
        <v>05411</v>
      </c>
      <c r="C317" t="s">
        <v>144</v>
      </c>
      <c r="D317" t="str">
        <f>IFERROR(VLOOKUP(C317,APOYO!J:K,2,FALSE),C317)</f>
        <v>LIBORINA</v>
      </c>
      <c r="E317">
        <v>2013</v>
      </c>
      <c r="F317" t="s">
        <v>2189</v>
      </c>
      <c r="G317" t="s">
        <v>2189</v>
      </c>
      <c r="H317">
        <v>1</v>
      </c>
      <c r="I317" s="13" t="s">
        <v>2189</v>
      </c>
      <c r="J317" s="13" t="s">
        <v>2189</v>
      </c>
      <c r="K317" s="13" t="s">
        <v>2189</v>
      </c>
    </row>
    <row r="318" spans="1:11" hidden="1" x14ac:dyDescent="0.25">
      <c r="A318" t="str">
        <f>_xlfn.XLOOKUP(C318, 'Códigos DANE Municipios'!$B$2:$B$1123, 'Códigos DANE Municipios'!$A$2:$A$1123, "No encontrado")</f>
        <v>23417</v>
      </c>
      <c r="B318" t="str">
        <f>IFERROR(VLOOKUP(D318,APOYO!K:L,2,FALSE),A318)</f>
        <v>23417</v>
      </c>
      <c r="C318" t="s">
        <v>877</v>
      </c>
      <c r="D318" t="str">
        <f>IFERROR(VLOOKUP(C318,APOYO!J:K,2,FALSE),C318)</f>
        <v>LORICA</v>
      </c>
      <c r="E318">
        <v>2013</v>
      </c>
      <c r="F318">
        <v>1</v>
      </c>
      <c r="G318" t="s">
        <v>2189</v>
      </c>
      <c r="H318">
        <v>26</v>
      </c>
      <c r="I318" s="13" t="s">
        <v>2189</v>
      </c>
      <c r="J318" s="13" t="s">
        <v>2189</v>
      </c>
      <c r="K318" s="13" t="s">
        <v>2189</v>
      </c>
    </row>
    <row r="319" spans="1:11" hidden="1" x14ac:dyDescent="0.25">
      <c r="A319" t="str">
        <f>_xlfn.XLOOKUP(C319, 'Códigos DANE Municipios'!$B$2:$B$1123, 'Códigos DANE Municipios'!$A$2:$A$1123, "No encontrado")</f>
        <v>70418</v>
      </c>
      <c r="B319" t="str">
        <f>IFERROR(VLOOKUP(D319,APOYO!K:L,2,FALSE),A319)</f>
        <v>70418</v>
      </c>
      <c r="C319" t="s">
        <v>1836</v>
      </c>
      <c r="D319" t="str">
        <f>IFERROR(VLOOKUP(C319,APOYO!J:K,2,FALSE),C319)</f>
        <v>LOS PALMITOS</v>
      </c>
      <c r="E319">
        <v>2013</v>
      </c>
      <c r="F319" t="s">
        <v>2189</v>
      </c>
      <c r="G319" t="s">
        <v>2189</v>
      </c>
      <c r="H319">
        <v>1</v>
      </c>
      <c r="I319" s="13" t="s">
        <v>2189</v>
      </c>
      <c r="J319" s="13" t="s">
        <v>2189</v>
      </c>
      <c r="K319" s="13" t="s">
        <v>2189</v>
      </c>
    </row>
    <row r="320" spans="1:11" hidden="1" x14ac:dyDescent="0.25">
      <c r="A320" t="str">
        <f>_xlfn.XLOOKUP(C320, 'Códigos DANE Municipios'!$B$2:$B$1123, 'Códigos DANE Municipios'!$A$2:$A$1123, "No encontrado")</f>
        <v>54405</v>
      </c>
      <c r="B320" t="str">
        <f>IFERROR(VLOOKUP(D320,APOYO!K:L,2,FALSE),A320)</f>
        <v>54405</v>
      </c>
      <c r="C320" t="s">
        <v>1571</v>
      </c>
      <c r="D320" t="str">
        <f>IFERROR(VLOOKUP(C320,APOYO!J:K,2,FALSE),C320)</f>
        <v>LOS PATIOS</v>
      </c>
      <c r="E320">
        <v>2013</v>
      </c>
      <c r="F320" t="s">
        <v>2189</v>
      </c>
      <c r="G320" t="s">
        <v>2189</v>
      </c>
      <c r="H320">
        <v>19</v>
      </c>
      <c r="I320" s="13" t="s">
        <v>2189</v>
      </c>
      <c r="J320" s="13" t="s">
        <v>2189</v>
      </c>
      <c r="K320" s="13" t="s">
        <v>2189</v>
      </c>
    </row>
    <row r="321" spans="1:11" hidden="1" x14ac:dyDescent="0.25">
      <c r="A321" t="str">
        <f>_xlfn.XLOOKUP(C321, 'Códigos DANE Municipios'!$B$2:$B$1123, 'Códigos DANE Municipios'!$A$2:$A$1123, "No encontrado")</f>
        <v>08421</v>
      </c>
      <c r="B321" t="str">
        <f>IFERROR(VLOOKUP(D321,APOYO!K:L,2,FALSE),A321)</f>
        <v>08421</v>
      </c>
      <c r="C321" t="s">
        <v>274</v>
      </c>
      <c r="D321" t="str">
        <f>IFERROR(VLOOKUP(C321,APOYO!J:K,2,FALSE),C321)</f>
        <v>LURUACO</v>
      </c>
      <c r="E321">
        <v>2013</v>
      </c>
      <c r="F321" t="s">
        <v>2189</v>
      </c>
      <c r="G321" t="s">
        <v>2189</v>
      </c>
      <c r="H321">
        <v>1</v>
      </c>
      <c r="I321" s="13" t="s">
        <v>2189</v>
      </c>
      <c r="J321" s="13" t="s">
        <v>2189</v>
      </c>
      <c r="K321" s="13" t="s">
        <v>2189</v>
      </c>
    </row>
    <row r="322" spans="1:11" hidden="1" x14ac:dyDescent="0.25">
      <c r="A322" t="str">
        <f>_xlfn.XLOOKUP(C322, 'Códigos DANE Municipios'!$B$2:$B$1123, 'Códigos DANE Municipios'!$A$2:$A$1123, "No encontrado")</f>
        <v>25426</v>
      </c>
      <c r="B322" t="str">
        <f>IFERROR(VLOOKUP(D322,APOYO!K:L,2,FALSE),A322)</f>
        <v>25426</v>
      </c>
      <c r="C322" t="s">
        <v>1019</v>
      </c>
      <c r="D322" t="str">
        <f>IFERROR(VLOOKUP(C322,APOYO!J:K,2,FALSE),C322)</f>
        <v>MACHETÁ</v>
      </c>
      <c r="E322">
        <v>2013</v>
      </c>
      <c r="F322" t="s">
        <v>2189</v>
      </c>
      <c r="G322" t="s">
        <v>2189</v>
      </c>
      <c r="H322">
        <v>2</v>
      </c>
      <c r="I322" s="13" t="s">
        <v>2189</v>
      </c>
      <c r="J322" s="13" t="s">
        <v>2189</v>
      </c>
      <c r="K322" s="13" t="s">
        <v>2189</v>
      </c>
    </row>
    <row r="323" spans="1:11" hidden="1" x14ac:dyDescent="0.25">
      <c r="A323" t="str">
        <f>_xlfn.XLOOKUP(C323, 'Códigos DANE Municipios'!$B$2:$B$1123, 'Códigos DANE Municipios'!$A$2:$A$1123, "No encontrado")</f>
        <v>25430</v>
      </c>
      <c r="B323" t="str">
        <f>IFERROR(VLOOKUP(D323,APOYO!K:L,2,FALSE),A323)</f>
        <v>25430</v>
      </c>
      <c r="C323" t="s">
        <v>1021</v>
      </c>
      <c r="D323" t="str">
        <f>IFERROR(VLOOKUP(C323,APOYO!J:K,2,FALSE),C323)</f>
        <v>MADRID</v>
      </c>
      <c r="E323">
        <v>2013</v>
      </c>
      <c r="F323" t="s">
        <v>2189</v>
      </c>
      <c r="G323" t="s">
        <v>2189</v>
      </c>
      <c r="H323">
        <v>64</v>
      </c>
      <c r="I323" s="13" t="s">
        <v>2189</v>
      </c>
      <c r="J323" s="13" t="s">
        <v>2189</v>
      </c>
      <c r="K323" s="13" t="s">
        <v>2189</v>
      </c>
    </row>
    <row r="324" spans="1:11" hidden="1" x14ac:dyDescent="0.25">
      <c r="A324" t="str">
        <f>_xlfn.XLOOKUP(C324, 'Códigos DANE Municipios'!$B$2:$B$1123, 'Códigos DANE Municipios'!$A$2:$A$1123, "No encontrado")</f>
        <v>13430</v>
      </c>
      <c r="B324" t="str">
        <f>IFERROR(VLOOKUP(D324,APOYO!K:L,2,FALSE),A324)</f>
        <v>13430</v>
      </c>
      <c r="C324" t="s">
        <v>341</v>
      </c>
      <c r="D324" t="str">
        <f>IFERROR(VLOOKUP(C324,APOYO!J:K,2,FALSE),C324)</f>
        <v>MAGANGUÉ</v>
      </c>
      <c r="E324">
        <v>2013</v>
      </c>
      <c r="F324">
        <v>55</v>
      </c>
      <c r="G324" t="s">
        <v>2189</v>
      </c>
      <c r="H324">
        <v>10</v>
      </c>
      <c r="I324" s="13" t="s">
        <v>2189</v>
      </c>
      <c r="J324" s="13" t="s">
        <v>2189</v>
      </c>
      <c r="K324" s="13" t="s">
        <v>2189</v>
      </c>
    </row>
    <row r="325" spans="1:11" hidden="1" x14ac:dyDescent="0.25">
      <c r="A325" t="str">
        <f>_xlfn.XLOOKUP(C325, 'Códigos DANE Municipios'!$B$2:$B$1123, 'Códigos DANE Municipios'!$A$2:$A$1123, "No encontrado")</f>
        <v>13433</v>
      </c>
      <c r="B325" t="str">
        <f>IFERROR(VLOOKUP(D325,APOYO!K:L,2,FALSE),A325)</f>
        <v>13433</v>
      </c>
      <c r="C325" t="s">
        <v>343</v>
      </c>
      <c r="D325" t="str">
        <f>IFERROR(VLOOKUP(C325,APOYO!J:K,2,FALSE),C325)</f>
        <v>MAHATES</v>
      </c>
      <c r="E325">
        <v>2013</v>
      </c>
      <c r="F325" t="s">
        <v>2189</v>
      </c>
      <c r="G325" t="s">
        <v>2189</v>
      </c>
      <c r="H325">
        <v>2</v>
      </c>
      <c r="I325" s="13" t="s">
        <v>2189</v>
      </c>
      <c r="J325" s="13" t="s">
        <v>2189</v>
      </c>
      <c r="K325" s="13" t="s">
        <v>2189</v>
      </c>
    </row>
    <row r="326" spans="1:11" hidden="1" x14ac:dyDescent="0.25">
      <c r="A326" t="str">
        <f>_xlfn.XLOOKUP(C326, 'Códigos DANE Municipios'!$B$2:$B$1123, 'Códigos DANE Municipios'!$A$2:$A$1123, "No encontrado")</f>
        <v>44430</v>
      </c>
      <c r="B326" t="str">
        <f>IFERROR(VLOOKUP(D326,APOYO!K:L,2,FALSE),A326)</f>
        <v>44430</v>
      </c>
      <c r="C326" t="s">
        <v>1289</v>
      </c>
      <c r="D326" t="str">
        <f>IFERROR(VLOOKUP(C326,APOYO!J:K,2,FALSE),C326)</f>
        <v>MAICAO</v>
      </c>
      <c r="E326">
        <v>2013</v>
      </c>
      <c r="F326">
        <v>36280</v>
      </c>
      <c r="G326" t="s">
        <v>2189</v>
      </c>
      <c r="H326">
        <v>594</v>
      </c>
      <c r="I326" s="13" t="s">
        <v>2189</v>
      </c>
      <c r="J326" s="13" t="s">
        <v>2189</v>
      </c>
      <c r="K326" s="13" t="s">
        <v>2189</v>
      </c>
    </row>
    <row r="327" spans="1:11" hidden="1" x14ac:dyDescent="0.25">
      <c r="A327" t="str">
        <f>_xlfn.XLOOKUP(C327, 'Códigos DANE Municipios'!$B$2:$B$1123, 'Códigos DANE Municipios'!$A$2:$A$1123, "No encontrado")</f>
        <v>68432</v>
      </c>
      <c r="B327" t="str">
        <f>IFERROR(VLOOKUP(D327,APOYO!K:L,2,FALSE),A327)</f>
        <v>68432</v>
      </c>
      <c r="C327" t="s">
        <v>1746</v>
      </c>
      <c r="D327" t="str">
        <f>IFERROR(VLOOKUP(C327,APOYO!J:K,2,FALSE),C327)</f>
        <v>MÁLAGA</v>
      </c>
      <c r="E327">
        <v>2013</v>
      </c>
      <c r="F327">
        <v>5926</v>
      </c>
      <c r="G327" t="s">
        <v>2189</v>
      </c>
      <c r="H327">
        <v>4</v>
      </c>
      <c r="I327" s="13" t="s">
        <v>2189</v>
      </c>
      <c r="J327" s="13" t="s">
        <v>2189</v>
      </c>
      <c r="K327" s="13" t="s">
        <v>2189</v>
      </c>
    </row>
    <row r="328" spans="1:11" hidden="1" x14ac:dyDescent="0.25">
      <c r="A328" t="str">
        <f>_xlfn.XLOOKUP(C328, 'Códigos DANE Municipios'!$B$2:$B$1123, 'Códigos DANE Municipios'!$A$2:$A$1123, "No encontrado")</f>
        <v>08433</v>
      </c>
      <c r="B328" t="str">
        <f>IFERROR(VLOOKUP(D328,APOYO!K:L,2,FALSE),A328)</f>
        <v>08433</v>
      </c>
      <c r="C328" t="s">
        <v>276</v>
      </c>
      <c r="D328" t="str">
        <f>IFERROR(VLOOKUP(C328,APOYO!J:K,2,FALSE),C328)</f>
        <v>MALAMBO</v>
      </c>
      <c r="E328">
        <v>2013</v>
      </c>
      <c r="F328" t="s">
        <v>2189</v>
      </c>
      <c r="G328" t="s">
        <v>2189</v>
      </c>
      <c r="H328">
        <v>28</v>
      </c>
      <c r="I328" s="13" t="s">
        <v>2189</v>
      </c>
      <c r="J328" s="13" t="s">
        <v>2189</v>
      </c>
      <c r="K328" s="13" t="s">
        <v>2189</v>
      </c>
    </row>
    <row r="329" spans="1:11" hidden="1" x14ac:dyDescent="0.25">
      <c r="A329" t="str">
        <f>_xlfn.XLOOKUP(C329, 'Códigos DANE Municipios'!$B$2:$B$1123, 'Códigos DANE Municipios'!$A$2:$A$1123, "No encontrado")</f>
        <v>44560</v>
      </c>
      <c r="B329" t="str">
        <f>IFERROR(VLOOKUP(D329,APOYO!K:L,2,FALSE),A329)</f>
        <v>44560</v>
      </c>
      <c r="C329" t="s">
        <v>1291</v>
      </c>
      <c r="D329" t="str">
        <f>IFERROR(VLOOKUP(C329,APOYO!J:K,2,FALSE),C329)</f>
        <v>MANAURE</v>
      </c>
      <c r="E329">
        <v>2013</v>
      </c>
      <c r="F329" t="s">
        <v>2189</v>
      </c>
      <c r="G329" t="s">
        <v>2189</v>
      </c>
      <c r="H329">
        <v>8</v>
      </c>
      <c r="I329" s="13" t="s">
        <v>2189</v>
      </c>
      <c r="J329" s="13" t="s">
        <v>2189</v>
      </c>
      <c r="K329" s="13" t="s">
        <v>2189</v>
      </c>
    </row>
    <row r="330" spans="1:11" hidden="1" x14ac:dyDescent="0.25">
      <c r="A330" t="str">
        <f>_xlfn.XLOOKUP(C330, 'Códigos DANE Municipios'!$B$2:$B$1123, 'Códigos DANE Municipios'!$A$2:$A$1123, "No encontrado")</f>
        <v>20443</v>
      </c>
      <c r="B330" t="str">
        <f>IFERROR(VLOOKUP(D330,APOYO!K:L,2,FALSE),A330)</f>
        <v>20443</v>
      </c>
      <c r="C330" t="s">
        <v>838</v>
      </c>
      <c r="D330" t="str">
        <f>IFERROR(VLOOKUP(C330,APOYO!J:K,2,FALSE),C330)</f>
        <v>MANAURE BALCÓN DEL CESAR</v>
      </c>
      <c r="E330">
        <v>2013</v>
      </c>
      <c r="F330" t="s">
        <v>2189</v>
      </c>
      <c r="G330" t="s">
        <v>2189</v>
      </c>
      <c r="H330">
        <v>6</v>
      </c>
      <c r="I330" s="13" t="s">
        <v>2189</v>
      </c>
      <c r="J330" s="13" t="s">
        <v>2189</v>
      </c>
      <c r="K330" s="13" t="s">
        <v>2189</v>
      </c>
    </row>
    <row r="331" spans="1:11" hidden="1" x14ac:dyDescent="0.25">
      <c r="A331" t="str">
        <f>_xlfn.XLOOKUP(C331, 'Códigos DANE Municipios'!$B$2:$B$1123, 'Códigos DANE Municipios'!$A$2:$A$1123, "No encontrado")</f>
        <v>85139</v>
      </c>
      <c r="B331" t="str">
        <f>IFERROR(VLOOKUP(D331,APOYO!K:L,2,FALSE),A331)</f>
        <v>85139</v>
      </c>
      <c r="C331" t="s">
        <v>2058</v>
      </c>
      <c r="D331" t="str">
        <f>IFERROR(VLOOKUP(C331,APOYO!J:K,2,FALSE),C331)</f>
        <v>MANÍ</v>
      </c>
      <c r="E331">
        <v>2013</v>
      </c>
      <c r="F331">
        <v>363</v>
      </c>
      <c r="G331" t="s">
        <v>2189</v>
      </c>
      <c r="H331">
        <v>2</v>
      </c>
      <c r="I331" s="13" t="s">
        <v>2189</v>
      </c>
      <c r="J331" s="13" t="s">
        <v>2189</v>
      </c>
      <c r="K331" s="13" t="s">
        <v>2189</v>
      </c>
    </row>
    <row r="332" spans="1:11" hidden="1" x14ac:dyDescent="0.25">
      <c r="A332" t="str">
        <f>_xlfn.XLOOKUP(C332, 'Códigos DANE Municipios'!$B$2:$B$1123, 'Códigos DANE Municipios'!$A$2:$A$1123, "No encontrado")</f>
        <v>17001</v>
      </c>
      <c r="B332" t="str">
        <f>IFERROR(VLOOKUP(D332,APOYO!K:L,2,FALSE),A332)</f>
        <v>17001</v>
      </c>
      <c r="C332" t="s">
        <v>644</v>
      </c>
      <c r="D332" t="str">
        <f>IFERROR(VLOOKUP(C332,APOYO!J:K,2,FALSE),C332)</f>
        <v>MANIZALES</v>
      </c>
      <c r="E332">
        <v>2013</v>
      </c>
      <c r="F332">
        <v>89608</v>
      </c>
      <c r="G332">
        <v>6270</v>
      </c>
      <c r="H332">
        <v>5704</v>
      </c>
      <c r="I332" s="13" t="s">
        <v>2189</v>
      </c>
      <c r="J332" s="13" t="s">
        <v>2189</v>
      </c>
      <c r="K332" s="13" t="s">
        <v>2189</v>
      </c>
    </row>
    <row r="333" spans="1:11" hidden="1" x14ac:dyDescent="0.25">
      <c r="A333" t="str">
        <f>_xlfn.XLOOKUP(C333, 'Códigos DANE Municipios'!$B$2:$B$1123, 'Códigos DANE Municipios'!$A$2:$A$1123, "No encontrado")</f>
        <v>17433</v>
      </c>
      <c r="B333" t="str">
        <f>IFERROR(VLOOKUP(D333,APOYO!K:L,2,FALSE),A333)</f>
        <v>17433</v>
      </c>
      <c r="C333" t="s">
        <v>662</v>
      </c>
      <c r="D333" t="str">
        <f>IFERROR(VLOOKUP(C333,APOYO!J:K,2,FALSE),C333)</f>
        <v>MANZANARES</v>
      </c>
      <c r="E333">
        <v>2013</v>
      </c>
      <c r="F333" t="s">
        <v>2189</v>
      </c>
      <c r="G333" t="s">
        <v>2189</v>
      </c>
      <c r="H333">
        <v>26</v>
      </c>
      <c r="I333" s="13" t="s">
        <v>2189</v>
      </c>
      <c r="J333" s="13" t="s">
        <v>2189</v>
      </c>
      <c r="K333" s="13" t="s">
        <v>2189</v>
      </c>
    </row>
    <row r="334" spans="1:11" hidden="1" x14ac:dyDescent="0.25">
      <c r="A334" t="str">
        <f>_xlfn.XLOOKUP(C334, 'Códigos DANE Municipios'!$B$2:$B$1123, 'Códigos DANE Municipios'!$A$2:$A$1123, "No encontrado")</f>
        <v>50325</v>
      </c>
      <c r="B334" t="str">
        <f>IFERROR(VLOOKUP(D334,APOYO!K:L,2,FALSE),A334)</f>
        <v>50325</v>
      </c>
      <c r="C334" t="s">
        <v>1382</v>
      </c>
      <c r="D334" t="str">
        <f>IFERROR(VLOOKUP(C334,APOYO!J:K,2,FALSE),C334)</f>
        <v>MAPIRIPÁN</v>
      </c>
      <c r="E334">
        <v>2013</v>
      </c>
      <c r="F334">
        <v>1713</v>
      </c>
      <c r="G334" t="s">
        <v>2189</v>
      </c>
      <c r="H334">
        <v>1</v>
      </c>
      <c r="I334" s="13" t="s">
        <v>2189</v>
      </c>
      <c r="J334" s="13" t="s">
        <v>2189</v>
      </c>
      <c r="K334" s="13" t="s">
        <v>2189</v>
      </c>
    </row>
    <row r="335" spans="1:11" hidden="1" x14ac:dyDescent="0.25">
      <c r="A335" t="str">
        <f>_xlfn.XLOOKUP(C335, 'Códigos DANE Municipios'!$B$2:$B$1123, 'Códigos DANE Municipios'!$A$2:$A$1123, "No encontrado")</f>
        <v>05440</v>
      </c>
      <c r="B335" t="str">
        <f>IFERROR(VLOOKUP(D335,APOYO!K:L,2,FALSE),A335)</f>
        <v>05440</v>
      </c>
      <c r="C335" t="s">
        <v>148</v>
      </c>
      <c r="D335" t="str">
        <f>IFERROR(VLOOKUP(C335,APOYO!J:K,2,FALSE),C335)</f>
        <v>MARINILLA</v>
      </c>
      <c r="E335">
        <v>2013</v>
      </c>
      <c r="F335" t="s">
        <v>2189</v>
      </c>
      <c r="G335" t="s">
        <v>2189</v>
      </c>
      <c r="H335">
        <v>37</v>
      </c>
      <c r="I335" s="13" t="s">
        <v>2189</v>
      </c>
      <c r="J335" s="13" t="s">
        <v>2189</v>
      </c>
      <c r="K335" s="13" t="s">
        <v>2189</v>
      </c>
    </row>
    <row r="336" spans="1:11" hidden="1" x14ac:dyDescent="0.25">
      <c r="A336" t="str">
        <f>_xlfn.XLOOKUP(C336, 'Códigos DANE Municipios'!$B$2:$B$1123, 'Códigos DANE Municipios'!$A$2:$A$1123, "No encontrado")</f>
        <v>73443</v>
      </c>
      <c r="B336" t="str">
        <f>IFERROR(VLOOKUP(D336,APOYO!K:L,2,FALSE),A336)</f>
        <v>73443</v>
      </c>
      <c r="C336" t="s">
        <v>1915</v>
      </c>
      <c r="D336" t="str">
        <f>IFERROR(VLOOKUP(C336,APOYO!J:K,2,FALSE),C336)</f>
        <v>SAN SEBASTIÁN DE MARIQUITA</v>
      </c>
      <c r="E336">
        <v>2013</v>
      </c>
      <c r="F336">
        <v>357</v>
      </c>
      <c r="G336" t="s">
        <v>2189</v>
      </c>
      <c r="H336">
        <v>52</v>
      </c>
      <c r="I336" s="13" t="s">
        <v>2189</v>
      </c>
      <c r="J336" s="13" t="s">
        <v>2189</v>
      </c>
      <c r="K336" s="13" t="s">
        <v>2189</v>
      </c>
    </row>
    <row r="337" spans="1:11" hidden="1" x14ac:dyDescent="0.25">
      <c r="A337" t="str">
        <f>_xlfn.XLOOKUP(C337, 'Códigos DANE Municipios'!$B$2:$B$1123, 'Códigos DANE Municipios'!$A$2:$A$1123, "No encontrado")</f>
        <v>17444</v>
      </c>
      <c r="B337" t="str">
        <f>IFERROR(VLOOKUP(D337,APOYO!K:L,2,FALSE),A337)</f>
        <v>17444</v>
      </c>
      <c r="C337" t="s">
        <v>666</v>
      </c>
      <c r="D337" t="str">
        <f>IFERROR(VLOOKUP(C337,APOYO!J:K,2,FALSE),C337)</f>
        <v>MARQUETALIA</v>
      </c>
      <c r="E337">
        <v>2013</v>
      </c>
      <c r="F337" t="s">
        <v>2189</v>
      </c>
      <c r="G337" t="s">
        <v>2189</v>
      </c>
      <c r="H337">
        <v>8</v>
      </c>
      <c r="I337" s="13" t="s">
        <v>2189</v>
      </c>
      <c r="J337" s="13" t="s">
        <v>2189</v>
      </c>
      <c r="K337" s="13" t="s">
        <v>2189</v>
      </c>
    </row>
    <row r="338" spans="1:11" hidden="1" x14ac:dyDescent="0.25">
      <c r="A338" t="str">
        <f>_xlfn.XLOOKUP(C338, 'Códigos DANE Municipios'!$B$2:$B$1123, 'Códigos DANE Municipios'!$A$2:$A$1123, "No encontrado")</f>
        <v>66440</v>
      </c>
      <c r="B338" t="str">
        <f>IFERROR(VLOOKUP(D338,APOYO!K:L,2,FALSE),A338)</f>
        <v>66440</v>
      </c>
      <c r="C338" t="s">
        <v>1643</v>
      </c>
      <c r="D338" t="str">
        <f>IFERROR(VLOOKUP(C338,APOYO!J:K,2,FALSE),C338)</f>
        <v>MARSELLA</v>
      </c>
      <c r="E338">
        <v>2013</v>
      </c>
      <c r="F338" t="s">
        <v>2189</v>
      </c>
      <c r="G338" t="s">
        <v>2189</v>
      </c>
      <c r="H338">
        <v>34</v>
      </c>
      <c r="I338" s="13" t="s">
        <v>2189</v>
      </c>
      <c r="J338" s="13" t="s">
        <v>2189</v>
      </c>
      <c r="K338" s="13" t="s">
        <v>2189</v>
      </c>
    </row>
    <row r="339" spans="1:11" hidden="1" x14ac:dyDescent="0.25">
      <c r="A339" t="str">
        <f>_xlfn.XLOOKUP(C339, 'Códigos DANE Municipios'!$B$2:$B$1123, 'Códigos DANE Municipios'!$A$2:$A$1123, "No encontrado")</f>
        <v>68444</v>
      </c>
      <c r="B339" t="str">
        <f>IFERROR(VLOOKUP(D339,APOYO!K:L,2,FALSE),A339)</f>
        <v>68444</v>
      </c>
      <c r="C339" t="s">
        <v>1748</v>
      </c>
      <c r="D339" t="str">
        <f>IFERROR(VLOOKUP(C339,APOYO!J:K,2,FALSE),C339)</f>
        <v>MATANZA</v>
      </c>
      <c r="E339">
        <v>2013</v>
      </c>
      <c r="F339" t="s">
        <v>2189</v>
      </c>
      <c r="G339" t="s">
        <v>2189</v>
      </c>
      <c r="H339">
        <v>1</v>
      </c>
      <c r="I339" s="13" t="s">
        <v>2189</v>
      </c>
      <c r="J339" s="13" t="s">
        <v>2189</v>
      </c>
      <c r="K339" s="13" t="s">
        <v>2189</v>
      </c>
    </row>
    <row r="340" spans="1:11" hidden="1" x14ac:dyDescent="0.25">
      <c r="A340" t="str">
        <f>_xlfn.XLOOKUP(C340, 'Códigos DANE Municipios'!$B$2:$B$1123, 'Códigos DANE Municipios'!$A$2:$A$1123, "No encontrado")</f>
        <v>05001</v>
      </c>
      <c r="B340" t="str">
        <f>IFERROR(VLOOKUP(D340,APOYO!K:L,2,FALSE),A340)</f>
        <v>05001</v>
      </c>
      <c r="C340" t="s">
        <v>12</v>
      </c>
      <c r="D340" t="str">
        <f>IFERROR(VLOOKUP(C340,APOYO!J:K,2,FALSE),C340)</f>
        <v>MEDELLÍN</v>
      </c>
      <c r="E340">
        <v>2013</v>
      </c>
      <c r="F340">
        <v>483440</v>
      </c>
      <c r="G340">
        <v>55</v>
      </c>
      <c r="H340">
        <v>17177</v>
      </c>
      <c r="I340" s="13" t="s">
        <v>2189</v>
      </c>
      <c r="J340" s="13" t="s">
        <v>2189</v>
      </c>
      <c r="K340" s="13" t="s">
        <v>2189</v>
      </c>
    </row>
    <row r="341" spans="1:11" hidden="1" x14ac:dyDescent="0.25">
      <c r="A341" t="str">
        <f>_xlfn.XLOOKUP(C341, 'Códigos DANE Municipios'!$B$2:$B$1123, 'Códigos DANE Municipios'!$A$2:$A$1123, "No encontrado")</f>
        <v>25438</v>
      </c>
      <c r="B341" t="str">
        <f>IFERROR(VLOOKUP(D341,APOYO!K:L,2,FALSE),A341)</f>
        <v>25438</v>
      </c>
      <c r="C341" t="s">
        <v>1025</v>
      </c>
      <c r="D341" t="str">
        <f>IFERROR(VLOOKUP(C341,APOYO!J:K,2,FALSE),C341)</f>
        <v>MEDINA</v>
      </c>
      <c r="E341">
        <v>2013</v>
      </c>
      <c r="F341" t="s">
        <v>2189</v>
      </c>
      <c r="G341" t="s">
        <v>2189</v>
      </c>
      <c r="H341">
        <v>3</v>
      </c>
      <c r="I341" s="13" t="s">
        <v>2189</v>
      </c>
      <c r="J341" s="13" t="s">
        <v>2189</v>
      </c>
      <c r="K341" s="13" t="s">
        <v>2189</v>
      </c>
    </row>
    <row r="342" spans="1:11" hidden="1" x14ac:dyDescent="0.25">
      <c r="A342" t="str">
        <f>_xlfn.XLOOKUP(C342, 'Códigos DANE Municipios'!$B$2:$B$1123, 'Códigos DANE Municipios'!$A$2:$A$1123, "No encontrado")</f>
        <v>73449</v>
      </c>
      <c r="B342" t="str">
        <f>IFERROR(VLOOKUP(D342,APOYO!K:L,2,FALSE),A342)</f>
        <v>73449</v>
      </c>
      <c r="C342" t="s">
        <v>1917</v>
      </c>
      <c r="D342" t="str">
        <f>IFERROR(VLOOKUP(C342,APOYO!J:K,2,FALSE),C342)</f>
        <v>MELGAR</v>
      </c>
      <c r="E342">
        <v>2013</v>
      </c>
      <c r="F342">
        <v>257</v>
      </c>
      <c r="G342" t="s">
        <v>2189</v>
      </c>
      <c r="H342">
        <v>268</v>
      </c>
      <c r="I342" s="13" t="s">
        <v>2189</v>
      </c>
      <c r="J342" s="13" t="s">
        <v>2189</v>
      </c>
      <c r="K342" s="13" t="s">
        <v>2189</v>
      </c>
    </row>
    <row r="343" spans="1:11" hidden="1" x14ac:dyDescent="0.25">
      <c r="A343" t="str">
        <f>_xlfn.XLOOKUP(C343, 'Códigos DANE Municipios'!$B$2:$B$1123, 'Códigos DANE Municipios'!$A$2:$A$1123, "No encontrado")</f>
        <v>50330</v>
      </c>
      <c r="B343" t="str">
        <f>IFERROR(VLOOKUP(D343,APOYO!K:L,2,FALSE),A343)</f>
        <v>50330</v>
      </c>
      <c r="C343" t="s">
        <v>1384</v>
      </c>
      <c r="D343" t="str">
        <f>IFERROR(VLOOKUP(C343,APOYO!J:K,2,FALSE),C343)</f>
        <v>MESETAS</v>
      </c>
      <c r="E343">
        <v>2013</v>
      </c>
      <c r="F343" t="s">
        <v>2189</v>
      </c>
      <c r="G343" t="s">
        <v>2189</v>
      </c>
      <c r="H343">
        <v>1</v>
      </c>
      <c r="I343" s="13" t="s">
        <v>2189</v>
      </c>
      <c r="J343" s="13" t="s">
        <v>2189</v>
      </c>
      <c r="K343" s="13" t="s">
        <v>2189</v>
      </c>
    </row>
    <row r="344" spans="1:11" hidden="1" x14ac:dyDescent="0.25">
      <c r="A344" t="str">
        <f>_xlfn.XLOOKUP(C344, 'Códigos DANE Municipios'!$B$2:$B$1123, 'Códigos DANE Municipios'!$A$2:$A$1123, "No encontrado")</f>
        <v>15455</v>
      </c>
      <c r="B344" t="str">
        <f>IFERROR(VLOOKUP(D344,APOYO!K:L,2,FALSE),A344)</f>
        <v>15455</v>
      </c>
      <c r="C344" t="s">
        <v>504</v>
      </c>
      <c r="D344" t="str">
        <f>IFERROR(VLOOKUP(C344,APOYO!J:K,2,FALSE),C344)</f>
        <v>MIRAFLORES</v>
      </c>
      <c r="E344">
        <v>2013</v>
      </c>
      <c r="F344" t="s">
        <v>2189</v>
      </c>
      <c r="G344" t="s">
        <v>2189</v>
      </c>
      <c r="H344">
        <v>1</v>
      </c>
      <c r="I344" s="13" t="s">
        <v>2189</v>
      </c>
      <c r="J344" s="13" t="s">
        <v>2189</v>
      </c>
      <c r="K344" s="13" t="s">
        <v>2189</v>
      </c>
    </row>
    <row r="345" spans="1:11" hidden="1" x14ac:dyDescent="0.25">
      <c r="A345" t="str">
        <f>_xlfn.XLOOKUP(C345, 'Códigos DANE Municipios'!$B$2:$B$1123, 'Códigos DANE Municipios'!$A$2:$A$1123, "No encontrado")</f>
        <v>19455</v>
      </c>
      <c r="B345" t="str">
        <f>IFERROR(VLOOKUP(D345,APOYO!K:L,2,FALSE),A345)</f>
        <v>19455</v>
      </c>
      <c r="C345" t="s">
        <v>767</v>
      </c>
      <c r="D345" t="str">
        <f>IFERROR(VLOOKUP(C345,APOYO!J:K,2,FALSE),C345)</f>
        <v>MIRANDA</v>
      </c>
      <c r="E345">
        <v>2013</v>
      </c>
      <c r="F345" t="s">
        <v>2189</v>
      </c>
      <c r="G345" t="s">
        <v>2189</v>
      </c>
      <c r="H345">
        <v>17</v>
      </c>
      <c r="I345" s="13" t="s">
        <v>2189</v>
      </c>
      <c r="J345" s="13" t="s">
        <v>2189</v>
      </c>
      <c r="K345" s="13" t="s">
        <v>2189</v>
      </c>
    </row>
    <row r="346" spans="1:11" hidden="1" x14ac:dyDescent="0.25">
      <c r="A346" t="str">
        <f>_xlfn.XLOOKUP(C346, 'Códigos DANE Municipios'!$B$2:$B$1123, 'Códigos DANE Municipios'!$A$2:$A$1123, "No encontrado")</f>
        <v>66456</v>
      </c>
      <c r="B346" t="str">
        <f>IFERROR(VLOOKUP(D346,APOYO!K:L,2,FALSE),A346)</f>
        <v>66456</v>
      </c>
      <c r="C346" t="s">
        <v>1645</v>
      </c>
      <c r="D346" t="str">
        <f>IFERROR(VLOOKUP(C346,APOYO!J:K,2,FALSE),C346)</f>
        <v>MISTRATÓ</v>
      </c>
      <c r="E346">
        <v>2013</v>
      </c>
      <c r="F346" t="s">
        <v>2189</v>
      </c>
      <c r="G346" t="s">
        <v>2189</v>
      </c>
      <c r="H346">
        <v>3</v>
      </c>
      <c r="I346" s="13" t="s">
        <v>2189</v>
      </c>
      <c r="J346" s="13" t="s">
        <v>2189</v>
      </c>
      <c r="K346" s="13" t="s">
        <v>2189</v>
      </c>
    </row>
    <row r="347" spans="1:11" hidden="1" x14ac:dyDescent="0.25">
      <c r="A347" t="str">
        <f>_xlfn.XLOOKUP(C347, 'Códigos DANE Municipios'!$B$2:$B$1123, 'Códigos DANE Municipios'!$A$2:$A$1123, "No encontrado")</f>
        <v>97001</v>
      </c>
      <c r="B347" t="str">
        <f>IFERROR(VLOOKUP(D347,APOYO!K:L,2,FALSE),A347)</f>
        <v>97001</v>
      </c>
      <c r="C347" t="s">
        <v>2151</v>
      </c>
      <c r="D347" t="str">
        <f>IFERROR(VLOOKUP(C347,APOYO!J:K,2,FALSE),C347)</f>
        <v>MITÚ</v>
      </c>
      <c r="E347">
        <v>2013</v>
      </c>
      <c r="F347">
        <v>16034</v>
      </c>
      <c r="G347">
        <v>12</v>
      </c>
      <c r="H347">
        <v>49</v>
      </c>
      <c r="I347" s="13" t="s">
        <v>2189</v>
      </c>
      <c r="J347" s="13" t="s">
        <v>2189</v>
      </c>
      <c r="K347" s="13" t="s">
        <v>2189</v>
      </c>
    </row>
    <row r="348" spans="1:11" hidden="1" x14ac:dyDescent="0.25">
      <c r="A348" t="str">
        <f>_xlfn.XLOOKUP(C348, 'Códigos DANE Municipios'!$B$2:$B$1123, 'Códigos DANE Municipios'!$A$2:$A$1123, "No encontrado")</f>
        <v>86001</v>
      </c>
      <c r="B348" t="str">
        <f>IFERROR(VLOOKUP(D348,APOYO!K:L,2,FALSE),A348)</f>
        <v>86001</v>
      </c>
      <c r="C348" t="s">
        <v>2084</v>
      </c>
      <c r="D348" t="str">
        <f>IFERROR(VLOOKUP(C348,APOYO!J:K,2,FALSE),C348)</f>
        <v>MOCOA</v>
      </c>
      <c r="E348">
        <v>2013</v>
      </c>
      <c r="F348" t="s">
        <v>2189</v>
      </c>
      <c r="G348" t="s">
        <v>2189</v>
      </c>
      <c r="H348">
        <v>172</v>
      </c>
      <c r="I348" s="13" t="s">
        <v>2189</v>
      </c>
      <c r="J348" s="13" t="s">
        <v>2189</v>
      </c>
      <c r="K348" s="13" t="s">
        <v>2189</v>
      </c>
    </row>
    <row r="349" spans="1:11" hidden="1" x14ac:dyDescent="0.25">
      <c r="A349" t="str">
        <f>_xlfn.XLOOKUP(C349, 'Códigos DANE Municipios'!$B$2:$B$1123, 'Códigos DANE Municipios'!$A$2:$A$1123, "No encontrado")</f>
        <v>13468</v>
      </c>
      <c r="B349" t="str">
        <f>IFERROR(VLOOKUP(D349,APOYO!K:L,2,FALSE),A349)</f>
        <v>13468</v>
      </c>
      <c r="C349" t="s">
        <v>351</v>
      </c>
      <c r="D349" t="str">
        <f>IFERROR(VLOOKUP(C349,APOYO!J:K,2,FALSE),C349)</f>
        <v>MOMPÓS</v>
      </c>
      <c r="E349">
        <v>2013</v>
      </c>
      <c r="F349">
        <v>398</v>
      </c>
      <c r="G349" t="s">
        <v>2189</v>
      </c>
      <c r="H349">
        <v>12</v>
      </c>
      <c r="I349" s="13" t="s">
        <v>2189</v>
      </c>
      <c r="J349" s="13" t="s">
        <v>2189</v>
      </c>
      <c r="K349" s="13" t="s">
        <v>2189</v>
      </c>
    </row>
    <row r="350" spans="1:11" hidden="1" x14ac:dyDescent="0.25">
      <c r="A350" t="str">
        <f>_xlfn.XLOOKUP(C350, 'Códigos DANE Municipios'!$B$2:$B$1123, 'Códigos DANE Municipios'!$A$2:$A$1123, "No encontrado")</f>
        <v>15469</v>
      </c>
      <c r="B350" t="str">
        <f>IFERROR(VLOOKUP(D350,APOYO!K:L,2,FALSE),A350)</f>
        <v>15469</v>
      </c>
      <c r="C350" t="s">
        <v>510</v>
      </c>
      <c r="D350" t="str">
        <f>IFERROR(VLOOKUP(C350,APOYO!J:K,2,FALSE),C350)</f>
        <v>MONIQUIRÁ</v>
      </c>
      <c r="E350">
        <v>2013</v>
      </c>
      <c r="F350" t="s">
        <v>2189</v>
      </c>
      <c r="G350" t="s">
        <v>2189</v>
      </c>
      <c r="H350">
        <v>15</v>
      </c>
      <c r="I350" s="13" t="s">
        <v>2189</v>
      </c>
      <c r="J350" s="13" t="s">
        <v>2189</v>
      </c>
      <c r="K350" s="13" t="s">
        <v>2189</v>
      </c>
    </row>
    <row r="351" spans="1:11" hidden="1" x14ac:dyDescent="0.25">
      <c r="A351" t="str">
        <f>_xlfn.XLOOKUP(C351, 'Códigos DANE Municipios'!$B$2:$B$1123, 'Códigos DANE Municipios'!$A$2:$A$1123, "No encontrado")</f>
        <v>23500</v>
      </c>
      <c r="B351" t="str">
        <f>IFERROR(VLOOKUP(D351,APOYO!K:L,2,FALSE),A351)</f>
        <v>23500</v>
      </c>
      <c r="C351" t="s">
        <v>885</v>
      </c>
      <c r="D351" t="str">
        <f>IFERROR(VLOOKUP(C351,APOYO!J:K,2,FALSE),C351)</f>
        <v>MOÑITOS</v>
      </c>
      <c r="E351">
        <v>2013</v>
      </c>
      <c r="F351" t="s">
        <v>2189</v>
      </c>
      <c r="G351" t="s">
        <v>2189</v>
      </c>
      <c r="H351">
        <v>3</v>
      </c>
      <c r="I351" s="13" t="s">
        <v>2189</v>
      </c>
      <c r="J351" s="13" t="s">
        <v>2189</v>
      </c>
      <c r="K351" s="13" t="s">
        <v>2189</v>
      </c>
    </row>
    <row r="352" spans="1:11" hidden="1" x14ac:dyDescent="0.25">
      <c r="A352" t="str">
        <f>_xlfn.XLOOKUP(C352, 'Códigos DANE Municipios'!$B$2:$B$1123, 'Códigos DANE Municipios'!$A$2:$A$1123, "No encontrado")</f>
        <v>05467</v>
      </c>
      <c r="B352" t="str">
        <f>IFERROR(VLOOKUP(D352,APOYO!K:L,2,FALSE),A352)</f>
        <v>05467</v>
      </c>
      <c r="C352" t="s">
        <v>150</v>
      </c>
      <c r="D352" t="str">
        <f>IFERROR(VLOOKUP(C352,APOYO!J:K,2,FALSE),C352)</f>
        <v>MONTEBELLO</v>
      </c>
      <c r="E352">
        <v>2013</v>
      </c>
      <c r="F352" t="s">
        <v>2189</v>
      </c>
      <c r="G352" t="s">
        <v>2189</v>
      </c>
      <c r="H352">
        <v>19</v>
      </c>
      <c r="I352" s="13" t="s">
        <v>2189</v>
      </c>
      <c r="J352" s="13" t="s">
        <v>2189</v>
      </c>
      <c r="K352" s="13" t="s">
        <v>2189</v>
      </c>
    </row>
    <row r="353" spans="1:11" hidden="1" x14ac:dyDescent="0.25">
      <c r="A353" t="str">
        <f>_xlfn.XLOOKUP(C353, 'Códigos DANE Municipios'!$B$2:$B$1123, 'Códigos DANE Municipios'!$A$2:$A$1123, "No encontrado")</f>
        <v>23466</v>
      </c>
      <c r="B353" t="str">
        <f>IFERROR(VLOOKUP(D353,APOYO!K:L,2,FALSE),A353)</f>
        <v>23466</v>
      </c>
      <c r="C353" t="s">
        <v>883</v>
      </c>
      <c r="D353" t="str">
        <f>IFERROR(VLOOKUP(C353,APOYO!J:K,2,FALSE),C353)</f>
        <v>MONTELÍBANO</v>
      </c>
      <c r="E353">
        <v>2013</v>
      </c>
      <c r="F353">
        <v>10</v>
      </c>
      <c r="G353" t="s">
        <v>2189</v>
      </c>
      <c r="H353">
        <v>73</v>
      </c>
      <c r="I353" s="13" t="s">
        <v>2189</v>
      </c>
      <c r="J353" s="13" t="s">
        <v>2189</v>
      </c>
      <c r="K353" s="13" t="s">
        <v>2189</v>
      </c>
    </row>
    <row r="354" spans="1:11" hidden="1" x14ac:dyDescent="0.25">
      <c r="A354" t="str">
        <f>_xlfn.XLOOKUP(C354, 'Códigos DANE Municipios'!$B$2:$B$1123, 'Códigos DANE Municipios'!$A$2:$A$1123, "No encontrado")</f>
        <v>63470</v>
      </c>
      <c r="B354" t="str">
        <f>IFERROR(VLOOKUP(D354,APOYO!K:L,2,FALSE),A354)</f>
        <v>63470</v>
      </c>
      <c r="C354" t="s">
        <v>1620</v>
      </c>
      <c r="D354" t="str">
        <f>IFERROR(VLOOKUP(C354,APOYO!J:K,2,FALSE),C354)</f>
        <v>MONTENEGRO</v>
      </c>
      <c r="E354">
        <v>2013</v>
      </c>
      <c r="F354" t="s">
        <v>2189</v>
      </c>
      <c r="G354" t="s">
        <v>2189</v>
      </c>
      <c r="H354">
        <v>184</v>
      </c>
      <c r="I354" s="13" t="s">
        <v>2189</v>
      </c>
      <c r="J354" s="13" t="s">
        <v>2189</v>
      </c>
      <c r="K354" s="13" t="s">
        <v>2189</v>
      </c>
    </row>
    <row r="355" spans="1:11" hidden="1" x14ac:dyDescent="0.25">
      <c r="A355" t="str">
        <f>_xlfn.XLOOKUP(C355, 'Códigos DANE Municipios'!$B$2:$B$1123, 'Códigos DANE Municipios'!$A$2:$A$1123, "No encontrado")</f>
        <v>23001</v>
      </c>
      <c r="B355" t="str">
        <f>IFERROR(VLOOKUP(D355,APOYO!K:L,2,FALSE),A355)</f>
        <v>23001</v>
      </c>
      <c r="C355" t="s">
        <v>858</v>
      </c>
      <c r="D355" t="str">
        <f>IFERROR(VLOOKUP(C355,APOYO!J:K,2,FALSE),C355)</f>
        <v>MONTERÍA</v>
      </c>
      <c r="E355">
        <v>2013</v>
      </c>
      <c r="F355">
        <v>354023</v>
      </c>
      <c r="G355">
        <v>3950</v>
      </c>
      <c r="H355">
        <v>1422</v>
      </c>
      <c r="I355" s="13" t="s">
        <v>2189</v>
      </c>
      <c r="J355" s="13" t="s">
        <v>2189</v>
      </c>
      <c r="K355" s="13" t="s">
        <v>2189</v>
      </c>
    </row>
    <row r="356" spans="1:11" hidden="1" x14ac:dyDescent="0.25">
      <c r="A356" t="str">
        <f>_xlfn.XLOOKUP(C356, 'Códigos DANE Municipios'!$B$2:$B$1123, 'Códigos DANE Municipios'!$A$2:$A$1123, "No encontrado")</f>
        <v>85162</v>
      </c>
      <c r="B356" t="str">
        <f>IFERROR(VLOOKUP(D356,APOYO!K:L,2,FALSE),A356)</f>
        <v>85162</v>
      </c>
      <c r="C356" t="s">
        <v>2060</v>
      </c>
      <c r="D356" t="str">
        <f>IFERROR(VLOOKUP(C356,APOYO!J:K,2,FALSE),C356)</f>
        <v>MONTERREY</v>
      </c>
      <c r="E356">
        <v>2013</v>
      </c>
      <c r="F356" t="s">
        <v>2189</v>
      </c>
      <c r="G356" t="s">
        <v>2189</v>
      </c>
      <c r="H356">
        <v>7</v>
      </c>
      <c r="I356" s="13" t="s">
        <v>2189</v>
      </c>
      <c r="J356" s="13" t="s">
        <v>2189</v>
      </c>
      <c r="K356" s="13" t="s">
        <v>2189</v>
      </c>
    </row>
    <row r="357" spans="1:11" hidden="1" x14ac:dyDescent="0.25">
      <c r="A357" t="str">
        <f>_xlfn.XLOOKUP(C357, 'Códigos DANE Municipios'!$B$2:$B$1123, 'Códigos DANE Municipios'!$A$2:$A$1123, "No encontrado")</f>
        <v>13473</v>
      </c>
      <c r="B357" t="str">
        <f>IFERROR(VLOOKUP(D357,APOYO!K:L,2,FALSE),A357)</f>
        <v>13473</v>
      </c>
      <c r="C357" t="s">
        <v>353</v>
      </c>
      <c r="D357" t="str">
        <f>IFERROR(VLOOKUP(C357,APOYO!J:K,2,FALSE),C357)</f>
        <v>MORALES</v>
      </c>
      <c r="E357">
        <v>2013</v>
      </c>
      <c r="F357" t="s">
        <v>2189</v>
      </c>
      <c r="G357">
        <v>0</v>
      </c>
      <c r="H357" t="s">
        <v>2189</v>
      </c>
      <c r="I357" s="13" t="s">
        <v>2189</v>
      </c>
      <c r="J357" s="13" t="s">
        <v>2189</v>
      </c>
      <c r="K357" s="13" t="s">
        <v>2189</v>
      </c>
    </row>
    <row r="358" spans="1:11" hidden="1" x14ac:dyDescent="0.25">
      <c r="A358" t="str">
        <f>_xlfn.XLOOKUP(C358, 'Códigos DANE Municipios'!$B$2:$B$1123, 'Códigos DANE Municipios'!$A$2:$A$1123, "No encontrado")</f>
        <v>18479</v>
      </c>
      <c r="B358" t="str">
        <f>IFERROR(VLOOKUP(D358,APOYO!K:L,2,FALSE),A358)</f>
        <v>18479</v>
      </c>
      <c r="C358" t="s">
        <v>716</v>
      </c>
      <c r="D358" t="str">
        <f>IFERROR(VLOOKUP(C358,APOYO!J:K,2,FALSE),C358)</f>
        <v>MORELIA</v>
      </c>
      <c r="E358">
        <v>2013</v>
      </c>
      <c r="F358" t="s">
        <v>2189</v>
      </c>
      <c r="G358" t="s">
        <v>2189</v>
      </c>
      <c r="H358">
        <v>2</v>
      </c>
      <c r="I358" s="13" t="s">
        <v>2189</v>
      </c>
      <c r="J358" s="13" t="s">
        <v>2189</v>
      </c>
      <c r="K358" s="13" t="s">
        <v>2189</v>
      </c>
    </row>
    <row r="359" spans="1:11" hidden="1" x14ac:dyDescent="0.25">
      <c r="A359" t="str">
        <f>_xlfn.XLOOKUP(C359, 'Códigos DANE Municipios'!$B$2:$B$1123, 'Códigos DANE Municipios'!$A$2:$A$1123, "No encontrado")</f>
        <v>25473</v>
      </c>
      <c r="B359" t="str">
        <f>IFERROR(VLOOKUP(D359,APOYO!K:L,2,FALSE),A359)</f>
        <v>25473</v>
      </c>
      <c r="C359" t="s">
        <v>1027</v>
      </c>
      <c r="D359" t="str">
        <f>IFERROR(VLOOKUP(C359,APOYO!J:K,2,FALSE),C359)</f>
        <v>MOSQUERA</v>
      </c>
      <c r="E359">
        <v>2013</v>
      </c>
      <c r="F359" t="s">
        <v>2189</v>
      </c>
      <c r="G359" t="s">
        <v>2189</v>
      </c>
      <c r="H359">
        <v>216</v>
      </c>
      <c r="I359" s="13" t="s">
        <v>2189</v>
      </c>
      <c r="J359" s="13" t="s">
        <v>2189</v>
      </c>
      <c r="K359" s="13" t="s">
        <v>2189</v>
      </c>
    </row>
    <row r="360" spans="1:11" hidden="1" x14ac:dyDescent="0.25">
      <c r="A360" t="str">
        <f>_xlfn.XLOOKUP(C360, 'Códigos DANE Municipios'!$B$2:$B$1123, 'Códigos DANE Municipios'!$A$2:$A$1123, "No encontrado")</f>
        <v>73461</v>
      </c>
      <c r="B360" t="str">
        <f>IFERROR(VLOOKUP(D360,APOYO!K:L,2,FALSE),A360)</f>
        <v>73461</v>
      </c>
      <c r="C360" t="s">
        <v>1919</v>
      </c>
      <c r="D360" t="str">
        <f>IFERROR(VLOOKUP(C360,APOYO!J:K,2,FALSE),C360)</f>
        <v>MURILLO</v>
      </c>
      <c r="E360">
        <v>2013</v>
      </c>
      <c r="F360" t="s">
        <v>2189</v>
      </c>
      <c r="G360" t="s">
        <v>2189</v>
      </c>
      <c r="H360">
        <v>1</v>
      </c>
      <c r="I360" s="13" t="s">
        <v>2189</v>
      </c>
      <c r="J360" s="13" t="s">
        <v>2189</v>
      </c>
      <c r="K360" s="13" t="s">
        <v>2189</v>
      </c>
    </row>
    <row r="361" spans="1:11" hidden="1" x14ac:dyDescent="0.25">
      <c r="A361" t="str">
        <f>_xlfn.XLOOKUP(C361, 'Códigos DANE Municipios'!$B$2:$B$1123, 'Códigos DANE Municipios'!$A$2:$A$1123, "No encontrado")</f>
        <v>05480</v>
      </c>
      <c r="B361" t="str">
        <f>IFERROR(VLOOKUP(D361,APOYO!K:L,2,FALSE),A361)</f>
        <v>05480</v>
      </c>
      <c r="C361" t="s">
        <v>154</v>
      </c>
      <c r="D361" t="str">
        <f>IFERROR(VLOOKUP(C361,APOYO!J:K,2,FALSE),C361)</f>
        <v>MUTATÁ</v>
      </c>
      <c r="E361">
        <v>2013</v>
      </c>
      <c r="F361" t="s">
        <v>2189</v>
      </c>
      <c r="G361" t="s">
        <v>2189</v>
      </c>
      <c r="H361">
        <v>1</v>
      </c>
      <c r="I361" s="13" t="s">
        <v>2189</v>
      </c>
      <c r="J361" s="13" t="s">
        <v>2189</v>
      </c>
      <c r="K361" s="13" t="s">
        <v>2189</v>
      </c>
    </row>
    <row r="362" spans="1:11" hidden="1" x14ac:dyDescent="0.25">
      <c r="A362" t="str">
        <f>_xlfn.XLOOKUP(C362, 'Códigos DANE Municipios'!$B$2:$B$1123, 'Códigos DANE Municipios'!$A$2:$A$1123, "No encontrado")</f>
        <v>15480</v>
      </c>
      <c r="B362" t="str">
        <f>IFERROR(VLOOKUP(D362,APOYO!K:L,2,FALSE),A362)</f>
        <v>15480</v>
      </c>
      <c r="C362" t="s">
        <v>514</v>
      </c>
      <c r="D362" t="str">
        <f>IFERROR(VLOOKUP(C362,APOYO!J:K,2,FALSE),C362)</f>
        <v>MUZO</v>
      </c>
      <c r="E362">
        <v>2013</v>
      </c>
      <c r="F362" t="s">
        <v>2189</v>
      </c>
      <c r="G362" t="s">
        <v>2189</v>
      </c>
      <c r="H362">
        <v>3</v>
      </c>
      <c r="I362" s="13" t="s">
        <v>2189</v>
      </c>
      <c r="J362" s="13" t="s">
        <v>2189</v>
      </c>
      <c r="K362" s="13" t="s">
        <v>2189</v>
      </c>
    </row>
    <row r="363" spans="1:11" hidden="1" x14ac:dyDescent="0.25">
      <c r="A363" t="str">
        <f>_xlfn.XLOOKUP(C363, 'Códigos DANE Municipios'!$B$2:$B$1123, 'Códigos DANE Municipios'!$A$2:$A$1123, "No encontrado")</f>
        <v>05483</v>
      </c>
      <c r="B363" t="str">
        <f>IFERROR(VLOOKUP(D363,APOYO!K:L,2,FALSE),A363)</f>
        <v>05483</v>
      </c>
      <c r="C363" t="s">
        <v>156</v>
      </c>
      <c r="D363" t="str">
        <f>IFERROR(VLOOKUP(C363,APOYO!J:K,2,FALSE),C363)</f>
        <v>NARIÑO</v>
      </c>
      <c r="E363">
        <v>2013</v>
      </c>
      <c r="F363" t="s">
        <v>2189</v>
      </c>
      <c r="G363" t="s">
        <v>2189</v>
      </c>
      <c r="H363">
        <v>328</v>
      </c>
      <c r="I363" s="13" t="s">
        <v>2189</v>
      </c>
      <c r="J363" s="13" t="s">
        <v>2189</v>
      </c>
      <c r="K363" s="13" t="s">
        <v>2189</v>
      </c>
    </row>
    <row r="364" spans="1:11" hidden="1" x14ac:dyDescent="0.25">
      <c r="A364" t="str">
        <f>_xlfn.XLOOKUP(C364, 'Códigos DANE Municipios'!$B$2:$B$1123, 'Códigos DANE Municipios'!$A$2:$A$1123, "No encontrado")</f>
        <v>73483</v>
      </c>
      <c r="B364" t="str">
        <f>IFERROR(VLOOKUP(D364,APOYO!K:L,2,FALSE),A364)</f>
        <v>73483</v>
      </c>
      <c r="C364" t="s">
        <v>1921</v>
      </c>
      <c r="D364" t="str">
        <f>IFERROR(VLOOKUP(C364,APOYO!J:K,2,FALSE),C364)</f>
        <v>NATAGAIMA</v>
      </c>
      <c r="E364">
        <v>2013</v>
      </c>
      <c r="F364">
        <v>10</v>
      </c>
      <c r="G364" t="s">
        <v>2189</v>
      </c>
      <c r="H364">
        <v>7</v>
      </c>
      <c r="I364" s="13" t="s">
        <v>2189</v>
      </c>
      <c r="J364" s="13" t="s">
        <v>2189</v>
      </c>
      <c r="K364" s="13" t="s">
        <v>2189</v>
      </c>
    </row>
    <row r="365" spans="1:11" hidden="1" x14ac:dyDescent="0.25">
      <c r="A365" t="str">
        <f>_xlfn.XLOOKUP(C365, 'Códigos DANE Municipios'!$B$2:$B$1123, 'Códigos DANE Municipios'!$A$2:$A$1123, "No encontrado")</f>
        <v>05490</v>
      </c>
      <c r="B365" t="str">
        <f>IFERROR(VLOOKUP(D365,APOYO!K:L,2,FALSE),A365)</f>
        <v>05490</v>
      </c>
      <c r="C365" t="s">
        <v>158</v>
      </c>
      <c r="D365" t="str">
        <f>IFERROR(VLOOKUP(C365,APOYO!J:K,2,FALSE),C365)</f>
        <v>NECOCLÍ</v>
      </c>
      <c r="E365">
        <v>2013</v>
      </c>
      <c r="F365">
        <v>8</v>
      </c>
      <c r="G365" t="s">
        <v>2189</v>
      </c>
      <c r="H365">
        <v>4</v>
      </c>
      <c r="I365" s="13" t="s">
        <v>2189</v>
      </c>
      <c r="J365" s="13" t="s">
        <v>2189</v>
      </c>
      <c r="K365" s="13" t="s">
        <v>2189</v>
      </c>
    </row>
    <row r="366" spans="1:11" hidden="1" x14ac:dyDescent="0.25">
      <c r="A366" t="str">
        <f>_xlfn.XLOOKUP(C366, 'Códigos DANE Municipios'!$B$2:$B$1123, 'Códigos DANE Municipios'!$A$2:$A$1123, "No encontrado")</f>
        <v>17486</v>
      </c>
      <c r="B366" t="str">
        <f>IFERROR(VLOOKUP(D366,APOYO!K:L,2,FALSE),A366)</f>
        <v>17486</v>
      </c>
      <c r="C366" t="s">
        <v>670</v>
      </c>
      <c r="D366" t="str">
        <f>IFERROR(VLOOKUP(C366,APOYO!J:K,2,FALSE),C366)</f>
        <v>NEIRA</v>
      </c>
      <c r="E366">
        <v>2013</v>
      </c>
      <c r="F366" t="s">
        <v>2189</v>
      </c>
      <c r="G366" t="s">
        <v>2189</v>
      </c>
      <c r="H366">
        <v>36</v>
      </c>
      <c r="I366" s="13" t="s">
        <v>2189</v>
      </c>
      <c r="J366" s="13" t="s">
        <v>2189</v>
      </c>
      <c r="K366" s="13" t="s">
        <v>2189</v>
      </c>
    </row>
    <row r="367" spans="1:11" hidden="1" x14ac:dyDescent="0.25">
      <c r="A367" t="str">
        <f>_xlfn.XLOOKUP(C367, 'Códigos DANE Municipios'!$B$2:$B$1123, 'Códigos DANE Municipios'!$A$2:$A$1123, "No encontrado")</f>
        <v>41001</v>
      </c>
      <c r="B367" t="str">
        <f>IFERROR(VLOOKUP(D367,APOYO!K:L,2,FALSE),A367)</f>
        <v>41001</v>
      </c>
      <c r="C367" t="s">
        <v>1201</v>
      </c>
      <c r="D367" t="str">
        <f>IFERROR(VLOOKUP(C367,APOYO!J:K,2,FALSE),C367)</f>
        <v>NEIVA</v>
      </c>
      <c r="E367">
        <v>2013</v>
      </c>
      <c r="F367">
        <v>159193</v>
      </c>
      <c r="G367">
        <v>2392</v>
      </c>
      <c r="H367">
        <v>2120</v>
      </c>
      <c r="I367" s="13" t="s">
        <v>2189</v>
      </c>
      <c r="J367" s="13" t="s">
        <v>2189</v>
      </c>
      <c r="K367" s="13" t="s">
        <v>2189</v>
      </c>
    </row>
    <row r="368" spans="1:11" hidden="1" x14ac:dyDescent="0.25">
      <c r="A368" t="str">
        <f>_xlfn.XLOOKUP(C368, 'Códigos DANE Municipios'!$B$2:$B$1123, 'Códigos DANE Municipios'!$A$2:$A$1123, "No encontrado")</f>
        <v>25486</v>
      </c>
      <c r="B368" t="str">
        <f>IFERROR(VLOOKUP(D368,APOYO!K:L,2,FALSE),A368)</f>
        <v>25486</v>
      </c>
      <c r="C368" t="s">
        <v>1030</v>
      </c>
      <c r="D368" t="str">
        <f>IFERROR(VLOOKUP(C368,APOYO!J:K,2,FALSE),C368)</f>
        <v>NEMOCÓN</v>
      </c>
      <c r="E368">
        <v>2013</v>
      </c>
      <c r="F368" t="s">
        <v>2189</v>
      </c>
      <c r="G368" t="s">
        <v>2189</v>
      </c>
      <c r="H368">
        <v>7</v>
      </c>
      <c r="I368" s="13" t="s">
        <v>2189</v>
      </c>
      <c r="J368" s="13" t="s">
        <v>2189</v>
      </c>
      <c r="K368" s="13" t="s">
        <v>2189</v>
      </c>
    </row>
    <row r="369" spans="1:11" hidden="1" x14ac:dyDescent="0.25">
      <c r="A369" t="str">
        <f>_xlfn.XLOOKUP(C369, 'Códigos DANE Municipios'!$B$2:$B$1123, 'Códigos DANE Municipios'!$A$2:$A$1123, "No encontrado")</f>
        <v>25488</v>
      </c>
      <c r="B369" t="str">
        <f>IFERROR(VLOOKUP(D369,APOYO!K:L,2,FALSE),A369)</f>
        <v>25488</v>
      </c>
      <c r="C369" t="s">
        <v>1032</v>
      </c>
      <c r="D369" t="str">
        <f>IFERROR(VLOOKUP(C369,APOYO!J:K,2,FALSE),C369)</f>
        <v>NILO</v>
      </c>
      <c r="E369">
        <v>2013</v>
      </c>
      <c r="F369" t="s">
        <v>2189</v>
      </c>
      <c r="G369" t="s">
        <v>2189</v>
      </c>
      <c r="H369">
        <v>7</v>
      </c>
      <c r="I369" s="13" t="s">
        <v>2189</v>
      </c>
      <c r="J369" s="13" t="s">
        <v>2189</v>
      </c>
      <c r="K369" s="13" t="s">
        <v>2189</v>
      </c>
    </row>
    <row r="370" spans="1:11" hidden="1" x14ac:dyDescent="0.25">
      <c r="A370" t="str">
        <f>_xlfn.XLOOKUP(C370, 'Códigos DANE Municipios'!$B$2:$B$1123, 'Códigos DANE Municipios'!$A$2:$A$1123, "No encontrado")</f>
        <v>25489</v>
      </c>
      <c r="B370" t="str">
        <f>IFERROR(VLOOKUP(D370,APOYO!K:L,2,FALSE),A370)</f>
        <v>25489</v>
      </c>
      <c r="C370" t="s">
        <v>1034</v>
      </c>
      <c r="D370" t="str">
        <f>IFERROR(VLOOKUP(C370,APOYO!J:K,2,FALSE),C370)</f>
        <v>NIMAIMA</v>
      </c>
      <c r="E370">
        <v>2013</v>
      </c>
      <c r="F370" t="s">
        <v>2189</v>
      </c>
      <c r="G370" t="s">
        <v>2189</v>
      </c>
      <c r="H370">
        <v>1</v>
      </c>
      <c r="I370" s="13" t="s">
        <v>2189</v>
      </c>
      <c r="J370" s="13" t="s">
        <v>2189</v>
      </c>
      <c r="K370" s="13" t="s">
        <v>2189</v>
      </c>
    </row>
    <row r="371" spans="1:11" hidden="1" x14ac:dyDescent="0.25">
      <c r="A371" t="str">
        <f>_xlfn.XLOOKUP(C371, 'Códigos DANE Municipios'!$B$2:$B$1123, 'Códigos DANE Municipios'!$A$2:$A$1123, "No encontrado")</f>
        <v>15491</v>
      </c>
      <c r="B371" t="str">
        <f>IFERROR(VLOOKUP(D371,APOYO!K:L,2,FALSE),A371)</f>
        <v>15491</v>
      </c>
      <c r="C371" t="s">
        <v>516</v>
      </c>
      <c r="D371" t="str">
        <f>IFERROR(VLOOKUP(C371,APOYO!J:K,2,FALSE),C371)</f>
        <v>NOBSA</v>
      </c>
      <c r="E371">
        <v>2013</v>
      </c>
      <c r="F371" t="s">
        <v>2189</v>
      </c>
      <c r="G371" t="s">
        <v>2189</v>
      </c>
      <c r="H371">
        <v>56</v>
      </c>
      <c r="I371" s="13" t="s">
        <v>2189</v>
      </c>
      <c r="J371" s="13" t="s">
        <v>2189</v>
      </c>
      <c r="K371" s="13" t="s">
        <v>2189</v>
      </c>
    </row>
    <row r="372" spans="1:11" hidden="1" x14ac:dyDescent="0.25">
      <c r="A372" t="str">
        <f>_xlfn.XLOOKUP(C372, 'Códigos DANE Municipios'!$B$2:$B$1123, 'Códigos DANE Municipios'!$A$2:$A$1123, "No encontrado")</f>
        <v>25491</v>
      </c>
      <c r="B372" t="str">
        <f>IFERROR(VLOOKUP(D372,APOYO!K:L,2,FALSE),A372)</f>
        <v>25491</v>
      </c>
      <c r="C372" t="s">
        <v>1036</v>
      </c>
      <c r="D372" t="str">
        <f>IFERROR(VLOOKUP(C372,APOYO!J:K,2,FALSE),C372)</f>
        <v>NOCAIMA</v>
      </c>
      <c r="E372">
        <v>2013</v>
      </c>
      <c r="F372" t="s">
        <v>2189</v>
      </c>
      <c r="G372" t="s">
        <v>2189</v>
      </c>
      <c r="H372">
        <v>1</v>
      </c>
      <c r="I372" s="13" t="s">
        <v>2189</v>
      </c>
      <c r="J372" s="13" t="s">
        <v>2189</v>
      </c>
      <c r="K372" s="13" t="s">
        <v>2189</v>
      </c>
    </row>
    <row r="373" spans="1:11" hidden="1" x14ac:dyDescent="0.25">
      <c r="A373" t="str">
        <f>_xlfn.XLOOKUP(C373, 'Códigos DANE Municipios'!$B$2:$B$1123, 'Códigos DANE Municipios'!$A$2:$A$1123, "No encontrado")</f>
        <v>17495</v>
      </c>
      <c r="B373" t="str">
        <f>IFERROR(VLOOKUP(D373,APOYO!K:L,2,FALSE),A373)</f>
        <v>17495</v>
      </c>
      <c r="C373" t="s">
        <v>672</v>
      </c>
      <c r="D373" t="str">
        <f>IFERROR(VLOOKUP(C373,APOYO!J:K,2,FALSE),C373)</f>
        <v>NORCASIA</v>
      </c>
      <c r="E373">
        <v>2013</v>
      </c>
      <c r="F373" t="s">
        <v>2189</v>
      </c>
      <c r="G373" t="s">
        <v>2189</v>
      </c>
      <c r="H373">
        <v>1</v>
      </c>
      <c r="I373" s="13" t="s">
        <v>2189</v>
      </c>
      <c r="J373" s="13" t="s">
        <v>2189</v>
      </c>
      <c r="K373" s="13" t="s">
        <v>2189</v>
      </c>
    </row>
    <row r="374" spans="1:11" hidden="1" x14ac:dyDescent="0.25">
      <c r="A374" t="str">
        <f>_xlfn.XLOOKUP(C374, 'Códigos DANE Municipios'!$B$2:$B$1123, 'Códigos DANE Municipios'!$A$2:$A$1123, "No encontrado")</f>
        <v>85225</v>
      </c>
      <c r="B374" t="str">
        <f>IFERROR(VLOOKUP(D374,APOYO!K:L,2,FALSE),A374)</f>
        <v>85225</v>
      </c>
      <c r="C374" t="s">
        <v>2062</v>
      </c>
      <c r="D374" t="str">
        <f>IFERROR(VLOOKUP(C374,APOYO!J:K,2,FALSE),C374)</f>
        <v>NUNCHÍA</v>
      </c>
      <c r="E374">
        <v>2013</v>
      </c>
      <c r="F374">
        <v>5</v>
      </c>
      <c r="G374" t="s">
        <v>2189</v>
      </c>
      <c r="H374" t="s">
        <v>2189</v>
      </c>
      <c r="I374" s="13" t="s">
        <v>2189</v>
      </c>
      <c r="J374" s="13" t="s">
        <v>2189</v>
      </c>
      <c r="K374" s="13" t="s">
        <v>2189</v>
      </c>
    </row>
    <row r="375" spans="1:11" hidden="1" x14ac:dyDescent="0.25">
      <c r="A375" t="str">
        <f>_xlfn.XLOOKUP(C375, 'Códigos DANE Municipios'!$B$2:$B$1123, 'Códigos DANE Municipios'!$A$2:$A$1123, "No encontrado")</f>
        <v>27495</v>
      </c>
      <c r="B375" t="str">
        <f>IFERROR(VLOOKUP(D375,APOYO!K:L,2,FALSE),A375)</f>
        <v>27495</v>
      </c>
      <c r="C375" t="s">
        <v>1184</v>
      </c>
      <c r="D375" t="str">
        <f>IFERROR(VLOOKUP(C375,APOYO!J:K,2,FALSE),C375)</f>
        <v>NUQUÍ</v>
      </c>
      <c r="E375">
        <v>2013</v>
      </c>
      <c r="F375">
        <v>9729</v>
      </c>
      <c r="G375" t="s">
        <v>2189</v>
      </c>
      <c r="H375">
        <v>6</v>
      </c>
      <c r="I375">
        <v>3127</v>
      </c>
      <c r="J375" s="13" t="s">
        <v>2189</v>
      </c>
      <c r="K375" s="13" t="s">
        <v>2189</v>
      </c>
    </row>
    <row r="376" spans="1:11" hidden="1" x14ac:dyDescent="0.25">
      <c r="A376" t="str">
        <f>_xlfn.XLOOKUP(C376, 'Códigos DANE Municipios'!$B$2:$B$1123, 'Códigos DANE Municipios'!$A$2:$A$1123, "No encontrado")</f>
        <v>76497</v>
      </c>
      <c r="B376" t="str">
        <f>IFERROR(VLOOKUP(D376,APOYO!K:L,2,FALSE),A376)</f>
        <v>76497</v>
      </c>
      <c r="C376" t="s">
        <v>2002</v>
      </c>
      <c r="D376" t="str">
        <f>IFERROR(VLOOKUP(C376,APOYO!J:K,2,FALSE),C376)</f>
        <v>OBANDO</v>
      </c>
      <c r="E376">
        <v>2013</v>
      </c>
      <c r="F376" t="s">
        <v>2189</v>
      </c>
      <c r="G376" t="s">
        <v>2189</v>
      </c>
      <c r="H376">
        <v>14</v>
      </c>
      <c r="I376" s="13" t="s">
        <v>2189</v>
      </c>
      <c r="J376" s="13" t="s">
        <v>2189</v>
      </c>
      <c r="K376" s="13" t="s">
        <v>2189</v>
      </c>
    </row>
    <row r="377" spans="1:11" hidden="1" x14ac:dyDescent="0.25">
      <c r="A377" t="str">
        <f>_xlfn.XLOOKUP(C377, 'Códigos DANE Municipios'!$B$2:$B$1123, 'Códigos DANE Municipios'!$A$2:$A$1123, "No encontrado")</f>
        <v>54498</v>
      </c>
      <c r="B377" t="str">
        <f>IFERROR(VLOOKUP(D377,APOYO!K:L,2,FALSE),A377)</f>
        <v>54498</v>
      </c>
      <c r="C377" t="s">
        <v>1577</v>
      </c>
      <c r="D377" t="str">
        <f>IFERROR(VLOOKUP(C377,APOYO!J:K,2,FALSE),C377)</f>
        <v>OCAÑA</v>
      </c>
      <c r="E377">
        <v>2013</v>
      </c>
      <c r="F377">
        <v>488</v>
      </c>
      <c r="G377" t="s">
        <v>2189</v>
      </c>
      <c r="H377">
        <v>94</v>
      </c>
      <c r="I377" s="13" t="s">
        <v>2189</v>
      </c>
      <c r="J377" s="13" t="s">
        <v>2189</v>
      </c>
      <c r="K377" s="13" t="s">
        <v>2189</v>
      </c>
    </row>
    <row r="378" spans="1:11" hidden="1" x14ac:dyDescent="0.25">
      <c r="A378" t="str">
        <f>_xlfn.XLOOKUP(C378, 'Códigos DANE Municipios'!$B$2:$B$1123, 'Códigos DANE Municipios'!$A$2:$A$1123, "No encontrado")</f>
        <v>68500</v>
      </c>
      <c r="B378" t="str">
        <f>IFERROR(VLOOKUP(D378,APOYO!K:L,2,FALSE),A378)</f>
        <v>68500</v>
      </c>
      <c r="C378" t="s">
        <v>1756</v>
      </c>
      <c r="D378" t="str">
        <f>IFERROR(VLOOKUP(C378,APOYO!J:K,2,FALSE),C378)</f>
        <v>OIBA</v>
      </c>
      <c r="E378">
        <v>2013</v>
      </c>
      <c r="F378" t="s">
        <v>2189</v>
      </c>
      <c r="G378" t="s">
        <v>2189</v>
      </c>
      <c r="H378">
        <v>6</v>
      </c>
      <c r="I378" s="13" t="s">
        <v>2189</v>
      </c>
      <c r="J378" s="13" t="s">
        <v>2189</v>
      </c>
      <c r="K378" s="13" t="s">
        <v>2189</v>
      </c>
    </row>
    <row r="379" spans="1:11" hidden="1" x14ac:dyDescent="0.25">
      <c r="A379" t="str">
        <f>_xlfn.XLOOKUP(C379, 'Códigos DANE Municipios'!$B$2:$B$1123, 'Códigos DANE Municipios'!$A$2:$A$1123, "No encontrado")</f>
        <v>05501</v>
      </c>
      <c r="B379" t="str">
        <f>IFERROR(VLOOKUP(D379,APOYO!K:L,2,FALSE),A379)</f>
        <v>05501</v>
      </c>
      <c r="C379" t="s">
        <v>162</v>
      </c>
      <c r="D379" t="str">
        <f>IFERROR(VLOOKUP(C379,APOYO!J:K,2,FALSE),C379)</f>
        <v>OLAYA</v>
      </c>
      <c r="E379">
        <v>2013</v>
      </c>
      <c r="F379" t="s">
        <v>2189</v>
      </c>
      <c r="G379" t="s">
        <v>2189</v>
      </c>
      <c r="H379">
        <v>3</v>
      </c>
      <c r="I379" s="13" t="s">
        <v>2189</v>
      </c>
      <c r="J379" s="13" t="s">
        <v>2189</v>
      </c>
      <c r="K379" s="13" t="s">
        <v>2189</v>
      </c>
    </row>
    <row r="380" spans="1:11" hidden="1" x14ac:dyDescent="0.25">
      <c r="A380" t="str">
        <f>_xlfn.XLOOKUP(C380, 'Códigos DANE Municipios'!$B$2:$B$1123, 'Códigos DANE Municipios'!$A$2:$A$1123, "No encontrado")</f>
        <v>68502</v>
      </c>
      <c r="B380" t="str">
        <f>IFERROR(VLOOKUP(D380,APOYO!K:L,2,FALSE),A380)</f>
        <v>68502</v>
      </c>
      <c r="C380" t="s">
        <v>1758</v>
      </c>
      <c r="D380" t="str">
        <f>IFERROR(VLOOKUP(C380,APOYO!J:K,2,FALSE),C380)</f>
        <v>ONZAGA</v>
      </c>
      <c r="E380">
        <v>2013</v>
      </c>
      <c r="F380" t="s">
        <v>2189</v>
      </c>
      <c r="G380" t="s">
        <v>2189</v>
      </c>
      <c r="H380">
        <v>3</v>
      </c>
      <c r="I380" s="13" t="s">
        <v>2189</v>
      </c>
      <c r="J380" s="13" t="s">
        <v>2189</v>
      </c>
      <c r="K380" s="13" t="s">
        <v>2189</v>
      </c>
    </row>
    <row r="381" spans="1:11" hidden="1" x14ac:dyDescent="0.25">
      <c r="A381" t="str">
        <f>_xlfn.XLOOKUP(C381, 'Códigos DANE Municipios'!$B$2:$B$1123, 'Códigos DANE Municipios'!$A$2:$A$1123, "No encontrado")</f>
        <v>41503</v>
      </c>
      <c r="B381" t="str">
        <f>IFERROR(VLOOKUP(D381,APOYO!K:L,2,FALSE),A381)</f>
        <v>41503</v>
      </c>
      <c r="C381" t="s">
        <v>1238</v>
      </c>
      <c r="D381" t="str">
        <f>IFERROR(VLOOKUP(C381,APOYO!J:K,2,FALSE),C381)</f>
        <v>OPORAPA</v>
      </c>
      <c r="E381">
        <v>2013</v>
      </c>
      <c r="F381" t="s">
        <v>2189</v>
      </c>
      <c r="G381" t="s">
        <v>2189</v>
      </c>
      <c r="H381">
        <v>2</v>
      </c>
      <c r="I381" s="13" t="s">
        <v>2189</v>
      </c>
      <c r="J381" s="13" t="s">
        <v>2189</v>
      </c>
      <c r="K381" s="13" t="s">
        <v>2189</v>
      </c>
    </row>
    <row r="382" spans="1:11" hidden="1" x14ac:dyDescent="0.25">
      <c r="A382" t="str">
        <f>_xlfn.XLOOKUP(C382, 'Códigos DANE Municipios'!$B$2:$B$1123, 'Códigos DANE Municipios'!$A$2:$A$1123, "No encontrado")</f>
        <v>86320</v>
      </c>
      <c r="B382" t="str">
        <f>IFERROR(VLOOKUP(D382,APOYO!K:L,2,FALSE),A382)</f>
        <v>86320</v>
      </c>
      <c r="C382" t="s">
        <v>2087</v>
      </c>
      <c r="D382" t="str">
        <f>IFERROR(VLOOKUP(C382,APOYO!J:K,2,FALSE),C382)</f>
        <v>ORITO</v>
      </c>
      <c r="E382">
        <v>2013</v>
      </c>
      <c r="F382">
        <v>206</v>
      </c>
      <c r="G382" t="s">
        <v>2189</v>
      </c>
      <c r="H382">
        <v>27</v>
      </c>
      <c r="I382" s="13" t="s">
        <v>2189</v>
      </c>
      <c r="J382" s="13" t="s">
        <v>2189</v>
      </c>
      <c r="K382" s="13" t="s">
        <v>2189</v>
      </c>
    </row>
    <row r="383" spans="1:11" hidden="1" x14ac:dyDescent="0.25">
      <c r="A383" t="str">
        <f>_xlfn.XLOOKUP(C383, 'Códigos DANE Municipios'!$B$2:$B$1123, 'Códigos DANE Municipios'!$A$2:$A$1123, "No encontrado")</f>
        <v>85230</v>
      </c>
      <c r="B383" t="str">
        <f>IFERROR(VLOOKUP(D383,APOYO!K:L,2,FALSE),A383)</f>
        <v>85230</v>
      </c>
      <c r="C383" t="s">
        <v>2064</v>
      </c>
      <c r="D383" t="str">
        <f>IFERROR(VLOOKUP(C383,APOYO!J:K,2,FALSE),C383)</f>
        <v>OROCUÉ</v>
      </c>
      <c r="E383">
        <v>2013</v>
      </c>
      <c r="F383">
        <v>2773</v>
      </c>
      <c r="G383" t="s">
        <v>2189</v>
      </c>
      <c r="H383" t="s">
        <v>2189</v>
      </c>
      <c r="I383" s="13" t="s">
        <v>2189</v>
      </c>
      <c r="J383" s="13" t="s">
        <v>2189</v>
      </c>
      <c r="K383" s="13" t="s">
        <v>2189</v>
      </c>
    </row>
    <row r="384" spans="1:11" hidden="1" x14ac:dyDescent="0.25">
      <c r="A384" t="str">
        <f>_xlfn.XLOOKUP(C384, 'Códigos DANE Municipios'!$B$2:$B$1123, 'Códigos DANE Municipios'!$A$2:$A$1123, "No encontrado")</f>
        <v>73504</v>
      </c>
      <c r="B384" t="str">
        <f>IFERROR(VLOOKUP(D384,APOYO!K:L,2,FALSE),A384)</f>
        <v>73504</v>
      </c>
      <c r="C384" t="s">
        <v>1923</v>
      </c>
      <c r="D384" t="str">
        <f>IFERROR(VLOOKUP(C384,APOYO!J:K,2,FALSE),C384)</f>
        <v>ORTEGA</v>
      </c>
      <c r="E384">
        <v>2013</v>
      </c>
      <c r="F384" t="s">
        <v>2189</v>
      </c>
      <c r="G384" t="s">
        <v>2189</v>
      </c>
      <c r="H384">
        <v>1</v>
      </c>
      <c r="I384" s="13" t="s">
        <v>2189</v>
      </c>
      <c r="J384" s="13" t="s">
        <v>2189</v>
      </c>
      <c r="K384" s="13" t="s">
        <v>2189</v>
      </c>
    </row>
    <row r="385" spans="1:11" hidden="1" x14ac:dyDescent="0.25">
      <c r="A385" t="str">
        <f>_xlfn.XLOOKUP(C385, 'Códigos DANE Municipios'!$B$2:$B$1123, 'Códigos DANE Municipios'!$A$2:$A$1123, "No encontrado")</f>
        <v>25513</v>
      </c>
      <c r="B385" t="str">
        <f>IFERROR(VLOOKUP(D385,APOYO!K:L,2,FALSE),A385)</f>
        <v>25513</v>
      </c>
      <c r="C385" t="s">
        <v>1039</v>
      </c>
      <c r="D385" t="str">
        <f>IFERROR(VLOOKUP(C385,APOYO!J:K,2,FALSE),C385)</f>
        <v>PACHO</v>
      </c>
      <c r="E385">
        <v>2013</v>
      </c>
      <c r="F385" t="s">
        <v>2189</v>
      </c>
      <c r="G385" t="s">
        <v>2189</v>
      </c>
      <c r="H385">
        <v>255</v>
      </c>
      <c r="I385" s="13" t="s">
        <v>2189</v>
      </c>
      <c r="J385" s="13" t="s">
        <v>2189</v>
      </c>
      <c r="K385" s="13" t="s">
        <v>2189</v>
      </c>
    </row>
    <row r="386" spans="1:11" hidden="1" x14ac:dyDescent="0.25">
      <c r="A386" t="str">
        <f>_xlfn.XLOOKUP(C386, 'Códigos DANE Municipios'!$B$2:$B$1123, 'Códigos DANE Municipios'!$A$2:$A$1123, "No encontrado")</f>
        <v>17513</v>
      </c>
      <c r="B386" t="str">
        <f>IFERROR(VLOOKUP(D386,APOYO!K:L,2,FALSE),A386)</f>
        <v>17513</v>
      </c>
      <c r="C386" t="s">
        <v>674</v>
      </c>
      <c r="D386" t="str">
        <f>IFERROR(VLOOKUP(C386,APOYO!J:K,2,FALSE),C386)</f>
        <v>PÁCORA</v>
      </c>
      <c r="E386">
        <v>2013</v>
      </c>
      <c r="F386" t="s">
        <v>2189</v>
      </c>
      <c r="G386" t="s">
        <v>2189</v>
      </c>
      <c r="H386">
        <v>7</v>
      </c>
      <c r="I386" s="13" t="s">
        <v>2189</v>
      </c>
      <c r="J386" s="13" t="s">
        <v>2189</v>
      </c>
      <c r="K386" s="13" t="s">
        <v>2189</v>
      </c>
    </row>
    <row r="387" spans="1:11" hidden="1" x14ac:dyDescent="0.25">
      <c r="A387" t="str">
        <f>_xlfn.XLOOKUP(C387, 'Códigos DANE Municipios'!$B$2:$B$1123, 'Códigos DANE Municipios'!$A$2:$A$1123, "No encontrado")</f>
        <v>19513</v>
      </c>
      <c r="B387" t="str">
        <f>IFERROR(VLOOKUP(D387,APOYO!K:L,2,FALSE),A387)</f>
        <v>19513</v>
      </c>
      <c r="C387" t="s">
        <v>770</v>
      </c>
      <c r="D387" t="str">
        <f>IFERROR(VLOOKUP(C387,APOYO!J:K,2,FALSE),C387)</f>
        <v>PADILLA</v>
      </c>
      <c r="E387">
        <v>2013</v>
      </c>
      <c r="F387" t="s">
        <v>2189</v>
      </c>
      <c r="G387" t="s">
        <v>2189</v>
      </c>
      <c r="H387">
        <v>1</v>
      </c>
      <c r="I387" s="13" t="s">
        <v>2189</v>
      </c>
      <c r="J387" s="13" t="s">
        <v>2189</v>
      </c>
      <c r="K387" s="13" t="s">
        <v>2189</v>
      </c>
    </row>
    <row r="388" spans="1:11" hidden="1" x14ac:dyDescent="0.25">
      <c r="A388" t="str">
        <f>_xlfn.XLOOKUP(C388, 'Códigos DANE Municipios'!$B$2:$B$1123, 'Códigos DANE Municipios'!$A$2:$A$1123, "No encontrado")</f>
        <v>20517</v>
      </c>
      <c r="B388" t="str">
        <f>IFERROR(VLOOKUP(D388,APOYO!K:L,2,FALSE),A388)</f>
        <v>20517</v>
      </c>
      <c r="C388" t="s">
        <v>840</v>
      </c>
      <c r="D388" t="str">
        <f>IFERROR(VLOOKUP(C388,APOYO!J:K,2,FALSE),C388)</f>
        <v>PAILITAS</v>
      </c>
      <c r="E388">
        <v>2013</v>
      </c>
      <c r="F388" t="s">
        <v>2189</v>
      </c>
      <c r="G388" t="s">
        <v>2189</v>
      </c>
      <c r="H388">
        <v>3</v>
      </c>
      <c r="I388" s="13" t="s">
        <v>2189</v>
      </c>
      <c r="J388" s="13" t="s">
        <v>2189</v>
      </c>
      <c r="K388" s="13" t="s">
        <v>2189</v>
      </c>
    </row>
    <row r="389" spans="1:11" hidden="1" x14ac:dyDescent="0.25">
      <c r="A389" t="str">
        <f>_xlfn.XLOOKUP(C389, 'Códigos DANE Municipios'!$B$2:$B$1123, 'Códigos DANE Municipios'!$A$2:$A$1123, "No encontrado")</f>
        <v>15516</v>
      </c>
      <c r="B389" t="str">
        <f>IFERROR(VLOOKUP(D389,APOYO!K:L,2,FALSE),A389)</f>
        <v>15516</v>
      </c>
      <c r="C389" t="s">
        <v>528</v>
      </c>
      <c r="D389" t="str">
        <f>IFERROR(VLOOKUP(C389,APOYO!J:K,2,FALSE),C389)</f>
        <v>PAIPA</v>
      </c>
      <c r="E389">
        <v>2013</v>
      </c>
      <c r="F389">
        <v>65</v>
      </c>
      <c r="G389" t="s">
        <v>2189</v>
      </c>
      <c r="H389">
        <v>359</v>
      </c>
      <c r="I389" s="13" t="s">
        <v>2189</v>
      </c>
      <c r="J389" s="13" t="s">
        <v>2189</v>
      </c>
      <c r="K389" s="13" t="s">
        <v>2189</v>
      </c>
    </row>
    <row r="390" spans="1:11" hidden="1" x14ac:dyDescent="0.25">
      <c r="A390" t="str">
        <f>_xlfn.XLOOKUP(C390, 'Códigos DANE Municipios'!$B$2:$B$1123, 'Códigos DANE Municipios'!$A$2:$A$1123, "No encontrado")</f>
        <v>41524</v>
      </c>
      <c r="B390" t="str">
        <f>IFERROR(VLOOKUP(D390,APOYO!K:L,2,FALSE),A390)</f>
        <v>41524</v>
      </c>
      <c r="C390" t="s">
        <v>1242</v>
      </c>
      <c r="D390" t="str">
        <f>IFERROR(VLOOKUP(C390,APOYO!J:K,2,FALSE),C390)</f>
        <v>PALERMO</v>
      </c>
      <c r="E390">
        <v>2013</v>
      </c>
      <c r="F390" t="s">
        <v>2189</v>
      </c>
      <c r="G390" t="s">
        <v>2189</v>
      </c>
      <c r="H390">
        <v>5</v>
      </c>
      <c r="I390" s="13" t="s">
        <v>2189</v>
      </c>
      <c r="J390" s="13" t="s">
        <v>2189</v>
      </c>
      <c r="K390" s="13" t="s">
        <v>2189</v>
      </c>
    </row>
    <row r="391" spans="1:11" hidden="1" x14ac:dyDescent="0.25">
      <c r="A391" t="str">
        <f>_xlfn.XLOOKUP(C391, 'Códigos DANE Municipios'!$B$2:$B$1123, 'Códigos DANE Municipios'!$A$2:$A$1123, "No encontrado")</f>
        <v>17524</v>
      </c>
      <c r="B391" t="str">
        <f>IFERROR(VLOOKUP(D391,APOYO!K:L,2,FALSE),A391)</f>
        <v>17524</v>
      </c>
      <c r="C391" t="s">
        <v>676</v>
      </c>
      <c r="D391" t="str">
        <f>IFERROR(VLOOKUP(C391,APOYO!J:K,2,FALSE),C391)</f>
        <v>PALESTINA</v>
      </c>
      <c r="E391">
        <v>2013</v>
      </c>
      <c r="F391" t="s">
        <v>2189</v>
      </c>
      <c r="G391" t="s">
        <v>2189</v>
      </c>
      <c r="H391">
        <v>10</v>
      </c>
      <c r="I391" s="13" t="s">
        <v>2189</v>
      </c>
      <c r="J391" s="13" t="s">
        <v>2189</v>
      </c>
      <c r="K391" s="13" t="s">
        <v>2189</v>
      </c>
    </row>
    <row r="392" spans="1:11" hidden="1" x14ac:dyDescent="0.25">
      <c r="A392" t="str">
        <f>_xlfn.XLOOKUP(C392, 'Códigos DANE Municipios'!$B$2:$B$1123, 'Códigos DANE Municipios'!$A$2:$A$1123, "No encontrado")</f>
        <v>08520</v>
      </c>
      <c r="B392" t="str">
        <f>IFERROR(VLOOKUP(D392,APOYO!K:L,2,FALSE),A392)</f>
        <v>08520</v>
      </c>
      <c r="C392" t="s">
        <v>280</v>
      </c>
      <c r="D392" t="str">
        <f>IFERROR(VLOOKUP(C392,APOYO!J:K,2,FALSE),C392)</f>
        <v>PALMAR DE VARELA</v>
      </c>
      <c r="E392">
        <v>2013</v>
      </c>
      <c r="F392" t="s">
        <v>2189</v>
      </c>
      <c r="G392" t="s">
        <v>2189</v>
      </c>
      <c r="H392">
        <v>10</v>
      </c>
      <c r="I392" s="13" t="s">
        <v>2189</v>
      </c>
      <c r="J392" s="13" t="s">
        <v>2189</v>
      </c>
      <c r="K392" s="13" t="s">
        <v>2189</v>
      </c>
    </row>
    <row r="393" spans="1:11" hidden="1" x14ac:dyDescent="0.25">
      <c r="A393" t="str">
        <f>_xlfn.XLOOKUP(C393, 'Códigos DANE Municipios'!$B$2:$B$1123, 'Códigos DANE Municipios'!$A$2:$A$1123, "No encontrado")</f>
        <v>76520</v>
      </c>
      <c r="B393" t="str">
        <f>IFERROR(VLOOKUP(D393,APOYO!K:L,2,FALSE),A393)</f>
        <v>76520</v>
      </c>
      <c r="C393" t="s">
        <v>2004</v>
      </c>
      <c r="D393" t="str">
        <f>IFERROR(VLOOKUP(C393,APOYO!J:K,2,FALSE),C393)</f>
        <v>PALMIRA</v>
      </c>
      <c r="E393">
        <v>2013</v>
      </c>
      <c r="F393" t="s">
        <v>2189</v>
      </c>
      <c r="G393" t="s">
        <v>2189</v>
      </c>
      <c r="H393">
        <v>2093</v>
      </c>
      <c r="I393" s="13" t="s">
        <v>2189</v>
      </c>
      <c r="J393" s="13" t="s">
        <v>2189</v>
      </c>
      <c r="K393" s="13" t="s">
        <v>2189</v>
      </c>
    </row>
    <row r="394" spans="1:11" hidden="1" x14ac:dyDescent="0.25">
      <c r="A394" t="str">
        <f>_xlfn.XLOOKUP(C394, 'Códigos DANE Municipios'!$B$2:$B$1123, 'Códigos DANE Municipios'!$A$2:$A$1123, "No encontrado")</f>
        <v>73520</v>
      </c>
      <c r="B394" t="str">
        <f>IFERROR(VLOOKUP(D394,APOYO!K:L,2,FALSE),A394)</f>
        <v>73520</v>
      </c>
      <c r="C394" t="s">
        <v>1925</v>
      </c>
      <c r="D394" t="str">
        <f>IFERROR(VLOOKUP(C394,APOYO!J:K,2,FALSE),C394)</f>
        <v>PALOCABILDO</v>
      </c>
      <c r="E394">
        <v>2013</v>
      </c>
      <c r="F394" t="s">
        <v>2189</v>
      </c>
      <c r="G394" t="s">
        <v>2189</v>
      </c>
      <c r="H394">
        <v>1</v>
      </c>
      <c r="I394" s="13" t="s">
        <v>2189</v>
      </c>
      <c r="J394" s="13" t="s">
        <v>2189</v>
      </c>
      <c r="K394" s="13" t="s">
        <v>2189</v>
      </c>
    </row>
    <row r="395" spans="1:11" hidden="1" x14ac:dyDescent="0.25">
      <c r="A395" t="str">
        <f>_xlfn.XLOOKUP(C395, 'Códigos DANE Municipios'!$B$2:$B$1123, 'Códigos DANE Municipios'!$A$2:$A$1123, "No encontrado")</f>
        <v>54518</v>
      </c>
      <c r="B395" t="str">
        <f>IFERROR(VLOOKUP(D395,APOYO!K:L,2,FALSE),A395)</f>
        <v>54518</v>
      </c>
      <c r="C395" t="s">
        <v>1579</v>
      </c>
      <c r="D395" t="str">
        <f>IFERROR(VLOOKUP(C395,APOYO!J:K,2,FALSE),C395)</f>
        <v>PAMPLONA</v>
      </c>
      <c r="E395">
        <v>2013</v>
      </c>
      <c r="F395" t="s">
        <v>2189</v>
      </c>
      <c r="G395" t="s">
        <v>2189</v>
      </c>
      <c r="H395">
        <v>88</v>
      </c>
      <c r="I395" s="13" t="s">
        <v>2189</v>
      </c>
      <c r="J395" s="13" t="s">
        <v>2189</v>
      </c>
      <c r="K395" s="13" t="s">
        <v>2189</v>
      </c>
    </row>
    <row r="396" spans="1:11" hidden="1" x14ac:dyDescent="0.25">
      <c r="A396" t="str">
        <f>_xlfn.XLOOKUP(C396, 'Códigos DANE Municipios'!$B$2:$B$1123, 'Códigos DANE Municipios'!$A$2:$A$1123, "No encontrado")</f>
        <v>54520</v>
      </c>
      <c r="B396" t="str">
        <f>IFERROR(VLOOKUP(D396,APOYO!K:L,2,FALSE),A396)</f>
        <v>54520</v>
      </c>
      <c r="C396" t="s">
        <v>1581</v>
      </c>
      <c r="D396" t="str">
        <f>IFERROR(VLOOKUP(C396,APOYO!J:K,2,FALSE),C396)</f>
        <v>PAMPLONITA</v>
      </c>
      <c r="E396">
        <v>2013</v>
      </c>
      <c r="F396" t="s">
        <v>2189</v>
      </c>
      <c r="G396" t="s">
        <v>2189</v>
      </c>
      <c r="H396">
        <v>7</v>
      </c>
      <c r="I396" s="13" t="s">
        <v>2189</v>
      </c>
      <c r="J396" s="13" t="s">
        <v>2189</v>
      </c>
      <c r="K396" s="13" t="s">
        <v>2189</v>
      </c>
    </row>
    <row r="397" spans="1:11" hidden="1" x14ac:dyDescent="0.25">
      <c r="A397" t="str">
        <f>_xlfn.XLOOKUP(C397, 'Códigos DANE Municipios'!$B$2:$B$1123, 'Códigos DANE Municipios'!$A$2:$A$1123, "No encontrado")</f>
        <v>25524</v>
      </c>
      <c r="B397" t="str">
        <f>IFERROR(VLOOKUP(D397,APOYO!K:L,2,FALSE),A397)</f>
        <v>25524</v>
      </c>
      <c r="C397" t="s">
        <v>1043</v>
      </c>
      <c r="D397" t="str">
        <f>IFERROR(VLOOKUP(C397,APOYO!J:K,2,FALSE),C397)</f>
        <v>PANDI</v>
      </c>
      <c r="E397">
        <v>2013</v>
      </c>
      <c r="F397" t="s">
        <v>2189</v>
      </c>
      <c r="G397" t="s">
        <v>2189</v>
      </c>
      <c r="H397">
        <v>2</v>
      </c>
      <c r="I397" s="13" t="s">
        <v>2189</v>
      </c>
      <c r="J397" s="13" t="s">
        <v>2189</v>
      </c>
      <c r="K397" s="13" t="s">
        <v>2189</v>
      </c>
    </row>
    <row r="398" spans="1:11" hidden="1" x14ac:dyDescent="0.25">
      <c r="A398" t="str">
        <f>_xlfn.XLOOKUP(C398, 'Códigos DANE Municipios'!$B$2:$B$1123, 'Códigos DANE Municipios'!$A$2:$A$1123, "No encontrado")</f>
        <v>25530</v>
      </c>
      <c r="B398" t="str">
        <f>IFERROR(VLOOKUP(D398,APOYO!K:L,2,FALSE),A398)</f>
        <v>25530</v>
      </c>
      <c r="C398" t="s">
        <v>1045</v>
      </c>
      <c r="D398" t="str">
        <f>IFERROR(VLOOKUP(C398,APOYO!J:K,2,FALSE),C398)</f>
        <v>PARATEBUENO</v>
      </c>
      <c r="E398">
        <v>2013</v>
      </c>
      <c r="F398">
        <v>6</v>
      </c>
      <c r="G398" t="s">
        <v>2189</v>
      </c>
      <c r="H398" t="s">
        <v>2189</v>
      </c>
      <c r="I398" s="13" t="s">
        <v>2189</v>
      </c>
      <c r="J398" s="13" t="s">
        <v>2189</v>
      </c>
      <c r="K398" s="13" t="s">
        <v>2189</v>
      </c>
    </row>
    <row r="399" spans="1:11" hidden="1" x14ac:dyDescent="0.25">
      <c r="A399" t="str">
        <f>_xlfn.XLOOKUP(C399, 'Códigos DANE Municipios'!$B$2:$B$1123, 'Códigos DANE Municipios'!$A$2:$A$1123, "No encontrado")</f>
        <v>25535</v>
      </c>
      <c r="B399" t="str">
        <f>IFERROR(VLOOKUP(D399,APOYO!K:L,2,FALSE),A399)</f>
        <v>25535</v>
      </c>
      <c r="C399" t="s">
        <v>1047</v>
      </c>
      <c r="D399" t="str">
        <f>IFERROR(VLOOKUP(C399,APOYO!J:K,2,FALSE),C399)</f>
        <v>PASCA</v>
      </c>
      <c r="E399">
        <v>2013</v>
      </c>
      <c r="F399" t="s">
        <v>2189</v>
      </c>
      <c r="G399" t="s">
        <v>2189</v>
      </c>
      <c r="H399">
        <v>7</v>
      </c>
      <c r="I399" s="13" t="s">
        <v>2189</v>
      </c>
      <c r="J399" s="13" t="s">
        <v>2189</v>
      </c>
      <c r="K399" s="13" t="s">
        <v>2189</v>
      </c>
    </row>
    <row r="400" spans="1:11" hidden="1" x14ac:dyDescent="0.25">
      <c r="A400" t="str">
        <f>_xlfn.XLOOKUP(C400, 'Códigos DANE Municipios'!$B$2:$B$1123, 'Códigos DANE Municipios'!$A$2:$A$1123, "No encontrado")</f>
        <v>52001</v>
      </c>
      <c r="B400" t="str">
        <f>IFERROR(VLOOKUP(D400,APOYO!K:L,2,FALSE),A400)</f>
        <v>52001</v>
      </c>
      <c r="C400" t="s">
        <v>1412</v>
      </c>
      <c r="D400" t="str">
        <f>IFERROR(VLOOKUP(C400,APOYO!J:K,2,FALSE),C400)</f>
        <v>PASTO</v>
      </c>
      <c r="E400">
        <v>2013</v>
      </c>
      <c r="F400">
        <v>113575</v>
      </c>
      <c r="G400">
        <v>1697</v>
      </c>
      <c r="H400">
        <v>5717</v>
      </c>
      <c r="I400">
        <v>33684</v>
      </c>
      <c r="J400" s="13" t="s">
        <v>2189</v>
      </c>
      <c r="K400" s="13" t="s">
        <v>2189</v>
      </c>
    </row>
    <row r="401" spans="1:11" hidden="1" x14ac:dyDescent="0.25">
      <c r="A401" t="str">
        <f>_xlfn.XLOOKUP(C401, 'Códigos DANE Municipios'!$B$2:$B$1123, 'Códigos DANE Municipios'!$A$2:$A$1123, "No encontrado")</f>
        <v>19532</v>
      </c>
      <c r="B401" t="str">
        <f>IFERROR(VLOOKUP(D401,APOYO!K:L,2,FALSE),A401)</f>
        <v>19532</v>
      </c>
      <c r="C401" t="s">
        <v>773</v>
      </c>
      <c r="D401" t="str">
        <f>IFERROR(VLOOKUP(C401,APOYO!J:K,2,FALSE),C401)</f>
        <v>PATÍA</v>
      </c>
      <c r="E401">
        <v>2013</v>
      </c>
      <c r="F401" t="s">
        <v>2189</v>
      </c>
      <c r="G401" t="s">
        <v>2189</v>
      </c>
      <c r="H401">
        <v>2</v>
      </c>
      <c r="I401" s="13" t="s">
        <v>2189</v>
      </c>
      <c r="J401" s="13" t="s">
        <v>2189</v>
      </c>
      <c r="K401" s="13" t="s">
        <v>2189</v>
      </c>
    </row>
    <row r="402" spans="1:11" hidden="1" x14ac:dyDescent="0.25">
      <c r="A402" t="str">
        <f>_xlfn.XLOOKUP(C402, 'Códigos DANE Municipios'!$B$2:$B$1123, 'Códigos DANE Municipios'!$A$2:$A$1123, "No encontrado")</f>
        <v>15533</v>
      </c>
      <c r="B402" t="str">
        <f>IFERROR(VLOOKUP(D402,APOYO!K:L,2,FALSE),A402)</f>
        <v>15533</v>
      </c>
      <c r="C402" t="s">
        <v>536</v>
      </c>
      <c r="D402" t="str">
        <f>IFERROR(VLOOKUP(C402,APOYO!J:K,2,FALSE),C402)</f>
        <v>PAYA</v>
      </c>
      <c r="E402">
        <v>2013</v>
      </c>
      <c r="F402" t="s">
        <v>2189</v>
      </c>
      <c r="G402" t="s">
        <v>2189</v>
      </c>
      <c r="H402">
        <v>3</v>
      </c>
      <c r="I402" s="13" t="s">
        <v>2189</v>
      </c>
      <c r="J402" s="13" t="s">
        <v>2189</v>
      </c>
      <c r="K402" s="13" t="s">
        <v>2189</v>
      </c>
    </row>
    <row r="403" spans="1:11" hidden="1" x14ac:dyDescent="0.25">
      <c r="A403" t="str">
        <f>_xlfn.XLOOKUP(C403, 'Códigos DANE Municipios'!$B$2:$B$1123, 'Códigos DANE Municipios'!$A$2:$A$1123, "No encontrado")</f>
        <v>85250</v>
      </c>
      <c r="B403" t="str">
        <f>IFERROR(VLOOKUP(D403,APOYO!K:L,2,FALSE),A403)</f>
        <v>85250</v>
      </c>
      <c r="C403" t="s">
        <v>2066</v>
      </c>
      <c r="D403" t="str">
        <f>IFERROR(VLOOKUP(C403,APOYO!J:K,2,FALSE),C403)</f>
        <v>PAZ DE ARIPORO</v>
      </c>
      <c r="E403">
        <v>2013</v>
      </c>
      <c r="F403">
        <v>1900</v>
      </c>
      <c r="G403" t="s">
        <v>2189</v>
      </c>
      <c r="H403">
        <v>10</v>
      </c>
      <c r="I403" s="13" t="s">
        <v>2189</v>
      </c>
      <c r="J403" s="13" t="s">
        <v>2189</v>
      </c>
      <c r="K403" s="13" t="s">
        <v>2189</v>
      </c>
    </row>
    <row r="404" spans="1:11" hidden="1" x14ac:dyDescent="0.25">
      <c r="A404" t="str">
        <f>_xlfn.XLOOKUP(C404, 'Códigos DANE Municipios'!$B$2:$B$1123, 'Códigos DANE Municipios'!$A$2:$A$1123, "No encontrado")</f>
        <v>15537</v>
      </c>
      <c r="B404" t="str">
        <f>IFERROR(VLOOKUP(D404,APOYO!K:L,2,FALSE),A404)</f>
        <v>15537</v>
      </c>
      <c r="C404" t="s">
        <v>538</v>
      </c>
      <c r="D404" t="str">
        <f>IFERROR(VLOOKUP(C404,APOYO!J:K,2,FALSE),C404)</f>
        <v>PAZ DE RÍO</v>
      </c>
      <c r="E404">
        <v>2013</v>
      </c>
      <c r="F404" t="s">
        <v>2189</v>
      </c>
      <c r="G404" t="s">
        <v>2189</v>
      </c>
      <c r="H404">
        <v>13</v>
      </c>
      <c r="I404" s="13" t="s">
        <v>2189</v>
      </c>
      <c r="J404" s="13" t="s">
        <v>2189</v>
      </c>
      <c r="K404" s="13" t="s">
        <v>2189</v>
      </c>
    </row>
    <row r="405" spans="1:11" hidden="1" x14ac:dyDescent="0.25">
      <c r="A405" t="str">
        <f>_xlfn.XLOOKUP(C405, 'Códigos DANE Municipios'!$B$2:$B$1123, 'Códigos DANE Municipios'!$A$2:$A$1123, "No encontrado")</f>
        <v>20550</v>
      </c>
      <c r="B405" t="str">
        <f>IFERROR(VLOOKUP(D405,APOYO!K:L,2,FALSE),A405)</f>
        <v>20550</v>
      </c>
      <c r="C405" t="s">
        <v>842</v>
      </c>
      <c r="D405" t="str">
        <f>IFERROR(VLOOKUP(C405,APOYO!J:K,2,FALSE),C405)</f>
        <v>PELAYA</v>
      </c>
      <c r="E405">
        <v>2013</v>
      </c>
      <c r="F405">
        <v>2</v>
      </c>
      <c r="G405" t="s">
        <v>2189</v>
      </c>
      <c r="H405">
        <v>1</v>
      </c>
      <c r="I405" s="13" t="s">
        <v>2189</v>
      </c>
      <c r="J405" s="13" t="s">
        <v>2189</v>
      </c>
      <c r="K405" s="13" t="s">
        <v>2189</v>
      </c>
    </row>
    <row r="406" spans="1:11" hidden="1" x14ac:dyDescent="0.25">
      <c r="A406" t="str">
        <f>_xlfn.XLOOKUP(C406, 'Códigos DANE Municipios'!$B$2:$B$1123, 'Códigos DANE Municipios'!$A$2:$A$1123, "No encontrado")</f>
        <v>05541</v>
      </c>
      <c r="B406" t="str">
        <f>IFERROR(VLOOKUP(D406,APOYO!K:L,2,FALSE),A406)</f>
        <v>05541</v>
      </c>
      <c r="C406" t="s">
        <v>164</v>
      </c>
      <c r="D406" t="str">
        <f>IFERROR(VLOOKUP(C406,APOYO!J:K,2,FALSE),C406)</f>
        <v>PEÑOL</v>
      </c>
      <c r="E406">
        <v>2013</v>
      </c>
      <c r="F406" t="s">
        <v>2189</v>
      </c>
      <c r="G406" t="s">
        <v>2189</v>
      </c>
      <c r="H406">
        <v>9</v>
      </c>
      <c r="I406" s="13" t="s">
        <v>2189</v>
      </c>
      <c r="J406" s="13" t="s">
        <v>2189</v>
      </c>
      <c r="K406" s="13" t="s">
        <v>2189</v>
      </c>
    </row>
    <row r="407" spans="1:11" hidden="1" x14ac:dyDescent="0.25">
      <c r="A407" t="str">
        <f>_xlfn.XLOOKUP(C407, 'Códigos DANE Municipios'!$B$2:$B$1123, 'Códigos DANE Municipios'!$A$2:$A$1123, "No encontrado")</f>
        <v>66001</v>
      </c>
      <c r="B407" t="str">
        <f>IFERROR(VLOOKUP(D407,APOYO!K:L,2,FALSE),A407)</f>
        <v>66001</v>
      </c>
      <c r="C407" t="s">
        <v>1628</v>
      </c>
      <c r="D407" t="str">
        <f>IFERROR(VLOOKUP(C407,APOYO!J:K,2,FALSE),C407)</f>
        <v>PEREIRA</v>
      </c>
      <c r="E407">
        <v>2013</v>
      </c>
      <c r="F407">
        <v>7424</v>
      </c>
      <c r="G407">
        <v>80032</v>
      </c>
      <c r="H407">
        <v>17131</v>
      </c>
      <c r="I407">
        <v>3001</v>
      </c>
      <c r="J407" s="13" t="s">
        <v>2189</v>
      </c>
      <c r="K407" s="13" t="s">
        <v>2189</v>
      </c>
    </row>
    <row r="408" spans="1:11" hidden="1" x14ac:dyDescent="0.25">
      <c r="A408" t="str">
        <f>_xlfn.XLOOKUP(C408, 'Códigos DANE Municipios'!$B$2:$B$1123, 'Códigos DANE Municipios'!$A$2:$A$1123, "No encontrado")</f>
        <v>15542</v>
      </c>
      <c r="B408" t="str">
        <f>IFERROR(VLOOKUP(D408,APOYO!K:L,2,FALSE),A408)</f>
        <v>15542</v>
      </c>
      <c r="C408" t="s">
        <v>540</v>
      </c>
      <c r="D408" t="str">
        <f>IFERROR(VLOOKUP(C408,APOYO!J:K,2,FALSE),C408)</f>
        <v>PESCA</v>
      </c>
      <c r="E408">
        <v>2013</v>
      </c>
      <c r="F408" t="s">
        <v>2189</v>
      </c>
      <c r="G408" t="s">
        <v>2189</v>
      </c>
      <c r="H408">
        <v>5</v>
      </c>
      <c r="I408" s="13" t="s">
        <v>2189</v>
      </c>
      <c r="J408" s="13" t="s">
        <v>2189</v>
      </c>
      <c r="K408" s="13" t="s">
        <v>2189</v>
      </c>
    </row>
    <row r="409" spans="1:11" hidden="1" x14ac:dyDescent="0.25">
      <c r="A409" t="str">
        <f>_xlfn.XLOOKUP(C409, 'Códigos DANE Municipios'!$B$2:$B$1123, 'Códigos DANE Municipios'!$A$2:$A$1123, "No encontrado")</f>
        <v>68547</v>
      </c>
      <c r="B409" t="str">
        <f>IFERROR(VLOOKUP(D409,APOYO!K:L,2,FALSE),A409)</f>
        <v>68547</v>
      </c>
      <c r="C409" t="s">
        <v>1766</v>
      </c>
      <c r="D409" t="str">
        <f>IFERROR(VLOOKUP(C409,APOYO!J:K,2,FALSE),C409)</f>
        <v>PIEDECUESTA</v>
      </c>
      <c r="E409">
        <v>2013</v>
      </c>
      <c r="F409" t="s">
        <v>2189</v>
      </c>
      <c r="G409" t="s">
        <v>2189</v>
      </c>
      <c r="H409">
        <v>92</v>
      </c>
      <c r="I409" s="13" t="s">
        <v>2189</v>
      </c>
      <c r="J409" s="13" t="s">
        <v>2189</v>
      </c>
      <c r="K409" s="13" t="s">
        <v>2189</v>
      </c>
    </row>
    <row r="410" spans="1:11" hidden="1" x14ac:dyDescent="0.25">
      <c r="A410" t="str">
        <f>_xlfn.XLOOKUP(C410, 'Códigos DANE Municipios'!$B$2:$B$1123, 'Códigos DANE Municipios'!$A$2:$A$1123, "No encontrado")</f>
        <v>73547</v>
      </c>
      <c r="B410" t="str">
        <f>IFERROR(VLOOKUP(D410,APOYO!K:L,2,FALSE),A410)</f>
        <v>73547</v>
      </c>
      <c r="C410" t="s">
        <v>1927</v>
      </c>
      <c r="D410" t="str">
        <f>IFERROR(VLOOKUP(C410,APOYO!J:K,2,FALSE),C410)</f>
        <v>PIEDRAS</v>
      </c>
      <c r="E410">
        <v>2013</v>
      </c>
      <c r="F410" t="s">
        <v>2189</v>
      </c>
      <c r="G410" t="s">
        <v>2189</v>
      </c>
      <c r="H410">
        <v>5</v>
      </c>
      <c r="I410" s="13" t="s">
        <v>2189</v>
      </c>
      <c r="J410" s="13" t="s">
        <v>2189</v>
      </c>
      <c r="K410" s="13" t="s">
        <v>2189</v>
      </c>
    </row>
    <row r="411" spans="1:11" hidden="1" x14ac:dyDescent="0.25">
      <c r="A411" t="str">
        <f>_xlfn.XLOOKUP(C411, 'Códigos DANE Municipios'!$B$2:$B$1123, 'Códigos DANE Municipios'!$A$2:$A$1123, "No encontrado")</f>
        <v>19548</v>
      </c>
      <c r="B411" t="str">
        <f>IFERROR(VLOOKUP(D411,APOYO!K:L,2,FALSE),A411)</f>
        <v>19548</v>
      </c>
      <c r="C411" t="s">
        <v>777</v>
      </c>
      <c r="D411" t="str">
        <f>IFERROR(VLOOKUP(C411,APOYO!J:K,2,FALSE),C411)</f>
        <v>PIENDAMÓ</v>
      </c>
      <c r="E411">
        <v>2013</v>
      </c>
      <c r="F411" t="s">
        <v>2189</v>
      </c>
      <c r="G411" t="s">
        <v>2189</v>
      </c>
      <c r="H411">
        <v>50</v>
      </c>
      <c r="I411" s="13" t="s">
        <v>2189</v>
      </c>
      <c r="J411" s="13" t="s">
        <v>2189</v>
      </c>
      <c r="K411" s="13" t="s">
        <v>2189</v>
      </c>
    </row>
    <row r="412" spans="1:11" hidden="1" x14ac:dyDescent="0.25">
      <c r="A412" t="str">
        <f>_xlfn.XLOOKUP(C412, 'Códigos DANE Municipios'!$B$2:$B$1123, 'Códigos DANE Municipios'!$A$2:$A$1123, "No encontrado")</f>
        <v>63548</v>
      </c>
      <c r="B412" t="str">
        <f>IFERROR(VLOOKUP(D412,APOYO!K:L,2,FALSE),A412)</f>
        <v>63548</v>
      </c>
      <c r="C412" t="s">
        <v>1622</v>
      </c>
      <c r="D412" t="str">
        <f>IFERROR(VLOOKUP(C412,APOYO!J:K,2,FALSE),C412)</f>
        <v>PIJAO</v>
      </c>
      <c r="E412">
        <v>2013</v>
      </c>
      <c r="F412" t="s">
        <v>2189</v>
      </c>
      <c r="G412" t="s">
        <v>2189</v>
      </c>
      <c r="H412">
        <v>6</v>
      </c>
      <c r="I412" s="13" t="s">
        <v>2189</v>
      </c>
      <c r="J412" s="13" t="s">
        <v>2189</v>
      </c>
      <c r="K412" s="13" t="s">
        <v>2189</v>
      </c>
    </row>
    <row r="413" spans="1:11" hidden="1" x14ac:dyDescent="0.25">
      <c r="A413" t="str">
        <f>_xlfn.XLOOKUP(C413, 'Códigos DANE Municipios'!$B$2:$B$1123, 'Códigos DANE Municipios'!$A$2:$A$1123, "No encontrado")</f>
        <v>08549</v>
      </c>
      <c r="B413" t="str">
        <f>IFERROR(VLOOKUP(D413,APOYO!K:L,2,FALSE),A413)</f>
        <v>08549</v>
      </c>
      <c r="C413" t="s">
        <v>282</v>
      </c>
      <c r="D413" t="str">
        <f>IFERROR(VLOOKUP(C413,APOYO!J:K,2,FALSE),C413)</f>
        <v>PIOJÓ</v>
      </c>
      <c r="E413">
        <v>2013</v>
      </c>
      <c r="F413" t="s">
        <v>2189</v>
      </c>
      <c r="G413" t="s">
        <v>2189</v>
      </c>
      <c r="H413">
        <v>1</v>
      </c>
      <c r="I413" s="13" t="s">
        <v>2189</v>
      </c>
      <c r="J413" s="13" t="s">
        <v>2189</v>
      </c>
      <c r="K413" s="13" t="s">
        <v>2189</v>
      </c>
    </row>
    <row r="414" spans="1:11" hidden="1" x14ac:dyDescent="0.25">
      <c r="A414" t="str">
        <f>_xlfn.XLOOKUP(C414, 'Códigos DANE Municipios'!$B$2:$B$1123, 'Códigos DANE Municipios'!$A$2:$A$1123, "No encontrado")</f>
        <v>41548</v>
      </c>
      <c r="B414" t="str">
        <f>IFERROR(VLOOKUP(D414,APOYO!K:L,2,FALSE),A414)</f>
        <v>41548</v>
      </c>
      <c r="C414" t="s">
        <v>1245</v>
      </c>
      <c r="D414" t="str">
        <f>IFERROR(VLOOKUP(C414,APOYO!J:K,2,FALSE),C414)</f>
        <v>PITAL</v>
      </c>
      <c r="E414">
        <v>2013</v>
      </c>
      <c r="F414" t="s">
        <v>2189</v>
      </c>
      <c r="G414" t="s">
        <v>2189</v>
      </c>
      <c r="H414">
        <v>6</v>
      </c>
      <c r="I414" s="13" t="s">
        <v>2189</v>
      </c>
      <c r="J414" s="13" t="s">
        <v>2189</v>
      </c>
      <c r="K414" s="13" t="s">
        <v>2189</v>
      </c>
    </row>
    <row r="415" spans="1:11" hidden="1" x14ac:dyDescent="0.25">
      <c r="A415" t="str">
        <f>_xlfn.XLOOKUP(C415, 'Códigos DANE Municipios'!$B$2:$B$1123, 'Códigos DANE Municipios'!$A$2:$A$1123, "No encontrado")</f>
        <v>41551</v>
      </c>
      <c r="B415" t="str">
        <f>IFERROR(VLOOKUP(D415,APOYO!K:L,2,FALSE),A415)</f>
        <v>41551</v>
      </c>
      <c r="C415" t="s">
        <v>1247</v>
      </c>
      <c r="D415" t="str">
        <f>IFERROR(VLOOKUP(C415,APOYO!J:K,2,FALSE),C415)</f>
        <v>PITALITO</v>
      </c>
      <c r="E415">
        <v>2013</v>
      </c>
      <c r="F415">
        <v>912</v>
      </c>
      <c r="G415" t="s">
        <v>2189</v>
      </c>
      <c r="H415">
        <v>230</v>
      </c>
      <c r="I415" s="13" t="s">
        <v>2189</v>
      </c>
      <c r="J415" s="13" t="s">
        <v>2189</v>
      </c>
      <c r="K415" s="13" t="s">
        <v>2189</v>
      </c>
    </row>
    <row r="416" spans="1:11" hidden="1" x14ac:dyDescent="0.25">
      <c r="A416" t="str">
        <f>_xlfn.XLOOKUP(C416, 'Códigos DANE Municipios'!$B$2:$B$1123, 'Códigos DANE Municipios'!$A$2:$A$1123, "No encontrado")</f>
        <v>73555</v>
      </c>
      <c r="B416" t="str">
        <f>IFERROR(VLOOKUP(D416,APOYO!K:L,2,FALSE),A416)</f>
        <v>73555</v>
      </c>
      <c r="C416" t="s">
        <v>1929</v>
      </c>
      <c r="D416" t="str">
        <f>IFERROR(VLOOKUP(C416,APOYO!J:K,2,FALSE),C416)</f>
        <v>PLANADAS</v>
      </c>
      <c r="E416">
        <v>2013</v>
      </c>
      <c r="F416" t="s">
        <v>2189</v>
      </c>
      <c r="G416" t="s">
        <v>2189</v>
      </c>
      <c r="H416">
        <v>1</v>
      </c>
      <c r="I416" s="13" t="s">
        <v>2189</v>
      </c>
      <c r="J416" s="13" t="s">
        <v>2189</v>
      </c>
      <c r="K416" s="13" t="s">
        <v>2189</v>
      </c>
    </row>
    <row r="417" spans="1:11" hidden="1" x14ac:dyDescent="0.25">
      <c r="A417" t="str">
        <f>_xlfn.XLOOKUP(C417, 'Códigos DANE Municipios'!$B$2:$B$1123, 'Códigos DANE Municipios'!$A$2:$A$1123, "No encontrado")</f>
        <v>23555</v>
      </c>
      <c r="B417" t="str">
        <f>IFERROR(VLOOKUP(D417,APOYO!K:L,2,FALSE),A417)</f>
        <v>23555</v>
      </c>
      <c r="C417" t="s">
        <v>887</v>
      </c>
      <c r="D417" t="str">
        <f>IFERROR(VLOOKUP(C417,APOYO!J:K,2,FALSE),C417)</f>
        <v>PLANETA RICA</v>
      </c>
      <c r="E417">
        <v>2013</v>
      </c>
      <c r="F417" t="s">
        <v>2189</v>
      </c>
      <c r="G417" t="s">
        <v>2189</v>
      </c>
      <c r="H417">
        <v>18</v>
      </c>
      <c r="I417" s="13" t="s">
        <v>2189</v>
      </c>
      <c r="J417" s="13" t="s">
        <v>2189</v>
      </c>
      <c r="K417" s="13" t="s">
        <v>2189</v>
      </c>
    </row>
    <row r="418" spans="1:11" hidden="1" x14ac:dyDescent="0.25">
      <c r="A418" t="str">
        <f>_xlfn.XLOOKUP(C418, 'Códigos DANE Municipios'!$B$2:$B$1123, 'Códigos DANE Municipios'!$A$2:$A$1123, "No encontrado")</f>
        <v>47555</v>
      </c>
      <c r="B418" t="str">
        <f>IFERROR(VLOOKUP(D418,APOYO!K:L,2,FALSE),A418)</f>
        <v>47555</v>
      </c>
      <c r="C418" t="s">
        <v>1333</v>
      </c>
      <c r="D418" t="str">
        <f>IFERROR(VLOOKUP(C418,APOYO!J:K,2,FALSE),C418)</f>
        <v>PLATO</v>
      </c>
      <c r="E418">
        <v>2013</v>
      </c>
      <c r="F418">
        <v>51</v>
      </c>
      <c r="G418" t="s">
        <v>2189</v>
      </c>
      <c r="H418">
        <v>10</v>
      </c>
      <c r="I418" s="13" t="s">
        <v>2189</v>
      </c>
      <c r="J418" s="13" t="s">
        <v>2189</v>
      </c>
      <c r="K418" s="13" t="s">
        <v>2189</v>
      </c>
    </row>
    <row r="419" spans="1:11" hidden="1" x14ac:dyDescent="0.25">
      <c r="A419" t="str">
        <f>_xlfn.XLOOKUP(C419, 'Códigos DANE Municipios'!$B$2:$B$1123, 'Códigos DANE Municipios'!$A$2:$A$1123, "No encontrado")</f>
        <v>52540</v>
      </c>
      <c r="B419" t="str">
        <f>IFERROR(VLOOKUP(D419,APOYO!K:L,2,FALSE),A419)</f>
        <v>52540</v>
      </c>
      <c r="C419" t="s">
        <v>1491</v>
      </c>
      <c r="D419" t="str">
        <f>IFERROR(VLOOKUP(C419,APOYO!J:K,2,FALSE),C419)</f>
        <v>POLICARPA</v>
      </c>
      <c r="E419">
        <v>2013</v>
      </c>
      <c r="F419" t="s">
        <v>2189</v>
      </c>
      <c r="G419" t="s">
        <v>2189</v>
      </c>
      <c r="H419">
        <v>5</v>
      </c>
      <c r="I419" s="13" t="s">
        <v>2189</v>
      </c>
      <c r="J419" s="13" t="s">
        <v>2189</v>
      </c>
      <c r="K419" s="13" t="s">
        <v>2189</v>
      </c>
    </row>
    <row r="420" spans="1:11" hidden="1" x14ac:dyDescent="0.25">
      <c r="A420" t="str">
        <f>_xlfn.XLOOKUP(C420, 'Códigos DANE Municipios'!$B$2:$B$1123, 'Códigos DANE Municipios'!$A$2:$A$1123, "No encontrado")</f>
        <v>08558</v>
      </c>
      <c r="B420" t="str">
        <f>IFERROR(VLOOKUP(D420,APOYO!K:L,2,FALSE),A420)</f>
        <v>08558</v>
      </c>
      <c r="C420" t="s">
        <v>284</v>
      </c>
      <c r="D420" t="str">
        <f>IFERROR(VLOOKUP(C420,APOYO!J:K,2,FALSE),C420)</f>
        <v>POLONUEVO</v>
      </c>
      <c r="E420">
        <v>2013</v>
      </c>
      <c r="F420" t="s">
        <v>2189</v>
      </c>
      <c r="G420" t="s">
        <v>2189</v>
      </c>
      <c r="H420">
        <v>1</v>
      </c>
      <c r="I420" s="13" t="s">
        <v>2189</v>
      </c>
      <c r="J420" s="13" t="s">
        <v>2189</v>
      </c>
      <c r="K420" s="13" t="s">
        <v>2189</v>
      </c>
    </row>
    <row r="421" spans="1:11" hidden="1" x14ac:dyDescent="0.25">
      <c r="A421" t="str">
        <f>_xlfn.XLOOKUP(C421, 'Códigos DANE Municipios'!$B$2:$B$1123, 'Códigos DANE Municipios'!$A$2:$A$1123, "No encontrado")</f>
        <v>08560</v>
      </c>
      <c r="B421" t="str">
        <f>IFERROR(VLOOKUP(D421,APOYO!K:L,2,FALSE),A421)</f>
        <v>08560</v>
      </c>
      <c r="C421" t="s">
        <v>286</v>
      </c>
      <c r="D421" t="str">
        <f>IFERROR(VLOOKUP(C421,APOYO!J:K,2,FALSE),C421)</f>
        <v>PONEDERA</v>
      </c>
      <c r="E421">
        <v>2013</v>
      </c>
      <c r="F421" t="s">
        <v>2189</v>
      </c>
      <c r="G421" t="s">
        <v>2189</v>
      </c>
      <c r="H421">
        <v>4</v>
      </c>
      <c r="I421" s="13" t="s">
        <v>2189</v>
      </c>
      <c r="J421" s="13" t="s">
        <v>2189</v>
      </c>
      <c r="K421" s="13" t="s">
        <v>2189</v>
      </c>
    </row>
    <row r="422" spans="1:11" hidden="1" x14ac:dyDescent="0.25">
      <c r="A422" t="str">
        <f>_xlfn.XLOOKUP(C422, 'Códigos DANE Municipios'!$B$2:$B$1123, 'Códigos DANE Municipios'!$A$2:$A$1123, "No encontrado")</f>
        <v>19001</v>
      </c>
      <c r="B422" t="str">
        <f>IFERROR(VLOOKUP(D422,APOYO!K:L,2,FALSE),A422)</f>
        <v>19001</v>
      </c>
      <c r="C422" t="s">
        <v>729</v>
      </c>
      <c r="D422" t="str">
        <f>IFERROR(VLOOKUP(C422,APOYO!J:K,2,FALSE),C422)</f>
        <v>POPAYÁN</v>
      </c>
      <c r="E422">
        <v>2013</v>
      </c>
      <c r="F422">
        <v>43013</v>
      </c>
      <c r="G422">
        <v>960</v>
      </c>
      <c r="H422">
        <v>3443</v>
      </c>
      <c r="I422" s="13" t="s">
        <v>2189</v>
      </c>
      <c r="J422" s="13" t="s">
        <v>2189</v>
      </c>
      <c r="K422" s="13" t="s">
        <v>2189</v>
      </c>
    </row>
    <row r="423" spans="1:11" hidden="1" x14ac:dyDescent="0.25">
      <c r="A423" t="str">
        <f>_xlfn.XLOOKUP(C423, 'Códigos DANE Municipios'!$B$2:$B$1123, 'Códigos DANE Municipios'!$A$2:$A$1123, "No encontrado")</f>
        <v>85263</v>
      </c>
      <c r="B423" t="str">
        <f>IFERROR(VLOOKUP(D423,APOYO!K:L,2,FALSE),A423)</f>
        <v>85263</v>
      </c>
      <c r="C423" t="s">
        <v>2068</v>
      </c>
      <c r="D423" t="str">
        <f>IFERROR(VLOOKUP(C423,APOYO!J:K,2,FALSE),C423)</f>
        <v>PORE</v>
      </c>
      <c r="E423">
        <v>2013</v>
      </c>
      <c r="F423" t="s">
        <v>2189</v>
      </c>
      <c r="G423" t="s">
        <v>2189</v>
      </c>
      <c r="H423">
        <v>2</v>
      </c>
      <c r="I423" s="13" t="s">
        <v>2189</v>
      </c>
      <c r="J423" s="13" t="s">
        <v>2189</v>
      </c>
      <c r="K423" s="13" t="s">
        <v>2189</v>
      </c>
    </row>
    <row r="424" spans="1:11" hidden="1" x14ac:dyDescent="0.25">
      <c r="A424" t="str">
        <f>_xlfn.XLOOKUP(C424, 'Códigos DANE Municipios'!$B$2:$B$1123, 'Códigos DANE Municipios'!$A$2:$A$1123, "No encontrado")</f>
        <v>76563</v>
      </c>
      <c r="B424" t="str">
        <f>IFERROR(VLOOKUP(D424,APOYO!K:L,2,FALSE),A424)</f>
        <v>76563</v>
      </c>
      <c r="C424" t="s">
        <v>2006</v>
      </c>
      <c r="D424" t="str">
        <f>IFERROR(VLOOKUP(C424,APOYO!J:K,2,FALSE),C424)</f>
        <v>PRADERA</v>
      </c>
      <c r="E424">
        <v>2013</v>
      </c>
      <c r="F424" t="s">
        <v>2189</v>
      </c>
      <c r="G424" t="s">
        <v>2189</v>
      </c>
      <c r="H424">
        <v>79</v>
      </c>
      <c r="I424" s="13" t="s">
        <v>2189</v>
      </c>
      <c r="J424" s="13" t="s">
        <v>2189</v>
      </c>
      <c r="K424" s="13" t="s">
        <v>2189</v>
      </c>
    </row>
    <row r="425" spans="1:11" hidden="1" x14ac:dyDescent="0.25">
      <c r="A425" t="str">
        <f>_xlfn.XLOOKUP(C425, 'Códigos DANE Municipios'!$B$2:$B$1123, 'Códigos DANE Municipios'!$A$2:$A$1123, "No encontrado")</f>
        <v>73563</v>
      </c>
      <c r="B425" t="str">
        <f>IFERROR(VLOOKUP(D425,APOYO!K:L,2,FALSE),A425)</f>
        <v>73563</v>
      </c>
      <c r="C425" t="s">
        <v>1931</v>
      </c>
      <c r="D425" t="str">
        <f>IFERROR(VLOOKUP(C425,APOYO!J:K,2,FALSE),C425)</f>
        <v>PRADO</v>
      </c>
      <c r="E425">
        <v>2013</v>
      </c>
      <c r="F425" t="s">
        <v>2189</v>
      </c>
      <c r="G425" t="s">
        <v>2189</v>
      </c>
      <c r="H425">
        <v>2</v>
      </c>
      <c r="I425" s="13" t="s">
        <v>2189</v>
      </c>
      <c r="J425" s="13" t="s">
        <v>2189</v>
      </c>
      <c r="K425" s="13" t="s">
        <v>2189</v>
      </c>
    </row>
    <row r="426" spans="1:11" hidden="1" x14ac:dyDescent="0.25">
      <c r="A426" t="str">
        <f>_xlfn.XLOOKUP(C426, 'Códigos DANE Municipios'!$B$2:$B$1123, 'Códigos DANE Municipios'!$A$2:$A$1123, "No encontrado")</f>
        <v>52565</v>
      </c>
      <c r="B426" t="str">
        <f>IFERROR(VLOOKUP(D426,APOYO!K:L,2,FALSE),A426)</f>
        <v>52565</v>
      </c>
      <c r="C426" t="s">
        <v>1495</v>
      </c>
      <c r="D426" t="str">
        <f>IFERROR(VLOOKUP(C426,APOYO!J:K,2,FALSE),C426)</f>
        <v>PROVIDENCIA</v>
      </c>
      <c r="E426">
        <v>2013</v>
      </c>
      <c r="F426">
        <v>23644</v>
      </c>
      <c r="G426" t="s">
        <v>2189</v>
      </c>
      <c r="H426">
        <v>1517</v>
      </c>
      <c r="I426" s="13" t="s">
        <v>2189</v>
      </c>
      <c r="J426" s="13" t="s">
        <v>2189</v>
      </c>
      <c r="K426" s="13" t="s">
        <v>2189</v>
      </c>
    </row>
    <row r="427" spans="1:11" hidden="1" x14ac:dyDescent="0.25">
      <c r="A427" t="str">
        <f>_xlfn.XLOOKUP(C427, 'Códigos DANE Municipios'!$B$2:$B$1123, 'Códigos DANE Municipios'!$A$2:$A$1123, "No encontrado")</f>
        <v>05585</v>
      </c>
      <c r="B427" t="str">
        <f>IFERROR(VLOOKUP(D427,APOYO!K:L,2,FALSE),A427)</f>
        <v>05585</v>
      </c>
      <c r="C427" t="s">
        <v>172</v>
      </c>
      <c r="D427" t="str">
        <f>IFERROR(VLOOKUP(C427,APOYO!J:K,2,FALSE),C427)</f>
        <v>PUERTO NARE</v>
      </c>
      <c r="E427">
        <v>2013</v>
      </c>
      <c r="F427">
        <v>417</v>
      </c>
      <c r="G427" t="s">
        <v>2189</v>
      </c>
      <c r="H427" t="s">
        <v>2189</v>
      </c>
      <c r="I427" s="13" t="s">
        <v>2189</v>
      </c>
      <c r="J427" s="13" t="s">
        <v>2189</v>
      </c>
      <c r="K427" s="13" t="s">
        <v>2189</v>
      </c>
    </row>
    <row r="428" spans="1:11" hidden="1" x14ac:dyDescent="0.25">
      <c r="A428" t="str">
        <f>_xlfn.XLOOKUP(C428, 'Códigos DANE Municipios'!$B$2:$B$1123, 'Códigos DANE Municipios'!$A$2:$A$1123, "No encontrado")</f>
        <v>66572</v>
      </c>
      <c r="B428" t="str">
        <f>IFERROR(VLOOKUP(D428,APOYO!K:L,2,FALSE),A428)</f>
        <v>66572</v>
      </c>
      <c r="C428" t="s">
        <v>1647</v>
      </c>
      <c r="D428" t="str">
        <f>IFERROR(VLOOKUP(C428,APOYO!J:K,2,FALSE),C428)</f>
        <v>PUEBLO RICO</v>
      </c>
      <c r="E428">
        <v>2013</v>
      </c>
      <c r="F428" t="s">
        <v>2189</v>
      </c>
      <c r="G428" t="s">
        <v>2189</v>
      </c>
      <c r="H428">
        <v>8</v>
      </c>
      <c r="I428" s="13" t="s">
        <v>2189</v>
      </c>
      <c r="J428" s="13" t="s">
        <v>2189</v>
      </c>
      <c r="K428" s="13" t="s">
        <v>2189</v>
      </c>
    </row>
    <row r="429" spans="1:11" hidden="1" x14ac:dyDescent="0.25">
      <c r="A429" t="str">
        <f>_xlfn.XLOOKUP(C429, 'Códigos DANE Municipios'!$B$2:$B$1123, 'Códigos DANE Municipios'!$A$2:$A$1123, "No encontrado")</f>
        <v>05576</v>
      </c>
      <c r="B429" t="str">
        <f>IFERROR(VLOOKUP(D429,APOYO!K:L,2,FALSE),A429)</f>
        <v>05576</v>
      </c>
      <c r="C429" t="s">
        <v>168</v>
      </c>
      <c r="D429" t="str">
        <f>IFERROR(VLOOKUP(C429,APOYO!J:K,2,FALSE),C429)</f>
        <v>PUEBLORRICO</v>
      </c>
      <c r="E429">
        <v>2013</v>
      </c>
      <c r="F429" t="s">
        <v>2189</v>
      </c>
      <c r="G429" t="s">
        <v>2189</v>
      </c>
      <c r="H429">
        <v>1</v>
      </c>
      <c r="I429" s="13" t="s">
        <v>2189</v>
      </c>
      <c r="J429" s="13" t="s">
        <v>2189</v>
      </c>
      <c r="K429" s="13" t="s">
        <v>2189</v>
      </c>
    </row>
    <row r="430" spans="1:11" hidden="1" x14ac:dyDescent="0.25">
      <c r="A430" t="str">
        <f>_xlfn.XLOOKUP(C430, 'Códigos DANE Municipios'!$B$2:$B$1123, 'Códigos DANE Municipios'!$A$2:$A$1123, "No encontrado")</f>
        <v>47570</v>
      </c>
      <c r="B430" t="str">
        <f>IFERROR(VLOOKUP(D430,APOYO!K:L,2,FALSE),A430)</f>
        <v>47570</v>
      </c>
      <c r="C430" t="s">
        <v>1335</v>
      </c>
      <c r="D430" t="str">
        <f>IFERROR(VLOOKUP(C430,APOYO!J:K,2,FALSE),C430)</f>
        <v>PUEBLOVIEJO</v>
      </c>
      <c r="E430">
        <v>2013</v>
      </c>
      <c r="F430" t="s">
        <v>2189</v>
      </c>
      <c r="G430" t="s">
        <v>2189</v>
      </c>
      <c r="H430">
        <v>1</v>
      </c>
      <c r="I430" s="13" t="s">
        <v>2189</v>
      </c>
      <c r="J430" s="13" t="s">
        <v>2189</v>
      </c>
      <c r="K430" s="13" t="s">
        <v>2189</v>
      </c>
    </row>
    <row r="431" spans="1:11" hidden="1" x14ac:dyDescent="0.25">
      <c r="A431" t="str">
        <f>_xlfn.XLOOKUP(C431, 'Códigos DANE Municipios'!$B$2:$B$1123, 'Códigos DANE Municipios'!$A$2:$A$1123, "No encontrado")</f>
        <v>68572</v>
      </c>
      <c r="B431" t="str">
        <f>IFERROR(VLOOKUP(D431,APOYO!K:L,2,FALSE),A431)</f>
        <v>68572</v>
      </c>
      <c r="C431" t="s">
        <v>1770</v>
      </c>
      <c r="D431" t="str">
        <f>IFERROR(VLOOKUP(C431,APOYO!J:K,2,FALSE),C431)</f>
        <v>PUENTE NACIONAL</v>
      </c>
      <c r="E431">
        <v>2013</v>
      </c>
      <c r="F431" t="s">
        <v>2189</v>
      </c>
      <c r="G431" t="s">
        <v>2189</v>
      </c>
      <c r="H431">
        <v>2</v>
      </c>
      <c r="I431" s="13" t="s">
        <v>2189</v>
      </c>
      <c r="J431" s="13" t="s">
        <v>2189</v>
      </c>
      <c r="K431" s="13" t="s">
        <v>2189</v>
      </c>
    </row>
    <row r="432" spans="1:11" hidden="1" x14ac:dyDescent="0.25">
      <c r="A432" t="str">
        <f>_xlfn.XLOOKUP(C432, 'Códigos DANE Municipios'!$B$2:$B$1123, 'Códigos DANE Municipios'!$A$2:$A$1123, "No encontrado")</f>
        <v>52573</v>
      </c>
      <c r="B432" t="str">
        <f>IFERROR(VLOOKUP(D432,APOYO!K:L,2,FALSE),A432)</f>
        <v>52573</v>
      </c>
      <c r="C432" t="s">
        <v>1497</v>
      </c>
      <c r="D432" t="str">
        <f>IFERROR(VLOOKUP(C432,APOYO!J:K,2,FALSE),C432)</f>
        <v>PUERRES</v>
      </c>
      <c r="E432">
        <v>2013</v>
      </c>
      <c r="F432" t="s">
        <v>2189</v>
      </c>
      <c r="G432" t="s">
        <v>2189</v>
      </c>
      <c r="H432">
        <v>1</v>
      </c>
      <c r="I432" s="13" t="s">
        <v>2189</v>
      </c>
      <c r="J432" s="13" t="s">
        <v>2189</v>
      </c>
      <c r="K432" s="13" t="s">
        <v>2189</v>
      </c>
    </row>
    <row r="433" spans="1:11" hidden="1" x14ac:dyDescent="0.25">
      <c r="A433" t="str">
        <f>_xlfn.XLOOKUP(C433, 'Códigos DANE Municipios'!$B$2:$B$1123, 'Códigos DANE Municipios'!$A$2:$A$1123, "No encontrado")</f>
        <v>86568</v>
      </c>
      <c r="B433" t="str">
        <f>IFERROR(VLOOKUP(D433,APOYO!K:L,2,FALSE),A433)</f>
        <v>86568</v>
      </c>
      <c r="C433" t="s">
        <v>2089</v>
      </c>
      <c r="D433" t="str">
        <f>IFERROR(VLOOKUP(C433,APOYO!J:K,2,FALSE),C433)</f>
        <v>PUERTO ASÍS</v>
      </c>
      <c r="E433">
        <v>2013</v>
      </c>
      <c r="F433">
        <v>33054</v>
      </c>
      <c r="G433">
        <v>17</v>
      </c>
      <c r="H433">
        <v>61</v>
      </c>
      <c r="I433" s="13" t="s">
        <v>2189</v>
      </c>
      <c r="J433" s="13" t="s">
        <v>2189</v>
      </c>
      <c r="K433" s="13" t="s">
        <v>2189</v>
      </c>
    </row>
    <row r="434" spans="1:11" hidden="1" x14ac:dyDescent="0.25">
      <c r="A434" t="str">
        <f>_xlfn.XLOOKUP(C434, 'Códigos DANE Municipios'!$B$2:$B$1123, 'Códigos DANE Municipios'!$A$2:$A$1123, "No encontrado")</f>
        <v>05579</v>
      </c>
      <c r="B434" t="str">
        <f>IFERROR(VLOOKUP(D434,APOYO!K:L,2,FALSE),A434)</f>
        <v>05579</v>
      </c>
      <c r="C434" t="s">
        <v>170</v>
      </c>
      <c r="D434" t="str">
        <f>IFERROR(VLOOKUP(C434,APOYO!J:K,2,FALSE),C434)</f>
        <v>PUERTO BERRÍO</v>
      </c>
      <c r="E434">
        <v>2013</v>
      </c>
      <c r="F434">
        <v>221</v>
      </c>
      <c r="G434" t="s">
        <v>2189</v>
      </c>
      <c r="H434">
        <v>14</v>
      </c>
      <c r="I434" s="13" t="s">
        <v>2189</v>
      </c>
      <c r="J434" s="13" t="s">
        <v>2189</v>
      </c>
      <c r="K434" s="13" t="s">
        <v>2189</v>
      </c>
    </row>
    <row r="435" spans="1:11" hidden="1" x14ac:dyDescent="0.25">
      <c r="A435" t="str">
        <f>_xlfn.XLOOKUP(C435, 'Códigos DANE Municipios'!$B$2:$B$1123, 'Códigos DANE Municipios'!$A$2:$A$1123, "No encontrado")</f>
        <v>15572</v>
      </c>
      <c r="B435" t="str">
        <f>IFERROR(VLOOKUP(D435,APOYO!K:L,2,FALSE),A435)</f>
        <v>15572</v>
      </c>
      <c r="C435" t="s">
        <v>544</v>
      </c>
      <c r="D435" t="str">
        <f>IFERROR(VLOOKUP(C435,APOYO!J:K,2,FALSE),C435)</f>
        <v>PUERTO BOYACÁ</v>
      </c>
      <c r="E435">
        <v>2013</v>
      </c>
      <c r="F435">
        <v>5150</v>
      </c>
      <c r="G435" t="s">
        <v>2189</v>
      </c>
      <c r="H435">
        <v>7</v>
      </c>
      <c r="I435" s="13" t="s">
        <v>2189</v>
      </c>
      <c r="J435" s="13" t="s">
        <v>2189</v>
      </c>
      <c r="K435" s="13" t="s">
        <v>2189</v>
      </c>
    </row>
    <row r="436" spans="1:11" hidden="1" x14ac:dyDescent="0.25">
      <c r="A436" t="str">
        <f>_xlfn.XLOOKUP(C436, 'Códigos DANE Municipios'!$B$2:$B$1123, 'Códigos DANE Municipios'!$A$2:$A$1123, "No encontrado")</f>
        <v>86569</v>
      </c>
      <c r="B436" t="str">
        <f>IFERROR(VLOOKUP(D436,APOYO!K:L,2,FALSE),A436)</f>
        <v>86569</v>
      </c>
      <c r="C436" t="s">
        <v>2091</v>
      </c>
      <c r="D436" t="str">
        <f>IFERROR(VLOOKUP(C436,APOYO!J:K,2,FALSE),C436)</f>
        <v>PUERTO CAICEDO</v>
      </c>
      <c r="E436">
        <v>2013</v>
      </c>
      <c r="F436" t="s">
        <v>2189</v>
      </c>
      <c r="G436" t="s">
        <v>2189</v>
      </c>
      <c r="H436">
        <v>6</v>
      </c>
      <c r="I436" s="13" t="s">
        <v>2189</v>
      </c>
      <c r="J436" s="13" t="s">
        <v>2189</v>
      </c>
      <c r="K436" s="13" t="s">
        <v>2189</v>
      </c>
    </row>
    <row r="437" spans="1:11" hidden="1" x14ac:dyDescent="0.25">
      <c r="A437" t="str">
        <f>_xlfn.XLOOKUP(C437, 'Códigos DANE Municipios'!$B$2:$B$1123, 'Códigos DANE Municipios'!$A$2:$A$1123, "No encontrado")</f>
        <v>99001</v>
      </c>
      <c r="B437" t="str">
        <f>IFERROR(VLOOKUP(D437,APOYO!K:L,2,FALSE),A437)</f>
        <v>99001</v>
      </c>
      <c r="C437" t="s">
        <v>2163</v>
      </c>
      <c r="D437" t="str">
        <f>IFERROR(VLOOKUP(C437,APOYO!J:K,2,FALSE),C437)</f>
        <v>PUERTO CARREÑO</v>
      </c>
      <c r="E437">
        <v>2013</v>
      </c>
      <c r="F437">
        <v>23917</v>
      </c>
      <c r="G437">
        <v>2</v>
      </c>
      <c r="H437">
        <v>59</v>
      </c>
      <c r="I437">
        <v>134</v>
      </c>
      <c r="J437" s="13" t="s">
        <v>2189</v>
      </c>
      <c r="K437" s="13" t="s">
        <v>2189</v>
      </c>
    </row>
    <row r="438" spans="1:11" hidden="1" x14ac:dyDescent="0.25">
      <c r="A438" t="str">
        <f>_xlfn.XLOOKUP(C438, 'Códigos DANE Municipios'!$B$2:$B$1123, 'Códigos DANE Municipios'!$A$2:$A$1123, "No encontrado")</f>
        <v>08573</v>
      </c>
      <c r="B438" t="str">
        <f>IFERROR(VLOOKUP(D438,APOYO!K:L,2,FALSE),A438)</f>
        <v>08573</v>
      </c>
      <c r="C438" t="s">
        <v>288</v>
      </c>
      <c r="D438" t="str">
        <f>IFERROR(VLOOKUP(C438,APOYO!J:K,2,FALSE),C438)</f>
        <v>PUERTO COLOMBIA</v>
      </c>
      <c r="E438">
        <v>2013</v>
      </c>
      <c r="F438" t="s">
        <v>2189</v>
      </c>
      <c r="G438" t="s">
        <v>2189</v>
      </c>
      <c r="H438">
        <v>53</v>
      </c>
      <c r="I438" s="13" t="s">
        <v>2189</v>
      </c>
      <c r="J438" s="13" t="s">
        <v>2189</v>
      </c>
      <c r="K438" s="13" t="s">
        <v>2189</v>
      </c>
    </row>
    <row r="439" spans="1:11" hidden="1" x14ac:dyDescent="0.25">
      <c r="A439" t="str">
        <f>_xlfn.XLOOKUP(C439, 'Códigos DANE Municipios'!$B$2:$B$1123, 'Códigos DANE Municipios'!$A$2:$A$1123, "No encontrado")</f>
        <v>50450</v>
      </c>
      <c r="B439" t="str">
        <f>IFERROR(VLOOKUP(D439,APOYO!K:L,2,FALSE),A439)</f>
        <v>50450</v>
      </c>
      <c r="C439" t="s">
        <v>1392</v>
      </c>
      <c r="D439" t="str">
        <f>IFERROR(VLOOKUP(C439,APOYO!J:K,2,FALSE),C439)</f>
        <v>PUERTO CONCORDIA</v>
      </c>
      <c r="E439">
        <v>2013</v>
      </c>
      <c r="F439" t="s">
        <v>2189</v>
      </c>
      <c r="G439" t="s">
        <v>2189</v>
      </c>
      <c r="H439">
        <v>2</v>
      </c>
      <c r="I439" s="13" t="s">
        <v>2189</v>
      </c>
      <c r="J439" s="13" t="s">
        <v>2189</v>
      </c>
      <c r="K439" s="13" t="s">
        <v>2189</v>
      </c>
    </row>
    <row r="440" spans="1:11" hidden="1" x14ac:dyDescent="0.25">
      <c r="A440" t="str">
        <f>_xlfn.XLOOKUP(C440, 'Códigos DANE Municipios'!$B$2:$B$1123, 'Códigos DANE Municipios'!$A$2:$A$1123, "No encontrado")</f>
        <v>50568</v>
      </c>
      <c r="B440" t="str">
        <f>IFERROR(VLOOKUP(D440,APOYO!K:L,2,FALSE),A440)</f>
        <v>50568</v>
      </c>
      <c r="C440" t="s">
        <v>1394</v>
      </c>
      <c r="D440" t="str">
        <f>IFERROR(VLOOKUP(C440,APOYO!J:K,2,FALSE),C440)</f>
        <v>PUERTO GAITÁN</v>
      </c>
      <c r="E440">
        <v>2013</v>
      </c>
      <c r="F440">
        <v>92109</v>
      </c>
      <c r="G440" t="s">
        <v>2189</v>
      </c>
      <c r="H440">
        <v>36</v>
      </c>
      <c r="I440" s="13" t="s">
        <v>2189</v>
      </c>
      <c r="J440" s="13" t="s">
        <v>2189</v>
      </c>
      <c r="K440" s="13" t="s">
        <v>2189</v>
      </c>
    </row>
    <row r="441" spans="1:11" hidden="1" x14ac:dyDescent="0.25">
      <c r="A441" t="str">
        <f>_xlfn.XLOOKUP(C441, 'Códigos DANE Municipios'!$B$2:$B$1123, 'Códigos DANE Municipios'!$A$2:$A$1123, "No encontrado")</f>
        <v>94001</v>
      </c>
      <c r="B441" t="str">
        <f>IFERROR(VLOOKUP(D441,APOYO!K:L,2,FALSE),A441)</f>
        <v>94001</v>
      </c>
      <c r="C441" t="s">
        <v>2128</v>
      </c>
      <c r="D441" t="str">
        <f>IFERROR(VLOOKUP(C441,APOYO!J:K,2,FALSE),C441)</f>
        <v>INÍRIDA</v>
      </c>
      <c r="E441">
        <v>2013</v>
      </c>
      <c r="F441">
        <v>13330</v>
      </c>
      <c r="G441">
        <v>0</v>
      </c>
      <c r="H441">
        <v>6</v>
      </c>
      <c r="I441" s="13" t="s">
        <v>2189</v>
      </c>
      <c r="J441" s="13" t="s">
        <v>2189</v>
      </c>
      <c r="K441" s="13" t="s">
        <v>2189</v>
      </c>
    </row>
    <row r="442" spans="1:11" hidden="1" x14ac:dyDescent="0.25">
      <c r="A442" t="str">
        <f>_xlfn.XLOOKUP(C442, 'Códigos DANE Municipios'!$B$2:$B$1123, 'Códigos DANE Municipios'!$A$2:$A$1123, "No encontrado")</f>
        <v>86573</v>
      </c>
      <c r="B442" t="str">
        <f>IFERROR(VLOOKUP(D442,APOYO!K:L,2,FALSE),A442)</f>
        <v>86573</v>
      </c>
      <c r="C442" t="s">
        <v>2095</v>
      </c>
      <c r="D442" t="str">
        <f>IFERROR(VLOOKUP(C442,APOYO!J:K,2,FALSE),C442)</f>
        <v>PUERTO LEGUÍZAMO</v>
      </c>
      <c r="E442">
        <v>2013</v>
      </c>
      <c r="F442">
        <v>3602</v>
      </c>
      <c r="G442" t="s">
        <v>2189</v>
      </c>
      <c r="H442">
        <v>19</v>
      </c>
      <c r="I442" s="13" t="s">
        <v>2189</v>
      </c>
      <c r="J442" s="13" t="s">
        <v>2189</v>
      </c>
      <c r="K442" s="13" t="s">
        <v>2189</v>
      </c>
    </row>
    <row r="443" spans="1:11" hidden="1" x14ac:dyDescent="0.25">
      <c r="A443" t="str">
        <f>_xlfn.XLOOKUP(C443, 'Códigos DANE Municipios'!$B$2:$B$1123, 'Códigos DANE Municipios'!$A$2:$A$1123, "No encontrado")</f>
        <v>23580</v>
      </c>
      <c r="B443" t="str">
        <f>IFERROR(VLOOKUP(D443,APOYO!K:L,2,FALSE),A443)</f>
        <v>23580</v>
      </c>
      <c r="C443" t="s">
        <v>893</v>
      </c>
      <c r="D443" t="str">
        <f>IFERROR(VLOOKUP(C443,APOYO!J:K,2,FALSE),C443)</f>
        <v>PUERTO LIBERTADOR</v>
      </c>
      <c r="E443">
        <v>2013</v>
      </c>
      <c r="F443" t="s">
        <v>2189</v>
      </c>
      <c r="G443" t="s">
        <v>2189</v>
      </c>
      <c r="H443">
        <v>19</v>
      </c>
      <c r="I443" s="13" t="s">
        <v>2189</v>
      </c>
      <c r="J443" s="13" t="s">
        <v>2189</v>
      </c>
      <c r="K443" s="13" t="s">
        <v>2189</v>
      </c>
    </row>
    <row r="444" spans="1:11" hidden="1" x14ac:dyDescent="0.25">
      <c r="A444" t="str">
        <f>_xlfn.XLOOKUP(C444, 'Códigos DANE Municipios'!$B$2:$B$1123, 'Códigos DANE Municipios'!$A$2:$A$1123, "No encontrado")</f>
        <v>50577</v>
      </c>
      <c r="B444" t="str">
        <f>IFERROR(VLOOKUP(D444,APOYO!K:L,2,FALSE),A444)</f>
        <v>50577</v>
      </c>
      <c r="C444" t="s">
        <v>1398</v>
      </c>
      <c r="D444" t="str">
        <f>IFERROR(VLOOKUP(C444,APOYO!J:K,2,FALSE),C444)</f>
        <v>PUERTO LLERAS</v>
      </c>
      <c r="E444">
        <v>2013</v>
      </c>
      <c r="F444">
        <v>9</v>
      </c>
      <c r="G444" t="s">
        <v>2189</v>
      </c>
      <c r="H444" t="s">
        <v>2189</v>
      </c>
      <c r="I444" s="13" t="s">
        <v>2189</v>
      </c>
      <c r="J444" s="13" t="s">
        <v>2189</v>
      </c>
      <c r="K444" s="13" t="s">
        <v>2189</v>
      </c>
    </row>
    <row r="445" spans="1:11" hidden="1" x14ac:dyDescent="0.25">
      <c r="A445" t="str">
        <f>_xlfn.XLOOKUP(C445, 'Códigos DANE Municipios'!$B$2:$B$1123, 'Códigos DANE Municipios'!$A$2:$A$1123, "No encontrado")</f>
        <v>50573</v>
      </c>
      <c r="B445" t="str">
        <f>IFERROR(VLOOKUP(D445,APOYO!K:L,2,FALSE),A445)</f>
        <v>50573</v>
      </c>
      <c r="C445" t="s">
        <v>1396</v>
      </c>
      <c r="D445" t="str">
        <f>IFERROR(VLOOKUP(C445,APOYO!J:K,2,FALSE),C445)</f>
        <v>PUERTO LÓPEZ</v>
      </c>
      <c r="E445">
        <v>2013</v>
      </c>
      <c r="F445">
        <v>1599</v>
      </c>
      <c r="G445" t="s">
        <v>2189</v>
      </c>
      <c r="H445">
        <v>71</v>
      </c>
      <c r="I445" s="13" t="s">
        <v>2189</v>
      </c>
      <c r="J445" s="13" t="s">
        <v>2189</v>
      </c>
      <c r="K445" s="13" t="s">
        <v>2189</v>
      </c>
    </row>
    <row r="446" spans="1:11" hidden="1" x14ac:dyDescent="0.25">
      <c r="A446" t="str">
        <f>_xlfn.XLOOKUP(C446, 'Códigos DANE Municipios'!$B$2:$B$1123, 'Códigos DANE Municipios'!$A$2:$A$1123, "No encontrado")</f>
        <v>91540</v>
      </c>
      <c r="B446" t="str">
        <f>IFERROR(VLOOKUP(D446,APOYO!K:L,2,FALSE),A446)</f>
        <v>91540</v>
      </c>
      <c r="C446" t="s">
        <v>2123</v>
      </c>
      <c r="D446" t="str">
        <f>IFERROR(VLOOKUP(C446,APOYO!J:K,2,FALSE),C446)</f>
        <v>PUERTO NARIÑO</v>
      </c>
      <c r="E446">
        <v>2013</v>
      </c>
      <c r="F446" t="s">
        <v>2189</v>
      </c>
      <c r="G446" t="s">
        <v>2189</v>
      </c>
      <c r="H446">
        <v>5</v>
      </c>
      <c r="I446" s="13" t="s">
        <v>2189</v>
      </c>
      <c r="J446" s="13" t="s">
        <v>2189</v>
      </c>
      <c r="K446" s="13" t="s">
        <v>2189</v>
      </c>
    </row>
    <row r="447" spans="1:11" hidden="1" x14ac:dyDescent="0.25">
      <c r="A447" t="str">
        <f>_xlfn.XLOOKUP(C447, 'Códigos DANE Municipios'!$B$2:$B$1123, 'Códigos DANE Municipios'!$A$2:$A$1123, "No encontrado")</f>
        <v>18592</v>
      </c>
      <c r="B447" t="str">
        <f>IFERROR(VLOOKUP(D447,APOYO!K:L,2,FALSE),A447)</f>
        <v>18592</v>
      </c>
      <c r="C447" t="s">
        <v>718</v>
      </c>
      <c r="D447" t="str">
        <f>IFERROR(VLOOKUP(C447,APOYO!J:K,2,FALSE),C447)</f>
        <v>PUERTO RICO</v>
      </c>
      <c r="E447">
        <v>2013</v>
      </c>
      <c r="F447">
        <v>39</v>
      </c>
      <c r="G447" t="s">
        <v>2189</v>
      </c>
      <c r="H447">
        <v>7</v>
      </c>
      <c r="I447" s="13" t="s">
        <v>2189</v>
      </c>
      <c r="J447" s="13" t="s">
        <v>2189</v>
      </c>
      <c r="K447" s="13" t="s">
        <v>2189</v>
      </c>
    </row>
    <row r="448" spans="1:11" hidden="1" x14ac:dyDescent="0.25">
      <c r="A448" t="str">
        <f>_xlfn.XLOOKUP(C448, 'Códigos DANE Municipios'!$B$2:$B$1123, 'Códigos DANE Municipios'!$A$2:$A$1123, "No encontrado")</f>
        <v>25572</v>
      </c>
      <c r="B448" t="str">
        <f>IFERROR(VLOOKUP(D448,APOYO!K:L,2,FALSE),A448)</f>
        <v>25572</v>
      </c>
      <c r="C448" t="s">
        <v>1049</v>
      </c>
      <c r="D448" t="str">
        <f>IFERROR(VLOOKUP(C448,APOYO!J:K,2,FALSE),C448)</f>
        <v>PUERTO SALGAR</v>
      </c>
      <c r="E448">
        <v>2013</v>
      </c>
      <c r="F448" t="s">
        <v>2189</v>
      </c>
      <c r="G448" t="s">
        <v>2189</v>
      </c>
      <c r="H448">
        <v>11</v>
      </c>
      <c r="I448" s="13" t="s">
        <v>2189</v>
      </c>
      <c r="J448" s="13" t="s">
        <v>2189</v>
      </c>
      <c r="K448" s="13" t="s">
        <v>2189</v>
      </c>
    </row>
    <row r="449" spans="1:11" hidden="1" x14ac:dyDescent="0.25">
      <c r="A449" t="str">
        <f>_xlfn.XLOOKUP(C449, 'Códigos DANE Municipios'!$B$2:$B$1123, 'Códigos DANE Municipios'!$A$2:$A$1123, "No encontrado")</f>
        <v>54553</v>
      </c>
      <c r="B449" t="str">
        <f>IFERROR(VLOOKUP(D449,APOYO!K:L,2,FALSE),A449)</f>
        <v>54553</v>
      </c>
      <c r="C449" t="s">
        <v>1583</v>
      </c>
      <c r="D449" t="str">
        <f>IFERROR(VLOOKUP(C449,APOYO!J:K,2,FALSE),C449)</f>
        <v>PUERTO SANTANDER</v>
      </c>
      <c r="E449">
        <v>2013</v>
      </c>
      <c r="F449" t="s">
        <v>2189</v>
      </c>
      <c r="G449" t="s">
        <v>2189</v>
      </c>
      <c r="H449">
        <v>4</v>
      </c>
      <c r="I449" s="13" t="s">
        <v>2189</v>
      </c>
      <c r="J449" s="13" t="s">
        <v>2189</v>
      </c>
      <c r="K449" s="13" t="s">
        <v>2189</v>
      </c>
    </row>
    <row r="450" spans="1:11" hidden="1" x14ac:dyDescent="0.25">
      <c r="A450" t="str">
        <f>_xlfn.XLOOKUP(C450, 'Códigos DANE Municipios'!$B$2:$B$1123, 'Códigos DANE Municipios'!$A$2:$A$1123, "No encontrado")</f>
        <v>19573</v>
      </c>
      <c r="B450" t="str">
        <f>IFERROR(VLOOKUP(D450,APOYO!K:L,2,FALSE),A450)</f>
        <v>19573</v>
      </c>
      <c r="C450" t="s">
        <v>779</v>
      </c>
      <c r="D450" t="str">
        <f>IFERROR(VLOOKUP(C450,APOYO!J:K,2,FALSE),C450)</f>
        <v>PUERTO TEJADA</v>
      </c>
      <c r="E450">
        <v>2013</v>
      </c>
      <c r="F450" t="s">
        <v>2189</v>
      </c>
      <c r="G450" t="s">
        <v>2189</v>
      </c>
      <c r="H450">
        <v>24</v>
      </c>
      <c r="I450" s="13" t="s">
        <v>2189</v>
      </c>
      <c r="J450" s="13" t="s">
        <v>2189</v>
      </c>
      <c r="K450" s="13" t="s">
        <v>2189</v>
      </c>
    </row>
    <row r="451" spans="1:11" hidden="1" x14ac:dyDescent="0.25">
      <c r="A451" t="str">
        <f>_xlfn.XLOOKUP(C451, 'Códigos DANE Municipios'!$B$2:$B$1123, 'Códigos DANE Municipios'!$A$2:$A$1123, "No encontrado")</f>
        <v>05591</v>
      </c>
      <c r="B451" t="str">
        <f>IFERROR(VLOOKUP(D451,APOYO!K:L,2,FALSE),A451)</f>
        <v>05591</v>
      </c>
      <c r="C451" t="s">
        <v>174</v>
      </c>
      <c r="D451" t="str">
        <f>IFERROR(VLOOKUP(C451,APOYO!J:K,2,FALSE),C451)</f>
        <v>PUERTO TRIUNFO</v>
      </c>
      <c r="E451">
        <v>2013</v>
      </c>
      <c r="F451">
        <v>191</v>
      </c>
      <c r="G451" t="s">
        <v>2189</v>
      </c>
      <c r="H451" t="s">
        <v>2189</v>
      </c>
      <c r="I451" s="13" t="s">
        <v>2189</v>
      </c>
      <c r="J451" s="13" t="s">
        <v>2189</v>
      </c>
      <c r="K451" s="13" t="s">
        <v>2189</v>
      </c>
    </row>
    <row r="452" spans="1:11" hidden="1" x14ac:dyDescent="0.25">
      <c r="A452" t="str">
        <f>_xlfn.XLOOKUP(C452, 'Códigos DANE Municipios'!$B$2:$B$1123, 'Códigos DANE Municipios'!$A$2:$A$1123, "No encontrado")</f>
        <v>68575</v>
      </c>
      <c r="B452" t="str">
        <f>IFERROR(VLOOKUP(D452,APOYO!K:L,2,FALSE),A452)</f>
        <v>68575</v>
      </c>
      <c r="C452" t="s">
        <v>1774</v>
      </c>
      <c r="D452" t="str">
        <f>IFERROR(VLOOKUP(C452,APOYO!J:K,2,FALSE),C452)</f>
        <v>PUERTO WILCHES</v>
      </c>
      <c r="E452">
        <v>2013</v>
      </c>
      <c r="F452">
        <v>19</v>
      </c>
      <c r="G452" t="s">
        <v>2189</v>
      </c>
      <c r="H452" t="s">
        <v>2189</v>
      </c>
      <c r="I452" s="13" t="s">
        <v>2189</v>
      </c>
      <c r="J452" s="13" t="s">
        <v>2189</v>
      </c>
      <c r="K452" s="13" t="s">
        <v>2189</v>
      </c>
    </row>
    <row r="453" spans="1:11" hidden="1" x14ac:dyDescent="0.25">
      <c r="A453" t="str">
        <f>_xlfn.XLOOKUP(C453, 'Códigos DANE Municipios'!$B$2:$B$1123, 'Códigos DANE Municipios'!$A$2:$A$1123, "No encontrado")</f>
        <v>52585</v>
      </c>
      <c r="B453" t="str">
        <f>IFERROR(VLOOKUP(D453,APOYO!K:L,2,FALSE),A453)</f>
        <v>52585</v>
      </c>
      <c r="C453" t="s">
        <v>1499</v>
      </c>
      <c r="D453" t="str">
        <f>IFERROR(VLOOKUP(C453,APOYO!J:K,2,FALSE),C453)</f>
        <v>PUPIALES</v>
      </c>
      <c r="E453">
        <v>2013</v>
      </c>
      <c r="F453" t="s">
        <v>2189</v>
      </c>
      <c r="G453" t="s">
        <v>2189</v>
      </c>
      <c r="H453">
        <v>1</v>
      </c>
      <c r="I453" s="13" t="s">
        <v>2189</v>
      </c>
      <c r="J453" s="13" t="s">
        <v>2189</v>
      </c>
      <c r="K453" s="13" t="s">
        <v>2189</v>
      </c>
    </row>
    <row r="454" spans="1:11" hidden="1" x14ac:dyDescent="0.25">
      <c r="A454" t="str">
        <f>_xlfn.XLOOKUP(C454, 'Códigos DANE Municipios'!$B$2:$B$1123, 'Códigos DANE Municipios'!$A$2:$A$1123, "No encontrado")</f>
        <v>19585</v>
      </c>
      <c r="B454" t="str">
        <f>IFERROR(VLOOKUP(D454,APOYO!K:L,2,FALSE),A454)</f>
        <v>19585</v>
      </c>
      <c r="C454" t="s">
        <v>781</v>
      </c>
      <c r="D454" t="str">
        <f>IFERROR(VLOOKUP(C454,APOYO!J:K,2,FALSE),C454)</f>
        <v>PURACÉ</v>
      </c>
      <c r="E454">
        <v>2013</v>
      </c>
      <c r="F454" t="s">
        <v>2189</v>
      </c>
      <c r="G454" t="s">
        <v>2189</v>
      </c>
      <c r="H454">
        <v>3</v>
      </c>
      <c r="I454" s="13" t="s">
        <v>2189</v>
      </c>
      <c r="J454" s="13" t="s">
        <v>2189</v>
      </c>
      <c r="K454" s="13" t="s">
        <v>2189</v>
      </c>
    </row>
    <row r="455" spans="1:11" hidden="1" x14ac:dyDescent="0.25">
      <c r="A455" t="str">
        <f>_xlfn.XLOOKUP(C455, 'Códigos DANE Municipios'!$B$2:$B$1123, 'Códigos DANE Municipios'!$A$2:$A$1123, "No encontrado")</f>
        <v>73585</v>
      </c>
      <c r="B455" t="str">
        <f>IFERROR(VLOOKUP(D455,APOYO!K:L,2,FALSE),A455)</f>
        <v>73585</v>
      </c>
      <c r="C455" t="s">
        <v>1933</v>
      </c>
      <c r="D455" t="str">
        <f>IFERROR(VLOOKUP(C455,APOYO!J:K,2,FALSE),C455)</f>
        <v>PURIFICACIÓN</v>
      </c>
      <c r="E455">
        <v>2013</v>
      </c>
      <c r="F455" t="s">
        <v>2189</v>
      </c>
      <c r="G455" t="s">
        <v>2189</v>
      </c>
      <c r="H455">
        <v>8</v>
      </c>
      <c r="I455" s="13" t="s">
        <v>2189</v>
      </c>
      <c r="J455" s="13" t="s">
        <v>2189</v>
      </c>
      <c r="K455" s="13" t="s">
        <v>2189</v>
      </c>
    </row>
    <row r="456" spans="1:11" hidden="1" x14ac:dyDescent="0.25">
      <c r="A456" t="str">
        <f>_xlfn.XLOOKUP(C456, 'Códigos DANE Municipios'!$B$2:$B$1123, 'Códigos DANE Municipios'!$A$2:$A$1123, "No encontrado")</f>
        <v>25594</v>
      </c>
      <c r="B456" t="str">
        <f>IFERROR(VLOOKUP(D456,APOYO!K:L,2,FALSE),A456)</f>
        <v>25594</v>
      </c>
      <c r="C456" t="s">
        <v>1055</v>
      </c>
      <c r="D456" t="str">
        <f>IFERROR(VLOOKUP(C456,APOYO!J:K,2,FALSE),C456)</f>
        <v>QUETAME</v>
      </c>
      <c r="E456">
        <v>2013</v>
      </c>
      <c r="F456" t="s">
        <v>2189</v>
      </c>
      <c r="G456" t="s">
        <v>2189</v>
      </c>
      <c r="H456">
        <v>1</v>
      </c>
      <c r="I456" s="13" t="s">
        <v>2189</v>
      </c>
      <c r="J456" s="13" t="s">
        <v>2189</v>
      </c>
      <c r="K456" s="13" t="s">
        <v>2189</v>
      </c>
    </row>
    <row r="457" spans="1:11" hidden="1" x14ac:dyDescent="0.25">
      <c r="A457" t="str">
        <f>_xlfn.XLOOKUP(C457, 'Códigos DANE Municipios'!$B$2:$B$1123, 'Códigos DANE Municipios'!$A$2:$A$1123, "No encontrado")</f>
        <v>27001</v>
      </c>
      <c r="B457" t="str">
        <f>IFERROR(VLOOKUP(D457,APOYO!K:L,2,FALSE),A457)</f>
        <v>27001</v>
      </c>
      <c r="C457" t="s">
        <v>1142</v>
      </c>
      <c r="D457" t="str">
        <f>IFERROR(VLOOKUP(C457,APOYO!J:K,2,FALSE),C457)</f>
        <v>QUIBDÓ</v>
      </c>
      <c r="E457">
        <v>2013</v>
      </c>
      <c r="F457">
        <v>175279</v>
      </c>
      <c r="G457">
        <v>1</v>
      </c>
      <c r="H457">
        <v>120</v>
      </c>
      <c r="I457" s="13" t="s">
        <v>2189</v>
      </c>
      <c r="J457" s="13" t="s">
        <v>2189</v>
      </c>
      <c r="K457" s="13" t="s">
        <v>2189</v>
      </c>
    </row>
    <row r="458" spans="1:11" hidden="1" x14ac:dyDescent="0.25">
      <c r="A458" t="str">
        <f>_xlfn.XLOOKUP(C458, 'Códigos DANE Municipios'!$B$2:$B$1123, 'Códigos DANE Municipios'!$A$2:$A$1123, "No encontrado")</f>
        <v>63594</v>
      </c>
      <c r="B458" t="str">
        <f>IFERROR(VLOOKUP(D458,APOYO!K:L,2,FALSE),A458)</f>
        <v>63594</v>
      </c>
      <c r="C458" t="s">
        <v>1624</v>
      </c>
      <c r="D458" t="str">
        <f>IFERROR(VLOOKUP(C458,APOYO!J:K,2,FALSE),C458)</f>
        <v>QUIMBAYA</v>
      </c>
      <c r="E458">
        <v>2013</v>
      </c>
      <c r="F458" t="s">
        <v>2189</v>
      </c>
      <c r="G458" t="s">
        <v>2189</v>
      </c>
      <c r="H458">
        <v>197</v>
      </c>
      <c r="I458" s="13" t="s">
        <v>2189</v>
      </c>
      <c r="J458" s="13" t="s">
        <v>2189</v>
      </c>
      <c r="K458" s="13" t="s">
        <v>2189</v>
      </c>
    </row>
    <row r="459" spans="1:11" hidden="1" x14ac:dyDescent="0.25">
      <c r="A459" t="str">
        <f>_xlfn.XLOOKUP(C459, 'Códigos DANE Municipios'!$B$2:$B$1123, 'Códigos DANE Municipios'!$A$2:$A$1123, "No encontrado")</f>
        <v>66594</v>
      </c>
      <c r="B459" t="str">
        <f>IFERROR(VLOOKUP(D459,APOYO!K:L,2,FALSE),A459)</f>
        <v>66594</v>
      </c>
      <c r="C459" t="s">
        <v>1649</v>
      </c>
      <c r="D459" t="str">
        <f>IFERROR(VLOOKUP(C459,APOYO!J:K,2,FALSE),C459)</f>
        <v>QUINCHÍA</v>
      </c>
      <c r="E459">
        <v>2013</v>
      </c>
      <c r="F459" t="s">
        <v>2189</v>
      </c>
      <c r="G459" t="s">
        <v>2189</v>
      </c>
      <c r="H459">
        <v>3</v>
      </c>
      <c r="I459" s="13" t="s">
        <v>2189</v>
      </c>
      <c r="J459" s="13" t="s">
        <v>2189</v>
      </c>
      <c r="K459" s="13" t="s">
        <v>2189</v>
      </c>
    </row>
    <row r="460" spans="1:11" hidden="1" x14ac:dyDescent="0.25">
      <c r="A460" t="str">
        <f>_xlfn.XLOOKUP(C460, 'Códigos DANE Municipios'!$B$2:$B$1123, 'Códigos DANE Municipios'!$A$2:$A$1123, "No encontrado")</f>
        <v>15580</v>
      </c>
      <c r="B460" t="str">
        <f>IFERROR(VLOOKUP(D460,APOYO!K:L,2,FALSE),A460)</f>
        <v>15580</v>
      </c>
      <c r="C460" t="s">
        <v>546</v>
      </c>
      <c r="D460" t="str">
        <f>IFERROR(VLOOKUP(C460,APOYO!J:K,2,FALSE),C460)</f>
        <v>QUÍPAMA</v>
      </c>
      <c r="E460">
        <v>2013</v>
      </c>
      <c r="F460">
        <v>54</v>
      </c>
      <c r="G460" t="s">
        <v>2189</v>
      </c>
      <c r="H460" t="s">
        <v>2189</v>
      </c>
      <c r="I460" s="13" t="s">
        <v>2189</v>
      </c>
      <c r="J460" s="13" t="s">
        <v>2189</v>
      </c>
      <c r="K460" s="13" t="s">
        <v>2189</v>
      </c>
    </row>
    <row r="461" spans="1:11" hidden="1" x14ac:dyDescent="0.25">
      <c r="A461" t="str">
        <f>_xlfn.XLOOKUP(C461, 'Códigos DANE Municipios'!$B$2:$B$1123, 'Códigos DANE Municipios'!$A$2:$A$1123, "No encontrado")</f>
        <v>25596</v>
      </c>
      <c r="B461" t="str">
        <f>IFERROR(VLOOKUP(D461,APOYO!K:L,2,FALSE),A461)</f>
        <v>25596</v>
      </c>
      <c r="C461" t="s">
        <v>1057</v>
      </c>
      <c r="D461" t="str">
        <f>IFERROR(VLOOKUP(C461,APOYO!J:K,2,FALSE),C461)</f>
        <v>QUIPILE</v>
      </c>
      <c r="E461">
        <v>2013</v>
      </c>
      <c r="F461" t="s">
        <v>2189</v>
      </c>
      <c r="G461" t="s">
        <v>2189</v>
      </c>
      <c r="H461">
        <v>1</v>
      </c>
      <c r="I461" s="13" t="s">
        <v>2189</v>
      </c>
      <c r="J461" s="13" t="s">
        <v>2189</v>
      </c>
      <c r="K461" s="13" t="s">
        <v>2189</v>
      </c>
    </row>
    <row r="462" spans="1:11" hidden="1" x14ac:dyDescent="0.25">
      <c r="A462" t="str">
        <f>_xlfn.XLOOKUP(C462, 'Códigos DANE Municipios'!$B$2:$B$1123, 'Códigos DANE Municipios'!$A$2:$A$1123, "No encontrado")</f>
        <v>15599</v>
      </c>
      <c r="B462" t="str">
        <f>IFERROR(VLOOKUP(D462,APOYO!K:L,2,FALSE),A462)</f>
        <v>15599</v>
      </c>
      <c r="C462" t="s">
        <v>548</v>
      </c>
      <c r="D462" t="str">
        <f>IFERROR(VLOOKUP(C462,APOYO!J:K,2,FALSE),C462)</f>
        <v>RAMIRIQUÍ</v>
      </c>
      <c r="E462">
        <v>2013</v>
      </c>
      <c r="F462" t="s">
        <v>2189</v>
      </c>
      <c r="G462" t="s">
        <v>2189</v>
      </c>
      <c r="H462">
        <v>2</v>
      </c>
      <c r="I462" s="13" t="s">
        <v>2189</v>
      </c>
      <c r="J462" s="13" t="s">
        <v>2189</v>
      </c>
      <c r="K462" s="13" t="s">
        <v>2189</v>
      </c>
    </row>
    <row r="463" spans="1:11" hidden="1" x14ac:dyDescent="0.25">
      <c r="A463" t="str">
        <f>_xlfn.XLOOKUP(C463, 'Códigos DANE Municipios'!$B$2:$B$1123, 'Códigos DANE Municipios'!$A$2:$A$1123, "No encontrado")</f>
        <v>15600</v>
      </c>
      <c r="B463" t="str">
        <f>IFERROR(VLOOKUP(D463,APOYO!K:L,2,FALSE),A463)</f>
        <v>15600</v>
      </c>
      <c r="C463" t="s">
        <v>550</v>
      </c>
      <c r="D463" t="str">
        <f>IFERROR(VLOOKUP(C463,APOYO!J:K,2,FALSE),C463)</f>
        <v>RÁQUIRA</v>
      </c>
      <c r="E463">
        <v>2013</v>
      </c>
      <c r="F463" t="s">
        <v>2189</v>
      </c>
      <c r="G463" t="s">
        <v>2189</v>
      </c>
      <c r="H463">
        <v>22</v>
      </c>
      <c r="I463" s="13" t="s">
        <v>2189</v>
      </c>
      <c r="J463" s="13" t="s">
        <v>2189</v>
      </c>
      <c r="K463" s="13" t="s">
        <v>2189</v>
      </c>
    </row>
    <row r="464" spans="1:11" hidden="1" x14ac:dyDescent="0.25">
      <c r="A464" t="str">
        <f>_xlfn.XLOOKUP(C464, 'Códigos DANE Municipios'!$B$2:$B$1123, 'Códigos DANE Municipios'!$A$2:$A$1123, "No encontrado")</f>
        <v>05604</v>
      </c>
      <c r="B464" t="str">
        <f>IFERROR(VLOOKUP(D464,APOYO!K:L,2,FALSE),A464)</f>
        <v>05604</v>
      </c>
      <c r="C464" t="s">
        <v>176</v>
      </c>
      <c r="D464" t="str">
        <f>IFERROR(VLOOKUP(C464,APOYO!J:K,2,FALSE),C464)</f>
        <v>REMEDIOS</v>
      </c>
      <c r="E464">
        <v>2013</v>
      </c>
      <c r="F464">
        <v>3539</v>
      </c>
      <c r="G464" t="s">
        <v>2189</v>
      </c>
      <c r="H464">
        <v>1</v>
      </c>
      <c r="I464" s="13" t="s">
        <v>2189</v>
      </c>
      <c r="J464" s="13" t="s">
        <v>2189</v>
      </c>
      <c r="K464" s="13" t="s">
        <v>2189</v>
      </c>
    </row>
    <row r="465" spans="1:11" hidden="1" x14ac:dyDescent="0.25">
      <c r="A465" t="str">
        <f>_xlfn.XLOOKUP(C465, 'Códigos DANE Municipios'!$B$2:$B$1123, 'Códigos DANE Municipios'!$A$2:$A$1123, "No encontrado")</f>
        <v>50606</v>
      </c>
      <c r="B465" t="str">
        <f>IFERROR(VLOOKUP(D465,APOYO!K:L,2,FALSE),A465)</f>
        <v>50606</v>
      </c>
      <c r="C465" t="s">
        <v>1401</v>
      </c>
      <c r="D465" t="str">
        <f>IFERROR(VLOOKUP(C465,APOYO!J:K,2,FALSE),C465)</f>
        <v>RESTREPO</v>
      </c>
      <c r="E465">
        <v>2013</v>
      </c>
      <c r="F465" t="s">
        <v>2189</v>
      </c>
      <c r="G465" t="s">
        <v>2189</v>
      </c>
      <c r="H465">
        <v>40</v>
      </c>
      <c r="I465" s="13" t="s">
        <v>2189</v>
      </c>
      <c r="J465" s="13" t="s">
        <v>2189</v>
      </c>
      <c r="K465" s="13" t="s">
        <v>2189</v>
      </c>
    </row>
    <row r="466" spans="1:11" hidden="1" x14ac:dyDescent="0.25">
      <c r="A466" t="str">
        <f>_xlfn.XLOOKUP(C466, 'Códigos DANE Municipios'!$B$2:$B$1123, 'Códigos DANE Municipios'!$A$2:$A$1123, "No encontrado")</f>
        <v>05607</v>
      </c>
      <c r="B466" t="str">
        <f>IFERROR(VLOOKUP(D466,APOYO!K:L,2,FALSE),A466)</f>
        <v>05607</v>
      </c>
      <c r="C466" t="s">
        <v>178</v>
      </c>
      <c r="D466" t="str">
        <f>IFERROR(VLOOKUP(C466,APOYO!J:K,2,FALSE),C466)</f>
        <v>RETIRO</v>
      </c>
      <c r="E466">
        <v>2013</v>
      </c>
      <c r="F466" t="s">
        <v>2189</v>
      </c>
      <c r="G466" t="s">
        <v>2189</v>
      </c>
      <c r="H466">
        <v>41</v>
      </c>
      <c r="I466" s="13" t="s">
        <v>2189</v>
      </c>
      <c r="J466" s="13" t="s">
        <v>2189</v>
      </c>
      <c r="K466" s="13" t="s">
        <v>2189</v>
      </c>
    </row>
    <row r="467" spans="1:11" hidden="1" x14ac:dyDescent="0.25">
      <c r="A467" t="str">
        <f>_xlfn.XLOOKUP(C467, 'Códigos DANE Municipios'!$B$2:$B$1123, 'Códigos DANE Municipios'!$A$2:$A$1123, "No encontrado")</f>
        <v>25612</v>
      </c>
      <c r="B467" t="str">
        <f>IFERROR(VLOOKUP(D467,APOYO!K:L,2,FALSE),A467)</f>
        <v>25612</v>
      </c>
      <c r="C467" t="s">
        <v>1061</v>
      </c>
      <c r="D467" t="str">
        <f>IFERROR(VLOOKUP(C467,APOYO!J:K,2,FALSE),C467)</f>
        <v>RICAURTE</v>
      </c>
      <c r="E467">
        <v>2013</v>
      </c>
      <c r="F467" t="s">
        <v>2189</v>
      </c>
      <c r="G467" t="s">
        <v>2189</v>
      </c>
      <c r="H467">
        <v>10</v>
      </c>
      <c r="I467" s="13" t="s">
        <v>2189</v>
      </c>
      <c r="J467" s="13" t="s">
        <v>2189</v>
      </c>
      <c r="K467" s="13" t="s">
        <v>2189</v>
      </c>
    </row>
    <row r="468" spans="1:11" hidden="1" x14ac:dyDescent="0.25">
      <c r="A468" t="str">
        <f>_xlfn.XLOOKUP(C468, 'Códigos DANE Municipios'!$B$2:$B$1123, 'Códigos DANE Municipios'!$A$2:$A$1123, "No encontrado")</f>
        <v>20614</v>
      </c>
      <c r="B468" t="str">
        <f>IFERROR(VLOOKUP(D468,APOYO!K:L,2,FALSE),A468)</f>
        <v>20614</v>
      </c>
      <c r="C468" t="s">
        <v>846</v>
      </c>
      <c r="D468" t="str">
        <f>IFERROR(VLOOKUP(C468,APOYO!J:K,2,FALSE),C468)</f>
        <v>RÍO DE ORO</v>
      </c>
      <c r="E468">
        <v>2013</v>
      </c>
      <c r="F468">
        <v>5</v>
      </c>
      <c r="G468" t="s">
        <v>2189</v>
      </c>
      <c r="H468">
        <v>1</v>
      </c>
      <c r="I468" s="13" t="s">
        <v>2189</v>
      </c>
      <c r="J468" s="13" t="s">
        <v>2189</v>
      </c>
      <c r="K468" s="13" t="s">
        <v>2189</v>
      </c>
    </row>
    <row r="469" spans="1:11" hidden="1" x14ac:dyDescent="0.25">
      <c r="A469" t="str">
        <f>_xlfn.XLOOKUP(C469, 'Códigos DANE Municipios'!$B$2:$B$1123, 'Códigos DANE Municipios'!$A$2:$A$1123, "No encontrado")</f>
        <v>76616</v>
      </c>
      <c r="B469" t="str">
        <f>IFERROR(VLOOKUP(D469,APOYO!K:L,2,FALSE),A469)</f>
        <v>76616</v>
      </c>
      <c r="C469" t="s">
        <v>2009</v>
      </c>
      <c r="D469" t="str">
        <f>IFERROR(VLOOKUP(C469,APOYO!J:K,2,FALSE),C469)</f>
        <v>RIOFRÍO</v>
      </c>
      <c r="E469">
        <v>2013</v>
      </c>
      <c r="F469" t="s">
        <v>2189</v>
      </c>
      <c r="G469" t="s">
        <v>2189</v>
      </c>
      <c r="H469">
        <v>6</v>
      </c>
      <c r="I469" s="13" t="s">
        <v>2189</v>
      </c>
      <c r="J469" s="13" t="s">
        <v>2189</v>
      </c>
      <c r="K469" s="13" t="s">
        <v>2189</v>
      </c>
    </row>
    <row r="470" spans="1:11" hidden="1" x14ac:dyDescent="0.25">
      <c r="A470" t="str">
        <f>_xlfn.XLOOKUP(C470, 'Códigos DANE Municipios'!$B$2:$B$1123, 'Códigos DANE Municipios'!$A$2:$A$1123, "No encontrado")</f>
        <v>44001</v>
      </c>
      <c r="B470" t="str">
        <f>IFERROR(VLOOKUP(D470,APOYO!K:L,2,FALSE),A470)</f>
        <v>44001</v>
      </c>
      <c r="C470" t="s">
        <v>1272</v>
      </c>
      <c r="D470" t="str">
        <f>IFERROR(VLOOKUP(C470,APOYO!J:K,2,FALSE),C470)</f>
        <v>RIOHACHA</v>
      </c>
      <c r="E470">
        <v>2013</v>
      </c>
      <c r="F470">
        <v>52239</v>
      </c>
      <c r="G470">
        <v>2671</v>
      </c>
      <c r="H470">
        <v>770</v>
      </c>
      <c r="I470">
        <v>13779</v>
      </c>
      <c r="J470" s="13" t="s">
        <v>2189</v>
      </c>
      <c r="K470" s="13" t="s">
        <v>2189</v>
      </c>
    </row>
    <row r="471" spans="1:11" hidden="1" x14ac:dyDescent="0.25">
      <c r="A471" t="str">
        <f>_xlfn.XLOOKUP(C471, 'Códigos DANE Municipios'!$B$2:$B$1123, 'Códigos DANE Municipios'!$A$2:$A$1123, "No encontrado")</f>
        <v>05615</v>
      </c>
      <c r="B471" t="str">
        <f>IFERROR(VLOOKUP(D471,APOYO!K:L,2,FALSE),A471)</f>
        <v>05615</v>
      </c>
      <c r="C471" t="s">
        <v>180</v>
      </c>
      <c r="D471" t="str">
        <f>IFERROR(VLOOKUP(C471,APOYO!J:K,2,FALSE),C471)</f>
        <v>RIONEGRO</v>
      </c>
      <c r="E471">
        <v>2013</v>
      </c>
      <c r="F471">
        <v>2546742</v>
      </c>
      <c r="G471">
        <v>527977</v>
      </c>
      <c r="H471">
        <v>486</v>
      </c>
      <c r="I471" s="13" t="s">
        <v>2189</v>
      </c>
      <c r="J471" s="13" t="s">
        <v>2189</v>
      </c>
      <c r="K471" s="13" t="s">
        <v>2189</v>
      </c>
    </row>
    <row r="472" spans="1:11" hidden="1" x14ac:dyDescent="0.25">
      <c r="A472" t="str">
        <f>_xlfn.XLOOKUP(C472, 'Códigos DANE Municipios'!$B$2:$B$1123, 'Códigos DANE Municipios'!$A$2:$A$1123, "No encontrado")</f>
        <v>17614</v>
      </c>
      <c r="B472" t="str">
        <f>IFERROR(VLOOKUP(D472,APOYO!K:L,2,FALSE),A472)</f>
        <v>17614</v>
      </c>
      <c r="C472" t="s">
        <v>680</v>
      </c>
      <c r="D472" t="str">
        <f>IFERROR(VLOOKUP(C472,APOYO!J:K,2,FALSE),C472)</f>
        <v>RIOSUCIO</v>
      </c>
      <c r="E472">
        <v>2013</v>
      </c>
      <c r="F472" t="s">
        <v>2189</v>
      </c>
      <c r="G472" t="s">
        <v>2189</v>
      </c>
      <c r="H472">
        <v>38</v>
      </c>
      <c r="I472" s="13" t="s">
        <v>2189</v>
      </c>
      <c r="J472" s="13" t="s">
        <v>2189</v>
      </c>
      <c r="K472" s="13" t="s">
        <v>2189</v>
      </c>
    </row>
    <row r="473" spans="1:11" hidden="1" x14ac:dyDescent="0.25">
      <c r="A473" t="str">
        <f>_xlfn.XLOOKUP(C473, 'Códigos DANE Municipios'!$B$2:$B$1123, 'Códigos DANE Municipios'!$A$2:$A$1123, "No encontrado")</f>
        <v>17616</v>
      </c>
      <c r="B473" t="str">
        <f>IFERROR(VLOOKUP(D473,APOYO!K:L,2,FALSE),A473)</f>
        <v>17616</v>
      </c>
      <c r="C473" t="s">
        <v>682</v>
      </c>
      <c r="D473" t="str">
        <f>IFERROR(VLOOKUP(C473,APOYO!J:K,2,FALSE),C473)</f>
        <v>RISARALDA</v>
      </c>
      <c r="E473">
        <v>2013</v>
      </c>
      <c r="F473" t="s">
        <v>2189</v>
      </c>
      <c r="G473" t="s">
        <v>2189</v>
      </c>
      <c r="H473">
        <v>28</v>
      </c>
      <c r="I473" s="13" t="s">
        <v>2189</v>
      </c>
      <c r="J473" s="13" t="s">
        <v>2189</v>
      </c>
      <c r="K473" s="13" t="s">
        <v>2189</v>
      </c>
    </row>
    <row r="474" spans="1:11" hidden="1" x14ac:dyDescent="0.25">
      <c r="A474" t="str">
        <f>_xlfn.XLOOKUP(C474, 'Códigos DANE Municipios'!$B$2:$B$1123, 'Códigos DANE Municipios'!$A$2:$A$1123, "No encontrado")</f>
        <v>41615</v>
      </c>
      <c r="B474" t="str">
        <f>IFERROR(VLOOKUP(D474,APOYO!K:L,2,FALSE),A474)</f>
        <v>41615</v>
      </c>
      <c r="C474" t="s">
        <v>1249</v>
      </c>
      <c r="D474" t="str">
        <f>IFERROR(VLOOKUP(C474,APOYO!J:K,2,FALSE),C474)</f>
        <v>RIVERA</v>
      </c>
      <c r="E474">
        <v>2013</v>
      </c>
      <c r="F474" t="s">
        <v>2189</v>
      </c>
      <c r="G474" t="s">
        <v>2189</v>
      </c>
      <c r="H474">
        <v>17</v>
      </c>
      <c r="I474" s="13" t="s">
        <v>2189</v>
      </c>
      <c r="J474" s="13" t="s">
        <v>2189</v>
      </c>
      <c r="K474" s="13" t="s">
        <v>2189</v>
      </c>
    </row>
    <row r="475" spans="1:11" hidden="1" x14ac:dyDescent="0.25">
      <c r="A475" t="str">
        <f>_xlfn.XLOOKUP(C475, 'Códigos DANE Municipios'!$B$2:$B$1123, 'Códigos DANE Municipios'!$A$2:$A$1123, "No encontrado")</f>
        <v>20621</v>
      </c>
      <c r="B475" t="str">
        <f>IFERROR(VLOOKUP(D475,APOYO!K:L,2,FALSE),A475)</f>
        <v>20621</v>
      </c>
      <c r="C475" t="s">
        <v>848</v>
      </c>
      <c r="D475" t="str">
        <f>IFERROR(VLOOKUP(C475,APOYO!J:K,2,FALSE),C475)</f>
        <v>LA PAZ</v>
      </c>
      <c r="E475">
        <v>2013</v>
      </c>
      <c r="F475" t="s">
        <v>2189</v>
      </c>
      <c r="G475" t="s">
        <v>2189</v>
      </c>
      <c r="H475">
        <v>13</v>
      </c>
      <c r="I475" s="13" t="s">
        <v>2189</v>
      </c>
      <c r="J475" s="13" t="s">
        <v>2189</v>
      </c>
      <c r="K475" s="13" t="s">
        <v>2189</v>
      </c>
    </row>
    <row r="476" spans="1:11" hidden="1" x14ac:dyDescent="0.25">
      <c r="A476" t="str">
        <f>_xlfn.XLOOKUP(C476, 'Códigos DANE Municipios'!$B$2:$B$1123, 'Códigos DANE Municipios'!$A$2:$A$1123, "No encontrado")</f>
        <v>76622</v>
      </c>
      <c r="B476" t="str">
        <f>IFERROR(VLOOKUP(D476,APOYO!K:L,2,FALSE),A476)</f>
        <v>76622</v>
      </c>
      <c r="C476" t="s">
        <v>2011</v>
      </c>
      <c r="D476" t="str">
        <f>IFERROR(VLOOKUP(C476,APOYO!J:K,2,FALSE),C476)</f>
        <v>ROLDANILLO</v>
      </c>
      <c r="E476">
        <v>2013</v>
      </c>
      <c r="F476">
        <v>47</v>
      </c>
      <c r="G476" t="s">
        <v>2189</v>
      </c>
      <c r="H476">
        <v>254</v>
      </c>
      <c r="I476" s="13" t="s">
        <v>2189</v>
      </c>
      <c r="J476" s="13" t="s">
        <v>2189</v>
      </c>
      <c r="K476" s="13" t="s">
        <v>2189</v>
      </c>
    </row>
    <row r="477" spans="1:11" hidden="1" x14ac:dyDescent="0.25">
      <c r="A477" t="str">
        <f>_xlfn.XLOOKUP(C477, 'Códigos DANE Municipios'!$B$2:$B$1123, 'Códigos DANE Municipios'!$A$2:$A$1123, "No encontrado")</f>
        <v>73624</v>
      </c>
      <c r="B477" t="str">
        <f>IFERROR(VLOOKUP(D477,APOYO!K:L,2,FALSE),A477)</f>
        <v>73624</v>
      </c>
      <c r="C477" t="s">
        <v>1939</v>
      </c>
      <c r="D477" t="str">
        <f>IFERROR(VLOOKUP(C477,APOYO!J:K,2,FALSE),C477)</f>
        <v>ROVIRA</v>
      </c>
      <c r="E477">
        <v>2013</v>
      </c>
      <c r="F477" t="s">
        <v>2189</v>
      </c>
      <c r="G477" t="s">
        <v>2189</v>
      </c>
      <c r="H477">
        <v>1</v>
      </c>
      <c r="I477" s="13" t="s">
        <v>2189</v>
      </c>
      <c r="J477" s="13" t="s">
        <v>2189</v>
      </c>
      <c r="K477" s="13" t="s">
        <v>2189</v>
      </c>
    </row>
    <row r="478" spans="1:11" hidden="1" x14ac:dyDescent="0.25">
      <c r="A478" t="str">
        <f>_xlfn.XLOOKUP(C478, 'Códigos DANE Municipios'!$B$2:$B$1123, 'Códigos DANE Municipios'!$A$2:$A$1123, "No encontrado")</f>
        <v>68655</v>
      </c>
      <c r="B478" t="str">
        <f>IFERROR(VLOOKUP(D478,APOYO!K:L,2,FALSE),A478)</f>
        <v>68655</v>
      </c>
      <c r="C478" t="s">
        <v>1777</v>
      </c>
      <c r="D478" t="str">
        <f>IFERROR(VLOOKUP(C478,APOYO!J:K,2,FALSE),C478)</f>
        <v>SABANA DE TORRES</v>
      </c>
      <c r="E478">
        <v>2013</v>
      </c>
      <c r="F478" t="s">
        <v>2189</v>
      </c>
      <c r="G478" t="s">
        <v>2189</v>
      </c>
      <c r="H478">
        <v>3</v>
      </c>
      <c r="I478" s="13" t="s">
        <v>2189</v>
      </c>
      <c r="J478" s="13" t="s">
        <v>2189</v>
      </c>
      <c r="K478" s="13" t="s">
        <v>2189</v>
      </c>
    </row>
    <row r="479" spans="1:11" hidden="1" x14ac:dyDescent="0.25">
      <c r="A479" t="str">
        <f>_xlfn.XLOOKUP(C479, 'Códigos DANE Municipios'!$B$2:$B$1123, 'Códigos DANE Municipios'!$A$2:$A$1123, "No encontrado")</f>
        <v>08634</v>
      </c>
      <c r="B479" t="str">
        <f>IFERROR(VLOOKUP(D479,APOYO!K:L,2,FALSE),A479)</f>
        <v>08634</v>
      </c>
      <c r="C479" t="s">
        <v>292</v>
      </c>
      <c r="D479" t="str">
        <f>IFERROR(VLOOKUP(C479,APOYO!J:K,2,FALSE),C479)</f>
        <v>SABANAGRANDE</v>
      </c>
      <c r="E479">
        <v>2013</v>
      </c>
      <c r="F479" t="s">
        <v>2189</v>
      </c>
      <c r="G479" t="s">
        <v>2189</v>
      </c>
      <c r="H479">
        <v>11</v>
      </c>
      <c r="I479" s="13" t="s">
        <v>2189</v>
      </c>
      <c r="J479" s="13" t="s">
        <v>2189</v>
      </c>
      <c r="K479" s="13" t="s">
        <v>2189</v>
      </c>
    </row>
    <row r="480" spans="1:11" hidden="1" x14ac:dyDescent="0.25">
      <c r="A480" t="str">
        <f>_xlfn.XLOOKUP(C480, 'Códigos DANE Municipios'!$B$2:$B$1123, 'Códigos DANE Municipios'!$A$2:$A$1123, "No encontrado")</f>
        <v>05628</v>
      </c>
      <c r="B480" t="str">
        <f>IFERROR(VLOOKUP(D480,APOYO!K:L,2,FALSE),A480)</f>
        <v>05628</v>
      </c>
      <c r="C480" t="s">
        <v>182</v>
      </c>
      <c r="D480" t="str">
        <f>IFERROR(VLOOKUP(C480,APOYO!J:K,2,FALSE),C480)</f>
        <v>SABANALARGA</v>
      </c>
      <c r="E480">
        <v>2013</v>
      </c>
      <c r="F480">
        <v>12</v>
      </c>
      <c r="G480" t="s">
        <v>2189</v>
      </c>
      <c r="H480">
        <v>60</v>
      </c>
      <c r="I480" s="13" t="s">
        <v>2189</v>
      </c>
      <c r="J480" s="13" t="s">
        <v>2189</v>
      </c>
      <c r="K480" s="13" t="s">
        <v>2189</v>
      </c>
    </row>
    <row r="481" spans="1:11" hidden="1" x14ac:dyDescent="0.25">
      <c r="A481" t="str">
        <f>_xlfn.XLOOKUP(C481, 'Códigos DANE Municipios'!$B$2:$B$1123, 'Códigos DANE Municipios'!$A$2:$A$1123, "No encontrado")</f>
        <v>05631</v>
      </c>
      <c r="B481" t="str">
        <f>IFERROR(VLOOKUP(D481,APOYO!K:L,2,FALSE),A481)</f>
        <v>05631</v>
      </c>
      <c r="C481" t="s">
        <v>184</v>
      </c>
      <c r="D481" t="str">
        <f>IFERROR(VLOOKUP(C481,APOYO!J:K,2,FALSE),C481)</f>
        <v>SABANETA</v>
      </c>
      <c r="E481">
        <v>2013</v>
      </c>
      <c r="F481" t="s">
        <v>2189</v>
      </c>
      <c r="G481" t="s">
        <v>2189</v>
      </c>
      <c r="H481">
        <v>155</v>
      </c>
      <c r="I481" s="13" t="s">
        <v>2189</v>
      </c>
      <c r="J481" s="13" t="s">
        <v>2189</v>
      </c>
      <c r="K481" s="13" t="s">
        <v>2189</v>
      </c>
    </row>
    <row r="482" spans="1:11" hidden="1" x14ac:dyDescent="0.25">
      <c r="A482" t="str">
        <f>_xlfn.XLOOKUP(C482, 'Códigos DANE Municipios'!$B$2:$B$1123, 'Códigos DANE Municipios'!$A$2:$A$1123, "No encontrado")</f>
        <v>15638</v>
      </c>
      <c r="B482" t="str">
        <f>IFERROR(VLOOKUP(D482,APOYO!K:L,2,FALSE),A482)</f>
        <v>15638</v>
      </c>
      <c r="C482" t="s">
        <v>556</v>
      </c>
      <c r="D482" t="str">
        <f>IFERROR(VLOOKUP(C482,APOYO!J:K,2,FALSE),C482)</f>
        <v>SÁCHICA</v>
      </c>
      <c r="E482">
        <v>2013</v>
      </c>
      <c r="F482" t="s">
        <v>2189</v>
      </c>
      <c r="G482" t="s">
        <v>2189</v>
      </c>
      <c r="H482">
        <v>4</v>
      </c>
      <c r="I482" s="13" t="s">
        <v>2189</v>
      </c>
      <c r="J482" s="13" t="s">
        <v>2189</v>
      </c>
      <c r="K482" s="13" t="s">
        <v>2189</v>
      </c>
    </row>
    <row r="483" spans="1:11" hidden="1" x14ac:dyDescent="0.25">
      <c r="A483" t="str">
        <f>_xlfn.XLOOKUP(C483, 'Códigos DANE Municipios'!$B$2:$B$1123, 'Códigos DANE Municipios'!$A$2:$A$1123, "No encontrado")</f>
        <v>23660</v>
      </c>
      <c r="B483" t="str">
        <f>IFERROR(VLOOKUP(D483,APOYO!K:L,2,FALSE),A483)</f>
        <v>23660</v>
      </c>
      <c r="C483" t="s">
        <v>897</v>
      </c>
      <c r="D483" t="str">
        <f>IFERROR(VLOOKUP(C483,APOYO!J:K,2,FALSE),C483)</f>
        <v>SAHAGÚN</v>
      </c>
      <c r="E483">
        <v>2013</v>
      </c>
      <c r="F483" t="s">
        <v>2189</v>
      </c>
      <c r="G483" t="s">
        <v>2189</v>
      </c>
      <c r="H483">
        <v>27</v>
      </c>
      <c r="I483" s="13" t="s">
        <v>2189</v>
      </c>
      <c r="J483" s="13" t="s">
        <v>2189</v>
      </c>
      <c r="K483" s="13" t="s">
        <v>2189</v>
      </c>
    </row>
    <row r="484" spans="1:11" hidden="1" x14ac:dyDescent="0.25">
      <c r="A484" t="str">
        <f>_xlfn.XLOOKUP(C484, 'Códigos DANE Municipios'!$B$2:$B$1123, 'Códigos DANE Municipios'!$A$2:$A$1123, "No encontrado")</f>
        <v>41660</v>
      </c>
      <c r="B484" t="str">
        <f>IFERROR(VLOOKUP(D484,APOYO!K:L,2,FALSE),A484)</f>
        <v>41660</v>
      </c>
      <c r="C484" t="s">
        <v>1251</v>
      </c>
      <c r="D484" t="str">
        <f>IFERROR(VLOOKUP(C484,APOYO!J:K,2,FALSE),C484)</f>
        <v>SALADOBLANCO</v>
      </c>
      <c r="E484">
        <v>2013</v>
      </c>
      <c r="F484" t="s">
        <v>2189</v>
      </c>
      <c r="G484" t="s">
        <v>2189</v>
      </c>
      <c r="H484">
        <v>1</v>
      </c>
      <c r="I484" s="13" t="s">
        <v>2189</v>
      </c>
      <c r="J484" s="13" t="s">
        <v>2189</v>
      </c>
      <c r="K484" s="13" t="s">
        <v>2189</v>
      </c>
    </row>
    <row r="485" spans="1:11" hidden="1" x14ac:dyDescent="0.25">
      <c r="A485" t="str">
        <f>_xlfn.XLOOKUP(C485, 'Códigos DANE Municipios'!$B$2:$B$1123, 'Códigos DANE Municipios'!$A$2:$A$1123, "No encontrado")</f>
        <v>17653</v>
      </c>
      <c r="B485" t="str">
        <f>IFERROR(VLOOKUP(D485,APOYO!K:L,2,FALSE),A485)</f>
        <v>17653</v>
      </c>
      <c r="C485" t="s">
        <v>684</v>
      </c>
      <c r="D485" t="str">
        <f>IFERROR(VLOOKUP(C485,APOYO!J:K,2,FALSE),C485)</f>
        <v>SALAMINA</v>
      </c>
      <c r="E485">
        <v>2013</v>
      </c>
      <c r="F485" t="s">
        <v>2189</v>
      </c>
      <c r="G485" t="s">
        <v>2189</v>
      </c>
      <c r="H485">
        <v>6</v>
      </c>
      <c r="I485" s="13" t="s">
        <v>2189</v>
      </c>
      <c r="J485" s="13" t="s">
        <v>2189</v>
      </c>
      <c r="K485" s="13" t="s">
        <v>2189</v>
      </c>
    </row>
    <row r="486" spans="1:11" hidden="1" x14ac:dyDescent="0.25">
      <c r="A486" t="str">
        <f>_xlfn.XLOOKUP(C486, 'Códigos DANE Municipios'!$B$2:$B$1123, 'Códigos DANE Municipios'!$A$2:$A$1123, "No encontrado")</f>
        <v>54660</v>
      </c>
      <c r="B486" t="str">
        <f>IFERROR(VLOOKUP(D486,APOYO!K:L,2,FALSE),A486)</f>
        <v>54660</v>
      </c>
      <c r="C486" t="s">
        <v>1587</v>
      </c>
      <c r="D486" t="str">
        <f>IFERROR(VLOOKUP(C486,APOYO!J:K,2,FALSE),C486)</f>
        <v>SALAZAR</v>
      </c>
      <c r="E486">
        <v>2013</v>
      </c>
      <c r="F486" t="s">
        <v>2189</v>
      </c>
      <c r="G486" t="s">
        <v>2189</v>
      </c>
      <c r="H486">
        <v>3</v>
      </c>
      <c r="I486" s="13" t="s">
        <v>2189</v>
      </c>
      <c r="J486" s="13" t="s">
        <v>2189</v>
      </c>
      <c r="K486" s="13" t="s">
        <v>2189</v>
      </c>
    </row>
    <row r="487" spans="1:11" hidden="1" x14ac:dyDescent="0.25">
      <c r="A487" t="str">
        <f>_xlfn.XLOOKUP(C487, 'Códigos DANE Municipios'!$B$2:$B$1123, 'Códigos DANE Municipios'!$A$2:$A$1123, "No encontrado")</f>
        <v>63690</v>
      </c>
      <c r="B487" t="str">
        <f>IFERROR(VLOOKUP(D487,APOYO!K:L,2,FALSE),A487)</f>
        <v>63690</v>
      </c>
      <c r="C487" t="s">
        <v>1626</v>
      </c>
      <c r="D487" t="str">
        <f>IFERROR(VLOOKUP(C487,APOYO!J:K,2,FALSE),C487)</f>
        <v>SALENTO</v>
      </c>
      <c r="E487">
        <v>2013</v>
      </c>
      <c r="F487" t="s">
        <v>2189</v>
      </c>
      <c r="G487" t="s">
        <v>2189</v>
      </c>
      <c r="H487">
        <v>143</v>
      </c>
      <c r="I487" s="13" t="s">
        <v>2189</v>
      </c>
      <c r="J487" s="13" t="s">
        <v>2189</v>
      </c>
      <c r="K487" s="13" t="s">
        <v>2189</v>
      </c>
    </row>
    <row r="488" spans="1:11" hidden="1" x14ac:dyDescent="0.25">
      <c r="A488" t="str">
        <f>_xlfn.XLOOKUP(C488, 'Códigos DANE Municipios'!$B$2:$B$1123, 'Códigos DANE Municipios'!$A$2:$A$1123, "No encontrado")</f>
        <v>05642</v>
      </c>
      <c r="B488" t="str">
        <f>IFERROR(VLOOKUP(D488,APOYO!K:L,2,FALSE),A488)</f>
        <v>05642</v>
      </c>
      <c r="C488" t="s">
        <v>186</v>
      </c>
      <c r="D488" t="str">
        <f>IFERROR(VLOOKUP(C488,APOYO!J:K,2,FALSE),C488)</f>
        <v>SALGAR</v>
      </c>
      <c r="E488">
        <v>2013</v>
      </c>
      <c r="F488" t="s">
        <v>2189</v>
      </c>
      <c r="G488" t="s">
        <v>2189</v>
      </c>
      <c r="H488">
        <v>1</v>
      </c>
      <c r="I488" s="13" t="s">
        <v>2189</v>
      </c>
      <c r="J488" s="13" t="s">
        <v>2189</v>
      </c>
      <c r="K488" s="13" t="s">
        <v>2189</v>
      </c>
    </row>
    <row r="489" spans="1:11" hidden="1" x14ac:dyDescent="0.25">
      <c r="A489" t="str">
        <f>_xlfn.XLOOKUP(C489, 'Códigos DANE Municipios'!$B$2:$B$1123, 'Códigos DANE Municipios'!$A$2:$A$1123, "No encontrado")</f>
        <v>15646</v>
      </c>
      <c r="B489" t="str">
        <f>IFERROR(VLOOKUP(D489,APOYO!K:L,2,FALSE),A489)</f>
        <v>15646</v>
      </c>
      <c r="C489" t="s">
        <v>558</v>
      </c>
      <c r="D489" t="str">
        <f>IFERROR(VLOOKUP(C489,APOYO!J:K,2,FALSE),C489)</f>
        <v>SAMACÁ</v>
      </c>
      <c r="E489">
        <v>2013</v>
      </c>
      <c r="F489" t="s">
        <v>2189</v>
      </c>
      <c r="G489" t="s">
        <v>2189</v>
      </c>
      <c r="H489">
        <v>11</v>
      </c>
      <c r="I489" s="13" t="s">
        <v>2189</v>
      </c>
      <c r="J489" s="13" t="s">
        <v>2189</v>
      </c>
      <c r="K489" s="13" t="s">
        <v>2189</v>
      </c>
    </row>
    <row r="490" spans="1:11" hidden="1" x14ac:dyDescent="0.25">
      <c r="A490" t="str">
        <f>_xlfn.XLOOKUP(C490, 'Códigos DANE Municipios'!$B$2:$B$1123, 'Códigos DANE Municipios'!$A$2:$A$1123, "No encontrado")</f>
        <v>17662</v>
      </c>
      <c r="B490" t="str">
        <f>IFERROR(VLOOKUP(D490,APOYO!K:L,2,FALSE),A490)</f>
        <v>17662</v>
      </c>
      <c r="C490" t="s">
        <v>686</v>
      </c>
      <c r="D490" t="str">
        <f>IFERROR(VLOOKUP(C490,APOYO!J:K,2,FALSE),C490)</f>
        <v>SAMANÁ</v>
      </c>
      <c r="E490">
        <v>2013</v>
      </c>
      <c r="F490" t="s">
        <v>2189</v>
      </c>
      <c r="G490" t="s">
        <v>2189</v>
      </c>
      <c r="H490">
        <v>1</v>
      </c>
      <c r="I490" s="13" t="s">
        <v>2189</v>
      </c>
      <c r="J490" s="13" t="s">
        <v>2189</v>
      </c>
      <c r="K490" s="13" t="s">
        <v>2189</v>
      </c>
    </row>
    <row r="491" spans="1:11" hidden="1" x14ac:dyDescent="0.25">
      <c r="A491" t="str">
        <f>_xlfn.XLOOKUP(C491, 'Códigos DANE Municipios'!$B$2:$B$1123, 'Códigos DANE Municipios'!$A$2:$A$1123, "No encontrado")</f>
        <v>52678</v>
      </c>
      <c r="B491" t="str">
        <f>IFERROR(VLOOKUP(D491,APOYO!K:L,2,FALSE),A491)</f>
        <v>52678</v>
      </c>
      <c r="C491" t="s">
        <v>1504</v>
      </c>
      <c r="D491" t="str">
        <f>IFERROR(VLOOKUP(C491,APOYO!J:K,2,FALSE),C491)</f>
        <v>SAMANIEGO</v>
      </c>
      <c r="E491">
        <v>2013</v>
      </c>
      <c r="F491" t="s">
        <v>2189</v>
      </c>
      <c r="G491" t="s">
        <v>2189</v>
      </c>
      <c r="H491">
        <v>5</v>
      </c>
      <c r="I491" s="13" t="s">
        <v>2189</v>
      </c>
      <c r="J491" s="13" t="s">
        <v>2189</v>
      </c>
      <c r="K491" s="13" t="s">
        <v>2189</v>
      </c>
    </row>
    <row r="492" spans="1:11" hidden="1" x14ac:dyDescent="0.25">
      <c r="A492" t="str">
        <f>_xlfn.XLOOKUP(C492, 'Códigos DANE Municipios'!$B$2:$B$1123, 'Códigos DANE Municipios'!$A$2:$A$1123, "No encontrado")</f>
        <v>70670</v>
      </c>
      <c r="B492" t="str">
        <f>IFERROR(VLOOKUP(D492,APOYO!K:L,2,FALSE),A492)</f>
        <v>70670</v>
      </c>
      <c r="C492" t="s">
        <v>1846</v>
      </c>
      <c r="D492" t="str">
        <f>IFERROR(VLOOKUP(C492,APOYO!J:K,2,FALSE),C492)</f>
        <v>SAMPUÉS</v>
      </c>
      <c r="E492">
        <v>2013</v>
      </c>
      <c r="F492" t="s">
        <v>2189</v>
      </c>
      <c r="G492" t="s">
        <v>2189</v>
      </c>
      <c r="H492">
        <v>9</v>
      </c>
      <c r="I492" s="13" t="s">
        <v>2189</v>
      </c>
      <c r="J492" s="13" t="s">
        <v>2189</v>
      </c>
      <c r="K492" s="13" t="s">
        <v>2189</v>
      </c>
    </row>
    <row r="493" spans="1:11" hidden="1" x14ac:dyDescent="0.25">
      <c r="A493" t="str">
        <f>_xlfn.XLOOKUP(C493, 'Códigos DANE Municipios'!$B$2:$B$1123, 'Códigos DANE Municipios'!$A$2:$A$1123, "No encontrado")</f>
        <v>41668</v>
      </c>
      <c r="B493" t="str">
        <f>IFERROR(VLOOKUP(D493,APOYO!K:L,2,FALSE),A493)</f>
        <v>41668</v>
      </c>
      <c r="C493" t="s">
        <v>1253</v>
      </c>
      <c r="D493" t="str">
        <f>IFERROR(VLOOKUP(C493,APOYO!J:K,2,FALSE),C493)</f>
        <v>SAN AGUSTÍN</v>
      </c>
      <c r="E493">
        <v>2013</v>
      </c>
      <c r="F493" t="s">
        <v>2189</v>
      </c>
      <c r="G493" t="s">
        <v>2189</v>
      </c>
      <c r="H493">
        <v>156</v>
      </c>
      <c r="I493" s="13" t="s">
        <v>2189</v>
      </c>
      <c r="J493" s="13" t="s">
        <v>2189</v>
      </c>
      <c r="K493" s="13" t="s">
        <v>2189</v>
      </c>
    </row>
    <row r="494" spans="1:11" hidden="1" x14ac:dyDescent="0.25">
      <c r="A494" t="str">
        <f>_xlfn.XLOOKUP(C494, 'Códigos DANE Municipios'!$B$2:$B$1123, 'Códigos DANE Municipios'!$A$2:$A$1123, "No encontrado")</f>
        <v>20710</v>
      </c>
      <c r="B494" t="str">
        <f>IFERROR(VLOOKUP(D494,APOYO!K:L,2,FALSE),A494)</f>
        <v>20710</v>
      </c>
      <c r="C494" t="s">
        <v>850</v>
      </c>
      <c r="D494" t="str">
        <f>IFERROR(VLOOKUP(C494,APOYO!J:K,2,FALSE),C494)</f>
        <v>SAN ALBERTO</v>
      </c>
      <c r="E494">
        <v>2013</v>
      </c>
      <c r="F494">
        <v>121</v>
      </c>
      <c r="G494" t="s">
        <v>2189</v>
      </c>
      <c r="H494">
        <v>4</v>
      </c>
      <c r="I494" s="13" t="s">
        <v>2189</v>
      </c>
      <c r="J494" s="13" t="s">
        <v>2189</v>
      </c>
      <c r="K494" s="13" t="s">
        <v>2189</v>
      </c>
    </row>
    <row r="495" spans="1:11" hidden="1" x14ac:dyDescent="0.25">
      <c r="A495" t="str">
        <f>_xlfn.XLOOKUP(C495, 'Códigos DANE Municipios'!$B$2:$B$1123, 'Códigos DANE Municipios'!$A$2:$A$1123, "No encontrado")</f>
        <v>68669</v>
      </c>
      <c r="B495" t="str">
        <f>IFERROR(VLOOKUP(D495,APOYO!K:L,2,FALSE),A495)</f>
        <v>68669</v>
      </c>
      <c r="C495" t="s">
        <v>1779</v>
      </c>
      <c r="D495" t="str">
        <f>IFERROR(VLOOKUP(C495,APOYO!J:K,2,FALSE),C495)</f>
        <v>SAN ANDRÉS</v>
      </c>
      <c r="E495">
        <v>2013</v>
      </c>
      <c r="F495">
        <v>657483</v>
      </c>
      <c r="G495">
        <v>33660</v>
      </c>
      <c r="H495">
        <v>53217</v>
      </c>
      <c r="I495" s="13" t="s">
        <v>2189</v>
      </c>
      <c r="J495" s="13" t="s">
        <v>2189</v>
      </c>
      <c r="K495" s="13" t="s">
        <v>2189</v>
      </c>
    </row>
    <row r="496" spans="1:11" hidden="1" x14ac:dyDescent="0.25">
      <c r="A496" t="str">
        <f>_xlfn.XLOOKUP(C496, 'Códigos DANE Municipios'!$B$2:$B$1123, 'Códigos DANE Municipios'!$A$2:$A$1123, "No encontrado")</f>
        <v>23670</v>
      </c>
      <c r="B496" t="str">
        <f>IFERROR(VLOOKUP(D496,APOYO!K:L,2,FALSE),A496)</f>
        <v>23670</v>
      </c>
      <c r="C496" t="s">
        <v>899</v>
      </c>
      <c r="D496" t="str">
        <f>IFERROR(VLOOKUP(C496,APOYO!J:K,2,FALSE),C496)</f>
        <v>SAN ANDRÉS DE SOTAVENTO</v>
      </c>
      <c r="E496">
        <v>2013</v>
      </c>
      <c r="F496" t="s">
        <v>2189</v>
      </c>
      <c r="G496" t="s">
        <v>2189</v>
      </c>
      <c r="H496">
        <v>44</v>
      </c>
      <c r="I496" s="13" t="s">
        <v>2189</v>
      </c>
      <c r="J496" s="13" t="s">
        <v>2189</v>
      </c>
      <c r="K496" s="13" t="s">
        <v>2189</v>
      </c>
    </row>
    <row r="497" spans="1:11" hidden="1" x14ac:dyDescent="0.25">
      <c r="A497" t="str">
        <f>_xlfn.XLOOKUP(C497, 'Códigos DANE Municipios'!$B$2:$B$1123, 'Códigos DANE Municipios'!$A$2:$A$1123, "No encontrado")</f>
        <v>23672</v>
      </c>
      <c r="B497" t="str">
        <f>IFERROR(VLOOKUP(D497,APOYO!K:L,2,FALSE),A497)</f>
        <v>23672</v>
      </c>
      <c r="C497" t="s">
        <v>901</v>
      </c>
      <c r="D497" t="str">
        <f>IFERROR(VLOOKUP(C497,APOYO!J:K,2,FALSE),C497)</f>
        <v>SAN ANTERO</v>
      </c>
      <c r="E497">
        <v>2013</v>
      </c>
      <c r="F497" t="s">
        <v>2189</v>
      </c>
      <c r="G497" t="s">
        <v>2189</v>
      </c>
      <c r="H497">
        <v>20</v>
      </c>
      <c r="I497" s="13" t="s">
        <v>2189</v>
      </c>
      <c r="J497" s="13" t="s">
        <v>2189</v>
      </c>
      <c r="K497" s="13" t="s">
        <v>2189</v>
      </c>
    </row>
    <row r="498" spans="1:11" hidden="1" x14ac:dyDescent="0.25">
      <c r="A498" t="str">
        <f>_xlfn.XLOOKUP(C498, 'Códigos DANE Municipios'!$B$2:$B$1123, 'Códigos DANE Municipios'!$A$2:$A$1123, "No encontrado")</f>
        <v>73675</v>
      </c>
      <c r="B498" t="str">
        <f>IFERROR(VLOOKUP(D498,APOYO!K:L,2,FALSE),A498)</f>
        <v>73675</v>
      </c>
      <c r="C498" t="s">
        <v>1943</v>
      </c>
      <c r="D498" t="str">
        <f>IFERROR(VLOOKUP(C498,APOYO!J:K,2,FALSE),C498)</f>
        <v>SAN ANTONIO</v>
      </c>
      <c r="E498">
        <v>2013</v>
      </c>
      <c r="F498" t="s">
        <v>2189</v>
      </c>
      <c r="G498" t="s">
        <v>2189</v>
      </c>
      <c r="H498">
        <v>4</v>
      </c>
      <c r="I498" s="13" t="s">
        <v>2189</v>
      </c>
      <c r="J498" s="13" t="s">
        <v>2189</v>
      </c>
      <c r="K498" s="13" t="s">
        <v>2189</v>
      </c>
    </row>
    <row r="499" spans="1:11" hidden="1" x14ac:dyDescent="0.25">
      <c r="A499" t="str">
        <f>_xlfn.XLOOKUP(C499, 'Códigos DANE Municipios'!$B$2:$B$1123, 'Códigos DANE Municipios'!$A$2:$A$1123, "No encontrado")</f>
        <v>25649</v>
      </c>
      <c r="B499" t="str">
        <f>IFERROR(VLOOKUP(D499,APOYO!K:L,2,FALSE),A499)</f>
        <v>25649</v>
      </c>
      <c r="C499" t="s">
        <v>1065</v>
      </c>
      <c r="D499" t="str">
        <f>IFERROR(VLOOKUP(C499,APOYO!J:K,2,FALSE),C499)</f>
        <v>SAN BERNARDO</v>
      </c>
      <c r="E499">
        <v>2013</v>
      </c>
      <c r="F499" t="s">
        <v>2189</v>
      </c>
      <c r="G499" t="s">
        <v>2189</v>
      </c>
      <c r="H499">
        <v>2</v>
      </c>
      <c r="I499" s="13" t="s">
        <v>2189</v>
      </c>
      <c r="J499" s="13" t="s">
        <v>2189</v>
      </c>
      <c r="K499" s="13" t="s">
        <v>2189</v>
      </c>
    </row>
    <row r="500" spans="1:11" hidden="1" x14ac:dyDescent="0.25">
      <c r="A500" t="str">
        <f>_xlfn.XLOOKUP(C500, 'Códigos DANE Municipios'!$B$2:$B$1123, 'Códigos DANE Municipios'!$A$2:$A$1123, "No encontrado")</f>
        <v>25649</v>
      </c>
      <c r="B500" t="str">
        <f>IFERROR(VLOOKUP(D500,APOYO!K:L,2,FALSE),A500)</f>
        <v>25649</v>
      </c>
      <c r="C500" t="s">
        <v>1065</v>
      </c>
      <c r="D500" t="str">
        <f>IFERROR(VLOOKUP(C500,APOYO!J:K,2,FALSE),C500)</f>
        <v>SAN BERNARDO</v>
      </c>
      <c r="E500">
        <v>2013</v>
      </c>
      <c r="F500" t="s">
        <v>2189</v>
      </c>
      <c r="G500" t="s">
        <v>2189</v>
      </c>
      <c r="H500">
        <v>5</v>
      </c>
      <c r="I500" s="13" t="s">
        <v>2189</v>
      </c>
      <c r="J500" s="13" t="s">
        <v>2189</v>
      </c>
      <c r="K500" s="13" t="s">
        <v>2189</v>
      </c>
    </row>
    <row r="501" spans="1:11" hidden="1" x14ac:dyDescent="0.25">
      <c r="A501" t="str">
        <f>_xlfn.XLOOKUP(C501, 'Códigos DANE Municipios'!$B$2:$B$1123, 'Códigos DANE Municipios'!$A$2:$A$1123, "No encontrado")</f>
        <v>05649</v>
      </c>
      <c r="B501" t="str">
        <f>IFERROR(VLOOKUP(D501,APOYO!K:L,2,FALSE),A501)</f>
        <v>05649</v>
      </c>
      <c r="C501" t="s">
        <v>190</v>
      </c>
      <c r="D501" t="str">
        <f>IFERROR(VLOOKUP(C501,APOYO!J:K,2,FALSE),C501)</f>
        <v>SAN CARLOS</v>
      </c>
      <c r="E501">
        <v>2013</v>
      </c>
      <c r="F501" t="s">
        <v>2189</v>
      </c>
      <c r="G501" t="s">
        <v>2189</v>
      </c>
      <c r="H501">
        <v>3</v>
      </c>
      <c r="I501" s="13" t="s">
        <v>2189</v>
      </c>
      <c r="J501" s="13" t="s">
        <v>2189</v>
      </c>
      <c r="K501" s="13" t="s">
        <v>2189</v>
      </c>
    </row>
    <row r="502" spans="1:11" hidden="1" x14ac:dyDescent="0.25">
      <c r="A502" t="str">
        <f>_xlfn.XLOOKUP(C502, 'Códigos DANE Municipios'!$B$2:$B$1123, 'Códigos DANE Municipios'!$A$2:$A$1123, "No encontrado")</f>
        <v>05649</v>
      </c>
      <c r="B502" t="str">
        <f>IFERROR(VLOOKUP(D502,APOYO!K:L,2,FALSE),A502)</f>
        <v>05649</v>
      </c>
      <c r="C502" t="s">
        <v>190</v>
      </c>
      <c r="D502" t="str">
        <f>IFERROR(VLOOKUP(C502,APOYO!J:K,2,FALSE),C502)</f>
        <v>SAN CARLOS</v>
      </c>
      <c r="E502">
        <v>2013</v>
      </c>
      <c r="F502">
        <v>19</v>
      </c>
      <c r="G502" t="s">
        <v>2189</v>
      </c>
      <c r="H502">
        <v>1</v>
      </c>
      <c r="I502" s="13" t="s">
        <v>2189</v>
      </c>
      <c r="J502" s="13" t="s">
        <v>2189</v>
      </c>
      <c r="K502" s="13" t="s">
        <v>2189</v>
      </c>
    </row>
    <row r="503" spans="1:11" hidden="1" x14ac:dyDescent="0.25">
      <c r="A503" t="str">
        <f>_xlfn.XLOOKUP(C503, 'Códigos DANE Municipios'!$B$2:$B$1123, 'Códigos DANE Municipios'!$A$2:$A$1123, "No encontrado")</f>
        <v>05652</v>
      </c>
      <c r="B503" t="str">
        <f>IFERROR(VLOOKUP(D503,APOYO!K:L,2,FALSE),A503)</f>
        <v>05652</v>
      </c>
      <c r="C503" t="s">
        <v>192</v>
      </c>
      <c r="D503" t="str">
        <f>IFERROR(VLOOKUP(C503,APOYO!J:K,2,FALSE),C503)</f>
        <v>SAN FRANCISCO</v>
      </c>
      <c r="E503">
        <v>2013</v>
      </c>
      <c r="F503" t="s">
        <v>2189</v>
      </c>
      <c r="G503" t="s">
        <v>2189</v>
      </c>
      <c r="H503">
        <v>17</v>
      </c>
      <c r="I503" s="13" t="s">
        <v>2189</v>
      </c>
      <c r="J503" s="13" t="s">
        <v>2189</v>
      </c>
      <c r="K503" s="13" t="s">
        <v>2189</v>
      </c>
    </row>
    <row r="504" spans="1:11" hidden="1" x14ac:dyDescent="0.25">
      <c r="A504" t="str">
        <f>_xlfn.XLOOKUP(C504, 'Códigos DANE Municipios'!$B$2:$B$1123, 'Códigos DANE Municipios'!$A$2:$A$1123, "No encontrado")</f>
        <v>68679</v>
      </c>
      <c r="B504" t="str">
        <f>IFERROR(VLOOKUP(D504,APOYO!K:L,2,FALSE),A504)</f>
        <v>68679</v>
      </c>
      <c r="C504" t="s">
        <v>1783</v>
      </c>
      <c r="D504" t="str">
        <f>IFERROR(VLOOKUP(C504,APOYO!J:K,2,FALSE),C504)</f>
        <v>SAN GIL</v>
      </c>
      <c r="E504">
        <v>2013</v>
      </c>
      <c r="F504">
        <v>144</v>
      </c>
      <c r="G504" t="s">
        <v>2189</v>
      </c>
      <c r="H504">
        <v>167</v>
      </c>
      <c r="I504" s="13" t="s">
        <v>2189</v>
      </c>
      <c r="J504" s="13" t="s">
        <v>2189</v>
      </c>
      <c r="K504" s="13" t="s">
        <v>2189</v>
      </c>
    </row>
    <row r="505" spans="1:11" hidden="1" x14ac:dyDescent="0.25">
      <c r="A505" t="str">
        <f>_xlfn.XLOOKUP(C505, 'Códigos DANE Municipios'!$B$2:$B$1123, 'Códigos DANE Municipios'!$A$2:$A$1123, "No encontrado")</f>
        <v>13654</v>
      </c>
      <c r="B505" t="str">
        <f>IFERROR(VLOOKUP(D505,APOYO!K:L,2,FALSE),A505)</f>
        <v>13654</v>
      </c>
      <c r="C505" t="s">
        <v>369</v>
      </c>
      <c r="D505" t="str">
        <f>IFERROR(VLOOKUP(C505,APOYO!J:K,2,FALSE),C505)</f>
        <v>SAN JACINTO</v>
      </c>
      <c r="E505">
        <v>2013</v>
      </c>
      <c r="F505" t="s">
        <v>2189</v>
      </c>
      <c r="G505" t="s">
        <v>2189</v>
      </c>
      <c r="H505">
        <v>3</v>
      </c>
      <c r="I505" s="13" t="s">
        <v>2189</v>
      </c>
      <c r="J505" s="13" t="s">
        <v>2189</v>
      </c>
      <c r="K505" s="13" t="s">
        <v>2189</v>
      </c>
    </row>
    <row r="506" spans="1:11" hidden="1" x14ac:dyDescent="0.25">
      <c r="A506" t="str">
        <f>_xlfn.XLOOKUP(C506, 'Códigos DANE Municipios'!$B$2:$B$1123, 'Códigos DANE Municipios'!$A$2:$A$1123, "No encontrado")</f>
        <v>05656</v>
      </c>
      <c r="B506" t="str">
        <f>IFERROR(VLOOKUP(D506,APOYO!K:L,2,FALSE),A506)</f>
        <v>05656</v>
      </c>
      <c r="C506" t="s">
        <v>194</v>
      </c>
      <c r="D506" t="str">
        <f>IFERROR(VLOOKUP(C506,APOYO!J:K,2,FALSE),C506)</f>
        <v>SAN JERÓNIMO</v>
      </c>
      <c r="E506">
        <v>2013</v>
      </c>
      <c r="F506" t="s">
        <v>2189</v>
      </c>
      <c r="G506" t="s">
        <v>2189</v>
      </c>
      <c r="H506">
        <v>8</v>
      </c>
      <c r="I506" s="13" t="s">
        <v>2189</v>
      </c>
      <c r="J506" s="13" t="s">
        <v>2189</v>
      </c>
      <c r="K506" s="13" t="s">
        <v>2189</v>
      </c>
    </row>
    <row r="507" spans="1:11" hidden="1" x14ac:dyDescent="0.25">
      <c r="A507" t="str">
        <f>_xlfn.XLOOKUP(C507, 'Códigos DANE Municipios'!$B$2:$B$1123, 'Códigos DANE Municipios'!$A$2:$A$1123, "No encontrado")</f>
        <v>95001</v>
      </c>
      <c r="B507" t="str">
        <f>IFERROR(VLOOKUP(D507,APOYO!K:L,2,FALSE),A507)</f>
        <v>95001</v>
      </c>
      <c r="C507" t="s">
        <v>2145</v>
      </c>
      <c r="D507" t="str">
        <f>IFERROR(VLOOKUP(C507,APOYO!J:K,2,FALSE),C507)</f>
        <v>SAN JOSÉ DEL GUAVIARE</v>
      </c>
      <c r="E507">
        <v>2013</v>
      </c>
      <c r="F507">
        <v>13023</v>
      </c>
      <c r="G507">
        <v>2</v>
      </c>
      <c r="H507">
        <v>10</v>
      </c>
      <c r="I507" s="13" t="s">
        <v>2189</v>
      </c>
      <c r="J507" s="13" t="s">
        <v>2189</v>
      </c>
      <c r="K507" s="13" t="s">
        <v>2189</v>
      </c>
    </row>
    <row r="508" spans="1:11" hidden="1" x14ac:dyDescent="0.25">
      <c r="A508" t="str">
        <f>_xlfn.XLOOKUP(C508, 'Códigos DANE Municipios'!$B$2:$B$1123, 'Códigos DANE Municipios'!$A$2:$A$1123, "No encontrado")</f>
        <v>23682</v>
      </c>
      <c r="B508" t="str">
        <f>IFERROR(VLOOKUP(D508,APOYO!K:L,2,FALSE),A508)</f>
        <v>23682</v>
      </c>
      <c r="C508" t="s">
        <v>906</v>
      </c>
      <c r="D508" t="str">
        <f>IFERROR(VLOOKUP(C508,APOYO!J:K,2,FALSE),C508)</f>
        <v>SAN JOSÉ DE URÉ</v>
      </c>
      <c r="E508">
        <v>2013</v>
      </c>
      <c r="F508">
        <v>3</v>
      </c>
      <c r="G508" t="s">
        <v>2189</v>
      </c>
      <c r="H508">
        <v>2</v>
      </c>
      <c r="I508" s="13" t="s">
        <v>2189</v>
      </c>
      <c r="J508" s="13" t="s">
        <v>2189</v>
      </c>
      <c r="K508" s="13" t="s">
        <v>2189</v>
      </c>
    </row>
    <row r="509" spans="1:11" hidden="1" x14ac:dyDescent="0.25">
      <c r="A509" t="str">
        <f>_xlfn.XLOOKUP(C509, 'Códigos DANE Municipios'!$B$2:$B$1123, 'Códigos DANE Municipios'!$A$2:$A$1123, "No encontrado")</f>
        <v>44650</v>
      </c>
      <c r="B509" t="str">
        <f>IFERROR(VLOOKUP(D509,APOYO!K:L,2,FALSE),A509)</f>
        <v>44650</v>
      </c>
      <c r="C509" t="s">
        <v>1293</v>
      </c>
      <c r="D509" t="str">
        <f>IFERROR(VLOOKUP(C509,APOYO!J:K,2,FALSE),C509)</f>
        <v>SAN JUAN DEL CESAR</v>
      </c>
      <c r="E509">
        <v>2013</v>
      </c>
      <c r="F509" t="s">
        <v>2189</v>
      </c>
      <c r="G509" t="s">
        <v>2189</v>
      </c>
      <c r="H509">
        <v>14</v>
      </c>
      <c r="I509" s="13" t="s">
        <v>2189</v>
      </c>
      <c r="J509" s="13" t="s">
        <v>2189</v>
      </c>
      <c r="K509" s="13" t="s">
        <v>2189</v>
      </c>
    </row>
    <row r="510" spans="1:11" hidden="1" x14ac:dyDescent="0.25">
      <c r="A510" t="str">
        <f>_xlfn.XLOOKUP(C510, 'Códigos DANE Municipios'!$B$2:$B$1123, 'Códigos DANE Municipios'!$A$2:$A$1123, "No encontrado")</f>
        <v>13657</v>
      </c>
      <c r="B510" t="str">
        <f>IFERROR(VLOOKUP(D510,APOYO!K:L,2,FALSE),A510)</f>
        <v>13657</v>
      </c>
      <c r="C510" t="s">
        <v>373</v>
      </c>
      <c r="D510" t="str">
        <f>IFERROR(VLOOKUP(C510,APOYO!J:K,2,FALSE),C510)</f>
        <v>SAN JUAN NEPOMUCENO</v>
      </c>
      <c r="E510">
        <v>2013</v>
      </c>
      <c r="F510" t="s">
        <v>2189</v>
      </c>
      <c r="G510" t="s">
        <v>2189</v>
      </c>
      <c r="H510">
        <v>1</v>
      </c>
      <c r="I510" s="13">
        <v>532</v>
      </c>
      <c r="J510" s="13" t="s">
        <v>2189</v>
      </c>
      <c r="K510" s="13" t="s">
        <v>2189</v>
      </c>
    </row>
    <row r="511" spans="1:11" hidden="1" x14ac:dyDescent="0.25">
      <c r="A511" t="str">
        <f>_xlfn.XLOOKUP(C511, 'Códigos DANE Municipios'!$B$2:$B$1123, 'Códigos DANE Municipios'!$A$2:$A$1123, "No encontrado")</f>
        <v>05660</v>
      </c>
      <c r="B511" t="str">
        <f>IFERROR(VLOOKUP(D511,APOYO!K:L,2,FALSE),A511)</f>
        <v>05660</v>
      </c>
      <c r="C511" t="s">
        <v>200</v>
      </c>
      <c r="D511" t="str">
        <f>IFERROR(VLOOKUP(C511,APOYO!J:K,2,FALSE),C511)</f>
        <v>SAN LUIS</v>
      </c>
      <c r="E511">
        <v>2013</v>
      </c>
      <c r="F511" t="s">
        <v>2189</v>
      </c>
      <c r="G511" t="s">
        <v>2189</v>
      </c>
      <c r="H511">
        <v>6</v>
      </c>
      <c r="I511" s="13" t="s">
        <v>2189</v>
      </c>
      <c r="J511" s="13" t="s">
        <v>2189</v>
      </c>
      <c r="K511" s="13" t="s">
        <v>2189</v>
      </c>
    </row>
    <row r="512" spans="1:11" hidden="1" x14ac:dyDescent="0.25">
      <c r="A512" t="str">
        <f>_xlfn.XLOOKUP(C512, 'Códigos DANE Municipios'!$B$2:$B$1123, 'Códigos DANE Municipios'!$A$2:$A$1123, "No encontrado")</f>
        <v>15667</v>
      </c>
      <c r="B512" t="str">
        <f>IFERROR(VLOOKUP(D512,APOYO!K:L,2,FALSE),A512)</f>
        <v>15667</v>
      </c>
      <c r="C512" t="s">
        <v>564</v>
      </c>
      <c r="D512" t="str">
        <f>IFERROR(VLOOKUP(C512,APOYO!J:K,2,FALSE),C512)</f>
        <v>SAN LUIS DE GACENO</v>
      </c>
      <c r="E512">
        <v>2013</v>
      </c>
      <c r="F512" t="s">
        <v>2189</v>
      </c>
      <c r="G512" t="s">
        <v>2189</v>
      </c>
      <c r="H512">
        <v>2</v>
      </c>
      <c r="I512" s="13" t="s">
        <v>2189</v>
      </c>
      <c r="J512" s="13" t="s">
        <v>2189</v>
      </c>
      <c r="K512" s="13" t="s">
        <v>2189</v>
      </c>
    </row>
    <row r="513" spans="1:11" hidden="1" x14ac:dyDescent="0.25">
      <c r="A513" t="str">
        <f>_xlfn.XLOOKUP(C513, 'Códigos DANE Municipios'!$B$2:$B$1123, 'Códigos DANE Municipios'!$A$2:$A$1123, "No encontrado")</f>
        <v>85325</v>
      </c>
      <c r="B513" t="str">
        <f>IFERROR(VLOOKUP(D513,APOYO!K:L,2,FALSE),A513)</f>
        <v>85325</v>
      </c>
      <c r="C513" t="s">
        <v>2075</v>
      </c>
      <c r="D513" t="str">
        <f>IFERROR(VLOOKUP(C513,APOYO!J:K,2,FALSE),C513)</f>
        <v>SAN LUIS DE PALENQUE</v>
      </c>
      <c r="E513">
        <v>2013</v>
      </c>
      <c r="F513">
        <v>1717</v>
      </c>
      <c r="G513" t="s">
        <v>2189</v>
      </c>
      <c r="H513" t="s">
        <v>2189</v>
      </c>
      <c r="I513" s="13" t="s">
        <v>2189</v>
      </c>
      <c r="J513" s="13" t="s">
        <v>2189</v>
      </c>
      <c r="K513" s="13" t="s">
        <v>2189</v>
      </c>
    </row>
    <row r="514" spans="1:11" hidden="1" x14ac:dyDescent="0.25">
      <c r="A514" t="str">
        <f>_xlfn.XLOOKUP(C514, 'Códigos DANE Municipios'!$B$2:$B$1123, 'Códigos DANE Municipios'!$A$2:$A$1123, "No encontrado")</f>
        <v>70708</v>
      </c>
      <c r="B514" t="str">
        <f>IFERROR(VLOOKUP(D514,APOYO!K:L,2,FALSE),A514)</f>
        <v>70708</v>
      </c>
      <c r="C514" t="s">
        <v>1852</v>
      </c>
      <c r="D514" t="str">
        <f>IFERROR(VLOOKUP(C514,APOYO!J:K,2,FALSE),C514)</f>
        <v>SAN MARCOS</v>
      </c>
      <c r="E514">
        <v>2013</v>
      </c>
      <c r="F514">
        <v>26</v>
      </c>
      <c r="G514" t="s">
        <v>2189</v>
      </c>
      <c r="H514">
        <v>5</v>
      </c>
      <c r="I514" s="13" t="s">
        <v>2189</v>
      </c>
      <c r="J514" s="13" t="s">
        <v>2189</v>
      </c>
      <c r="K514" s="13" t="s">
        <v>2189</v>
      </c>
    </row>
    <row r="515" spans="1:11" hidden="1" x14ac:dyDescent="0.25">
      <c r="A515" t="str">
        <f>_xlfn.XLOOKUP(C515, 'Códigos DANE Municipios'!$B$2:$B$1123, 'Códigos DANE Municipios'!$A$2:$A$1123, "No encontrado")</f>
        <v>20770</v>
      </c>
      <c r="B515" t="str">
        <f>IFERROR(VLOOKUP(D515,APOYO!K:L,2,FALSE),A515)</f>
        <v>20770</v>
      </c>
      <c r="C515" t="s">
        <v>854</v>
      </c>
      <c r="D515" t="str">
        <f>IFERROR(VLOOKUP(C515,APOYO!J:K,2,FALSE),C515)</f>
        <v>SAN MARTÍN</v>
      </c>
      <c r="E515">
        <v>2013</v>
      </c>
      <c r="F515">
        <v>535</v>
      </c>
      <c r="G515">
        <v>10</v>
      </c>
      <c r="H515">
        <v>21</v>
      </c>
      <c r="I515" s="13" t="s">
        <v>2189</v>
      </c>
      <c r="J515" s="13" t="s">
        <v>2189</v>
      </c>
      <c r="K515" s="13" t="s">
        <v>2189</v>
      </c>
    </row>
    <row r="516" spans="1:11" hidden="1" x14ac:dyDescent="0.25">
      <c r="A516" t="str">
        <f>_xlfn.XLOOKUP(C516, 'Códigos DANE Municipios'!$B$2:$B$1123, 'Códigos DANE Municipios'!$A$2:$A$1123, "No encontrado")</f>
        <v>68686</v>
      </c>
      <c r="B516" t="str">
        <f>IFERROR(VLOOKUP(D516,APOYO!K:L,2,FALSE),A516)</f>
        <v>68686</v>
      </c>
      <c r="C516" t="s">
        <v>1789</v>
      </c>
      <c r="D516" t="str">
        <f>IFERROR(VLOOKUP(C516,APOYO!J:K,2,FALSE),C516)</f>
        <v>SAN MIGUEL</v>
      </c>
      <c r="E516">
        <v>2013</v>
      </c>
      <c r="F516" t="s">
        <v>2189</v>
      </c>
      <c r="G516" t="s">
        <v>2189</v>
      </c>
      <c r="H516">
        <v>19</v>
      </c>
      <c r="I516" s="13" t="s">
        <v>2189</v>
      </c>
      <c r="J516" s="13" t="s">
        <v>2189</v>
      </c>
      <c r="K516" s="13" t="s">
        <v>2189</v>
      </c>
    </row>
    <row r="517" spans="1:11" hidden="1" x14ac:dyDescent="0.25">
      <c r="A517" t="str">
        <f>_xlfn.XLOOKUP(C517, 'Códigos DANE Municipios'!$B$2:$B$1123, 'Códigos DANE Municipios'!$A$2:$A$1123, "No encontrado")</f>
        <v>70713</v>
      </c>
      <c r="B517" t="str">
        <f>IFERROR(VLOOKUP(D517,APOYO!K:L,2,FALSE),A517)</f>
        <v>70713</v>
      </c>
      <c r="C517" t="s">
        <v>1854</v>
      </c>
      <c r="D517" t="str">
        <f>IFERROR(VLOOKUP(C517,APOYO!J:K,2,FALSE),C517)</f>
        <v>SAN ONOFRE</v>
      </c>
      <c r="E517">
        <v>2013</v>
      </c>
      <c r="F517" t="s">
        <v>2189</v>
      </c>
      <c r="G517" t="s">
        <v>2189</v>
      </c>
      <c r="H517">
        <v>15</v>
      </c>
      <c r="I517" s="13" t="s">
        <v>2189</v>
      </c>
      <c r="J517" s="13" t="s">
        <v>2189</v>
      </c>
      <c r="K517" s="13" t="s">
        <v>2189</v>
      </c>
    </row>
    <row r="518" spans="1:11" hidden="1" x14ac:dyDescent="0.25">
      <c r="A518" t="str">
        <f>_xlfn.XLOOKUP(C518, 'Códigos DANE Municipios'!$B$2:$B$1123, 'Códigos DANE Municipios'!$A$2:$A$1123, "No encontrado")</f>
        <v>13670</v>
      </c>
      <c r="B518" t="str">
        <f>IFERROR(VLOOKUP(D518,APOYO!K:L,2,FALSE),A518)</f>
        <v>13670</v>
      </c>
      <c r="C518" t="s">
        <v>377</v>
      </c>
      <c r="D518" t="str">
        <f>IFERROR(VLOOKUP(C518,APOYO!J:K,2,FALSE),C518)</f>
        <v>SAN PABLO</v>
      </c>
      <c r="E518">
        <v>2013</v>
      </c>
      <c r="F518" t="s">
        <v>2189</v>
      </c>
      <c r="G518" t="s">
        <v>2189</v>
      </c>
      <c r="H518">
        <v>4</v>
      </c>
      <c r="I518" s="13" t="s">
        <v>2189</v>
      </c>
      <c r="J518" s="13" t="s">
        <v>2189</v>
      </c>
      <c r="K518" s="13" t="s">
        <v>2189</v>
      </c>
    </row>
    <row r="519" spans="1:11" hidden="1" x14ac:dyDescent="0.25">
      <c r="A519" t="str">
        <f>_xlfn.XLOOKUP(C519, 'Códigos DANE Municipios'!$B$2:$B$1123, 'Códigos DANE Municipios'!$A$2:$A$1123, "No encontrado")</f>
        <v>70717</v>
      </c>
      <c r="B519" t="str">
        <f>IFERROR(VLOOKUP(D519,APOYO!K:L,2,FALSE),A519)</f>
        <v>70717</v>
      </c>
      <c r="C519" t="s">
        <v>1856</v>
      </c>
      <c r="D519" t="str">
        <f>IFERROR(VLOOKUP(C519,APOYO!J:K,2,FALSE),C519)</f>
        <v>SAN PEDRO</v>
      </c>
      <c r="E519">
        <v>2013</v>
      </c>
      <c r="F519" t="s">
        <v>2189</v>
      </c>
      <c r="G519" t="s">
        <v>2189</v>
      </c>
      <c r="H519">
        <v>26</v>
      </c>
      <c r="I519" s="13" t="s">
        <v>2189</v>
      </c>
      <c r="J519" s="13" t="s">
        <v>2189</v>
      </c>
      <c r="K519" s="13" t="s">
        <v>2189</v>
      </c>
    </row>
    <row r="520" spans="1:11" hidden="1" x14ac:dyDescent="0.25">
      <c r="A520" t="str">
        <f>_xlfn.XLOOKUP(C520, 'Códigos DANE Municipios'!$B$2:$B$1123, 'Códigos DANE Municipios'!$A$2:$A$1123, "No encontrado")</f>
        <v>05665</v>
      </c>
      <c r="B520" t="str">
        <f>IFERROR(VLOOKUP(D520,APOYO!K:L,2,FALSE),A520)</f>
        <v>05665</v>
      </c>
      <c r="C520" t="s">
        <v>204</v>
      </c>
      <c r="D520" t="str">
        <f>IFERROR(VLOOKUP(C520,APOYO!J:K,2,FALSE),C520)</f>
        <v>SAN PEDRO DE URABÁ</v>
      </c>
      <c r="E520">
        <v>2013</v>
      </c>
      <c r="F520" t="s">
        <v>2189</v>
      </c>
      <c r="G520" t="s">
        <v>2189</v>
      </c>
      <c r="H520">
        <v>1</v>
      </c>
      <c r="I520" s="13" t="s">
        <v>2189</v>
      </c>
      <c r="J520" s="13" t="s">
        <v>2189</v>
      </c>
      <c r="K520" s="13" t="s">
        <v>2189</v>
      </c>
    </row>
    <row r="521" spans="1:11" hidden="1" x14ac:dyDescent="0.25">
      <c r="A521" t="str">
        <f>_xlfn.XLOOKUP(C521, 'Códigos DANE Municipios'!$B$2:$B$1123, 'Códigos DANE Municipios'!$A$2:$A$1123, "No encontrado")</f>
        <v>05667</v>
      </c>
      <c r="B521" t="str">
        <f>IFERROR(VLOOKUP(D521,APOYO!K:L,2,FALSE),A521)</f>
        <v>05667</v>
      </c>
      <c r="C521" t="s">
        <v>206</v>
      </c>
      <c r="D521" t="str">
        <f>IFERROR(VLOOKUP(C521,APOYO!J:K,2,FALSE),C521)</f>
        <v>SAN RAFAEL</v>
      </c>
      <c r="E521">
        <v>2013</v>
      </c>
      <c r="F521" t="s">
        <v>2189</v>
      </c>
      <c r="G521" t="s">
        <v>2189</v>
      </c>
      <c r="H521">
        <v>4</v>
      </c>
      <c r="I521" s="13" t="s">
        <v>2189</v>
      </c>
      <c r="J521" s="13" t="s">
        <v>2189</v>
      </c>
      <c r="K521" s="13" t="s">
        <v>2189</v>
      </c>
    </row>
    <row r="522" spans="1:11" hidden="1" x14ac:dyDescent="0.25">
      <c r="A522" t="str">
        <f>_xlfn.XLOOKUP(C522, 'Códigos DANE Municipios'!$B$2:$B$1123, 'Códigos DANE Municipios'!$A$2:$A$1123, "No encontrado")</f>
        <v>05670</v>
      </c>
      <c r="B522" t="str">
        <f>IFERROR(VLOOKUP(D522,APOYO!K:L,2,FALSE),A522)</f>
        <v>05670</v>
      </c>
      <c r="C522" t="s">
        <v>208</v>
      </c>
      <c r="D522" t="str">
        <f>IFERROR(VLOOKUP(C522,APOYO!J:K,2,FALSE),C522)</f>
        <v>SAN ROQUE</v>
      </c>
      <c r="E522">
        <v>2013</v>
      </c>
      <c r="F522" t="s">
        <v>2189</v>
      </c>
      <c r="G522" t="s">
        <v>2189</v>
      </c>
      <c r="H522">
        <v>2</v>
      </c>
      <c r="I522" s="13" t="s">
        <v>2189</v>
      </c>
      <c r="J522" s="13" t="s">
        <v>2189</v>
      </c>
      <c r="K522" s="13" t="s">
        <v>2189</v>
      </c>
    </row>
    <row r="523" spans="1:11" hidden="1" x14ac:dyDescent="0.25">
      <c r="A523" t="str">
        <f>_xlfn.XLOOKUP(C523, 'Códigos DANE Municipios'!$B$2:$B$1123, 'Códigos DANE Municipios'!$A$2:$A$1123, "No encontrado")</f>
        <v>19693</v>
      </c>
      <c r="B523" t="str">
        <f>IFERROR(VLOOKUP(D523,APOYO!K:L,2,FALSE),A523)</f>
        <v>19693</v>
      </c>
      <c r="C523" t="s">
        <v>785</v>
      </c>
      <c r="D523" t="str">
        <f>IFERROR(VLOOKUP(C523,APOYO!J:K,2,FALSE),C523)</f>
        <v>SAN SEBASTIÁN</v>
      </c>
      <c r="E523">
        <v>2013</v>
      </c>
      <c r="F523" t="s">
        <v>2189</v>
      </c>
      <c r="G523" t="s">
        <v>2189</v>
      </c>
      <c r="H523">
        <v>2</v>
      </c>
      <c r="I523" s="13" t="s">
        <v>2189</v>
      </c>
      <c r="J523" s="13" t="s">
        <v>2189</v>
      </c>
      <c r="K523" s="13" t="s">
        <v>2189</v>
      </c>
    </row>
    <row r="524" spans="1:11" hidden="1" x14ac:dyDescent="0.25">
      <c r="A524" t="str">
        <f>_xlfn.XLOOKUP(C524, 'Códigos DANE Municipios'!$B$2:$B$1123, 'Códigos DANE Municipios'!$A$2:$A$1123, "No encontrado")</f>
        <v>47692</v>
      </c>
      <c r="B524" t="str">
        <f>IFERROR(VLOOKUP(D524,APOYO!K:L,2,FALSE),A524)</f>
        <v>47692</v>
      </c>
      <c r="C524" t="s">
        <v>1342</v>
      </c>
      <c r="D524" t="str">
        <f>IFERROR(VLOOKUP(C524,APOYO!J:K,2,FALSE),C524)</f>
        <v>SAN SEBASTIÁN DE BUENAVISTA</v>
      </c>
      <c r="E524">
        <v>2013</v>
      </c>
      <c r="F524" t="s">
        <v>2189</v>
      </c>
      <c r="G524" t="s">
        <v>2189</v>
      </c>
      <c r="H524">
        <v>9</v>
      </c>
      <c r="I524" s="13" t="s">
        <v>2189</v>
      </c>
      <c r="J524" s="13" t="s">
        <v>2189</v>
      </c>
      <c r="K524" s="13" t="s">
        <v>2189</v>
      </c>
    </row>
    <row r="525" spans="1:11" hidden="1" x14ac:dyDescent="0.25">
      <c r="A525" t="str">
        <f>_xlfn.XLOOKUP(C525, 'Códigos DANE Municipios'!$B$2:$B$1123, 'Códigos DANE Municipios'!$A$2:$A$1123, "No encontrado")</f>
        <v>05674</v>
      </c>
      <c r="B525" t="str">
        <f>IFERROR(VLOOKUP(D525,APOYO!K:L,2,FALSE),A525)</f>
        <v>05674</v>
      </c>
      <c r="C525" t="s">
        <v>210</v>
      </c>
      <c r="D525" t="str">
        <f>IFERROR(VLOOKUP(C525,APOYO!J:K,2,FALSE),C525)</f>
        <v>SAN VICENTE FERRER</v>
      </c>
      <c r="E525">
        <v>2013</v>
      </c>
      <c r="F525" t="s">
        <v>2189</v>
      </c>
      <c r="G525" t="s">
        <v>2189</v>
      </c>
      <c r="H525">
        <v>3</v>
      </c>
      <c r="I525" s="13" t="s">
        <v>2189</v>
      </c>
      <c r="J525" s="13" t="s">
        <v>2189</v>
      </c>
      <c r="K525" s="13" t="s">
        <v>2189</v>
      </c>
    </row>
    <row r="526" spans="1:11" hidden="1" x14ac:dyDescent="0.25">
      <c r="A526" t="str">
        <f>_xlfn.XLOOKUP(C526, 'Códigos DANE Municipios'!$B$2:$B$1123, 'Códigos DANE Municipios'!$A$2:$A$1123, "No encontrado")</f>
        <v>68689</v>
      </c>
      <c r="B526" t="str">
        <f>IFERROR(VLOOKUP(D526,APOYO!K:L,2,FALSE),A526)</f>
        <v>68689</v>
      </c>
      <c r="C526" t="s">
        <v>1791</v>
      </c>
      <c r="D526" t="str">
        <f>IFERROR(VLOOKUP(C526,APOYO!J:K,2,FALSE),C526)</f>
        <v>SAN VICENTE DE CHUCURÍ</v>
      </c>
      <c r="E526">
        <v>2013</v>
      </c>
      <c r="F526">
        <v>67</v>
      </c>
      <c r="G526" t="s">
        <v>2189</v>
      </c>
      <c r="H526">
        <v>1</v>
      </c>
      <c r="I526" s="13" t="s">
        <v>2189</v>
      </c>
      <c r="J526" s="13" t="s">
        <v>2189</v>
      </c>
      <c r="K526" s="13" t="s">
        <v>2189</v>
      </c>
    </row>
    <row r="527" spans="1:11" hidden="1" x14ac:dyDescent="0.25">
      <c r="A527" t="str">
        <f>_xlfn.XLOOKUP(C527, 'Códigos DANE Municipios'!$B$2:$B$1123, 'Códigos DANE Municipios'!$A$2:$A$1123, "No encontrado")</f>
        <v>18753</v>
      </c>
      <c r="B527" t="str">
        <f>IFERROR(VLOOKUP(D527,APOYO!K:L,2,FALSE),A527)</f>
        <v>18753</v>
      </c>
      <c r="C527" t="s">
        <v>722</v>
      </c>
      <c r="D527" t="str">
        <f>IFERROR(VLOOKUP(C527,APOYO!J:K,2,FALSE),C527)</f>
        <v>SAN VICENTE DEL CAGUÁN</v>
      </c>
      <c r="E527">
        <v>2013</v>
      </c>
      <c r="F527">
        <v>2592</v>
      </c>
      <c r="G527" t="s">
        <v>2189</v>
      </c>
      <c r="H527">
        <v>8</v>
      </c>
      <c r="I527" s="13" t="s">
        <v>2189</v>
      </c>
      <c r="J527" s="13" t="s">
        <v>2189</v>
      </c>
      <c r="K527" s="13" t="s">
        <v>2189</v>
      </c>
    </row>
    <row r="528" spans="1:11" hidden="1" x14ac:dyDescent="0.25">
      <c r="A528" t="str">
        <f>_xlfn.XLOOKUP(C528, 'Códigos DANE Municipios'!$B$2:$B$1123, 'Códigos DANE Municipios'!$A$2:$A$1123, "No encontrado")</f>
        <v>52683</v>
      </c>
      <c r="B528" t="str">
        <f>IFERROR(VLOOKUP(D528,APOYO!K:L,2,FALSE),A528)</f>
        <v>52683</v>
      </c>
      <c r="C528" t="s">
        <v>1506</v>
      </c>
      <c r="D528" t="str">
        <f>IFERROR(VLOOKUP(C528,APOYO!J:K,2,FALSE),C528)</f>
        <v>SANDONÁ</v>
      </c>
      <c r="E528">
        <v>2013</v>
      </c>
      <c r="F528" t="s">
        <v>2189</v>
      </c>
      <c r="G528" t="s">
        <v>2189</v>
      </c>
      <c r="H528">
        <v>9</v>
      </c>
      <c r="I528" s="13" t="s">
        <v>2189</v>
      </c>
      <c r="J528" s="13" t="s">
        <v>2189</v>
      </c>
      <c r="K528" s="13" t="s">
        <v>2189</v>
      </c>
    </row>
    <row r="529" spans="1:11" hidden="1" x14ac:dyDescent="0.25">
      <c r="A529" t="str">
        <f>_xlfn.XLOOKUP(C529, 'Códigos DANE Municipios'!$B$2:$B$1123, 'Códigos DANE Municipios'!$A$2:$A$1123, "No encontrado")</f>
        <v>47707</v>
      </c>
      <c r="B529" t="str">
        <f>IFERROR(VLOOKUP(D529,APOYO!K:L,2,FALSE),A529)</f>
        <v>47707</v>
      </c>
      <c r="C529" t="s">
        <v>1346</v>
      </c>
      <c r="D529" t="str">
        <f>IFERROR(VLOOKUP(C529,APOYO!J:K,2,FALSE),C529)</f>
        <v>SANTA ANA</v>
      </c>
      <c r="E529">
        <v>2013</v>
      </c>
      <c r="F529" t="s">
        <v>2189</v>
      </c>
      <c r="G529" t="s">
        <v>2189</v>
      </c>
      <c r="H529">
        <v>71</v>
      </c>
      <c r="I529" s="13" t="s">
        <v>2189</v>
      </c>
      <c r="J529" s="13" t="s">
        <v>2189</v>
      </c>
      <c r="K529" s="13" t="s">
        <v>2189</v>
      </c>
    </row>
    <row r="530" spans="1:11" hidden="1" x14ac:dyDescent="0.25">
      <c r="A530" t="str">
        <f>_xlfn.XLOOKUP(C530, 'Códigos DANE Municipios'!$B$2:$B$1123, 'Códigos DANE Municipios'!$A$2:$A$1123, "No encontrado")</f>
        <v>05679</v>
      </c>
      <c r="B530" t="str">
        <f>IFERROR(VLOOKUP(D530,APOYO!K:L,2,FALSE),A530)</f>
        <v>05679</v>
      </c>
      <c r="C530" t="s">
        <v>212</v>
      </c>
      <c r="D530" t="str">
        <f>IFERROR(VLOOKUP(C530,APOYO!J:K,2,FALSE),C530)</f>
        <v>SANTA BÁRBARA</v>
      </c>
      <c r="E530">
        <v>2013</v>
      </c>
      <c r="F530" t="s">
        <v>2189</v>
      </c>
      <c r="G530" t="s">
        <v>2189</v>
      </c>
      <c r="H530">
        <v>4</v>
      </c>
      <c r="I530" s="13" t="s">
        <v>2189</v>
      </c>
      <c r="J530" s="13" t="s">
        <v>2189</v>
      </c>
      <c r="K530" s="13" t="s">
        <v>2189</v>
      </c>
    </row>
    <row r="531" spans="1:11" hidden="1" x14ac:dyDescent="0.25">
      <c r="A531" t="str">
        <f>_xlfn.XLOOKUP(C531, 'Códigos DANE Municipios'!$B$2:$B$1123, 'Códigos DANE Municipios'!$A$2:$A$1123, "No encontrado")</f>
        <v>13673</v>
      </c>
      <c r="B531" t="str">
        <f>IFERROR(VLOOKUP(D531,APOYO!K:L,2,FALSE),A531)</f>
        <v>13673</v>
      </c>
      <c r="C531" t="s">
        <v>379</v>
      </c>
      <c r="D531" t="str">
        <f>IFERROR(VLOOKUP(C531,APOYO!J:K,2,FALSE),C531)</f>
        <v>SANTA CATALINA</v>
      </c>
      <c r="E531">
        <v>2013</v>
      </c>
      <c r="F531" t="s">
        <v>2189</v>
      </c>
      <c r="G531" t="s">
        <v>2189</v>
      </c>
      <c r="H531">
        <v>6</v>
      </c>
      <c r="I531" s="13" t="s">
        <v>2189</v>
      </c>
      <c r="J531" s="13" t="s">
        <v>2189</v>
      </c>
      <c r="K531" s="13" t="s">
        <v>2189</v>
      </c>
    </row>
    <row r="532" spans="1:11" hidden="1" x14ac:dyDescent="0.25">
      <c r="A532" t="str">
        <f>_xlfn.XLOOKUP(C532, 'Códigos DANE Municipios'!$B$2:$B$1123, 'Códigos DANE Municipios'!$A$2:$A$1123, "No encontrado")</f>
        <v>73686</v>
      </c>
      <c r="B532" t="str">
        <f>IFERROR(VLOOKUP(D532,APOYO!K:L,2,FALSE),A532)</f>
        <v>73686</v>
      </c>
      <c r="C532" t="s">
        <v>1946</v>
      </c>
      <c r="D532" t="str">
        <f>IFERROR(VLOOKUP(C532,APOYO!J:K,2,FALSE),C532)</f>
        <v>SANTA ISABEL</v>
      </c>
      <c r="E532">
        <v>2013</v>
      </c>
      <c r="F532" t="s">
        <v>2189</v>
      </c>
      <c r="G532" t="s">
        <v>2189</v>
      </c>
      <c r="H532">
        <v>3</v>
      </c>
      <c r="I532" s="13" t="s">
        <v>2189</v>
      </c>
      <c r="J532" s="13" t="s">
        <v>2189</v>
      </c>
      <c r="K532" s="13" t="s">
        <v>2189</v>
      </c>
    </row>
    <row r="533" spans="1:11" hidden="1" x14ac:dyDescent="0.25">
      <c r="A533" t="str">
        <f>_xlfn.XLOOKUP(C533, 'Códigos DANE Municipios'!$B$2:$B$1123, 'Códigos DANE Municipios'!$A$2:$A$1123, "No encontrado")</f>
        <v>15690</v>
      </c>
      <c r="B533" t="str">
        <f>IFERROR(VLOOKUP(D533,APOYO!K:L,2,FALSE),A533)</f>
        <v>15690</v>
      </c>
      <c r="C533" t="s">
        <v>574</v>
      </c>
      <c r="D533" t="str">
        <f>IFERROR(VLOOKUP(C533,APOYO!J:K,2,FALSE),C533)</f>
        <v>SANTA MARÍA</v>
      </c>
      <c r="E533">
        <v>2013</v>
      </c>
      <c r="F533" t="s">
        <v>2189</v>
      </c>
      <c r="G533" t="s">
        <v>2189</v>
      </c>
      <c r="H533">
        <v>55</v>
      </c>
      <c r="I533" s="13" t="s">
        <v>2189</v>
      </c>
      <c r="J533" s="13" t="s">
        <v>2189</v>
      </c>
      <c r="K533" s="13" t="s">
        <v>2189</v>
      </c>
    </row>
    <row r="534" spans="1:11" hidden="1" x14ac:dyDescent="0.25">
      <c r="A534" t="str">
        <f>_xlfn.XLOOKUP(C534, 'Códigos DANE Municipios'!$B$2:$B$1123, 'Códigos DANE Municipios'!$A$2:$A$1123, "No encontrado")</f>
        <v>47001</v>
      </c>
      <c r="B534" t="str">
        <f>IFERROR(VLOOKUP(D534,APOYO!K:L,2,FALSE),A534)</f>
        <v>47001</v>
      </c>
      <c r="C534" t="s">
        <v>1300</v>
      </c>
      <c r="D534" t="str">
        <f>IFERROR(VLOOKUP(C534,APOYO!J:K,2,FALSE),C534)</f>
        <v>SANTA MARTA</v>
      </c>
      <c r="E534">
        <v>2013</v>
      </c>
      <c r="F534">
        <v>624200</v>
      </c>
      <c r="G534">
        <v>6615</v>
      </c>
      <c r="H534">
        <v>16993</v>
      </c>
      <c r="I534">
        <v>306782</v>
      </c>
      <c r="J534" s="13" t="s">
        <v>2189</v>
      </c>
      <c r="K534" s="13" t="s">
        <v>2189</v>
      </c>
    </row>
    <row r="535" spans="1:11" hidden="1" x14ac:dyDescent="0.25">
      <c r="A535" t="str">
        <f>_xlfn.XLOOKUP(C535, 'Códigos DANE Municipios'!$B$2:$B$1123, 'Códigos DANE Municipios'!$A$2:$A$1123, "No encontrado")</f>
        <v>13683</v>
      </c>
      <c r="B535" t="str">
        <f>IFERROR(VLOOKUP(D535,APOYO!K:L,2,FALSE),A535)</f>
        <v>13683</v>
      </c>
      <c r="C535" t="s">
        <v>381</v>
      </c>
      <c r="D535" t="str">
        <f>IFERROR(VLOOKUP(C535,APOYO!J:K,2,FALSE),C535)</f>
        <v>SANTA ROSA</v>
      </c>
      <c r="E535">
        <v>2013</v>
      </c>
      <c r="F535" t="s">
        <v>2189</v>
      </c>
      <c r="G535" t="s">
        <v>2189</v>
      </c>
      <c r="H535">
        <v>3</v>
      </c>
      <c r="I535" s="13" t="s">
        <v>2189</v>
      </c>
      <c r="J535" s="13" t="s">
        <v>2189</v>
      </c>
      <c r="K535" s="13" t="s">
        <v>2189</v>
      </c>
    </row>
    <row r="536" spans="1:11" hidden="1" x14ac:dyDescent="0.25">
      <c r="A536" t="str">
        <f>_xlfn.XLOOKUP(C536, 'Códigos DANE Municipios'!$B$2:$B$1123, 'Códigos DANE Municipios'!$A$2:$A$1123, "No encontrado")</f>
        <v>66682</v>
      </c>
      <c r="B536" t="str">
        <f>IFERROR(VLOOKUP(D536,APOYO!K:L,2,FALSE),A536)</f>
        <v>66682</v>
      </c>
      <c r="C536" t="s">
        <v>1651</v>
      </c>
      <c r="D536" t="str">
        <f>IFERROR(VLOOKUP(C536,APOYO!J:K,2,FALSE),C536)</f>
        <v>SANTA ROSA DE CABAL</v>
      </c>
      <c r="E536">
        <v>2013</v>
      </c>
      <c r="F536" t="s">
        <v>2189</v>
      </c>
      <c r="G536" t="s">
        <v>2189</v>
      </c>
      <c r="H536">
        <v>322</v>
      </c>
      <c r="I536" s="13" t="s">
        <v>2189</v>
      </c>
      <c r="J536" s="13" t="s">
        <v>2189</v>
      </c>
      <c r="K536" s="13" t="s">
        <v>2189</v>
      </c>
    </row>
    <row r="537" spans="1:11" hidden="1" x14ac:dyDescent="0.25">
      <c r="A537" t="str">
        <f>_xlfn.XLOOKUP(C537, 'Códigos DANE Municipios'!$B$2:$B$1123, 'Códigos DANE Municipios'!$A$2:$A$1123, "No encontrado")</f>
        <v>15693</v>
      </c>
      <c r="B537" t="str">
        <f>IFERROR(VLOOKUP(D537,APOYO!K:L,2,FALSE),A537)</f>
        <v>15693</v>
      </c>
      <c r="C537" t="s">
        <v>576</v>
      </c>
      <c r="D537" t="str">
        <f>IFERROR(VLOOKUP(C537,APOYO!J:K,2,FALSE),C537)</f>
        <v>SANTA ROSA DE VITERBO</v>
      </c>
      <c r="E537">
        <v>2013</v>
      </c>
      <c r="F537" t="s">
        <v>2189</v>
      </c>
      <c r="G537" t="s">
        <v>2189</v>
      </c>
      <c r="H537">
        <v>5</v>
      </c>
      <c r="I537" s="13" t="s">
        <v>2189</v>
      </c>
      <c r="J537" s="13" t="s">
        <v>2189</v>
      </c>
      <c r="K537" s="13" t="s">
        <v>2189</v>
      </c>
    </row>
    <row r="538" spans="1:11" hidden="1" x14ac:dyDescent="0.25">
      <c r="A538" t="str">
        <f>_xlfn.XLOOKUP(C538, 'Códigos DANE Municipios'!$B$2:$B$1123, 'Códigos DANE Municipios'!$A$2:$A$1123, "No encontrado")</f>
        <v>13688</v>
      </c>
      <c r="B538" t="str">
        <f>IFERROR(VLOOKUP(D538,APOYO!K:L,2,FALSE),A538)</f>
        <v>13688</v>
      </c>
      <c r="C538" t="s">
        <v>383</v>
      </c>
      <c r="D538" t="str">
        <f>IFERROR(VLOOKUP(C538,APOYO!J:K,2,FALSE),C538)</f>
        <v>SANTA ROSA DEL SUR</v>
      </c>
      <c r="E538">
        <v>2013</v>
      </c>
      <c r="F538" t="s">
        <v>2189</v>
      </c>
      <c r="G538" t="s">
        <v>2189</v>
      </c>
      <c r="H538">
        <v>1</v>
      </c>
      <c r="I538" s="13" t="s">
        <v>2189</v>
      </c>
      <c r="J538" s="13" t="s">
        <v>2189</v>
      </c>
      <c r="K538" s="13" t="s">
        <v>2189</v>
      </c>
    </row>
    <row r="539" spans="1:11" hidden="1" x14ac:dyDescent="0.25">
      <c r="A539" t="str">
        <f>_xlfn.XLOOKUP(C539, 'Códigos DANE Municipios'!$B$2:$B$1123, 'Códigos DANE Municipios'!$A$2:$A$1123, "No encontrado")</f>
        <v>15686</v>
      </c>
      <c r="B539" t="str">
        <f>IFERROR(VLOOKUP(D539,APOYO!K:L,2,FALSE),A539)</f>
        <v>15686</v>
      </c>
      <c r="C539" t="s">
        <v>572</v>
      </c>
      <c r="D539" t="str">
        <f>IFERROR(VLOOKUP(C539,APOYO!J:K,2,FALSE),C539)</f>
        <v>SANTANA</v>
      </c>
      <c r="E539">
        <v>2013</v>
      </c>
      <c r="F539" t="s">
        <v>2189</v>
      </c>
      <c r="G539" t="s">
        <v>2189</v>
      </c>
      <c r="H539">
        <v>7</v>
      </c>
      <c r="I539" s="13" t="s">
        <v>2189</v>
      </c>
      <c r="J539" s="13" t="s">
        <v>2189</v>
      </c>
      <c r="K539" s="13" t="s">
        <v>2189</v>
      </c>
    </row>
    <row r="540" spans="1:11" hidden="1" x14ac:dyDescent="0.25">
      <c r="A540" t="str">
        <f>_xlfn.XLOOKUP(C540, 'Códigos DANE Municipios'!$B$2:$B$1123, 'Códigos DANE Municipios'!$A$2:$A$1123, "No encontrado")</f>
        <v>19698</v>
      </c>
      <c r="B540" t="str">
        <f>IFERROR(VLOOKUP(D540,APOYO!K:L,2,FALSE),A540)</f>
        <v>19698</v>
      </c>
      <c r="C540" t="s">
        <v>787</v>
      </c>
      <c r="D540" t="str">
        <f>IFERROR(VLOOKUP(C540,APOYO!J:K,2,FALSE),C540)</f>
        <v>SANTANDER DE QUILICHAO</v>
      </c>
      <c r="E540">
        <v>2013</v>
      </c>
      <c r="F540" t="s">
        <v>2189</v>
      </c>
      <c r="G540" t="s">
        <v>2189</v>
      </c>
      <c r="H540">
        <v>95</v>
      </c>
      <c r="I540" s="13" t="s">
        <v>2189</v>
      </c>
      <c r="J540" s="13" t="s">
        <v>2189</v>
      </c>
      <c r="K540" s="13" t="s">
        <v>2189</v>
      </c>
    </row>
    <row r="541" spans="1:11" hidden="1" x14ac:dyDescent="0.25">
      <c r="A541" t="str">
        <f>_xlfn.XLOOKUP(C541, 'Códigos DANE Municipios'!$B$2:$B$1123, 'Códigos DANE Municipios'!$A$2:$A$1123, "No encontrado")</f>
        <v>08685</v>
      </c>
      <c r="B541" t="str">
        <f>IFERROR(VLOOKUP(D541,APOYO!K:L,2,FALSE),A541)</f>
        <v>08685</v>
      </c>
      <c r="C541" t="s">
        <v>297</v>
      </c>
      <c r="D541" t="str">
        <f>IFERROR(VLOOKUP(C541,APOYO!J:K,2,FALSE),C541)</f>
        <v>SANTO TOMÁS</v>
      </c>
      <c r="E541">
        <v>2013</v>
      </c>
      <c r="F541" t="s">
        <v>2189</v>
      </c>
      <c r="G541" t="s">
        <v>2189</v>
      </c>
      <c r="H541">
        <v>14</v>
      </c>
      <c r="I541" s="13" t="s">
        <v>2189</v>
      </c>
      <c r="J541" s="13" t="s">
        <v>2189</v>
      </c>
      <c r="K541" s="13" t="s">
        <v>2189</v>
      </c>
    </row>
    <row r="542" spans="1:11" hidden="1" x14ac:dyDescent="0.25">
      <c r="A542" t="str">
        <f>_xlfn.XLOOKUP(C542, 'Códigos DANE Municipios'!$B$2:$B$1123, 'Códigos DANE Municipios'!$A$2:$A$1123, "No encontrado")</f>
        <v>66687</v>
      </c>
      <c r="B542" t="str">
        <f>IFERROR(VLOOKUP(D542,APOYO!K:L,2,FALSE),A542)</f>
        <v>66687</v>
      </c>
      <c r="C542" t="s">
        <v>1653</v>
      </c>
      <c r="D542" t="str">
        <f>IFERROR(VLOOKUP(C542,APOYO!J:K,2,FALSE),C542)</f>
        <v>SANTUARIO</v>
      </c>
      <c r="E542">
        <v>2013</v>
      </c>
      <c r="F542" t="s">
        <v>2189</v>
      </c>
      <c r="G542" t="s">
        <v>2189</v>
      </c>
      <c r="H542">
        <v>32</v>
      </c>
      <c r="I542" s="13" t="s">
        <v>2189</v>
      </c>
      <c r="J542" s="13" t="s">
        <v>2189</v>
      </c>
      <c r="K542" s="13" t="s">
        <v>2189</v>
      </c>
    </row>
    <row r="543" spans="1:11" hidden="1" x14ac:dyDescent="0.25">
      <c r="A543" t="str">
        <f>_xlfn.XLOOKUP(C543, 'Códigos DANE Municipios'!$B$2:$B$1123, 'Códigos DANE Municipios'!$A$2:$A$1123, "No encontrado")</f>
        <v>81736</v>
      </c>
      <c r="B543" t="str">
        <f>IFERROR(VLOOKUP(D543,APOYO!K:L,2,FALSE),A543)</f>
        <v>81736</v>
      </c>
      <c r="C543" t="s">
        <v>2044</v>
      </c>
      <c r="D543" t="str">
        <f>IFERROR(VLOOKUP(C543,APOYO!J:K,2,FALSE),C543)</f>
        <v>SARAVENA</v>
      </c>
      <c r="E543">
        <v>2013</v>
      </c>
      <c r="F543">
        <v>3997</v>
      </c>
      <c r="G543">
        <v>0</v>
      </c>
      <c r="H543">
        <v>18</v>
      </c>
      <c r="I543" s="13" t="s">
        <v>2189</v>
      </c>
      <c r="J543" s="13" t="s">
        <v>2189</v>
      </c>
      <c r="K543" s="13" t="s">
        <v>2189</v>
      </c>
    </row>
    <row r="544" spans="1:11" hidden="1" x14ac:dyDescent="0.25">
      <c r="A544" t="str">
        <f>_xlfn.XLOOKUP(C544, 'Códigos DANE Municipios'!$B$2:$B$1123, 'Códigos DANE Municipios'!$A$2:$A$1123, "No encontrado")</f>
        <v>54720</v>
      </c>
      <c r="B544" t="str">
        <f>IFERROR(VLOOKUP(D544,APOYO!K:L,2,FALSE),A544)</f>
        <v>54720</v>
      </c>
      <c r="C544" t="s">
        <v>1594</v>
      </c>
      <c r="D544" t="str">
        <f>IFERROR(VLOOKUP(C544,APOYO!J:K,2,FALSE),C544)</f>
        <v>SARDINATA</v>
      </c>
      <c r="E544">
        <v>2013</v>
      </c>
      <c r="F544" t="s">
        <v>2189</v>
      </c>
      <c r="G544" t="s">
        <v>2189</v>
      </c>
      <c r="H544">
        <v>2</v>
      </c>
      <c r="I544" s="13" t="s">
        <v>2189</v>
      </c>
      <c r="J544" s="13" t="s">
        <v>2189</v>
      </c>
      <c r="K544" s="13" t="s">
        <v>2189</v>
      </c>
    </row>
    <row r="545" spans="1:11" hidden="1" x14ac:dyDescent="0.25">
      <c r="A545" t="str">
        <f>_xlfn.XLOOKUP(C545, 'Códigos DANE Municipios'!$B$2:$B$1123, 'Códigos DANE Municipios'!$A$2:$A$1123, "No encontrado")</f>
        <v>25718</v>
      </c>
      <c r="B545" t="str">
        <f>IFERROR(VLOOKUP(D545,APOYO!K:L,2,FALSE),A545)</f>
        <v>25718</v>
      </c>
      <c r="C545" t="s">
        <v>1072</v>
      </c>
      <c r="D545" t="str">
        <f>IFERROR(VLOOKUP(C545,APOYO!J:K,2,FALSE),C545)</f>
        <v>SASAIMA</v>
      </c>
      <c r="E545">
        <v>2013</v>
      </c>
      <c r="F545" t="s">
        <v>2189</v>
      </c>
      <c r="G545" t="s">
        <v>2189</v>
      </c>
      <c r="H545">
        <v>26</v>
      </c>
      <c r="I545" s="13" t="s">
        <v>2189</v>
      </c>
      <c r="J545" s="13" t="s">
        <v>2189</v>
      </c>
      <c r="K545" s="13" t="s">
        <v>2189</v>
      </c>
    </row>
    <row r="546" spans="1:11" hidden="1" x14ac:dyDescent="0.25">
      <c r="A546" t="str">
        <f>_xlfn.XLOOKUP(C546, 'Códigos DANE Municipios'!$B$2:$B$1123, 'Códigos DANE Municipios'!$A$2:$A$1123, "No encontrado")</f>
        <v>05736</v>
      </c>
      <c r="B546" t="str">
        <f>IFERROR(VLOOKUP(D546,APOYO!K:L,2,FALSE),A546)</f>
        <v>05736</v>
      </c>
      <c r="C546" t="s">
        <v>220</v>
      </c>
      <c r="D546" t="str">
        <f>IFERROR(VLOOKUP(C546,APOYO!J:K,2,FALSE),C546)</f>
        <v>SEGOVIA</v>
      </c>
      <c r="E546">
        <v>2013</v>
      </c>
      <c r="F546" t="s">
        <v>2189</v>
      </c>
      <c r="G546" t="s">
        <v>2189</v>
      </c>
      <c r="H546">
        <v>4</v>
      </c>
      <c r="I546" s="13" t="s">
        <v>2189</v>
      </c>
      <c r="J546" s="13" t="s">
        <v>2189</v>
      </c>
      <c r="K546" s="13" t="s">
        <v>2189</v>
      </c>
    </row>
    <row r="547" spans="1:11" hidden="1" x14ac:dyDescent="0.25">
      <c r="A547" t="str">
        <f>_xlfn.XLOOKUP(C547, 'Códigos DANE Municipios'!$B$2:$B$1123, 'Códigos DANE Municipios'!$A$2:$A$1123, "No encontrado")</f>
        <v>25736</v>
      </c>
      <c r="B547" t="str">
        <f>IFERROR(VLOOKUP(D547,APOYO!K:L,2,FALSE),A547)</f>
        <v>25736</v>
      </c>
      <c r="C547" t="s">
        <v>1074</v>
      </c>
      <c r="D547" t="str">
        <f>IFERROR(VLOOKUP(C547,APOYO!J:K,2,FALSE),C547)</f>
        <v>SESQUILÉ</v>
      </c>
      <c r="E547">
        <v>2013</v>
      </c>
      <c r="F547" t="s">
        <v>2189</v>
      </c>
      <c r="G547" t="s">
        <v>2189</v>
      </c>
      <c r="H547">
        <v>5</v>
      </c>
      <c r="I547" s="13" t="s">
        <v>2189</v>
      </c>
      <c r="J547" s="13" t="s">
        <v>2189</v>
      </c>
      <c r="K547" s="13" t="s">
        <v>2189</v>
      </c>
    </row>
    <row r="548" spans="1:11" hidden="1" x14ac:dyDescent="0.25">
      <c r="A548" t="str">
        <f>_xlfn.XLOOKUP(C548, 'Códigos DANE Municipios'!$B$2:$B$1123, 'Códigos DANE Municipios'!$A$2:$A$1123, "No encontrado")</f>
        <v>76736</v>
      </c>
      <c r="B548" t="str">
        <f>IFERROR(VLOOKUP(D548,APOYO!K:L,2,FALSE),A548)</f>
        <v>76736</v>
      </c>
      <c r="C548" t="s">
        <v>2014</v>
      </c>
      <c r="D548" t="str">
        <f>IFERROR(VLOOKUP(C548,APOYO!J:K,2,FALSE),C548)</f>
        <v>SEVILLA</v>
      </c>
      <c r="E548">
        <v>2013</v>
      </c>
      <c r="F548" t="s">
        <v>2189</v>
      </c>
      <c r="G548" t="s">
        <v>2189</v>
      </c>
      <c r="H548">
        <v>121</v>
      </c>
      <c r="I548" s="13" t="s">
        <v>2189</v>
      </c>
      <c r="J548" s="13" t="s">
        <v>2189</v>
      </c>
      <c r="K548" s="13" t="s">
        <v>2189</v>
      </c>
    </row>
    <row r="549" spans="1:11" hidden="1" x14ac:dyDescent="0.25">
      <c r="A549" t="str">
        <f>_xlfn.XLOOKUP(C549, 'Códigos DANE Municipios'!$B$2:$B$1123, 'Códigos DANE Municipios'!$A$2:$A$1123, "No encontrado")</f>
        <v>25740</v>
      </c>
      <c r="B549" t="str">
        <f>IFERROR(VLOOKUP(D549,APOYO!K:L,2,FALSE),A549)</f>
        <v>25740</v>
      </c>
      <c r="C549" t="s">
        <v>1076</v>
      </c>
      <c r="D549" t="str">
        <f>IFERROR(VLOOKUP(C549,APOYO!J:K,2,FALSE),C549)</f>
        <v>SIBATÉ</v>
      </c>
      <c r="E549">
        <v>2013</v>
      </c>
      <c r="F549" t="s">
        <v>2189</v>
      </c>
      <c r="G549" t="s">
        <v>2189</v>
      </c>
      <c r="H549">
        <v>45</v>
      </c>
      <c r="I549" s="13" t="s">
        <v>2189</v>
      </c>
      <c r="J549" s="13" t="s">
        <v>2189</v>
      </c>
      <c r="K549" s="13" t="s">
        <v>2189</v>
      </c>
    </row>
    <row r="550" spans="1:11" hidden="1" x14ac:dyDescent="0.25">
      <c r="A550" t="str">
        <f>_xlfn.XLOOKUP(C550, 'Códigos DANE Municipios'!$B$2:$B$1123, 'Códigos DANE Municipios'!$A$2:$A$1123, "No encontrado")</f>
        <v>86749</v>
      </c>
      <c r="B550" t="str">
        <f>IFERROR(VLOOKUP(D550,APOYO!K:L,2,FALSE),A550)</f>
        <v>86749</v>
      </c>
      <c r="C550" t="s">
        <v>2097</v>
      </c>
      <c r="D550" t="str">
        <f>IFERROR(VLOOKUP(C550,APOYO!J:K,2,FALSE),C550)</f>
        <v>SIBUNDOY</v>
      </c>
      <c r="E550">
        <v>2013</v>
      </c>
      <c r="F550" t="s">
        <v>2189</v>
      </c>
      <c r="G550" t="s">
        <v>2189</v>
      </c>
      <c r="H550">
        <v>21</v>
      </c>
      <c r="I550" s="13" t="s">
        <v>2189</v>
      </c>
      <c r="J550" s="13" t="s">
        <v>2189</v>
      </c>
      <c r="K550" s="13" t="s">
        <v>2189</v>
      </c>
    </row>
    <row r="551" spans="1:11" hidden="1" x14ac:dyDescent="0.25">
      <c r="A551" t="str">
        <f>_xlfn.XLOOKUP(C551, 'Códigos DANE Municipios'!$B$2:$B$1123, 'Códigos DANE Municipios'!$A$2:$A$1123, "No encontrado")</f>
        <v>25743</v>
      </c>
      <c r="B551" t="str">
        <f>IFERROR(VLOOKUP(D551,APOYO!K:L,2,FALSE),A551)</f>
        <v>25743</v>
      </c>
      <c r="C551" t="s">
        <v>1078</v>
      </c>
      <c r="D551" t="str">
        <f>IFERROR(VLOOKUP(C551,APOYO!J:K,2,FALSE),C551)</f>
        <v>SILVANIA</v>
      </c>
      <c r="E551">
        <v>2013</v>
      </c>
      <c r="F551" t="s">
        <v>2189</v>
      </c>
      <c r="G551" t="s">
        <v>2189</v>
      </c>
      <c r="H551">
        <v>35</v>
      </c>
      <c r="I551" s="13" t="s">
        <v>2189</v>
      </c>
      <c r="J551" s="13" t="s">
        <v>2189</v>
      </c>
      <c r="K551" s="13" t="s">
        <v>2189</v>
      </c>
    </row>
    <row r="552" spans="1:11" hidden="1" x14ac:dyDescent="0.25">
      <c r="A552" t="str">
        <f>_xlfn.XLOOKUP(C552, 'Códigos DANE Municipios'!$B$2:$B$1123, 'Códigos DANE Municipios'!$A$2:$A$1123, "No encontrado")</f>
        <v>19743</v>
      </c>
      <c r="B552" t="str">
        <f>IFERROR(VLOOKUP(D552,APOYO!K:L,2,FALSE),A552)</f>
        <v>19743</v>
      </c>
      <c r="C552" t="s">
        <v>790</v>
      </c>
      <c r="D552" t="str">
        <f>IFERROR(VLOOKUP(C552,APOYO!J:K,2,FALSE),C552)</f>
        <v>SILVIA</v>
      </c>
      <c r="E552">
        <v>2013</v>
      </c>
      <c r="F552" t="s">
        <v>2189</v>
      </c>
      <c r="G552" t="s">
        <v>2189</v>
      </c>
      <c r="H552">
        <v>2</v>
      </c>
      <c r="I552" s="13" t="s">
        <v>2189</v>
      </c>
      <c r="J552" s="13" t="s">
        <v>2189</v>
      </c>
      <c r="K552" s="13" t="s">
        <v>2189</v>
      </c>
    </row>
    <row r="553" spans="1:11" hidden="1" x14ac:dyDescent="0.25">
      <c r="A553" t="str">
        <f>_xlfn.XLOOKUP(C553, 'Códigos DANE Municipios'!$B$2:$B$1123, 'Códigos DANE Municipios'!$A$2:$A$1123, "No encontrado")</f>
        <v>25745</v>
      </c>
      <c r="B553" t="str">
        <f>IFERROR(VLOOKUP(D553,APOYO!K:L,2,FALSE),A553)</f>
        <v>25745</v>
      </c>
      <c r="C553" t="s">
        <v>1080</v>
      </c>
      <c r="D553" t="str">
        <f>IFERROR(VLOOKUP(C553,APOYO!J:K,2,FALSE),C553)</f>
        <v>SIMIJACA</v>
      </c>
      <c r="E553">
        <v>2013</v>
      </c>
      <c r="F553" t="s">
        <v>2189</v>
      </c>
      <c r="G553" t="s">
        <v>2189</v>
      </c>
      <c r="H553">
        <v>11</v>
      </c>
      <c r="I553" s="13" t="s">
        <v>2189</v>
      </c>
      <c r="J553" s="13" t="s">
        <v>2189</v>
      </c>
      <c r="K553" s="13" t="s">
        <v>2189</v>
      </c>
    </row>
    <row r="554" spans="1:11" hidden="1" x14ac:dyDescent="0.25">
      <c r="A554" t="str">
        <f>_xlfn.XLOOKUP(C554, 'Códigos DANE Municipios'!$B$2:$B$1123, 'Códigos DANE Municipios'!$A$2:$A$1123, "No encontrado")</f>
        <v>70742</v>
      </c>
      <c r="B554" t="str">
        <f>IFERROR(VLOOKUP(D554,APOYO!K:L,2,FALSE),A554)</f>
        <v>70742</v>
      </c>
      <c r="C554" t="s">
        <v>1858</v>
      </c>
      <c r="D554" t="str">
        <f>IFERROR(VLOOKUP(C554,APOYO!J:K,2,FALSE),C554)</f>
        <v>SAN LUIS DE SINCÉ</v>
      </c>
      <c r="E554">
        <v>2013</v>
      </c>
      <c r="F554" t="s">
        <v>2189</v>
      </c>
      <c r="G554" t="s">
        <v>2189</v>
      </c>
      <c r="H554">
        <v>6</v>
      </c>
      <c r="I554" s="13" t="s">
        <v>2189</v>
      </c>
      <c r="J554" s="13" t="s">
        <v>2189</v>
      </c>
      <c r="K554" s="13" t="s">
        <v>2189</v>
      </c>
    </row>
    <row r="555" spans="1:11" hidden="1" x14ac:dyDescent="0.25">
      <c r="A555" t="str">
        <f>_xlfn.XLOOKUP(C555, 'Códigos DANE Municipios'!$B$2:$B$1123, 'Códigos DANE Municipios'!$A$2:$A$1123, "No encontrado")</f>
        <v>70001</v>
      </c>
      <c r="B555" t="str">
        <f>IFERROR(VLOOKUP(D555,APOYO!K:L,2,FALSE),A555)</f>
        <v>70001</v>
      </c>
      <c r="C555" t="s">
        <v>1816</v>
      </c>
      <c r="D555" t="str">
        <f>IFERROR(VLOOKUP(C555,APOYO!J:K,2,FALSE),C555)</f>
        <v>SINCELEJO</v>
      </c>
      <c r="E555">
        <v>2013</v>
      </c>
      <c r="F555" t="s">
        <v>2189</v>
      </c>
      <c r="G555" t="s">
        <v>2189</v>
      </c>
      <c r="H555">
        <v>483</v>
      </c>
      <c r="I555" s="13" t="s">
        <v>2189</v>
      </c>
      <c r="J555" s="13" t="s">
        <v>2189</v>
      </c>
      <c r="K555" s="13" t="s">
        <v>2189</v>
      </c>
    </row>
    <row r="556" spans="1:11" hidden="1" x14ac:dyDescent="0.25">
      <c r="A556" t="str">
        <f>_xlfn.XLOOKUP(C556, 'Códigos DANE Municipios'!$B$2:$B$1123, 'Códigos DANE Municipios'!$A$2:$A$1123, "No encontrado")</f>
        <v>47745</v>
      </c>
      <c r="B556" t="str">
        <f>IFERROR(VLOOKUP(D556,APOYO!K:L,2,FALSE),A556)</f>
        <v>47745</v>
      </c>
      <c r="C556" t="s">
        <v>1350</v>
      </c>
      <c r="D556" t="str">
        <f>IFERROR(VLOOKUP(C556,APOYO!J:K,2,FALSE),C556)</f>
        <v>SITIONUEVO</v>
      </c>
      <c r="E556">
        <v>2013</v>
      </c>
      <c r="F556" t="s">
        <v>2189</v>
      </c>
      <c r="G556" t="s">
        <v>2189</v>
      </c>
      <c r="H556">
        <v>3</v>
      </c>
      <c r="I556" s="13" t="s">
        <v>2189</v>
      </c>
      <c r="J556" s="13" t="s">
        <v>2189</v>
      </c>
      <c r="K556" s="13" t="s">
        <v>2189</v>
      </c>
    </row>
    <row r="557" spans="1:11" hidden="1" x14ac:dyDescent="0.25">
      <c r="A557" t="str">
        <f>_xlfn.XLOOKUP(C557, 'Códigos DANE Municipios'!$B$2:$B$1123, 'Códigos DANE Municipios'!$A$2:$A$1123, "No encontrado")</f>
        <v>25754</v>
      </c>
      <c r="B557" t="str">
        <f>IFERROR(VLOOKUP(D557,APOYO!K:L,2,FALSE),A557)</f>
        <v>25754</v>
      </c>
      <c r="C557" t="s">
        <v>1082</v>
      </c>
      <c r="D557" t="str">
        <f>IFERROR(VLOOKUP(C557,APOYO!J:K,2,FALSE),C557)</f>
        <v>SOACHA</v>
      </c>
      <c r="E557">
        <v>2013</v>
      </c>
      <c r="F557" t="s">
        <v>2189</v>
      </c>
      <c r="G557" t="s">
        <v>2189</v>
      </c>
      <c r="H557">
        <v>93</v>
      </c>
      <c r="I557" s="13" t="s">
        <v>2189</v>
      </c>
      <c r="J557" s="13" t="s">
        <v>2189</v>
      </c>
      <c r="K557" s="13" t="s">
        <v>2189</v>
      </c>
    </row>
    <row r="558" spans="1:11" hidden="1" x14ac:dyDescent="0.25">
      <c r="A558" t="str">
        <f>_xlfn.XLOOKUP(C558, 'Códigos DANE Municipios'!$B$2:$B$1123, 'Códigos DANE Municipios'!$A$2:$A$1123, "No encontrado")</f>
        <v>15757</v>
      </c>
      <c r="B558" t="str">
        <f>IFERROR(VLOOKUP(D558,APOYO!K:L,2,FALSE),A558)</f>
        <v>15757</v>
      </c>
      <c r="C558" t="s">
        <v>590</v>
      </c>
      <c r="D558" t="str">
        <f>IFERROR(VLOOKUP(C558,APOYO!J:K,2,FALSE),C558)</f>
        <v>SOCHA</v>
      </c>
      <c r="E558">
        <v>2013</v>
      </c>
      <c r="F558" t="s">
        <v>2189</v>
      </c>
      <c r="G558" t="s">
        <v>2189</v>
      </c>
      <c r="H558" t="s">
        <v>2189</v>
      </c>
      <c r="I558" s="13">
        <v>8</v>
      </c>
      <c r="J558" s="13" t="s">
        <v>2189</v>
      </c>
      <c r="K558" s="13" t="s">
        <v>2189</v>
      </c>
    </row>
    <row r="559" spans="1:11" hidden="1" x14ac:dyDescent="0.25">
      <c r="A559" t="str">
        <f>_xlfn.XLOOKUP(C559, 'Códigos DANE Municipios'!$B$2:$B$1123, 'Códigos DANE Municipios'!$A$2:$A$1123, "No encontrado")</f>
        <v>68755</v>
      </c>
      <c r="B559" t="str">
        <f>IFERROR(VLOOKUP(D559,APOYO!K:L,2,FALSE),A559)</f>
        <v>68755</v>
      </c>
      <c r="C559" t="s">
        <v>1798</v>
      </c>
      <c r="D559" t="str">
        <f>IFERROR(VLOOKUP(C559,APOYO!J:K,2,FALSE),C559)</f>
        <v>SOCORRO</v>
      </c>
      <c r="E559">
        <v>2013</v>
      </c>
      <c r="F559" t="s">
        <v>2189</v>
      </c>
      <c r="G559" t="s">
        <v>2189</v>
      </c>
      <c r="H559">
        <v>48</v>
      </c>
      <c r="I559" s="13" t="s">
        <v>2189</v>
      </c>
      <c r="J559" s="13" t="s">
        <v>2189</v>
      </c>
      <c r="K559" s="13" t="s">
        <v>2189</v>
      </c>
    </row>
    <row r="560" spans="1:11" hidden="1" x14ac:dyDescent="0.25">
      <c r="A560" t="str">
        <f>_xlfn.XLOOKUP(C560, 'Códigos DANE Municipios'!$B$2:$B$1123, 'Códigos DANE Municipios'!$A$2:$A$1123, "No encontrado")</f>
        <v>15759</v>
      </c>
      <c r="B560" t="str">
        <f>IFERROR(VLOOKUP(D560,APOYO!K:L,2,FALSE),A560)</f>
        <v>15759</v>
      </c>
      <c r="C560" t="s">
        <v>592</v>
      </c>
      <c r="D560" t="str">
        <f>IFERROR(VLOOKUP(C560,APOYO!J:K,2,FALSE),C560)</f>
        <v>SOGAMOSO</v>
      </c>
      <c r="E560">
        <v>2013</v>
      </c>
      <c r="F560" t="s">
        <v>2189</v>
      </c>
      <c r="G560" t="s">
        <v>2189</v>
      </c>
      <c r="H560">
        <v>577</v>
      </c>
      <c r="I560" s="13" t="s">
        <v>2189</v>
      </c>
      <c r="J560" s="13" t="s">
        <v>2189</v>
      </c>
      <c r="K560" s="13" t="s">
        <v>2189</v>
      </c>
    </row>
    <row r="561" spans="1:11" hidden="1" x14ac:dyDescent="0.25">
      <c r="A561" t="str">
        <f>_xlfn.XLOOKUP(C561, 'Códigos DANE Municipios'!$B$2:$B$1123, 'Códigos DANE Municipios'!$A$2:$A$1123, "No encontrado")</f>
        <v>18756</v>
      </c>
      <c r="B561" t="str">
        <f>IFERROR(VLOOKUP(D561,APOYO!K:L,2,FALSE),A561)</f>
        <v>18756</v>
      </c>
      <c r="C561" t="s">
        <v>724</v>
      </c>
      <c r="D561" t="str">
        <f>IFERROR(VLOOKUP(C561,APOYO!J:K,2,FALSE),C561)</f>
        <v>SOLANO</v>
      </c>
      <c r="E561">
        <v>2013</v>
      </c>
      <c r="F561">
        <v>621</v>
      </c>
      <c r="G561" t="s">
        <v>2189</v>
      </c>
      <c r="H561">
        <v>1</v>
      </c>
      <c r="I561" s="13" t="s">
        <v>2189</v>
      </c>
      <c r="J561" s="13" t="s">
        <v>2189</v>
      </c>
      <c r="K561" s="13" t="s">
        <v>2189</v>
      </c>
    </row>
    <row r="562" spans="1:11" hidden="1" x14ac:dyDescent="0.25">
      <c r="A562" t="str">
        <f>_xlfn.XLOOKUP(C562, 'Códigos DANE Municipios'!$B$2:$B$1123, 'Códigos DANE Municipios'!$A$2:$A$1123, "No encontrado")</f>
        <v>08758</v>
      </c>
      <c r="B562" t="str">
        <f>IFERROR(VLOOKUP(D562,APOYO!K:L,2,FALSE),A562)</f>
        <v>08758</v>
      </c>
      <c r="C562" t="s">
        <v>299</v>
      </c>
      <c r="D562" t="str">
        <f>IFERROR(VLOOKUP(C562,APOYO!J:K,2,FALSE),C562)</f>
        <v>SOLEDAD</v>
      </c>
      <c r="E562">
        <v>2013</v>
      </c>
      <c r="F562" t="s">
        <v>2189</v>
      </c>
      <c r="G562" t="s">
        <v>2189</v>
      </c>
      <c r="H562">
        <v>127</v>
      </c>
      <c r="I562" s="13" t="s">
        <v>2189</v>
      </c>
      <c r="J562" s="13" t="s">
        <v>2189</v>
      </c>
      <c r="K562" s="13" t="s">
        <v>2189</v>
      </c>
    </row>
    <row r="563" spans="1:11" hidden="1" x14ac:dyDescent="0.25">
      <c r="A563" t="str">
        <f>_xlfn.XLOOKUP(C563, 'Códigos DANE Municipios'!$B$2:$B$1123, 'Códigos DANE Municipios'!$A$2:$A$1123, "No encontrado")</f>
        <v>15761</v>
      </c>
      <c r="B563" t="str">
        <f>IFERROR(VLOOKUP(D563,APOYO!K:L,2,FALSE),A563)</f>
        <v>15761</v>
      </c>
      <c r="C563" t="s">
        <v>594</v>
      </c>
      <c r="D563" t="str">
        <f>IFERROR(VLOOKUP(C563,APOYO!J:K,2,FALSE),C563)</f>
        <v>SOMONDOCO</v>
      </c>
      <c r="E563">
        <v>2013</v>
      </c>
      <c r="F563" t="s">
        <v>2189</v>
      </c>
      <c r="G563" t="s">
        <v>2189</v>
      </c>
      <c r="H563">
        <v>2</v>
      </c>
      <c r="I563" s="13" t="s">
        <v>2189</v>
      </c>
      <c r="J563" s="13" t="s">
        <v>2189</v>
      </c>
      <c r="K563" s="13" t="s">
        <v>2189</v>
      </c>
    </row>
    <row r="564" spans="1:11" hidden="1" x14ac:dyDescent="0.25">
      <c r="A564" t="str">
        <f>_xlfn.XLOOKUP(C564, 'Códigos DANE Municipios'!$B$2:$B$1123, 'Códigos DANE Municipios'!$A$2:$A$1123, "No encontrado")</f>
        <v>05756</v>
      </c>
      <c r="B564" t="str">
        <f>IFERROR(VLOOKUP(D564,APOYO!K:L,2,FALSE),A564)</f>
        <v>05756</v>
      </c>
      <c r="C564" t="s">
        <v>222</v>
      </c>
      <c r="D564" t="str">
        <f>IFERROR(VLOOKUP(C564,APOYO!J:K,2,FALSE),C564)</f>
        <v>SONSÓN</v>
      </c>
      <c r="E564">
        <v>2013</v>
      </c>
      <c r="F564" t="s">
        <v>2189</v>
      </c>
      <c r="G564" t="s">
        <v>2189</v>
      </c>
      <c r="H564">
        <v>7</v>
      </c>
      <c r="I564" s="13" t="s">
        <v>2189</v>
      </c>
      <c r="J564" s="13" t="s">
        <v>2189</v>
      </c>
      <c r="K564" s="13" t="s">
        <v>2189</v>
      </c>
    </row>
    <row r="565" spans="1:11" hidden="1" x14ac:dyDescent="0.25">
      <c r="A565" t="str">
        <f>_xlfn.XLOOKUP(C565, 'Códigos DANE Municipios'!$B$2:$B$1123, 'Códigos DANE Municipios'!$A$2:$A$1123, "No encontrado")</f>
        <v>05761</v>
      </c>
      <c r="B565" t="str">
        <f>IFERROR(VLOOKUP(D565,APOYO!K:L,2,FALSE),A565)</f>
        <v>05761</v>
      </c>
      <c r="C565" t="s">
        <v>224</v>
      </c>
      <c r="D565" t="str">
        <f>IFERROR(VLOOKUP(C565,APOYO!J:K,2,FALSE),C565)</f>
        <v>SOPETRÁN</v>
      </c>
      <c r="E565">
        <v>2013</v>
      </c>
      <c r="F565" t="s">
        <v>2189</v>
      </c>
      <c r="G565" t="s">
        <v>2189</v>
      </c>
      <c r="H565">
        <v>1</v>
      </c>
      <c r="I565" s="13" t="s">
        <v>2189</v>
      </c>
      <c r="J565" s="13" t="s">
        <v>2189</v>
      </c>
      <c r="K565" s="13" t="s">
        <v>2189</v>
      </c>
    </row>
    <row r="566" spans="1:11" hidden="1" x14ac:dyDescent="0.25">
      <c r="A566" t="str">
        <f>_xlfn.XLOOKUP(C566, 'Códigos DANE Municipios'!$B$2:$B$1123, 'Códigos DANE Municipios'!$A$2:$A$1123, "No encontrado")</f>
        <v>25758</v>
      </c>
      <c r="B566" t="str">
        <f>IFERROR(VLOOKUP(D566,APOYO!K:L,2,FALSE),A566)</f>
        <v>25758</v>
      </c>
      <c r="C566" t="s">
        <v>1084</v>
      </c>
      <c r="D566" t="str">
        <f>IFERROR(VLOOKUP(C566,APOYO!J:K,2,FALSE),C566)</f>
        <v>SOPÓ</v>
      </c>
      <c r="E566">
        <v>2013</v>
      </c>
      <c r="F566" t="s">
        <v>2189</v>
      </c>
      <c r="G566" t="s">
        <v>2189</v>
      </c>
      <c r="H566">
        <v>96</v>
      </c>
      <c r="I566" s="13" t="s">
        <v>2189</v>
      </c>
      <c r="J566" s="13" t="s">
        <v>2189</v>
      </c>
      <c r="K566" s="13" t="s">
        <v>2189</v>
      </c>
    </row>
    <row r="567" spans="1:11" hidden="1" x14ac:dyDescent="0.25">
      <c r="A567" t="str">
        <f>_xlfn.XLOOKUP(C567, 'Códigos DANE Municipios'!$B$2:$B$1123, 'Códigos DANE Municipios'!$A$2:$A$1123, "No encontrado")</f>
        <v>15762</v>
      </c>
      <c r="B567" t="str">
        <f>IFERROR(VLOOKUP(D567,APOYO!K:L,2,FALSE),A567)</f>
        <v>15762</v>
      </c>
      <c r="C567" t="s">
        <v>596</v>
      </c>
      <c r="D567" t="str">
        <f>IFERROR(VLOOKUP(C567,APOYO!J:K,2,FALSE),C567)</f>
        <v>SORA</v>
      </c>
      <c r="E567">
        <v>2013</v>
      </c>
      <c r="F567" t="s">
        <v>2189</v>
      </c>
      <c r="G567" t="s">
        <v>2189</v>
      </c>
      <c r="H567">
        <v>1</v>
      </c>
      <c r="I567" s="13" t="s">
        <v>2189</v>
      </c>
      <c r="J567" s="13" t="s">
        <v>2189</v>
      </c>
      <c r="K567" s="13" t="s">
        <v>2189</v>
      </c>
    </row>
    <row r="568" spans="1:11" hidden="1" x14ac:dyDescent="0.25">
      <c r="A568" t="str">
        <f>_xlfn.XLOOKUP(C568, 'Códigos DANE Municipios'!$B$2:$B$1123, 'Códigos DANE Municipios'!$A$2:$A$1123, "No encontrado")</f>
        <v>15763</v>
      </c>
      <c r="B568" t="str">
        <f>IFERROR(VLOOKUP(D568,APOYO!K:L,2,FALSE),A568)</f>
        <v>15763</v>
      </c>
      <c r="C568" t="s">
        <v>598</v>
      </c>
      <c r="D568" t="str">
        <f>IFERROR(VLOOKUP(C568,APOYO!J:K,2,FALSE),C568)</f>
        <v>SOTAQUIRÁ</v>
      </c>
      <c r="E568">
        <v>2013</v>
      </c>
      <c r="F568" t="s">
        <v>2189</v>
      </c>
      <c r="G568" t="s">
        <v>2189</v>
      </c>
      <c r="H568">
        <v>2</v>
      </c>
      <c r="I568" s="13" t="s">
        <v>2189</v>
      </c>
      <c r="J568" s="13" t="s">
        <v>2189</v>
      </c>
      <c r="K568" s="13" t="s">
        <v>2189</v>
      </c>
    </row>
    <row r="569" spans="1:11" hidden="1" x14ac:dyDescent="0.25">
      <c r="A569" t="str">
        <f>_xlfn.XLOOKUP(C569, 'Códigos DANE Municipios'!$B$2:$B$1123, 'Códigos DANE Municipios'!$A$2:$A$1123, "No encontrado")</f>
        <v>05686</v>
      </c>
      <c r="B569" t="str">
        <f>IFERROR(VLOOKUP(D569,APOYO!K:L,2,FALSE),A569)</f>
        <v>05686</v>
      </c>
      <c r="C569" t="s">
        <v>214</v>
      </c>
      <c r="D569" t="str">
        <f>IFERROR(VLOOKUP(C569,APOYO!J:K,2,FALSE),C569)</f>
        <v>SANTA ROSA DE OSOS</v>
      </c>
      <c r="E569">
        <v>2013</v>
      </c>
      <c r="F569" t="s">
        <v>2189</v>
      </c>
      <c r="G569" t="s">
        <v>2189</v>
      </c>
      <c r="H569">
        <v>16</v>
      </c>
      <c r="I569" s="13" t="s">
        <v>2189</v>
      </c>
      <c r="J569" s="13" t="s">
        <v>2189</v>
      </c>
      <c r="K569" s="13" t="s">
        <v>2189</v>
      </c>
    </row>
    <row r="570" spans="1:11" hidden="1" x14ac:dyDescent="0.25">
      <c r="A570" t="str">
        <f>_xlfn.XLOOKUP(C570, 'Códigos DANE Municipios'!$B$2:$B$1123, 'Códigos DANE Municipios'!$A$2:$A$1123, "No encontrado")</f>
        <v>68770</v>
      </c>
      <c r="B570" t="str">
        <f>IFERROR(VLOOKUP(D570,APOYO!K:L,2,FALSE),A570)</f>
        <v>68770</v>
      </c>
      <c r="C570" t="s">
        <v>1800</v>
      </c>
      <c r="D570" t="str">
        <f>IFERROR(VLOOKUP(C570,APOYO!J:K,2,FALSE),C570)</f>
        <v>SUAITA</v>
      </c>
      <c r="E570">
        <v>2013</v>
      </c>
      <c r="F570" t="s">
        <v>2189</v>
      </c>
      <c r="G570" t="s">
        <v>2189</v>
      </c>
      <c r="H570">
        <v>2</v>
      </c>
      <c r="I570" s="13" t="s">
        <v>2189</v>
      </c>
      <c r="J570" s="13" t="s">
        <v>2189</v>
      </c>
      <c r="K570" s="13" t="s">
        <v>2189</v>
      </c>
    </row>
    <row r="571" spans="1:11" hidden="1" x14ac:dyDescent="0.25">
      <c r="A571" t="str">
        <f>_xlfn.XLOOKUP(C571, 'Códigos DANE Municipios'!$B$2:$B$1123, 'Códigos DANE Municipios'!$A$2:$A$1123, "No encontrado")</f>
        <v>08770</v>
      </c>
      <c r="B571" t="str">
        <f>IFERROR(VLOOKUP(D571,APOYO!K:L,2,FALSE),A571)</f>
        <v>08770</v>
      </c>
      <c r="C571" t="s">
        <v>301</v>
      </c>
      <c r="D571" t="str">
        <f>IFERROR(VLOOKUP(C571,APOYO!J:K,2,FALSE),C571)</f>
        <v>SUAN</v>
      </c>
      <c r="E571">
        <v>2013</v>
      </c>
      <c r="F571" t="s">
        <v>2189</v>
      </c>
      <c r="G571" t="s">
        <v>2189</v>
      </c>
      <c r="H571">
        <v>6</v>
      </c>
      <c r="I571" s="13" t="s">
        <v>2189</v>
      </c>
      <c r="J571" s="13" t="s">
        <v>2189</v>
      </c>
      <c r="K571" s="13" t="s">
        <v>2189</v>
      </c>
    </row>
    <row r="572" spans="1:11" hidden="1" x14ac:dyDescent="0.25">
      <c r="A572" t="str">
        <f>_xlfn.XLOOKUP(C572, 'Códigos DANE Municipios'!$B$2:$B$1123, 'Códigos DANE Municipios'!$A$2:$A$1123, "No encontrado")</f>
        <v>41770</v>
      </c>
      <c r="B572" t="str">
        <f>IFERROR(VLOOKUP(D572,APOYO!K:L,2,FALSE),A572)</f>
        <v>41770</v>
      </c>
      <c r="C572" t="s">
        <v>1256</v>
      </c>
      <c r="D572" t="str">
        <f>IFERROR(VLOOKUP(C572,APOYO!J:K,2,FALSE),C572)</f>
        <v>SUAZA</v>
      </c>
      <c r="E572">
        <v>2013</v>
      </c>
      <c r="F572" t="s">
        <v>2189</v>
      </c>
      <c r="G572" t="s">
        <v>2189</v>
      </c>
      <c r="H572">
        <v>5</v>
      </c>
      <c r="I572" s="13" t="s">
        <v>2189</v>
      </c>
      <c r="J572" s="13" t="s">
        <v>2189</v>
      </c>
      <c r="K572" s="13" t="s">
        <v>2189</v>
      </c>
    </row>
    <row r="573" spans="1:11" hidden="1" x14ac:dyDescent="0.25">
      <c r="A573" t="str">
        <f>_xlfn.XLOOKUP(C573, 'Códigos DANE Municipios'!$B$2:$B$1123, 'Códigos DANE Municipios'!$A$2:$A$1123, "No encontrado")</f>
        <v>25769</v>
      </c>
      <c r="B573" t="str">
        <f>IFERROR(VLOOKUP(D573,APOYO!K:L,2,FALSE),A573)</f>
        <v>25769</v>
      </c>
      <c r="C573" t="s">
        <v>1086</v>
      </c>
      <c r="D573" t="str">
        <f>IFERROR(VLOOKUP(C573,APOYO!J:K,2,FALSE),C573)</f>
        <v>SUBACHOQUE</v>
      </c>
      <c r="E573">
        <v>2013</v>
      </c>
      <c r="F573" t="s">
        <v>2189</v>
      </c>
      <c r="G573" t="s">
        <v>2189</v>
      </c>
      <c r="H573">
        <v>37</v>
      </c>
      <c r="I573" s="13" t="s">
        <v>2189</v>
      </c>
      <c r="J573" s="13" t="s">
        <v>2189</v>
      </c>
      <c r="K573" s="13" t="s">
        <v>2189</v>
      </c>
    </row>
    <row r="574" spans="1:11" hidden="1" x14ac:dyDescent="0.25">
      <c r="A574" t="str">
        <f>_xlfn.XLOOKUP(C574, 'Códigos DANE Municipios'!$B$2:$B$1123, 'Códigos DANE Municipios'!$A$2:$A$1123, "No encontrado")</f>
        <v>19785</v>
      </c>
      <c r="B574" t="str">
        <f>IFERROR(VLOOKUP(D574,APOYO!K:L,2,FALSE),A574)</f>
        <v>19785</v>
      </c>
      <c r="C574" t="s">
        <v>796</v>
      </c>
      <c r="D574" t="str">
        <f>IFERROR(VLOOKUP(C574,APOYO!J:K,2,FALSE),C574)</f>
        <v>SUCRE</v>
      </c>
      <c r="E574">
        <v>2013</v>
      </c>
      <c r="F574" t="s">
        <v>2189</v>
      </c>
      <c r="G574" t="s">
        <v>2189</v>
      </c>
      <c r="H574">
        <v>12</v>
      </c>
      <c r="I574" s="13" t="s">
        <v>2189</v>
      </c>
      <c r="J574" s="13" t="s">
        <v>2189</v>
      </c>
      <c r="K574" s="13" t="s">
        <v>2189</v>
      </c>
    </row>
    <row r="575" spans="1:11" hidden="1" x14ac:dyDescent="0.25">
      <c r="A575" t="str">
        <f>_xlfn.XLOOKUP(C575, 'Códigos DANE Municipios'!$B$2:$B$1123, 'Códigos DANE Municipios'!$A$2:$A$1123, "No encontrado")</f>
        <v>25772</v>
      </c>
      <c r="B575" t="str">
        <f>IFERROR(VLOOKUP(D575,APOYO!K:L,2,FALSE),A575)</f>
        <v>25772</v>
      </c>
      <c r="C575" t="s">
        <v>1088</v>
      </c>
      <c r="D575" t="str">
        <f>IFERROR(VLOOKUP(C575,APOYO!J:K,2,FALSE),C575)</f>
        <v>SUESCA</v>
      </c>
      <c r="E575">
        <v>2013</v>
      </c>
      <c r="F575" t="s">
        <v>2189</v>
      </c>
      <c r="G575" t="s">
        <v>2189</v>
      </c>
      <c r="H575">
        <v>32</v>
      </c>
      <c r="I575" s="13" t="s">
        <v>2189</v>
      </c>
      <c r="J575" s="13" t="s">
        <v>2189</v>
      </c>
      <c r="K575" s="13" t="s">
        <v>2189</v>
      </c>
    </row>
    <row r="576" spans="1:11" hidden="1" x14ac:dyDescent="0.25">
      <c r="A576" t="str">
        <f>_xlfn.XLOOKUP(C576, 'Códigos DANE Municipios'!$B$2:$B$1123, 'Códigos DANE Municipios'!$A$2:$A$1123, "No encontrado")</f>
        <v>17777</v>
      </c>
      <c r="B576" t="str">
        <f>IFERROR(VLOOKUP(D576,APOYO!K:L,2,FALSE),A576)</f>
        <v>17777</v>
      </c>
      <c r="C576" t="s">
        <v>690</v>
      </c>
      <c r="D576" t="str">
        <f>IFERROR(VLOOKUP(C576,APOYO!J:K,2,FALSE),C576)</f>
        <v>SUPÍA</v>
      </c>
      <c r="E576">
        <v>2013</v>
      </c>
      <c r="F576" t="s">
        <v>2189</v>
      </c>
      <c r="G576" t="s">
        <v>2189</v>
      </c>
      <c r="H576">
        <v>16</v>
      </c>
      <c r="I576" s="13" t="s">
        <v>2189</v>
      </c>
      <c r="J576" s="13" t="s">
        <v>2189</v>
      </c>
      <c r="K576" s="13" t="s">
        <v>2189</v>
      </c>
    </row>
    <row r="577" spans="1:11" hidden="1" x14ac:dyDescent="0.25">
      <c r="A577" t="str">
        <f>_xlfn.XLOOKUP(C577, 'Códigos DANE Municipios'!$B$2:$B$1123, 'Códigos DANE Municipios'!$A$2:$A$1123, "No encontrado")</f>
        <v>25779</v>
      </c>
      <c r="B577" t="str">
        <f>IFERROR(VLOOKUP(D577,APOYO!K:L,2,FALSE),A577)</f>
        <v>25779</v>
      </c>
      <c r="C577" t="s">
        <v>1092</v>
      </c>
      <c r="D577" t="str">
        <f>IFERROR(VLOOKUP(C577,APOYO!J:K,2,FALSE),C577)</f>
        <v>SUSA</v>
      </c>
      <c r="E577">
        <v>2013</v>
      </c>
      <c r="F577" t="s">
        <v>2189</v>
      </c>
      <c r="G577" t="s">
        <v>2189</v>
      </c>
      <c r="H577">
        <v>2</v>
      </c>
      <c r="I577" s="13" t="s">
        <v>2189</v>
      </c>
      <c r="J577" s="13" t="s">
        <v>2189</v>
      </c>
      <c r="K577" s="13" t="s">
        <v>2189</v>
      </c>
    </row>
    <row r="578" spans="1:11" hidden="1" x14ac:dyDescent="0.25">
      <c r="A578" t="str">
        <f>_xlfn.XLOOKUP(C578, 'Códigos DANE Municipios'!$B$2:$B$1123, 'Códigos DANE Municipios'!$A$2:$A$1123, "No encontrado")</f>
        <v>15776</v>
      </c>
      <c r="B578" t="str">
        <f>IFERROR(VLOOKUP(D578,APOYO!K:L,2,FALSE),A578)</f>
        <v>15776</v>
      </c>
      <c r="C578" t="s">
        <v>604</v>
      </c>
      <c r="D578" t="str">
        <f>IFERROR(VLOOKUP(C578,APOYO!J:K,2,FALSE),C578)</f>
        <v>SUTAMARCHÁN</v>
      </c>
      <c r="E578">
        <v>2013</v>
      </c>
      <c r="F578" t="s">
        <v>2189</v>
      </c>
      <c r="G578" t="s">
        <v>2189</v>
      </c>
      <c r="H578">
        <v>4</v>
      </c>
      <c r="I578" s="13" t="s">
        <v>2189</v>
      </c>
      <c r="J578" s="13" t="s">
        <v>2189</v>
      </c>
      <c r="K578" s="13" t="s">
        <v>2189</v>
      </c>
    </row>
    <row r="579" spans="1:11" hidden="1" x14ac:dyDescent="0.25">
      <c r="A579" t="str">
        <f>_xlfn.XLOOKUP(C579, 'Códigos DANE Municipios'!$B$2:$B$1123, 'Códigos DANE Municipios'!$A$2:$A$1123, "No encontrado")</f>
        <v>15778</v>
      </c>
      <c r="B579" t="str">
        <f>IFERROR(VLOOKUP(D579,APOYO!K:L,2,FALSE),A579)</f>
        <v>15778</v>
      </c>
      <c r="C579" t="s">
        <v>606</v>
      </c>
      <c r="D579" t="str">
        <f>IFERROR(VLOOKUP(C579,APOYO!J:K,2,FALSE),C579)</f>
        <v>SUTATENZA</v>
      </c>
      <c r="E579">
        <v>2013</v>
      </c>
      <c r="F579" t="s">
        <v>2189</v>
      </c>
      <c r="G579" t="s">
        <v>2189</v>
      </c>
      <c r="H579">
        <v>2</v>
      </c>
      <c r="I579" s="13" t="s">
        <v>2189</v>
      </c>
      <c r="J579" s="13" t="s">
        <v>2189</v>
      </c>
      <c r="K579" s="13" t="s">
        <v>2189</v>
      </c>
    </row>
    <row r="580" spans="1:11" hidden="1" x14ac:dyDescent="0.25">
      <c r="A580" t="str">
        <f>_xlfn.XLOOKUP(C580, 'Códigos DANE Municipios'!$B$2:$B$1123, 'Códigos DANE Municipios'!$A$2:$A$1123, "No encontrado")</f>
        <v>25785</v>
      </c>
      <c r="B580" t="str">
        <f>IFERROR(VLOOKUP(D580,APOYO!K:L,2,FALSE),A580)</f>
        <v>25785</v>
      </c>
      <c r="C580" t="s">
        <v>1096</v>
      </c>
      <c r="D580" t="str">
        <f>IFERROR(VLOOKUP(C580,APOYO!J:K,2,FALSE),C580)</f>
        <v>TABIO</v>
      </c>
      <c r="E580">
        <v>2013</v>
      </c>
      <c r="F580" t="s">
        <v>2189</v>
      </c>
      <c r="G580" t="s">
        <v>2189</v>
      </c>
      <c r="H580">
        <v>102</v>
      </c>
      <c r="I580" s="13" t="s">
        <v>2189</v>
      </c>
      <c r="J580" s="13" t="s">
        <v>2189</v>
      </c>
      <c r="K580" s="13" t="s">
        <v>2189</v>
      </c>
    </row>
    <row r="581" spans="1:11" hidden="1" x14ac:dyDescent="0.25">
      <c r="A581" t="str">
        <f>_xlfn.XLOOKUP(C581, 'Códigos DANE Municipios'!$B$2:$B$1123, 'Códigos DANE Municipios'!$A$2:$A$1123, "No encontrado")</f>
        <v>85400</v>
      </c>
      <c r="B581" t="str">
        <f>IFERROR(VLOOKUP(D581,APOYO!K:L,2,FALSE),A581)</f>
        <v>85400</v>
      </c>
      <c r="C581" t="s">
        <v>2077</v>
      </c>
      <c r="D581" t="str">
        <f>IFERROR(VLOOKUP(C581,APOYO!J:K,2,FALSE),C581)</f>
        <v>TÁMARA</v>
      </c>
      <c r="E581">
        <v>2013</v>
      </c>
      <c r="F581">
        <v>1</v>
      </c>
      <c r="G581" t="s">
        <v>2189</v>
      </c>
      <c r="H581">
        <v>2</v>
      </c>
      <c r="I581" s="13" t="s">
        <v>2189</v>
      </c>
      <c r="J581" s="13" t="s">
        <v>2189</v>
      </c>
      <c r="K581" s="13" t="s">
        <v>2189</v>
      </c>
    </row>
    <row r="582" spans="1:11" hidden="1" x14ac:dyDescent="0.25">
      <c r="A582" t="str">
        <f>_xlfn.XLOOKUP(C582, 'Códigos DANE Municipios'!$B$2:$B$1123, 'Códigos DANE Municipios'!$A$2:$A$1123, "No encontrado")</f>
        <v>81794</v>
      </c>
      <c r="B582" t="str">
        <f>IFERROR(VLOOKUP(D582,APOYO!K:L,2,FALSE),A582)</f>
        <v>81794</v>
      </c>
      <c r="C582" t="s">
        <v>2046</v>
      </c>
      <c r="D582" t="str">
        <f>IFERROR(VLOOKUP(C582,APOYO!J:K,2,FALSE),C582)</f>
        <v>TAME</v>
      </c>
      <c r="E582">
        <v>2013</v>
      </c>
      <c r="F582">
        <v>3461</v>
      </c>
      <c r="G582" t="s">
        <v>2189</v>
      </c>
      <c r="H582">
        <v>19</v>
      </c>
      <c r="I582" s="13" t="s">
        <v>2189</v>
      </c>
      <c r="J582" s="13" t="s">
        <v>2189</v>
      </c>
      <c r="K582" s="13" t="s">
        <v>2189</v>
      </c>
    </row>
    <row r="583" spans="1:11" hidden="1" x14ac:dyDescent="0.25">
      <c r="A583" t="str">
        <f>_xlfn.XLOOKUP(C583, 'Códigos DANE Municipios'!$B$2:$B$1123, 'Códigos DANE Municipios'!$A$2:$A$1123, "No encontrado")</f>
        <v>52786</v>
      </c>
      <c r="B583" t="str">
        <f>IFERROR(VLOOKUP(D583,APOYO!K:L,2,FALSE),A583)</f>
        <v>52786</v>
      </c>
      <c r="C583" t="s">
        <v>1519</v>
      </c>
      <c r="D583" t="str">
        <f>IFERROR(VLOOKUP(C583,APOYO!J:K,2,FALSE),C583)</f>
        <v>TAMINANGO</v>
      </c>
      <c r="E583">
        <v>2013</v>
      </c>
      <c r="F583" t="s">
        <v>2189</v>
      </c>
      <c r="G583" t="s">
        <v>2189</v>
      </c>
      <c r="H583">
        <v>3</v>
      </c>
      <c r="I583" s="13" t="s">
        <v>2189</v>
      </c>
      <c r="J583" s="13" t="s">
        <v>2189</v>
      </c>
      <c r="K583" s="13" t="s">
        <v>2189</v>
      </c>
    </row>
    <row r="584" spans="1:11" hidden="1" x14ac:dyDescent="0.25">
      <c r="A584" t="str">
        <f>_xlfn.XLOOKUP(C584, 'Códigos DANE Municipios'!$B$2:$B$1123, 'Códigos DANE Municipios'!$A$2:$A$1123, "No encontrado")</f>
        <v>41791</v>
      </c>
      <c r="B584" t="str">
        <f>IFERROR(VLOOKUP(D584,APOYO!K:L,2,FALSE),A584)</f>
        <v>41791</v>
      </c>
      <c r="C584" t="s">
        <v>1258</v>
      </c>
      <c r="D584" t="str">
        <f>IFERROR(VLOOKUP(C584,APOYO!J:K,2,FALSE),C584)</f>
        <v>TARQUI</v>
      </c>
      <c r="E584">
        <v>2013</v>
      </c>
      <c r="F584" t="s">
        <v>2189</v>
      </c>
      <c r="G584" t="s">
        <v>2189</v>
      </c>
      <c r="H584">
        <v>10</v>
      </c>
      <c r="I584" s="13" t="s">
        <v>2189</v>
      </c>
      <c r="J584" s="13" t="s">
        <v>2189</v>
      </c>
      <c r="K584" s="13" t="s">
        <v>2189</v>
      </c>
    </row>
    <row r="585" spans="1:11" hidden="1" x14ac:dyDescent="0.25">
      <c r="A585" t="str">
        <f>_xlfn.XLOOKUP(C585, 'Códigos DANE Municipios'!$B$2:$B$1123, 'Códigos DANE Municipios'!$A$2:$A$1123, "No encontrado")</f>
        <v>85410</v>
      </c>
      <c r="B585" t="str">
        <f>IFERROR(VLOOKUP(D585,APOYO!K:L,2,FALSE),A585)</f>
        <v>85410</v>
      </c>
      <c r="C585" t="s">
        <v>2079</v>
      </c>
      <c r="D585" t="str">
        <f>IFERROR(VLOOKUP(C585,APOYO!J:K,2,FALSE),C585)</f>
        <v>TAURAMENA</v>
      </c>
      <c r="E585">
        <v>2013</v>
      </c>
      <c r="F585" t="s">
        <v>2189</v>
      </c>
      <c r="G585" t="s">
        <v>2189</v>
      </c>
      <c r="H585">
        <v>6</v>
      </c>
      <c r="I585" s="13" t="s">
        <v>2189</v>
      </c>
      <c r="J585" s="13" t="s">
        <v>2189</v>
      </c>
      <c r="K585" s="13" t="s">
        <v>2189</v>
      </c>
    </row>
    <row r="586" spans="1:11" hidden="1" x14ac:dyDescent="0.25">
      <c r="A586" t="str">
        <f>_xlfn.XLOOKUP(C586, 'Códigos DANE Municipios'!$B$2:$B$1123, 'Códigos DANE Municipios'!$A$2:$A$1123, "No encontrado")</f>
        <v>41799</v>
      </c>
      <c r="B586" t="str">
        <f>IFERROR(VLOOKUP(D586,APOYO!K:L,2,FALSE),A586)</f>
        <v>41799</v>
      </c>
      <c r="C586" t="s">
        <v>1262</v>
      </c>
      <c r="D586" t="str">
        <f>IFERROR(VLOOKUP(C586,APOYO!J:K,2,FALSE),C586)</f>
        <v>TELLO</v>
      </c>
      <c r="E586">
        <v>2013</v>
      </c>
      <c r="F586">
        <v>3</v>
      </c>
      <c r="G586" t="s">
        <v>2189</v>
      </c>
      <c r="H586" t="s">
        <v>2189</v>
      </c>
      <c r="I586" s="13" t="s">
        <v>2189</v>
      </c>
      <c r="J586" s="13" t="s">
        <v>2189</v>
      </c>
      <c r="K586" s="13" t="s">
        <v>2189</v>
      </c>
    </row>
    <row r="587" spans="1:11" hidden="1" x14ac:dyDescent="0.25">
      <c r="A587" t="str">
        <f>_xlfn.XLOOKUP(C587, 'Códigos DANE Municipios'!$B$2:$B$1123, 'Códigos DANE Municipios'!$A$2:$A$1123, "No encontrado")</f>
        <v>25797</v>
      </c>
      <c r="B587" t="str">
        <f>IFERROR(VLOOKUP(D587,APOYO!K:L,2,FALSE),A587)</f>
        <v>25797</v>
      </c>
      <c r="C587" t="s">
        <v>1100</v>
      </c>
      <c r="D587" t="str">
        <f>IFERROR(VLOOKUP(C587,APOYO!J:K,2,FALSE),C587)</f>
        <v>TENA</v>
      </c>
      <c r="E587">
        <v>2013</v>
      </c>
      <c r="F587" t="s">
        <v>2189</v>
      </c>
      <c r="G587" t="s">
        <v>2189</v>
      </c>
      <c r="H587">
        <v>4</v>
      </c>
      <c r="I587" s="13" t="s">
        <v>2189</v>
      </c>
      <c r="J587" s="13" t="s">
        <v>2189</v>
      </c>
      <c r="K587" s="13" t="s">
        <v>2189</v>
      </c>
    </row>
    <row r="588" spans="1:11" hidden="1" x14ac:dyDescent="0.25">
      <c r="A588" t="str">
        <f>_xlfn.XLOOKUP(C588, 'Códigos DANE Municipios'!$B$2:$B$1123, 'Códigos DANE Municipios'!$A$2:$A$1123, "No encontrado")</f>
        <v>25799</v>
      </c>
      <c r="B588" t="str">
        <f>IFERROR(VLOOKUP(D588,APOYO!K:L,2,FALSE),A588)</f>
        <v>25799</v>
      </c>
      <c r="C588" t="s">
        <v>1102</v>
      </c>
      <c r="D588" t="str">
        <f>IFERROR(VLOOKUP(C588,APOYO!J:K,2,FALSE),C588)</f>
        <v>TENJO</v>
      </c>
      <c r="E588">
        <v>2013</v>
      </c>
      <c r="F588" t="s">
        <v>2189</v>
      </c>
      <c r="G588" t="s">
        <v>2189</v>
      </c>
      <c r="H588">
        <v>92</v>
      </c>
      <c r="I588" s="13" t="s">
        <v>2189</v>
      </c>
      <c r="J588" s="13" t="s">
        <v>2189</v>
      </c>
      <c r="K588" s="13" t="s">
        <v>2189</v>
      </c>
    </row>
    <row r="589" spans="1:11" hidden="1" x14ac:dyDescent="0.25">
      <c r="A589" t="str">
        <f>_xlfn.XLOOKUP(C589, 'Códigos DANE Municipios'!$B$2:$B$1123, 'Códigos DANE Municipios'!$A$2:$A$1123, "No encontrado")</f>
        <v>15798</v>
      </c>
      <c r="B589" t="str">
        <f>IFERROR(VLOOKUP(D589,APOYO!K:L,2,FALSE),A589)</f>
        <v>15798</v>
      </c>
      <c r="C589" t="s">
        <v>610</v>
      </c>
      <c r="D589" t="str">
        <f>IFERROR(VLOOKUP(C589,APOYO!J:K,2,FALSE),C589)</f>
        <v>TENZA</v>
      </c>
      <c r="E589">
        <v>2013</v>
      </c>
      <c r="F589" t="s">
        <v>2189</v>
      </c>
      <c r="G589" t="s">
        <v>2189</v>
      </c>
      <c r="H589">
        <v>3</v>
      </c>
      <c r="I589" s="13" t="s">
        <v>2189</v>
      </c>
      <c r="J589" s="13" t="s">
        <v>2189</v>
      </c>
      <c r="K589" s="13" t="s">
        <v>2189</v>
      </c>
    </row>
    <row r="590" spans="1:11" hidden="1" x14ac:dyDescent="0.25">
      <c r="A590" t="str">
        <f>_xlfn.XLOOKUP(C590, 'Códigos DANE Municipios'!$B$2:$B$1123, 'Códigos DANE Municipios'!$A$2:$A$1123, "No encontrado")</f>
        <v>41801</v>
      </c>
      <c r="B590" t="str">
        <f>IFERROR(VLOOKUP(D590,APOYO!K:L,2,FALSE),A590)</f>
        <v>41801</v>
      </c>
      <c r="C590" t="s">
        <v>1264</v>
      </c>
      <c r="D590" t="str">
        <f>IFERROR(VLOOKUP(C590,APOYO!J:K,2,FALSE),C590)</f>
        <v>TERUEL</v>
      </c>
      <c r="E590">
        <v>2013</v>
      </c>
      <c r="F590" t="s">
        <v>2189</v>
      </c>
      <c r="G590" t="s">
        <v>2189</v>
      </c>
      <c r="H590">
        <v>1</v>
      </c>
      <c r="I590" s="13" t="s">
        <v>2189</v>
      </c>
      <c r="J590" s="13" t="s">
        <v>2189</v>
      </c>
      <c r="K590" s="13" t="s">
        <v>2189</v>
      </c>
    </row>
    <row r="591" spans="1:11" hidden="1" x14ac:dyDescent="0.25">
      <c r="A591" t="str">
        <f>_xlfn.XLOOKUP(C591, 'Códigos DANE Municipios'!$B$2:$B$1123, 'Códigos DANE Municipios'!$A$2:$A$1123, "No encontrado")</f>
        <v>41797</v>
      </c>
      <c r="B591" t="str">
        <f>IFERROR(VLOOKUP(D591,APOYO!K:L,2,FALSE),A591)</f>
        <v>41797</v>
      </c>
      <c r="C591" t="s">
        <v>1260</v>
      </c>
      <c r="D591" t="str">
        <f>IFERROR(VLOOKUP(C591,APOYO!J:K,2,FALSE),C591)</f>
        <v>TESALIA</v>
      </c>
      <c r="E591">
        <v>2013</v>
      </c>
      <c r="F591" t="s">
        <v>2189</v>
      </c>
      <c r="G591" t="s">
        <v>2189</v>
      </c>
      <c r="H591">
        <v>1</v>
      </c>
      <c r="I591" s="13" t="s">
        <v>2189</v>
      </c>
      <c r="J591" s="13" t="s">
        <v>2189</v>
      </c>
      <c r="K591" s="13" t="s">
        <v>2189</v>
      </c>
    </row>
    <row r="592" spans="1:11" hidden="1" x14ac:dyDescent="0.25">
      <c r="A592" t="str">
        <f>_xlfn.XLOOKUP(C592, 'Códigos DANE Municipios'!$B$2:$B$1123, 'Códigos DANE Municipios'!$A$2:$A$1123, "No encontrado")</f>
        <v>25805</v>
      </c>
      <c r="B592" t="str">
        <f>IFERROR(VLOOKUP(D592,APOYO!K:L,2,FALSE),A592)</f>
        <v>25805</v>
      </c>
      <c r="C592" t="s">
        <v>1104</v>
      </c>
      <c r="D592" t="str">
        <f>IFERROR(VLOOKUP(C592,APOYO!J:K,2,FALSE),C592)</f>
        <v>TIBACUY</v>
      </c>
      <c r="E592">
        <v>2013</v>
      </c>
      <c r="F592" t="s">
        <v>2189</v>
      </c>
      <c r="G592" t="s">
        <v>2189</v>
      </c>
      <c r="H592">
        <v>3</v>
      </c>
      <c r="I592" s="13" t="s">
        <v>2189</v>
      </c>
      <c r="J592" s="13" t="s">
        <v>2189</v>
      </c>
      <c r="K592" s="13" t="s">
        <v>2189</v>
      </c>
    </row>
    <row r="593" spans="1:11" hidden="1" x14ac:dyDescent="0.25">
      <c r="A593" t="str">
        <f>_xlfn.XLOOKUP(C593, 'Códigos DANE Municipios'!$B$2:$B$1123, 'Códigos DANE Municipios'!$A$2:$A$1123, "No encontrado")</f>
        <v>15804</v>
      </c>
      <c r="B593" t="str">
        <f>IFERROR(VLOOKUP(D593,APOYO!K:L,2,FALSE),A593)</f>
        <v>15804</v>
      </c>
      <c r="C593" t="s">
        <v>612</v>
      </c>
      <c r="D593" t="str">
        <f>IFERROR(VLOOKUP(C593,APOYO!J:K,2,FALSE),C593)</f>
        <v>TIBANÁ</v>
      </c>
      <c r="E593">
        <v>2013</v>
      </c>
      <c r="F593" t="s">
        <v>2189</v>
      </c>
      <c r="G593" t="s">
        <v>2189</v>
      </c>
      <c r="H593">
        <v>1</v>
      </c>
      <c r="I593" s="13" t="s">
        <v>2189</v>
      </c>
      <c r="J593" s="13" t="s">
        <v>2189</v>
      </c>
      <c r="K593" s="13" t="s">
        <v>2189</v>
      </c>
    </row>
    <row r="594" spans="1:11" hidden="1" x14ac:dyDescent="0.25">
      <c r="A594" t="str">
        <f>_xlfn.XLOOKUP(C594, 'Códigos DANE Municipios'!$B$2:$B$1123, 'Códigos DANE Municipios'!$A$2:$A$1123, "No encontrado")</f>
        <v>15806</v>
      </c>
      <c r="B594" t="str">
        <f>IFERROR(VLOOKUP(D594,APOYO!K:L,2,FALSE),A594)</f>
        <v>15806</v>
      </c>
      <c r="C594" t="s">
        <v>614</v>
      </c>
      <c r="D594" t="str">
        <f>IFERROR(VLOOKUP(C594,APOYO!J:K,2,FALSE),C594)</f>
        <v>TIBASOSA</v>
      </c>
      <c r="E594">
        <v>2013</v>
      </c>
      <c r="F594" t="s">
        <v>2189</v>
      </c>
      <c r="G594" t="s">
        <v>2189</v>
      </c>
      <c r="H594">
        <v>7</v>
      </c>
      <c r="I594" s="13" t="s">
        <v>2189</v>
      </c>
      <c r="J594" s="13" t="s">
        <v>2189</v>
      </c>
      <c r="K594" s="13" t="s">
        <v>2189</v>
      </c>
    </row>
    <row r="595" spans="1:11" hidden="1" x14ac:dyDescent="0.25">
      <c r="A595" t="str">
        <f>_xlfn.XLOOKUP(C595, 'Códigos DANE Municipios'!$B$2:$B$1123, 'Códigos DANE Municipios'!$A$2:$A$1123, "No encontrado")</f>
        <v>25807</v>
      </c>
      <c r="B595" t="str">
        <f>IFERROR(VLOOKUP(D595,APOYO!K:L,2,FALSE),A595)</f>
        <v>25807</v>
      </c>
      <c r="C595" t="s">
        <v>1106</v>
      </c>
      <c r="D595" t="str">
        <f>IFERROR(VLOOKUP(C595,APOYO!J:K,2,FALSE),C595)</f>
        <v>TIBIRITA</v>
      </c>
      <c r="E595">
        <v>2013</v>
      </c>
      <c r="F595" t="s">
        <v>2189</v>
      </c>
      <c r="G595" t="s">
        <v>2189</v>
      </c>
      <c r="H595">
        <v>3</v>
      </c>
      <c r="I595" s="13" t="s">
        <v>2189</v>
      </c>
      <c r="J595" s="13" t="s">
        <v>2189</v>
      </c>
      <c r="K595" s="13" t="s">
        <v>2189</v>
      </c>
    </row>
    <row r="596" spans="1:11" hidden="1" x14ac:dyDescent="0.25">
      <c r="A596" t="str">
        <f>_xlfn.XLOOKUP(C596, 'Códigos DANE Municipios'!$B$2:$B$1123, 'Códigos DANE Municipios'!$A$2:$A$1123, "No encontrado")</f>
        <v>54810</v>
      </c>
      <c r="B596" t="str">
        <f>IFERROR(VLOOKUP(D596,APOYO!K:L,2,FALSE),A596)</f>
        <v>54810</v>
      </c>
      <c r="C596" t="s">
        <v>1600</v>
      </c>
      <c r="D596" t="str">
        <f>IFERROR(VLOOKUP(C596,APOYO!J:K,2,FALSE),C596)</f>
        <v>TIBÚ</v>
      </c>
      <c r="E596">
        <v>2013</v>
      </c>
      <c r="F596">
        <v>3428</v>
      </c>
      <c r="G596" t="s">
        <v>2189</v>
      </c>
      <c r="H596">
        <v>1</v>
      </c>
      <c r="I596" s="13" t="s">
        <v>2189</v>
      </c>
      <c r="J596" s="13" t="s">
        <v>2189</v>
      </c>
      <c r="K596" s="13" t="s">
        <v>2189</v>
      </c>
    </row>
    <row r="597" spans="1:11" hidden="1" x14ac:dyDescent="0.25">
      <c r="A597" t="str">
        <f>_xlfn.XLOOKUP(C597, 'Códigos DANE Municipios'!$B$2:$B$1123, 'Códigos DANE Municipios'!$A$2:$A$1123, "No encontrado")</f>
        <v>23807</v>
      </c>
      <c r="B597" t="str">
        <f>IFERROR(VLOOKUP(D597,APOYO!K:L,2,FALSE),A597)</f>
        <v>23807</v>
      </c>
      <c r="C597" t="s">
        <v>910</v>
      </c>
      <c r="D597" t="str">
        <f>IFERROR(VLOOKUP(C597,APOYO!J:K,2,FALSE),C597)</f>
        <v>TIERRALTA</v>
      </c>
      <c r="E597">
        <v>2013</v>
      </c>
      <c r="F597" t="s">
        <v>2189</v>
      </c>
      <c r="G597" t="s">
        <v>2189</v>
      </c>
      <c r="H597">
        <v>5</v>
      </c>
      <c r="I597" s="13" t="s">
        <v>2189</v>
      </c>
      <c r="J597" s="13" t="s">
        <v>2189</v>
      </c>
      <c r="K597" s="13" t="s">
        <v>2189</v>
      </c>
    </row>
    <row r="598" spans="1:11" hidden="1" x14ac:dyDescent="0.25">
      <c r="A598" t="str">
        <f>_xlfn.XLOOKUP(C598, 'Códigos DANE Municipios'!$B$2:$B$1123, 'Códigos DANE Municipios'!$A$2:$A$1123, "No encontrado")</f>
        <v>41807</v>
      </c>
      <c r="B598" t="str">
        <f>IFERROR(VLOOKUP(D598,APOYO!K:L,2,FALSE),A598)</f>
        <v>41807</v>
      </c>
      <c r="C598" t="s">
        <v>1266</v>
      </c>
      <c r="D598" t="str">
        <f>IFERROR(VLOOKUP(C598,APOYO!J:K,2,FALSE),C598)</f>
        <v>TIMANÁ</v>
      </c>
      <c r="E598">
        <v>2013</v>
      </c>
      <c r="F598" t="s">
        <v>2189</v>
      </c>
      <c r="G598" t="s">
        <v>2189</v>
      </c>
      <c r="H598">
        <v>8</v>
      </c>
      <c r="I598" s="13" t="s">
        <v>2189</v>
      </c>
      <c r="J598" s="13" t="s">
        <v>2189</v>
      </c>
      <c r="K598" s="13" t="s">
        <v>2189</v>
      </c>
    </row>
    <row r="599" spans="1:11" hidden="1" x14ac:dyDescent="0.25">
      <c r="A599" t="str">
        <f>_xlfn.XLOOKUP(C599, 'Códigos DANE Municipios'!$B$2:$B$1123, 'Códigos DANE Municipios'!$A$2:$A$1123, "No encontrado")</f>
        <v>19807</v>
      </c>
      <c r="B599" t="str">
        <f>IFERROR(VLOOKUP(D599,APOYO!K:L,2,FALSE),A599)</f>
        <v>19807</v>
      </c>
      <c r="C599" t="s">
        <v>798</v>
      </c>
      <c r="D599" t="str">
        <f>IFERROR(VLOOKUP(C599,APOYO!J:K,2,FALSE),C599)</f>
        <v>TIMBÍO</v>
      </c>
      <c r="E599">
        <v>2013</v>
      </c>
      <c r="F599" t="s">
        <v>2189</v>
      </c>
      <c r="G599" t="s">
        <v>2189</v>
      </c>
      <c r="H599">
        <v>7</v>
      </c>
      <c r="I599" s="13" t="s">
        <v>2189</v>
      </c>
      <c r="J599" s="13" t="s">
        <v>2189</v>
      </c>
      <c r="K599" s="13" t="s">
        <v>2189</v>
      </c>
    </row>
    <row r="600" spans="1:11" hidden="1" x14ac:dyDescent="0.25">
      <c r="A600" t="str">
        <f>_xlfn.XLOOKUP(C600, 'Códigos DANE Municipios'!$B$2:$B$1123, 'Códigos DANE Municipios'!$A$2:$A$1123, "No encontrado")</f>
        <v>19809</v>
      </c>
      <c r="B600" t="str">
        <f>IFERROR(VLOOKUP(D600,APOYO!K:L,2,FALSE),A600)</f>
        <v>19809</v>
      </c>
      <c r="C600" t="s">
        <v>800</v>
      </c>
      <c r="D600" t="str">
        <f>IFERROR(VLOOKUP(C600,APOYO!J:K,2,FALSE),C600)</f>
        <v>TIMBIQUÍ</v>
      </c>
      <c r="E600">
        <v>2013</v>
      </c>
      <c r="F600">
        <v>5635</v>
      </c>
      <c r="G600" t="s">
        <v>2189</v>
      </c>
      <c r="H600">
        <v>3</v>
      </c>
      <c r="I600" s="13" t="s">
        <v>2189</v>
      </c>
      <c r="J600" s="13" t="s">
        <v>2189</v>
      </c>
      <c r="K600" s="13" t="s">
        <v>2189</v>
      </c>
    </row>
    <row r="601" spans="1:11" hidden="1" x14ac:dyDescent="0.25">
      <c r="A601" t="str">
        <f>_xlfn.XLOOKUP(C601, 'Códigos DANE Municipios'!$B$2:$B$1123, 'Códigos DANE Municipios'!$A$2:$A$1123, "No encontrado")</f>
        <v>15808</v>
      </c>
      <c r="B601" t="str">
        <f>IFERROR(VLOOKUP(D601,APOYO!K:L,2,FALSE),A601)</f>
        <v>15808</v>
      </c>
      <c r="C601" t="s">
        <v>616</v>
      </c>
      <c r="D601" t="str">
        <f>IFERROR(VLOOKUP(C601,APOYO!J:K,2,FALSE),C601)</f>
        <v>TINJACÁ</v>
      </c>
      <c r="E601">
        <v>2013</v>
      </c>
      <c r="F601" t="s">
        <v>2189</v>
      </c>
      <c r="G601" t="s">
        <v>2189</v>
      </c>
      <c r="H601">
        <v>1</v>
      </c>
      <c r="I601" s="13" t="s">
        <v>2189</v>
      </c>
      <c r="J601" s="13" t="s">
        <v>2189</v>
      </c>
      <c r="K601" s="13" t="s">
        <v>2189</v>
      </c>
    </row>
    <row r="602" spans="1:11" hidden="1" x14ac:dyDescent="0.25">
      <c r="A602" t="str">
        <f>_xlfn.XLOOKUP(C602, 'Códigos DANE Municipios'!$B$2:$B$1123, 'Códigos DANE Municipios'!$A$2:$A$1123, "No encontrado")</f>
        <v>05809</v>
      </c>
      <c r="B602" t="str">
        <f>IFERROR(VLOOKUP(D602,APOYO!K:L,2,FALSE),A602)</f>
        <v>05809</v>
      </c>
      <c r="C602" t="s">
        <v>232</v>
      </c>
      <c r="D602" t="str">
        <f>IFERROR(VLOOKUP(C602,APOYO!J:K,2,FALSE),C602)</f>
        <v>TITIRIBÍ</v>
      </c>
      <c r="E602">
        <v>2013</v>
      </c>
      <c r="F602" t="s">
        <v>2189</v>
      </c>
      <c r="G602" t="s">
        <v>2189</v>
      </c>
      <c r="H602">
        <v>1</v>
      </c>
      <c r="I602" s="13" t="s">
        <v>2189</v>
      </c>
      <c r="J602" s="13" t="s">
        <v>2189</v>
      </c>
      <c r="K602" s="13" t="s">
        <v>2189</v>
      </c>
    </row>
    <row r="603" spans="1:11" hidden="1" x14ac:dyDescent="0.25">
      <c r="A603" t="str">
        <f>_xlfn.XLOOKUP(C603, 'Códigos DANE Municipios'!$B$2:$B$1123, 'Códigos DANE Municipios'!$A$2:$A$1123, "No encontrado")</f>
        <v>15814</v>
      </c>
      <c r="B603" t="str">
        <f>IFERROR(VLOOKUP(D603,APOYO!K:L,2,FALSE),A603)</f>
        <v>15814</v>
      </c>
      <c r="C603" t="s">
        <v>620</v>
      </c>
      <c r="D603" t="str">
        <f>IFERROR(VLOOKUP(C603,APOYO!J:K,2,FALSE),C603)</f>
        <v>TOCA</v>
      </c>
      <c r="E603">
        <v>2013</v>
      </c>
      <c r="F603" t="s">
        <v>2189</v>
      </c>
      <c r="G603" t="s">
        <v>2189</v>
      </c>
      <c r="H603">
        <v>5</v>
      </c>
      <c r="I603" s="13" t="s">
        <v>2189</v>
      </c>
      <c r="J603" s="13" t="s">
        <v>2189</v>
      </c>
      <c r="K603" s="13" t="s">
        <v>2189</v>
      </c>
    </row>
    <row r="604" spans="1:11" hidden="1" x14ac:dyDescent="0.25">
      <c r="A604" t="str">
        <f>_xlfn.XLOOKUP(C604, 'Códigos DANE Municipios'!$B$2:$B$1123, 'Códigos DANE Municipios'!$A$2:$A$1123, "No encontrado")</f>
        <v>25815</v>
      </c>
      <c r="B604" t="str">
        <f>IFERROR(VLOOKUP(D604,APOYO!K:L,2,FALSE),A604)</f>
        <v>25815</v>
      </c>
      <c r="C604" t="s">
        <v>1108</v>
      </c>
      <c r="D604" t="str">
        <f>IFERROR(VLOOKUP(C604,APOYO!J:K,2,FALSE),C604)</f>
        <v>TOCAIMA</v>
      </c>
      <c r="E604">
        <v>2013</v>
      </c>
      <c r="F604" t="s">
        <v>2189</v>
      </c>
      <c r="G604" t="s">
        <v>2189</v>
      </c>
      <c r="H604">
        <v>12</v>
      </c>
      <c r="I604" s="13" t="s">
        <v>2189</v>
      </c>
      <c r="J604" s="13" t="s">
        <v>2189</v>
      </c>
      <c r="K604" s="13" t="s">
        <v>2189</v>
      </c>
    </row>
    <row r="605" spans="1:11" hidden="1" x14ac:dyDescent="0.25">
      <c r="A605" t="str">
        <f>_xlfn.XLOOKUP(C605, 'Códigos DANE Municipios'!$B$2:$B$1123, 'Códigos DANE Municipios'!$A$2:$A$1123, "No encontrado")</f>
        <v>25817</v>
      </c>
      <c r="B605" t="str">
        <f>IFERROR(VLOOKUP(D605,APOYO!K:L,2,FALSE),A605)</f>
        <v>25817</v>
      </c>
      <c r="C605" t="s">
        <v>1110</v>
      </c>
      <c r="D605" t="str">
        <f>IFERROR(VLOOKUP(C605,APOYO!J:K,2,FALSE),C605)</f>
        <v>TOCANCIPÁ</v>
      </c>
      <c r="E605">
        <v>2013</v>
      </c>
      <c r="F605" t="s">
        <v>2189</v>
      </c>
      <c r="G605" t="s">
        <v>2189</v>
      </c>
      <c r="H605">
        <v>67</v>
      </c>
      <c r="I605" s="13" t="s">
        <v>2189</v>
      </c>
      <c r="J605" s="13" t="s">
        <v>2189</v>
      </c>
      <c r="K605" s="13" t="s">
        <v>2189</v>
      </c>
    </row>
    <row r="606" spans="1:11" hidden="1" x14ac:dyDescent="0.25">
      <c r="A606" t="str">
        <f>_xlfn.XLOOKUP(C606, 'Códigos DANE Municipios'!$B$2:$B$1123, 'Códigos DANE Municipios'!$A$2:$A$1123, "No encontrado")</f>
        <v>05819</v>
      </c>
      <c r="B606" t="str">
        <f>IFERROR(VLOOKUP(D606,APOYO!K:L,2,FALSE),A606)</f>
        <v>05819</v>
      </c>
      <c r="C606" t="s">
        <v>234</v>
      </c>
      <c r="D606" t="str">
        <f>IFERROR(VLOOKUP(C606,APOYO!J:K,2,FALSE),C606)</f>
        <v>TOLEDO</v>
      </c>
      <c r="E606">
        <v>2013</v>
      </c>
      <c r="F606" t="s">
        <v>2189</v>
      </c>
      <c r="G606" t="s">
        <v>2189</v>
      </c>
      <c r="H606">
        <v>1</v>
      </c>
      <c r="I606">
        <v>0</v>
      </c>
      <c r="J606" s="13" t="s">
        <v>2189</v>
      </c>
      <c r="K606" s="13" t="s">
        <v>2189</v>
      </c>
    </row>
    <row r="607" spans="1:11" hidden="1" x14ac:dyDescent="0.25">
      <c r="A607" t="str">
        <f>_xlfn.XLOOKUP(C607, 'Códigos DANE Municipios'!$B$2:$B$1123, 'Códigos DANE Municipios'!$A$2:$A$1123, "No encontrado")</f>
        <v>70820</v>
      </c>
      <c r="B607" t="str">
        <f>IFERROR(VLOOKUP(D607,APOYO!K:L,2,FALSE),A607)</f>
        <v>70820</v>
      </c>
      <c r="C607" t="s">
        <v>1861</v>
      </c>
      <c r="D607" t="str">
        <f>IFERROR(VLOOKUP(C607,APOYO!J:K,2,FALSE),C607)</f>
        <v>SANTIAGO DE TOLÚ</v>
      </c>
      <c r="E607">
        <v>2013</v>
      </c>
      <c r="F607" t="s">
        <v>2189</v>
      </c>
      <c r="G607" t="s">
        <v>2189</v>
      </c>
      <c r="H607">
        <v>38</v>
      </c>
      <c r="I607" s="13" t="s">
        <v>2189</v>
      </c>
      <c r="J607" s="13" t="s">
        <v>2189</v>
      </c>
      <c r="K607" s="13" t="s">
        <v>2189</v>
      </c>
    </row>
    <row r="608" spans="1:11" hidden="1" x14ac:dyDescent="0.25">
      <c r="A608" t="str">
        <f>_xlfn.XLOOKUP(C608, 'Códigos DANE Municipios'!$B$2:$B$1123, 'Códigos DANE Municipios'!$A$2:$A$1123, "No encontrado")</f>
        <v>70823</v>
      </c>
      <c r="B608" t="str">
        <f>IFERROR(VLOOKUP(D608,APOYO!K:L,2,FALSE),A608)</f>
        <v>70823</v>
      </c>
      <c r="C608" t="s">
        <v>1863</v>
      </c>
      <c r="D608" t="str">
        <f>IFERROR(VLOOKUP(C608,APOYO!J:K,2,FALSE),C608)</f>
        <v>TOLÚ VIEJO</v>
      </c>
      <c r="E608">
        <v>2013</v>
      </c>
      <c r="F608">
        <v>4803</v>
      </c>
      <c r="G608" t="s">
        <v>2189</v>
      </c>
      <c r="H608">
        <v>23</v>
      </c>
      <c r="I608" s="13" t="s">
        <v>2189</v>
      </c>
      <c r="J608" s="13" t="s">
        <v>2189</v>
      </c>
      <c r="K608" s="13" t="s">
        <v>2189</v>
      </c>
    </row>
    <row r="609" spans="1:11" hidden="1" x14ac:dyDescent="0.25">
      <c r="A609" t="str">
        <f>_xlfn.XLOOKUP(C609, 'Códigos DANE Municipios'!$B$2:$B$1123, 'Códigos DANE Municipios'!$A$2:$A$1123, "No encontrado")</f>
        <v>68820</v>
      </c>
      <c r="B609" t="str">
        <f>IFERROR(VLOOKUP(D609,APOYO!K:L,2,FALSE),A609)</f>
        <v>68820</v>
      </c>
      <c r="C609" t="s">
        <v>1805</v>
      </c>
      <c r="D609" t="str">
        <f>IFERROR(VLOOKUP(C609,APOYO!J:K,2,FALSE),C609)</f>
        <v>TONA</v>
      </c>
      <c r="E609">
        <v>2013</v>
      </c>
      <c r="F609" t="s">
        <v>2189</v>
      </c>
      <c r="G609" t="s">
        <v>2189</v>
      </c>
      <c r="H609">
        <v>1</v>
      </c>
      <c r="I609" s="13" t="s">
        <v>2189</v>
      </c>
      <c r="J609" s="13" t="s">
        <v>2189</v>
      </c>
      <c r="K609" s="13" t="s">
        <v>2189</v>
      </c>
    </row>
    <row r="610" spans="1:11" hidden="1" x14ac:dyDescent="0.25">
      <c r="A610" t="str">
        <f>_xlfn.XLOOKUP(C610, 'Códigos DANE Municipios'!$B$2:$B$1123, 'Códigos DANE Municipios'!$A$2:$A$1123, "No encontrado")</f>
        <v>76823</v>
      </c>
      <c r="B610" t="str">
        <f>IFERROR(VLOOKUP(D610,APOYO!K:L,2,FALSE),A610)</f>
        <v>76823</v>
      </c>
      <c r="C610" t="s">
        <v>2016</v>
      </c>
      <c r="D610" t="str">
        <f>IFERROR(VLOOKUP(C610,APOYO!J:K,2,FALSE),C610)</f>
        <v>TORO</v>
      </c>
      <c r="E610">
        <v>2013</v>
      </c>
      <c r="F610" t="s">
        <v>2189</v>
      </c>
      <c r="G610" t="s">
        <v>2189</v>
      </c>
      <c r="H610">
        <v>29</v>
      </c>
      <c r="I610" s="13" t="s">
        <v>2189</v>
      </c>
      <c r="J610" s="13" t="s">
        <v>2189</v>
      </c>
      <c r="K610" s="13" t="s">
        <v>2189</v>
      </c>
    </row>
    <row r="611" spans="1:11" hidden="1" x14ac:dyDescent="0.25">
      <c r="A611" t="str">
        <f>_xlfn.XLOOKUP(C611, 'Códigos DANE Municipios'!$B$2:$B$1123, 'Códigos DANE Municipios'!$A$2:$A$1123, "No encontrado")</f>
        <v>19824</v>
      </c>
      <c r="B611" t="str">
        <f>IFERROR(VLOOKUP(D611,APOYO!K:L,2,FALSE),A611)</f>
        <v>19824</v>
      </c>
      <c r="C611" t="s">
        <v>804</v>
      </c>
      <c r="D611" t="str">
        <f>IFERROR(VLOOKUP(C611,APOYO!J:K,2,FALSE),C611)</f>
        <v>TOTORÓ</v>
      </c>
      <c r="E611">
        <v>2013</v>
      </c>
      <c r="F611" t="s">
        <v>2189</v>
      </c>
      <c r="G611" t="s">
        <v>2189</v>
      </c>
      <c r="H611">
        <v>1</v>
      </c>
      <c r="I611" s="13" t="s">
        <v>2189</v>
      </c>
      <c r="J611" s="13" t="s">
        <v>2189</v>
      </c>
      <c r="K611" s="13" t="s">
        <v>2189</v>
      </c>
    </row>
    <row r="612" spans="1:11" hidden="1" x14ac:dyDescent="0.25">
      <c r="A612" t="str">
        <f>_xlfn.XLOOKUP(C612, 'Códigos DANE Municipios'!$B$2:$B$1123, 'Códigos DANE Municipios'!$A$2:$A$1123, "No encontrado")</f>
        <v>85430</v>
      </c>
      <c r="B612" t="str">
        <f>IFERROR(VLOOKUP(D612,APOYO!K:L,2,FALSE),A612)</f>
        <v>85430</v>
      </c>
      <c r="C612" t="s">
        <v>2081</v>
      </c>
      <c r="D612" t="str">
        <f>IFERROR(VLOOKUP(C612,APOYO!J:K,2,FALSE),C612)</f>
        <v>TRINIDAD</v>
      </c>
      <c r="E612">
        <v>2013</v>
      </c>
      <c r="F612">
        <v>2815</v>
      </c>
      <c r="G612" t="s">
        <v>2189</v>
      </c>
      <c r="H612">
        <v>1</v>
      </c>
      <c r="I612" s="13" t="s">
        <v>2189</v>
      </c>
      <c r="J612" s="13" t="s">
        <v>2189</v>
      </c>
      <c r="K612" s="13" t="s">
        <v>2189</v>
      </c>
    </row>
    <row r="613" spans="1:11" hidden="1" x14ac:dyDescent="0.25">
      <c r="A613" t="str">
        <f>_xlfn.XLOOKUP(C613, 'Códigos DANE Municipios'!$B$2:$B$1123, 'Códigos DANE Municipios'!$A$2:$A$1123, "No encontrado")</f>
        <v>76828</v>
      </c>
      <c r="B613" t="str">
        <f>IFERROR(VLOOKUP(D613,APOYO!K:L,2,FALSE),A613)</f>
        <v>76828</v>
      </c>
      <c r="C613" t="s">
        <v>2018</v>
      </c>
      <c r="D613" t="str">
        <f>IFERROR(VLOOKUP(C613,APOYO!J:K,2,FALSE),C613)</f>
        <v>TRUJILLO</v>
      </c>
      <c r="E613">
        <v>2013</v>
      </c>
      <c r="F613" t="s">
        <v>2189</v>
      </c>
      <c r="G613" t="s">
        <v>2189</v>
      </c>
      <c r="H613">
        <v>18</v>
      </c>
      <c r="I613" s="13" t="s">
        <v>2189</v>
      </c>
      <c r="J613" s="13" t="s">
        <v>2189</v>
      </c>
      <c r="K613" s="13" t="s">
        <v>2189</v>
      </c>
    </row>
    <row r="614" spans="1:11" hidden="1" x14ac:dyDescent="0.25">
      <c r="A614" t="str">
        <f>_xlfn.XLOOKUP(C614, 'Códigos DANE Municipios'!$B$2:$B$1123, 'Códigos DANE Municipios'!$A$2:$A$1123, "No encontrado")</f>
        <v>08832</v>
      </c>
      <c r="B614" t="str">
        <f>IFERROR(VLOOKUP(D614,APOYO!K:L,2,FALSE),A614)</f>
        <v>08832</v>
      </c>
      <c r="C614" t="s">
        <v>303</v>
      </c>
      <c r="D614" t="str">
        <f>IFERROR(VLOOKUP(C614,APOYO!J:K,2,FALSE),C614)</f>
        <v>TUBARÁ</v>
      </c>
      <c r="E614">
        <v>2013</v>
      </c>
      <c r="F614" t="s">
        <v>2189</v>
      </c>
      <c r="G614" t="s">
        <v>2189</v>
      </c>
      <c r="H614">
        <v>9</v>
      </c>
      <c r="I614" s="13" t="s">
        <v>2189</v>
      </c>
      <c r="J614" s="13" t="s">
        <v>2189</v>
      </c>
      <c r="K614" s="13" t="s">
        <v>2189</v>
      </c>
    </row>
    <row r="615" spans="1:11" hidden="1" x14ac:dyDescent="0.25">
      <c r="A615" t="str">
        <f>_xlfn.XLOOKUP(C615, 'Códigos DANE Municipios'!$B$2:$B$1123, 'Códigos DANE Municipios'!$A$2:$A$1123, "No encontrado")</f>
        <v>76834</v>
      </c>
      <c r="B615" t="str">
        <f>IFERROR(VLOOKUP(D615,APOYO!K:L,2,FALSE),A615)</f>
        <v>76834</v>
      </c>
      <c r="C615" t="s">
        <v>2020</v>
      </c>
      <c r="D615" t="str">
        <f>IFERROR(VLOOKUP(C615,APOYO!J:K,2,FALSE),C615)</f>
        <v>TULUÁ</v>
      </c>
      <c r="E615">
        <v>2013</v>
      </c>
      <c r="F615" t="s">
        <v>2189</v>
      </c>
      <c r="G615" t="s">
        <v>2189</v>
      </c>
      <c r="H615">
        <v>1324</v>
      </c>
      <c r="I615" s="13" t="s">
        <v>2189</v>
      </c>
      <c r="J615" s="13" t="s">
        <v>2189</v>
      </c>
      <c r="K615" s="13" t="s">
        <v>2189</v>
      </c>
    </row>
    <row r="616" spans="1:11" hidden="1" x14ac:dyDescent="0.25">
      <c r="A616" t="str">
        <f>_xlfn.XLOOKUP(C616, 'Códigos DANE Municipios'!$B$2:$B$1123, 'Códigos DANE Municipios'!$A$2:$A$1123, "No encontrado")</f>
        <v>52835</v>
      </c>
      <c r="B616" t="str">
        <f>IFERROR(VLOOKUP(D616,APOYO!K:L,2,FALSE),A616)</f>
        <v>52835</v>
      </c>
      <c r="C616" t="s">
        <v>1523</v>
      </c>
      <c r="D616" t="str">
        <f>IFERROR(VLOOKUP(C616,APOYO!J:K,2,FALSE),C616)</f>
        <v>SAN ANDRÉS DE TUMACO</v>
      </c>
      <c r="E616">
        <v>2013</v>
      </c>
      <c r="F616">
        <v>32746</v>
      </c>
      <c r="G616">
        <v>68</v>
      </c>
      <c r="H616">
        <v>1158</v>
      </c>
      <c r="I616" s="13" t="s">
        <v>2189</v>
      </c>
      <c r="J616" s="13" t="s">
        <v>2189</v>
      </c>
      <c r="K616" s="13" t="s">
        <v>2189</v>
      </c>
    </row>
    <row r="617" spans="1:11" hidden="1" x14ac:dyDescent="0.25">
      <c r="A617" t="str">
        <f>_xlfn.XLOOKUP(C617, 'Códigos DANE Municipios'!$B$2:$B$1123, 'Códigos DANE Municipios'!$A$2:$A$1123, "No encontrado")</f>
        <v>15001</v>
      </c>
      <c r="B617" t="str">
        <f>IFERROR(VLOOKUP(D617,APOYO!K:L,2,FALSE),A617)</f>
        <v>15001</v>
      </c>
      <c r="C617" t="s">
        <v>401</v>
      </c>
      <c r="D617" t="str">
        <f>IFERROR(VLOOKUP(C617,APOYO!J:K,2,FALSE),C617)</f>
        <v>TUNJA</v>
      </c>
      <c r="E617">
        <v>2013</v>
      </c>
      <c r="F617">
        <v>42</v>
      </c>
      <c r="G617" t="s">
        <v>2189</v>
      </c>
      <c r="H617">
        <v>870</v>
      </c>
      <c r="I617" s="13" t="s">
        <v>2189</v>
      </c>
      <c r="J617" s="13" t="s">
        <v>2189</v>
      </c>
      <c r="K617" s="13" t="s">
        <v>2189</v>
      </c>
    </row>
    <row r="618" spans="1:11" hidden="1" x14ac:dyDescent="0.25">
      <c r="A618" t="str">
        <f>_xlfn.XLOOKUP(C618, 'Códigos DANE Municipios'!$B$2:$B$1123, 'Códigos DANE Municipios'!$A$2:$A$1123, "No encontrado")</f>
        <v>52838</v>
      </c>
      <c r="B618" t="str">
        <f>IFERROR(VLOOKUP(D618,APOYO!K:L,2,FALSE),A618)</f>
        <v>52838</v>
      </c>
      <c r="C618" t="s">
        <v>1525</v>
      </c>
      <c r="D618" t="str">
        <f>IFERROR(VLOOKUP(C618,APOYO!J:K,2,FALSE),C618)</f>
        <v>TÚQUERRES</v>
      </c>
      <c r="E618">
        <v>2013</v>
      </c>
      <c r="F618" t="s">
        <v>2189</v>
      </c>
      <c r="G618" t="s">
        <v>2189</v>
      </c>
      <c r="H618">
        <v>27</v>
      </c>
      <c r="I618" s="13" t="s">
        <v>2189</v>
      </c>
      <c r="J618" s="13" t="s">
        <v>2189</v>
      </c>
      <c r="K618" s="13" t="s">
        <v>2189</v>
      </c>
    </row>
    <row r="619" spans="1:11" hidden="1" x14ac:dyDescent="0.25">
      <c r="A619" t="str">
        <f>_xlfn.XLOOKUP(C619, 'Códigos DANE Municipios'!$B$2:$B$1123, 'Códigos DANE Municipios'!$A$2:$A$1123, "No encontrado")</f>
        <v>13836</v>
      </c>
      <c r="B619" t="str">
        <f>IFERROR(VLOOKUP(D619,APOYO!K:L,2,FALSE),A619)</f>
        <v>13836</v>
      </c>
      <c r="C619" t="s">
        <v>393</v>
      </c>
      <c r="D619" t="str">
        <f>IFERROR(VLOOKUP(C619,APOYO!J:K,2,FALSE),C619)</f>
        <v>TURBACO</v>
      </c>
      <c r="E619">
        <v>2013</v>
      </c>
      <c r="F619" t="s">
        <v>2189</v>
      </c>
      <c r="G619" t="s">
        <v>2189</v>
      </c>
      <c r="H619">
        <v>62</v>
      </c>
      <c r="I619" s="13" t="s">
        <v>2189</v>
      </c>
      <c r="J619" s="13" t="s">
        <v>2189</v>
      </c>
      <c r="K619" s="13" t="s">
        <v>2189</v>
      </c>
    </row>
    <row r="620" spans="1:11" hidden="1" x14ac:dyDescent="0.25">
      <c r="A620" t="str">
        <f>_xlfn.XLOOKUP(C620, 'Códigos DANE Municipios'!$B$2:$B$1123, 'Códigos DANE Municipios'!$A$2:$A$1123, "No encontrado")</f>
        <v>13838</v>
      </c>
      <c r="B620" t="str">
        <f>IFERROR(VLOOKUP(D620,APOYO!K:L,2,FALSE),A620)</f>
        <v>13838</v>
      </c>
      <c r="C620" t="s">
        <v>395</v>
      </c>
      <c r="D620" t="str">
        <f>IFERROR(VLOOKUP(C620,APOYO!J:K,2,FALSE),C620)</f>
        <v>TURBANÁ</v>
      </c>
      <c r="E620">
        <v>2013</v>
      </c>
      <c r="F620" t="s">
        <v>2189</v>
      </c>
      <c r="G620" t="s">
        <v>2509</v>
      </c>
      <c r="H620">
        <v>9</v>
      </c>
      <c r="I620" s="13" t="s">
        <v>2189</v>
      </c>
      <c r="J620" s="13" t="s">
        <v>2189</v>
      </c>
      <c r="K620" s="13" t="s">
        <v>2189</v>
      </c>
    </row>
    <row r="621" spans="1:11" hidden="1" x14ac:dyDescent="0.25">
      <c r="A621" t="str">
        <f>_xlfn.XLOOKUP(C621, 'Códigos DANE Municipios'!$B$2:$B$1123, 'Códigos DANE Municipios'!$A$2:$A$1123, "No encontrado")</f>
        <v>05837</v>
      </c>
      <c r="B621" t="str">
        <f>IFERROR(VLOOKUP(D621,APOYO!K:L,2,FALSE),A621)</f>
        <v>05837</v>
      </c>
      <c r="C621" t="s">
        <v>236</v>
      </c>
      <c r="D621" t="str">
        <f>IFERROR(VLOOKUP(C621,APOYO!J:K,2,FALSE),C621)</f>
        <v>TURBO</v>
      </c>
      <c r="E621">
        <v>2013</v>
      </c>
      <c r="F621">
        <v>3</v>
      </c>
      <c r="G621" t="s">
        <v>2509</v>
      </c>
      <c r="H621">
        <v>104</v>
      </c>
      <c r="I621" s="13" t="s">
        <v>2189</v>
      </c>
      <c r="J621" s="13" t="s">
        <v>2189</v>
      </c>
      <c r="K621" s="13" t="s">
        <v>2189</v>
      </c>
    </row>
    <row r="622" spans="1:11" hidden="1" x14ac:dyDescent="0.25">
      <c r="A622" t="str">
        <f>_xlfn.XLOOKUP(C622, 'Códigos DANE Municipios'!$B$2:$B$1123, 'Códigos DANE Municipios'!$A$2:$A$1123, "No encontrado")</f>
        <v>15835</v>
      </c>
      <c r="B622" t="str">
        <f>IFERROR(VLOOKUP(D622,APOYO!K:L,2,FALSE),A622)</f>
        <v>15835</v>
      </c>
      <c r="C622" t="s">
        <v>630</v>
      </c>
      <c r="D622" t="str">
        <f>IFERROR(VLOOKUP(C622,APOYO!J:K,2,FALSE),C622)</f>
        <v>TURMEQUÉ</v>
      </c>
      <c r="E622">
        <v>2013</v>
      </c>
      <c r="F622" t="s">
        <v>2189</v>
      </c>
      <c r="G622" t="s">
        <v>2509</v>
      </c>
      <c r="H622">
        <v>1</v>
      </c>
      <c r="I622" s="13" t="s">
        <v>2189</v>
      </c>
      <c r="J622" s="13" t="s">
        <v>2189</v>
      </c>
      <c r="K622" s="13" t="s">
        <v>2189</v>
      </c>
    </row>
    <row r="623" spans="1:11" hidden="1" x14ac:dyDescent="0.25">
      <c r="A623" t="str">
        <f>_xlfn.XLOOKUP(C623, 'Códigos DANE Municipios'!$B$2:$B$1123, 'Códigos DANE Municipios'!$A$2:$A$1123, "No encontrado")</f>
        <v>15837</v>
      </c>
      <c r="B623" t="str">
        <f>IFERROR(VLOOKUP(D623,APOYO!K:L,2,FALSE),A623)</f>
        <v>15837</v>
      </c>
      <c r="C623" t="s">
        <v>632</v>
      </c>
      <c r="D623" t="str">
        <f>IFERROR(VLOOKUP(C623,APOYO!J:K,2,FALSE),C623)</f>
        <v>TUTA</v>
      </c>
      <c r="E623">
        <v>2013</v>
      </c>
      <c r="F623" t="s">
        <v>2189</v>
      </c>
      <c r="G623" t="s">
        <v>2509</v>
      </c>
      <c r="H623">
        <v>6</v>
      </c>
      <c r="I623" s="13" t="s">
        <v>2189</v>
      </c>
      <c r="J623" s="13" t="s">
        <v>2189</v>
      </c>
      <c r="K623" s="13" t="s">
        <v>2189</v>
      </c>
    </row>
    <row r="624" spans="1:11" hidden="1" x14ac:dyDescent="0.25">
      <c r="A624" t="str">
        <f>_xlfn.XLOOKUP(C624, 'Códigos DANE Municipios'!$B$2:$B$1123, 'Códigos DANE Municipios'!$A$2:$A$1123, "No encontrado")</f>
        <v>25839</v>
      </c>
      <c r="B624" t="str">
        <f>IFERROR(VLOOKUP(D624,APOYO!K:L,2,FALSE),A624)</f>
        <v>25839</v>
      </c>
      <c r="C624" t="s">
        <v>1114</v>
      </c>
      <c r="D624" t="str">
        <f>IFERROR(VLOOKUP(C624,APOYO!J:K,2,FALSE),C624)</f>
        <v>UBALÁ</v>
      </c>
      <c r="E624">
        <v>2013</v>
      </c>
      <c r="F624" t="s">
        <v>2189</v>
      </c>
      <c r="G624" t="s">
        <v>2189</v>
      </c>
      <c r="H624">
        <v>5</v>
      </c>
      <c r="I624" s="13" t="s">
        <v>2189</v>
      </c>
      <c r="J624" s="13" t="s">
        <v>2189</v>
      </c>
      <c r="K624" s="13" t="s">
        <v>2189</v>
      </c>
    </row>
    <row r="625" spans="1:11" hidden="1" x14ac:dyDescent="0.25">
      <c r="A625" t="str">
        <f>_xlfn.XLOOKUP(C625, 'Códigos DANE Municipios'!$B$2:$B$1123, 'Códigos DANE Municipios'!$A$2:$A$1123, "No encontrado")</f>
        <v>25841</v>
      </c>
      <c r="B625" t="str">
        <f>IFERROR(VLOOKUP(D625,APOYO!K:L,2,FALSE),A625)</f>
        <v>25841</v>
      </c>
      <c r="C625" t="s">
        <v>1116</v>
      </c>
      <c r="D625" t="str">
        <f>IFERROR(VLOOKUP(C625,APOYO!J:K,2,FALSE),C625)</f>
        <v>UBAQUE</v>
      </c>
      <c r="E625">
        <v>2013</v>
      </c>
      <c r="F625" t="s">
        <v>2189</v>
      </c>
      <c r="G625" t="s">
        <v>2189</v>
      </c>
      <c r="H625">
        <v>13</v>
      </c>
      <c r="I625" s="13" t="s">
        <v>2189</v>
      </c>
      <c r="J625" s="13" t="s">
        <v>2189</v>
      </c>
      <c r="K625" s="13" t="s">
        <v>2189</v>
      </c>
    </row>
    <row r="626" spans="1:11" hidden="1" x14ac:dyDescent="0.25">
      <c r="A626" t="str">
        <f>_xlfn.XLOOKUP(C626, 'Códigos DANE Municipios'!$B$2:$B$1123, 'Códigos DANE Municipios'!$A$2:$A$1123, "No encontrado")</f>
        <v>25843</v>
      </c>
      <c r="B626" t="str">
        <f>IFERROR(VLOOKUP(D626,APOYO!K:L,2,FALSE),A626)</f>
        <v>25843</v>
      </c>
      <c r="C626" t="s">
        <v>1118</v>
      </c>
      <c r="D626" t="str">
        <f>IFERROR(VLOOKUP(C626,APOYO!J:K,2,FALSE),C626)</f>
        <v>VILLA DE SAN DIEGO DE UBATÉ</v>
      </c>
      <c r="E626">
        <v>2013</v>
      </c>
      <c r="F626" t="s">
        <v>2189</v>
      </c>
      <c r="G626" t="s">
        <v>2189</v>
      </c>
      <c r="H626">
        <v>51</v>
      </c>
      <c r="I626" s="13" t="s">
        <v>2189</v>
      </c>
      <c r="J626" s="13" t="s">
        <v>2189</v>
      </c>
      <c r="K626" s="13" t="s">
        <v>2189</v>
      </c>
    </row>
    <row r="627" spans="1:11" hidden="1" x14ac:dyDescent="0.25">
      <c r="A627" t="str">
        <f>_xlfn.XLOOKUP(C627, 'Códigos DANE Municipios'!$B$2:$B$1123, 'Códigos DANE Municipios'!$A$2:$A$1123, "No encontrado")</f>
        <v>76845</v>
      </c>
      <c r="B627" t="str">
        <f>IFERROR(VLOOKUP(D627,APOYO!K:L,2,FALSE),A627)</f>
        <v>76845</v>
      </c>
      <c r="C627" t="s">
        <v>2022</v>
      </c>
      <c r="D627" t="str">
        <f>IFERROR(VLOOKUP(C627,APOYO!J:K,2,FALSE),C627)</f>
        <v>ULLOA</v>
      </c>
      <c r="E627">
        <v>2013</v>
      </c>
      <c r="F627" t="s">
        <v>2189</v>
      </c>
      <c r="G627" t="s">
        <v>2189</v>
      </c>
      <c r="H627">
        <v>6</v>
      </c>
      <c r="I627" s="13" t="s">
        <v>2189</v>
      </c>
      <c r="J627" s="13" t="s">
        <v>2189</v>
      </c>
      <c r="K627" s="13" t="s">
        <v>2189</v>
      </c>
    </row>
    <row r="628" spans="1:11" hidden="1" x14ac:dyDescent="0.25">
      <c r="A628" t="str">
        <f>_xlfn.XLOOKUP(C628, 'Códigos DANE Municipios'!$B$2:$B$1123, 'Códigos DANE Municipios'!$A$2:$A$1123, "No encontrado")</f>
        <v>15842</v>
      </c>
      <c r="B628" t="str">
        <f>IFERROR(VLOOKUP(D628,APOYO!K:L,2,FALSE),A628)</f>
        <v>15842</v>
      </c>
      <c r="C628" t="s">
        <v>636</v>
      </c>
      <c r="D628" t="str">
        <f>IFERROR(VLOOKUP(C628,APOYO!J:K,2,FALSE),C628)</f>
        <v>ÚMBITA</v>
      </c>
      <c r="E628">
        <v>2013</v>
      </c>
      <c r="F628" t="s">
        <v>2189</v>
      </c>
      <c r="G628" t="s">
        <v>2189</v>
      </c>
      <c r="H628">
        <v>1</v>
      </c>
      <c r="I628" s="13" t="s">
        <v>2189</v>
      </c>
      <c r="J628" s="13" t="s">
        <v>2189</v>
      </c>
      <c r="K628" s="13" t="s">
        <v>2189</v>
      </c>
    </row>
    <row r="629" spans="1:11" hidden="1" x14ac:dyDescent="0.25">
      <c r="A629" t="str">
        <f>_xlfn.XLOOKUP(C629, 'Códigos DANE Municipios'!$B$2:$B$1123, 'Códigos DANE Municipios'!$A$2:$A$1123, "No encontrado")</f>
        <v>25845</v>
      </c>
      <c r="B629" t="str">
        <f>IFERROR(VLOOKUP(D629,APOYO!K:L,2,FALSE),A629)</f>
        <v>25845</v>
      </c>
      <c r="C629" t="s">
        <v>1120</v>
      </c>
      <c r="D629" t="str">
        <f>IFERROR(VLOOKUP(C629,APOYO!J:K,2,FALSE),C629)</f>
        <v>UNE</v>
      </c>
      <c r="E629">
        <v>2013</v>
      </c>
      <c r="F629" t="s">
        <v>2189</v>
      </c>
      <c r="G629" t="s">
        <v>2189</v>
      </c>
      <c r="H629">
        <v>1</v>
      </c>
      <c r="I629" s="13" t="s">
        <v>2189</v>
      </c>
      <c r="J629" s="13" t="s">
        <v>2189</v>
      </c>
      <c r="K629" s="13" t="s">
        <v>2189</v>
      </c>
    </row>
    <row r="630" spans="1:11" hidden="1" x14ac:dyDescent="0.25">
      <c r="A630" t="str">
        <f>_xlfn.XLOOKUP(C630, 'Códigos DANE Municipios'!$B$2:$B$1123, 'Códigos DANE Municipios'!$A$2:$A$1123, "No encontrado")</f>
        <v>27800</v>
      </c>
      <c r="B630" t="str">
        <f>IFERROR(VLOOKUP(D630,APOYO!K:L,2,FALSE),A630)</f>
        <v>27800</v>
      </c>
      <c r="C630" t="s">
        <v>1197</v>
      </c>
      <c r="D630" t="str">
        <f>IFERROR(VLOOKUP(C630,APOYO!J:K,2,FALSE),C630)</f>
        <v>UNGUÍA</v>
      </c>
      <c r="E630">
        <v>2013</v>
      </c>
      <c r="F630" t="s">
        <v>2189</v>
      </c>
      <c r="G630" t="s">
        <v>2189</v>
      </c>
      <c r="H630">
        <v>1</v>
      </c>
      <c r="I630" s="13" t="s">
        <v>2189</v>
      </c>
      <c r="J630" s="13" t="s">
        <v>2189</v>
      </c>
      <c r="K630" s="13" t="s">
        <v>2189</v>
      </c>
    </row>
    <row r="631" spans="1:11" hidden="1" x14ac:dyDescent="0.25">
      <c r="A631" t="str">
        <f>_xlfn.XLOOKUP(C631, 'Códigos DANE Municipios'!$B$2:$B$1123, 'Códigos DANE Municipios'!$A$2:$A$1123, "No encontrado")</f>
        <v>44847</v>
      </c>
      <c r="B631" t="str">
        <f>IFERROR(VLOOKUP(D631,APOYO!K:L,2,FALSE),A631)</f>
        <v>44847</v>
      </c>
      <c r="C631" t="s">
        <v>1295</v>
      </c>
      <c r="D631" t="str">
        <f>IFERROR(VLOOKUP(C631,APOYO!J:K,2,FALSE),C631)</f>
        <v>URIBIA</v>
      </c>
      <c r="E631">
        <v>2013</v>
      </c>
      <c r="F631">
        <v>11555</v>
      </c>
      <c r="G631" t="s">
        <v>2189</v>
      </c>
      <c r="H631">
        <v>34</v>
      </c>
      <c r="I631">
        <v>722</v>
      </c>
      <c r="J631" s="13" t="s">
        <v>2189</v>
      </c>
      <c r="K631" s="13" t="s">
        <v>2189</v>
      </c>
    </row>
    <row r="632" spans="1:11" hidden="1" x14ac:dyDescent="0.25">
      <c r="A632" t="str">
        <f>_xlfn.XLOOKUP(C632, 'Códigos DANE Municipios'!$B$2:$B$1123, 'Códigos DANE Municipios'!$A$2:$A$1123, "No encontrado")</f>
        <v>05847</v>
      </c>
      <c r="B632" t="str">
        <f>IFERROR(VLOOKUP(D632,APOYO!K:L,2,FALSE),A632)</f>
        <v>05847</v>
      </c>
      <c r="C632" t="s">
        <v>240</v>
      </c>
      <c r="D632" t="str">
        <f>IFERROR(VLOOKUP(C632,APOYO!J:K,2,FALSE),C632)</f>
        <v>URRAO</v>
      </c>
      <c r="E632">
        <v>2013</v>
      </c>
      <c r="F632">
        <v>43</v>
      </c>
      <c r="G632" t="s">
        <v>2189</v>
      </c>
      <c r="H632">
        <v>2</v>
      </c>
      <c r="I632" s="13" t="s">
        <v>2189</v>
      </c>
      <c r="J632" s="13" t="s">
        <v>2189</v>
      </c>
      <c r="K632" s="13" t="s">
        <v>2189</v>
      </c>
    </row>
    <row r="633" spans="1:11" hidden="1" x14ac:dyDescent="0.25">
      <c r="A633" t="str">
        <f>_xlfn.XLOOKUP(C633, 'Códigos DANE Municipios'!$B$2:$B$1123, 'Códigos DANE Municipios'!$A$2:$A$1123, "No encontrado")</f>
        <v>44855</v>
      </c>
      <c r="B633" t="str">
        <f>IFERROR(VLOOKUP(D633,APOYO!K:L,2,FALSE),A633)</f>
        <v>44855</v>
      </c>
      <c r="C633" t="s">
        <v>1297</v>
      </c>
      <c r="D633" t="str">
        <f>IFERROR(VLOOKUP(C633,APOYO!J:K,2,FALSE),C633)</f>
        <v>URUMITA</v>
      </c>
      <c r="E633">
        <v>2013</v>
      </c>
      <c r="F633" t="s">
        <v>2189</v>
      </c>
      <c r="G633" t="s">
        <v>2509</v>
      </c>
      <c r="H633">
        <v>11</v>
      </c>
      <c r="I633" s="13" t="s">
        <v>2189</v>
      </c>
      <c r="J633" s="13" t="s">
        <v>2189</v>
      </c>
      <c r="K633" s="13" t="s">
        <v>2189</v>
      </c>
    </row>
    <row r="634" spans="1:11" hidden="1" x14ac:dyDescent="0.25">
      <c r="A634" t="str">
        <f>_xlfn.XLOOKUP(C634, 'Códigos DANE Municipios'!$B$2:$B$1123, 'Códigos DANE Municipios'!$A$2:$A$1123, "No encontrado")</f>
        <v>08849</v>
      </c>
      <c r="B634" t="str">
        <f>IFERROR(VLOOKUP(D634,APOYO!K:L,2,FALSE),A634)</f>
        <v>08849</v>
      </c>
      <c r="C634" t="s">
        <v>305</v>
      </c>
      <c r="D634" t="str">
        <f>IFERROR(VLOOKUP(C634,APOYO!J:K,2,FALSE),C634)</f>
        <v>USIACURÍ</v>
      </c>
      <c r="E634">
        <v>2013</v>
      </c>
      <c r="F634" t="s">
        <v>2189</v>
      </c>
      <c r="G634" t="s">
        <v>2509</v>
      </c>
      <c r="H634">
        <v>7</v>
      </c>
      <c r="I634" s="13" t="s">
        <v>2189</v>
      </c>
      <c r="J634" s="13" t="s">
        <v>2189</v>
      </c>
      <c r="K634" s="13" t="s">
        <v>2189</v>
      </c>
    </row>
    <row r="635" spans="1:11" hidden="1" x14ac:dyDescent="0.25">
      <c r="A635" t="str">
        <f>_xlfn.XLOOKUP(C635, 'Códigos DANE Municipios'!$B$2:$B$1123, 'Códigos DANE Municipios'!$A$2:$A$1123, "No encontrado")</f>
        <v>25851</v>
      </c>
      <c r="B635" t="str">
        <f>IFERROR(VLOOKUP(D635,APOYO!K:L,2,FALSE),A635)</f>
        <v>25851</v>
      </c>
      <c r="C635" t="s">
        <v>1122</v>
      </c>
      <c r="D635" t="str">
        <f>IFERROR(VLOOKUP(C635,APOYO!J:K,2,FALSE),C635)</f>
        <v>ÚTICA</v>
      </c>
      <c r="E635">
        <v>2013</v>
      </c>
      <c r="F635" t="s">
        <v>2189</v>
      </c>
      <c r="G635" t="s">
        <v>2509</v>
      </c>
      <c r="H635">
        <v>5</v>
      </c>
      <c r="I635" s="13" t="s">
        <v>2189</v>
      </c>
      <c r="J635" s="13" t="s">
        <v>2189</v>
      </c>
      <c r="K635" s="13" t="s">
        <v>2189</v>
      </c>
    </row>
    <row r="636" spans="1:11" hidden="1" x14ac:dyDescent="0.25">
      <c r="A636" t="str">
        <f>_xlfn.XLOOKUP(C636, 'Códigos DANE Municipios'!$B$2:$B$1123, 'Códigos DANE Municipios'!$A$2:$A$1123, "No encontrado")</f>
        <v>23855</v>
      </c>
      <c r="B636" t="str">
        <f>IFERROR(VLOOKUP(D636,APOYO!K:L,2,FALSE),A636)</f>
        <v>23855</v>
      </c>
      <c r="C636" t="s">
        <v>914</v>
      </c>
      <c r="D636" t="str">
        <f>IFERROR(VLOOKUP(C636,APOYO!J:K,2,FALSE),C636)</f>
        <v>VALENCIA</v>
      </c>
      <c r="E636">
        <v>2013</v>
      </c>
      <c r="F636" t="s">
        <v>2189</v>
      </c>
      <c r="G636" t="s">
        <v>2509</v>
      </c>
      <c r="H636">
        <v>5</v>
      </c>
      <c r="I636" s="13" t="s">
        <v>2189</v>
      </c>
      <c r="J636" s="13" t="s">
        <v>2189</v>
      </c>
      <c r="K636" s="13" t="s">
        <v>2189</v>
      </c>
    </row>
    <row r="637" spans="1:11" hidden="1" x14ac:dyDescent="0.25">
      <c r="A637" t="str">
        <f>_xlfn.XLOOKUP(C637, 'Códigos DANE Municipios'!$B$2:$B$1123, 'Códigos DANE Municipios'!$A$2:$A$1123, "No encontrado")</f>
        <v>68855</v>
      </c>
      <c r="B637" t="str">
        <f>IFERROR(VLOOKUP(D637,APOYO!K:L,2,FALSE),A637)</f>
        <v>68855</v>
      </c>
      <c r="C637" t="s">
        <v>1807</v>
      </c>
      <c r="D637" t="str">
        <f>IFERROR(VLOOKUP(C637,APOYO!J:K,2,FALSE),C637)</f>
        <v>VALLE DE SAN JOSÉ</v>
      </c>
      <c r="E637">
        <v>2013</v>
      </c>
      <c r="F637" t="s">
        <v>2189</v>
      </c>
      <c r="G637" t="s">
        <v>2509</v>
      </c>
      <c r="H637">
        <v>1</v>
      </c>
      <c r="I637" s="13" t="s">
        <v>2189</v>
      </c>
      <c r="J637" s="13" t="s">
        <v>2189</v>
      </c>
      <c r="K637" s="13" t="s">
        <v>2189</v>
      </c>
    </row>
    <row r="638" spans="1:11" hidden="1" x14ac:dyDescent="0.25">
      <c r="A638" t="str">
        <f>_xlfn.XLOOKUP(C638, 'Códigos DANE Municipios'!$B$2:$B$1123, 'Códigos DANE Municipios'!$A$2:$A$1123, "No encontrado")</f>
        <v>20001</v>
      </c>
      <c r="B638" t="str">
        <f>IFERROR(VLOOKUP(D638,APOYO!K:L,2,FALSE),A638)</f>
        <v>20001</v>
      </c>
      <c r="C638" t="s">
        <v>808</v>
      </c>
      <c r="D638" t="str">
        <f>IFERROR(VLOOKUP(C638,APOYO!J:K,2,FALSE),C638)</f>
        <v>VALLEDUPAR</v>
      </c>
      <c r="E638">
        <v>2013</v>
      </c>
      <c r="F638">
        <v>157122</v>
      </c>
      <c r="G638">
        <v>2458</v>
      </c>
      <c r="H638">
        <v>1690</v>
      </c>
      <c r="I638" s="13" t="s">
        <v>2189</v>
      </c>
      <c r="J638" s="13" t="s">
        <v>2189</v>
      </c>
      <c r="K638" s="13" t="s">
        <v>2189</v>
      </c>
    </row>
    <row r="639" spans="1:11" hidden="1" x14ac:dyDescent="0.25">
      <c r="A639" t="str">
        <f>_xlfn.XLOOKUP(C639, 'Códigos DANE Municipios'!$B$2:$B$1123, 'Códigos DANE Municipios'!$A$2:$A$1123, "No encontrado")</f>
        <v>68861</v>
      </c>
      <c r="B639" t="str">
        <f>IFERROR(VLOOKUP(D639,APOYO!K:L,2,FALSE),A639)</f>
        <v>68861</v>
      </c>
      <c r="C639" t="s">
        <v>1809</v>
      </c>
      <c r="D639" t="str">
        <f>IFERROR(VLOOKUP(C639,APOYO!J:K,2,FALSE),C639)</f>
        <v>VÉLEZ</v>
      </c>
      <c r="E639">
        <v>2013</v>
      </c>
      <c r="F639" t="s">
        <v>2189</v>
      </c>
      <c r="G639" t="s">
        <v>2509</v>
      </c>
      <c r="H639">
        <v>11</v>
      </c>
      <c r="I639" s="13" t="s">
        <v>2189</v>
      </c>
      <c r="J639" s="13" t="s">
        <v>2189</v>
      </c>
      <c r="K639" s="13" t="s">
        <v>2189</v>
      </c>
    </row>
    <row r="640" spans="1:11" hidden="1" x14ac:dyDescent="0.25">
      <c r="A640" t="str">
        <f>_xlfn.XLOOKUP(C640, 'Códigos DANE Municipios'!$B$2:$B$1123, 'Códigos DANE Municipios'!$A$2:$A$1123, "No encontrado")</f>
        <v>73861</v>
      </c>
      <c r="B640" t="str">
        <f>IFERROR(VLOOKUP(D640,APOYO!K:L,2,FALSE),A640)</f>
        <v>73861</v>
      </c>
      <c r="C640" t="s">
        <v>1951</v>
      </c>
      <c r="D640" t="str">
        <f>IFERROR(VLOOKUP(C640,APOYO!J:K,2,FALSE),C640)</f>
        <v>VENADILLO</v>
      </c>
      <c r="E640">
        <v>2013</v>
      </c>
      <c r="F640" t="s">
        <v>2189</v>
      </c>
      <c r="G640" t="s">
        <v>2189</v>
      </c>
      <c r="H640">
        <v>5</v>
      </c>
      <c r="I640" s="13" t="s">
        <v>2189</v>
      </c>
      <c r="J640" s="13" t="s">
        <v>2189</v>
      </c>
      <c r="K640" s="13" t="s">
        <v>2189</v>
      </c>
    </row>
    <row r="641" spans="1:11" hidden="1" x14ac:dyDescent="0.25">
      <c r="A641" t="str">
        <f>_xlfn.XLOOKUP(C641, 'Códigos DANE Municipios'!$B$2:$B$1123, 'Códigos DANE Municipios'!$A$2:$A$1123, "No encontrado")</f>
        <v>05861</v>
      </c>
      <c r="B641" t="str">
        <f>IFERROR(VLOOKUP(D641,APOYO!K:L,2,FALSE),A641)</f>
        <v>05861</v>
      </c>
      <c r="C641" t="s">
        <v>248</v>
      </c>
      <c r="D641" t="str">
        <f>IFERROR(VLOOKUP(C641,APOYO!J:K,2,FALSE),C641)</f>
        <v>VENECIA</v>
      </c>
      <c r="E641">
        <v>2013</v>
      </c>
      <c r="F641" t="s">
        <v>2189</v>
      </c>
      <c r="G641" t="s">
        <v>2189</v>
      </c>
      <c r="H641">
        <v>1</v>
      </c>
      <c r="I641" s="13" t="s">
        <v>2189</v>
      </c>
      <c r="J641" s="13" t="s">
        <v>2189</v>
      </c>
      <c r="K641" s="13" t="s">
        <v>2189</v>
      </c>
    </row>
    <row r="642" spans="1:11" hidden="1" x14ac:dyDescent="0.25">
      <c r="A642" t="str">
        <f>_xlfn.XLOOKUP(C642, 'Códigos DANE Municipios'!$B$2:$B$1123, 'Códigos DANE Municipios'!$A$2:$A$1123, "No encontrado")</f>
        <v>15861</v>
      </c>
      <c r="B642" t="str">
        <f>IFERROR(VLOOKUP(D642,APOYO!K:L,2,FALSE),A642)</f>
        <v>15861</v>
      </c>
      <c r="C642" t="s">
        <v>638</v>
      </c>
      <c r="D642" t="str">
        <f>IFERROR(VLOOKUP(C642,APOYO!J:K,2,FALSE),C642)</f>
        <v>VENTAQUEMADA</v>
      </c>
      <c r="E642">
        <v>2013</v>
      </c>
      <c r="F642" t="s">
        <v>2189</v>
      </c>
      <c r="G642" t="s">
        <v>2189</v>
      </c>
      <c r="H642">
        <v>1</v>
      </c>
      <c r="I642" s="13" t="s">
        <v>2189</v>
      </c>
      <c r="J642" s="13" t="s">
        <v>2189</v>
      </c>
      <c r="K642" s="13" t="s">
        <v>2189</v>
      </c>
    </row>
    <row r="643" spans="1:11" hidden="1" x14ac:dyDescent="0.25">
      <c r="A643" t="str">
        <f>_xlfn.XLOOKUP(C643, 'Códigos DANE Municipios'!$B$2:$B$1123, 'Códigos DANE Municipios'!$A$2:$A$1123, "No encontrado")</f>
        <v>76863</v>
      </c>
      <c r="B643" t="str">
        <f>IFERROR(VLOOKUP(D643,APOYO!K:L,2,FALSE),A643)</f>
        <v>76863</v>
      </c>
      <c r="C643" t="s">
        <v>2024</v>
      </c>
      <c r="D643" t="str">
        <f>IFERROR(VLOOKUP(C643,APOYO!J:K,2,FALSE),C643)</f>
        <v>VERSALLES</v>
      </c>
      <c r="E643">
        <v>2013</v>
      </c>
      <c r="F643" t="s">
        <v>2189</v>
      </c>
      <c r="G643" t="s">
        <v>2509</v>
      </c>
      <c r="H643">
        <v>9</v>
      </c>
      <c r="I643" s="13" t="s">
        <v>2189</v>
      </c>
      <c r="J643" s="13" t="s">
        <v>2189</v>
      </c>
      <c r="K643" s="13" t="s">
        <v>2189</v>
      </c>
    </row>
    <row r="644" spans="1:11" hidden="1" x14ac:dyDescent="0.25">
      <c r="A644" t="str">
        <f>_xlfn.XLOOKUP(C644, 'Códigos DANE Municipios'!$B$2:$B$1123, 'Códigos DANE Municipios'!$A$2:$A$1123, "No encontrado")</f>
        <v>25867</v>
      </c>
      <c r="B644" t="str">
        <f>IFERROR(VLOOKUP(D644,APOYO!K:L,2,FALSE),A644)</f>
        <v>25867</v>
      </c>
      <c r="C644" t="s">
        <v>1126</v>
      </c>
      <c r="D644" t="str">
        <f>IFERROR(VLOOKUP(C644,APOYO!J:K,2,FALSE),C644)</f>
        <v>VIANÍ</v>
      </c>
      <c r="E644">
        <v>2013</v>
      </c>
      <c r="F644" t="s">
        <v>2189</v>
      </c>
      <c r="G644" t="s">
        <v>2509</v>
      </c>
      <c r="H644">
        <v>1</v>
      </c>
      <c r="I644" s="13" t="s">
        <v>2189</v>
      </c>
      <c r="J644" s="13" t="s">
        <v>2189</v>
      </c>
      <c r="K644" s="13" t="s">
        <v>2189</v>
      </c>
    </row>
    <row r="645" spans="1:11" hidden="1" x14ac:dyDescent="0.25">
      <c r="A645" t="str">
        <f>_xlfn.XLOOKUP(C645, 'Códigos DANE Municipios'!$B$2:$B$1123, 'Códigos DANE Municipios'!$A$2:$A$1123, "No encontrado")</f>
        <v>17867</v>
      </c>
      <c r="B645" t="str">
        <f>IFERROR(VLOOKUP(D645,APOYO!K:L,2,FALSE),A645)</f>
        <v>17867</v>
      </c>
      <c r="C645" t="s">
        <v>692</v>
      </c>
      <c r="D645" t="str">
        <f>IFERROR(VLOOKUP(C645,APOYO!J:K,2,FALSE),C645)</f>
        <v>VICTORIA</v>
      </c>
      <c r="E645">
        <v>2013</v>
      </c>
      <c r="F645" t="s">
        <v>2189</v>
      </c>
      <c r="G645" t="s">
        <v>2509</v>
      </c>
      <c r="H645">
        <v>6</v>
      </c>
      <c r="I645" s="13" t="s">
        <v>2189</v>
      </c>
      <c r="J645" s="13" t="s">
        <v>2189</v>
      </c>
      <c r="K645" s="13" t="s">
        <v>2189</v>
      </c>
    </row>
    <row r="646" spans="1:11" hidden="1" x14ac:dyDescent="0.25">
      <c r="A646" t="str">
        <f>_xlfn.XLOOKUP(C646, 'Códigos DANE Municipios'!$B$2:$B$1123, 'Códigos DANE Municipios'!$A$2:$A$1123, "No encontrado")</f>
        <v>76869</v>
      </c>
      <c r="B646" t="str">
        <f>IFERROR(VLOOKUP(D646,APOYO!K:L,2,FALSE),A646)</f>
        <v>76869</v>
      </c>
      <c r="C646" t="s">
        <v>2026</v>
      </c>
      <c r="D646" t="str">
        <f>IFERROR(VLOOKUP(C646,APOYO!J:K,2,FALSE),C646)</f>
        <v>VIJES</v>
      </c>
      <c r="E646">
        <v>2013</v>
      </c>
      <c r="F646" t="s">
        <v>2189</v>
      </c>
      <c r="G646" t="s">
        <v>2509</v>
      </c>
      <c r="H646">
        <v>5</v>
      </c>
      <c r="I646" s="13" t="s">
        <v>2189</v>
      </c>
      <c r="J646" s="13" t="s">
        <v>2189</v>
      </c>
      <c r="K646" s="13" t="s">
        <v>2189</v>
      </c>
    </row>
    <row r="647" spans="1:11" hidden="1" x14ac:dyDescent="0.25">
      <c r="A647" t="str">
        <f>_xlfn.XLOOKUP(C647, 'Códigos DANE Municipios'!$B$2:$B$1123, 'Códigos DANE Municipios'!$A$2:$A$1123, "No encontrado")</f>
        <v>15407</v>
      </c>
      <c r="B647" t="str">
        <f>IFERROR(VLOOKUP(D647,APOYO!K:L,2,FALSE),A647)</f>
        <v>15407</v>
      </c>
      <c r="C647" t="s">
        <v>498</v>
      </c>
      <c r="D647" t="str">
        <f>IFERROR(VLOOKUP(C647,APOYO!J:K,2,FALSE),C647)</f>
        <v>VILLA DE LEYVA</v>
      </c>
      <c r="E647">
        <v>2013</v>
      </c>
      <c r="F647" t="s">
        <v>2189</v>
      </c>
      <c r="G647" t="s">
        <v>2509</v>
      </c>
      <c r="H647">
        <v>568</v>
      </c>
      <c r="I647">
        <v>5469</v>
      </c>
      <c r="J647" s="13" t="s">
        <v>2189</v>
      </c>
      <c r="K647" s="13" t="s">
        <v>2189</v>
      </c>
    </row>
    <row r="648" spans="1:11" hidden="1" x14ac:dyDescent="0.25">
      <c r="A648" t="str">
        <f>_xlfn.XLOOKUP(C648, 'Códigos DANE Municipios'!$B$2:$B$1123, 'Códigos DANE Municipios'!$A$2:$A$1123, "No encontrado")</f>
        <v>19845</v>
      </c>
      <c r="B648" t="str">
        <f>IFERROR(VLOOKUP(D648,APOYO!K:L,2,FALSE),A648)</f>
        <v>19845</v>
      </c>
      <c r="C648" t="s">
        <v>806</v>
      </c>
      <c r="D648" t="str">
        <f>IFERROR(VLOOKUP(C648,APOYO!J:K,2,FALSE),C648)</f>
        <v>VILLA RICA</v>
      </c>
      <c r="E648">
        <v>2013</v>
      </c>
      <c r="F648" t="s">
        <v>2189</v>
      </c>
      <c r="G648" t="s">
        <v>2509</v>
      </c>
      <c r="H648">
        <v>1</v>
      </c>
      <c r="I648" s="13" t="s">
        <v>2189</v>
      </c>
      <c r="J648" s="13" t="s">
        <v>2189</v>
      </c>
      <c r="K648" s="13" t="s">
        <v>2189</v>
      </c>
    </row>
    <row r="649" spans="1:11" hidden="1" x14ac:dyDescent="0.25">
      <c r="A649" t="str">
        <f>_xlfn.XLOOKUP(C649, 'Códigos DANE Municipios'!$B$2:$B$1123, 'Códigos DANE Municipios'!$A$2:$A$1123, "No encontrado")</f>
        <v>54874</v>
      </c>
      <c r="B649" t="str">
        <f>IFERROR(VLOOKUP(D649,APOYO!K:L,2,FALSE),A649)</f>
        <v>54874</v>
      </c>
      <c r="C649" t="s">
        <v>1605</v>
      </c>
      <c r="D649" t="str">
        <f>IFERROR(VLOOKUP(C649,APOYO!J:K,2,FALSE),C649)</f>
        <v>VILLA DEL ROSARIO</v>
      </c>
      <c r="E649">
        <v>2013</v>
      </c>
      <c r="F649" t="s">
        <v>2189</v>
      </c>
      <c r="G649" t="s">
        <v>2189</v>
      </c>
      <c r="H649">
        <v>34</v>
      </c>
      <c r="I649" s="13" t="s">
        <v>2189</v>
      </c>
      <c r="J649" s="13" t="s">
        <v>2189</v>
      </c>
      <c r="K649" s="13" t="s">
        <v>2189</v>
      </c>
    </row>
    <row r="650" spans="1:11" hidden="1" x14ac:dyDescent="0.25">
      <c r="A650" t="str">
        <f>_xlfn.XLOOKUP(C650, 'Códigos DANE Municipios'!$B$2:$B$1123, 'Códigos DANE Municipios'!$A$2:$A$1123, "No encontrado")</f>
        <v>86885</v>
      </c>
      <c r="B650" t="str">
        <f>IFERROR(VLOOKUP(D650,APOYO!K:L,2,FALSE),A650)</f>
        <v>86885</v>
      </c>
      <c r="C650" t="s">
        <v>2104</v>
      </c>
      <c r="D650" t="str">
        <f>IFERROR(VLOOKUP(C650,APOYO!J:K,2,FALSE),C650)</f>
        <v>VILLAGARZÓN</v>
      </c>
      <c r="E650">
        <v>2013</v>
      </c>
      <c r="F650">
        <v>12651</v>
      </c>
      <c r="G650" t="s">
        <v>2189</v>
      </c>
      <c r="H650">
        <v>12</v>
      </c>
      <c r="I650" s="13" t="s">
        <v>2189</v>
      </c>
      <c r="J650" s="13" t="s">
        <v>2189</v>
      </c>
      <c r="K650" s="13" t="s">
        <v>2189</v>
      </c>
    </row>
    <row r="651" spans="1:11" hidden="1" x14ac:dyDescent="0.25">
      <c r="A651" t="str">
        <f>_xlfn.XLOOKUP(C651, 'Códigos DANE Municipios'!$B$2:$B$1123, 'Códigos DANE Municipios'!$A$2:$A$1123, "No encontrado")</f>
        <v>17873</v>
      </c>
      <c r="B651" t="str">
        <f>IFERROR(VLOOKUP(D651,APOYO!K:L,2,FALSE),A651)</f>
        <v>17873</v>
      </c>
      <c r="C651" t="s">
        <v>694</v>
      </c>
      <c r="D651" t="str">
        <f>IFERROR(VLOOKUP(C651,APOYO!J:K,2,FALSE),C651)</f>
        <v>VILLAMARÍA</v>
      </c>
      <c r="E651">
        <v>2013</v>
      </c>
      <c r="F651" t="s">
        <v>2189</v>
      </c>
      <c r="G651" t="s">
        <v>2509</v>
      </c>
      <c r="H651">
        <v>13</v>
      </c>
      <c r="I651" s="13" t="s">
        <v>2189</v>
      </c>
      <c r="J651" s="13" t="s">
        <v>2189</v>
      </c>
      <c r="K651" s="13" t="s">
        <v>2189</v>
      </c>
    </row>
    <row r="652" spans="1:11" hidden="1" x14ac:dyDescent="0.25">
      <c r="A652" t="str">
        <f>_xlfn.XLOOKUP(C652, 'Códigos DANE Municipios'!$B$2:$B$1123, 'Códigos DANE Municipios'!$A$2:$A$1123, "No encontrado")</f>
        <v>13873</v>
      </c>
      <c r="B652" t="str">
        <f>IFERROR(VLOOKUP(D652,APOYO!K:L,2,FALSE),A652)</f>
        <v>13873</v>
      </c>
      <c r="C652" t="s">
        <v>397</v>
      </c>
      <c r="D652" t="str">
        <f>IFERROR(VLOOKUP(C652,APOYO!J:K,2,FALSE),C652)</f>
        <v>VILLANUEVA</v>
      </c>
      <c r="E652">
        <v>2013</v>
      </c>
      <c r="F652">
        <v>3012</v>
      </c>
      <c r="G652" t="s">
        <v>2189</v>
      </c>
      <c r="H652">
        <v>56</v>
      </c>
      <c r="I652" s="13" t="s">
        <v>2189</v>
      </c>
      <c r="J652" s="13" t="s">
        <v>2189</v>
      </c>
      <c r="K652" s="13" t="s">
        <v>2189</v>
      </c>
    </row>
    <row r="653" spans="1:11" hidden="1" x14ac:dyDescent="0.25">
      <c r="A653" t="str">
        <f>_xlfn.XLOOKUP(C653, 'Códigos DANE Municipios'!$B$2:$B$1123, 'Códigos DANE Municipios'!$A$2:$A$1123, "No encontrado")</f>
        <v>25873</v>
      </c>
      <c r="B653" t="str">
        <f>IFERROR(VLOOKUP(D653,APOYO!K:L,2,FALSE),A653)</f>
        <v>25873</v>
      </c>
      <c r="C653" t="s">
        <v>1130</v>
      </c>
      <c r="D653" t="str">
        <f>IFERROR(VLOOKUP(C653,APOYO!J:K,2,FALSE),C653)</f>
        <v>VILLAPINZÓN</v>
      </c>
      <c r="E653">
        <v>2013</v>
      </c>
      <c r="F653" t="s">
        <v>2189</v>
      </c>
      <c r="G653" t="s">
        <v>2510</v>
      </c>
      <c r="H653">
        <v>6</v>
      </c>
      <c r="I653" s="13" t="s">
        <v>2189</v>
      </c>
      <c r="J653" s="13" t="s">
        <v>2189</v>
      </c>
      <c r="K653" s="13" t="s">
        <v>2189</v>
      </c>
    </row>
    <row r="654" spans="1:11" hidden="1" x14ac:dyDescent="0.25">
      <c r="A654" t="str">
        <f>_xlfn.XLOOKUP(C654, 'Códigos DANE Municipios'!$B$2:$B$1123, 'Códigos DANE Municipios'!$A$2:$A$1123, "No encontrado")</f>
        <v>50001</v>
      </c>
      <c r="B654" t="str">
        <f>IFERROR(VLOOKUP(D654,APOYO!K:L,2,FALSE),A654)</f>
        <v>50001</v>
      </c>
      <c r="C654" t="s">
        <v>1358</v>
      </c>
      <c r="D654" t="str">
        <f>IFERROR(VLOOKUP(C654,APOYO!J:K,2,FALSE),C654)</f>
        <v>VILLAVICENCIO</v>
      </c>
      <c r="E654">
        <v>2013</v>
      </c>
      <c r="F654">
        <v>82817</v>
      </c>
      <c r="G654">
        <v>22</v>
      </c>
      <c r="H654">
        <v>2614</v>
      </c>
      <c r="I654" s="13" t="s">
        <v>2189</v>
      </c>
      <c r="J654" s="13" t="s">
        <v>2189</v>
      </c>
      <c r="K654" s="13" t="s">
        <v>2189</v>
      </c>
    </row>
    <row r="655" spans="1:11" hidden="1" x14ac:dyDescent="0.25">
      <c r="A655" t="str">
        <f>_xlfn.XLOOKUP(C655, 'Códigos DANE Municipios'!$B$2:$B$1123, 'Códigos DANE Municipios'!$A$2:$A$1123, "No encontrado")</f>
        <v>41872</v>
      </c>
      <c r="B655" t="str">
        <f>IFERROR(VLOOKUP(D655,APOYO!K:L,2,FALSE),A655)</f>
        <v>41872</v>
      </c>
      <c r="C655" t="s">
        <v>1268</v>
      </c>
      <c r="D655" t="str">
        <f>IFERROR(VLOOKUP(C655,APOYO!J:K,2,FALSE),C655)</f>
        <v>VILLAVIEJA</v>
      </c>
      <c r="E655">
        <v>2013</v>
      </c>
      <c r="F655">
        <v>9</v>
      </c>
      <c r="G655" t="s">
        <v>2189</v>
      </c>
      <c r="H655">
        <v>7</v>
      </c>
      <c r="I655" s="13" t="s">
        <v>2189</v>
      </c>
      <c r="J655" s="13" t="s">
        <v>2189</v>
      </c>
      <c r="K655" s="13" t="s">
        <v>2189</v>
      </c>
    </row>
    <row r="656" spans="1:11" hidden="1" x14ac:dyDescent="0.25">
      <c r="A656" t="str">
        <f>_xlfn.XLOOKUP(C656, 'Códigos DANE Municipios'!$B$2:$B$1123, 'Códigos DANE Municipios'!$A$2:$A$1123, "No encontrado")</f>
        <v>25875</v>
      </c>
      <c r="B656" t="str">
        <f>IFERROR(VLOOKUP(D656,APOYO!K:L,2,FALSE),A656)</f>
        <v>25875</v>
      </c>
      <c r="C656" t="s">
        <v>1132</v>
      </c>
      <c r="D656" t="str">
        <f>IFERROR(VLOOKUP(C656,APOYO!J:K,2,FALSE),C656)</f>
        <v>VILLETA</v>
      </c>
      <c r="E656">
        <v>2013</v>
      </c>
      <c r="F656" t="s">
        <v>2189</v>
      </c>
      <c r="G656" t="s">
        <v>2509</v>
      </c>
      <c r="H656">
        <v>79</v>
      </c>
      <c r="I656" s="13" t="s">
        <v>2189</v>
      </c>
      <c r="J656" s="13" t="s">
        <v>2189</v>
      </c>
      <c r="K656" s="13" t="s">
        <v>2189</v>
      </c>
    </row>
    <row r="657" spans="1:11" hidden="1" x14ac:dyDescent="0.25">
      <c r="A657" t="str">
        <f>_xlfn.XLOOKUP(C657, 'Códigos DANE Municipios'!$B$2:$B$1123, 'Códigos DANE Municipios'!$A$2:$A$1123, "No encontrado")</f>
        <v>25878</v>
      </c>
      <c r="B657" t="str">
        <f>IFERROR(VLOOKUP(D657,APOYO!K:L,2,FALSE),A657)</f>
        <v>25878</v>
      </c>
      <c r="C657" t="s">
        <v>1134</v>
      </c>
      <c r="D657" t="str">
        <f>IFERROR(VLOOKUP(C657,APOYO!J:K,2,FALSE),C657)</f>
        <v>VIOTÁ</v>
      </c>
      <c r="E657">
        <v>2013</v>
      </c>
      <c r="F657" t="s">
        <v>2189</v>
      </c>
      <c r="G657" t="s">
        <v>2509</v>
      </c>
      <c r="H657">
        <v>2</v>
      </c>
      <c r="I657" s="13" t="s">
        <v>2189</v>
      </c>
      <c r="J657" s="13" t="s">
        <v>2189</v>
      </c>
      <c r="K657" s="13" t="s">
        <v>2189</v>
      </c>
    </row>
    <row r="658" spans="1:11" hidden="1" x14ac:dyDescent="0.25">
      <c r="A658" t="str">
        <f>_xlfn.XLOOKUP(C658, 'Códigos DANE Municipios'!$B$2:$B$1123, 'Códigos DANE Municipios'!$A$2:$A$1123, "No encontrado")</f>
        <v>15879</v>
      </c>
      <c r="B658" t="str">
        <f>IFERROR(VLOOKUP(D658,APOYO!K:L,2,FALSE),A658)</f>
        <v>15879</v>
      </c>
      <c r="C658" t="s">
        <v>640</v>
      </c>
      <c r="D658" t="str">
        <f>IFERROR(VLOOKUP(C658,APOYO!J:K,2,FALSE),C658)</f>
        <v>VIRACACHÁ</v>
      </c>
      <c r="E658">
        <v>2013</v>
      </c>
      <c r="F658" t="s">
        <v>2189</v>
      </c>
      <c r="G658" t="s">
        <v>2509</v>
      </c>
      <c r="H658">
        <v>1</v>
      </c>
      <c r="I658" s="13" t="s">
        <v>2189</v>
      </c>
      <c r="J658" s="13" t="s">
        <v>2189</v>
      </c>
      <c r="K658" s="13" t="s">
        <v>2189</v>
      </c>
    </row>
    <row r="659" spans="1:11" hidden="1" x14ac:dyDescent="0.25">
      <c r="A659" t="str">
        <f>_xlfn.XLOOKUP(C659, 'Códigos DANE Municipios'!$B$2:$B$1123, 'Códigos DANE Municipios'!$A$2:$A$1123, "No encontrado")</f>
        <v>50711</v>
      </c>
      <c r="B659" t="str">
        <f>IFERROR(VLOOKUP(D659,APOYO!K:L,2,FALSE),A659)</f>
        <v>50711</v>
      </c>
      <c r="C659" t="s">
        <v>1410</v>
      </c>
      <c r="D659" t="str">
        <f>IFERROR(VLOOKUP(C659,APOYO!J:K,2,FALSE),C659)</f>
        <v>VISTAHERMOSA</v>
      </c>
      <c r="E659">
        <v>2013</v>
      </c>
      <c r="F659">
        <v>3</v>
      </c>
      <c r="G659" t="s">
        <v>2189</v>
      </c>
      <c r="H659">
        <v>3</v>
      </c>
      <c r="I659" s="13" t="s">
        <v>2189</v>
      </c>
      <c r="J659" s="13" t="s">
        <v>2189</v>
      </c>
      <c r="K659" s="13" t="s">
        <v>2189</v>
      </c>
    </row>
    <row r="660" spans="1:11" hidden="1" x14ac:dyDescent="0.25">
      <c r="A660" t="str">
        <f>_xlfn.XLOOKUP(C660, 'Códigos DANE Municipios'!$B$2:$B$1123, 'Códigos DANE Municipios'!$A$2:$A$1123, "No encontrado")</f>
        <v>17877</v>
      </c>
      <c r="B660" t="str">
        <f>IFERROR(VLOOKUP(D660,APOYO!K:L,2,FALSE),A660)</f>
        <v>17877</v>
      </c>
      <c r="C660" t="s">
        <v>696</v>
      </c>
      <c r="D660" t="str">
        <f>IFERROR(VLOOKUP(C660,APOYO!J:K,2,FALSE),C660)</f>
        <v>VITERBO</v>
      </c>
      <c r="E660">
        <v>2013</v>
      </c>
      <c r="F660" t="s">
        <v>2511</v>
      </c>
      <c r="G660" t="s">
        <v>2189</v>
      </c>
      <c r="H660">
        <v>49</v>
      </c>
      <c r="I660" s="13" t="s">
        <v>2189</v>
      </c>
      <c r="J660" s="13" t="s">
        <v>2189</v>
      </c>
      <c r="K660" s="13" t="s">
        <v>2189</v>
      </c>
    </row>
    <row r="661" spans="1:11" hidden="1" x14ac:dyDescent="0.25">
      <c r="A661" t="str">
        <f>_xlfn.XLOOKUP(C661, 'Códigos DANE Municipios'!$B$2:$B$1123, 'Códigos DANE Municipios'!$A$2:$A$1123, "No encontrado")</f>
        <v>41885</v>
      </c>
      <c r="B661" t="str">
        <f>IFERROR(VLOOKUP(D661,APOYO!K:L,2,FALSE),A661)</f>
        <v>41885</v>
      </c>
      <c r="C661" t="s">
        <v>1270</v>
      </c>
      <c r="D661" t="str">
        <f>IFERROR(VLOOKUP(C661,APOYO!J:K,2,FALSE),C661)</f>
        <v>YAGUARÁ</v>
      </c>
      <c r="E661">
        <v>2013</v>
      </c>
      <c r="F661" t="s">
        <v>2189</v>
      </c>
      <c r="G661" t="s">
        <v>2189</v>
      </c>
      <c r="H661">
        <v>2</v>
      </c>
      <c r="I661" s="13" t="s">
        <v>2189</v>
      </c>
      <c r="J661" s="13" t="s">
        <v>2189</v>
      </c>
      <c r="K661" s="13" t="s">
        <v>2189</v>
      </c>
    </row>
    <row r="662" spans="1:11" hidden="1" x14ac:dyDescent="0.25">
      <c r="A662" t="str">
        <f>_xlfn.XLOOKUP(C662, 'Códigos DANE Municipios'!$B$2:$B$1123, 'Códigos DANE Municipios'!$A$2:$A$1123, "No encontrado")</f>
        <v>05887</v>
      </c>
      <c r="B662" t="str">
        <f>IFERROR(VLOOKUP(D662,APOYO!K:L,2,FALSE),A662)</f>
        <v>05887</v>
      </c>
      <c r="C662" t="s">
        <v>254</v>
      </c>
      <c r="D662" t="str">
        <f>IFERROR(VLOOKUP(C662,APOYO!J:K,2,FALSE),C662)</f>
        <v>YARUMAL</v>
      </c>
      <c r="E662">
        <v>2013</v>
      </c>
      <c r="F662" t="s">
        <v>2189</v>
      </c>
      <c r="G662" t="s">
        <v>2509</v>
      </c>
      <c r="H662">
        <v>4</v>
      </c>
      <c r="I662" s="13" t="s">
        <v>2189</v>
      </c>
      <c r="J662" s="13" t="s">
        <v>2189</v>
      </c>
      <c r="K662" s="13" t="s">
        <v>2189</v>
      </c>
    </row>
    <row r="663" spans="1:11" hidden="1" x14ac:dyDescent="0.25">
      <c r="A663" t="str">
        <f>_xlfn.XLOOKUP(C663, 'Códigos DANE Municipios'!$B$2:$B$1123, 'Códigos DANE Municipios'!$A$2:$A$1123, "No encontrado")</f>
        <v>05890</v>
      </c>
      <c r="B663" t="str">
        <f>IFERROR(VLOOKUP(D663,APOYO!K:L,2,FALSE),A663)</f>
        <v>05890</v>
      </c>
      <c r="C663" t="s">
        <v>256</v>
      </c>
      <c r="D663" t="str">
        <f>IFERROR(VLOOKUP(C663,APOYO!J:K,2,FALSE),C663)</f>
        <v>YOLOMBÓ</v>
      </c>
      <c r="E663">
        <v>2013</v>
      </c>
      <c r="F663" t="s">
        <v>2189</v>
      </c>
      <c r="G663" t="s">
        <v>2189</v>
      </c>
      <c r="H663">
        <v>4</v>
      </c>
      <c r="I663" s="13" t="s">
        <v>2189</v>
      </c>
      <c r="J663" s="13" t="s">
        <v>2189</v>
      </c>
      <c r="K663" s="13" t="s">
        <v>2189</v>
      </c>
    </row>
    <row r="664" spans="1:11" hidden="1" x14ac:dyDescent="0.25">
      <c r="A664" t="str">
        <f>_xlfn.XLOOKUP(C664, 'Códigos DANE Municipios'!$B$2:$B$1123, 'Códigos DANE Municipios'!$A$2:$A$1123, "No encontrado")</f>
        <v>05893</v>
      </c>
      <c r="B664" t="str">
        <f>IFERROR(VLOOKUP(D664,APOYO!K:L,2,FALSE),A664)</f>
        <v>05893</v>
      </c>
      <c r="C664" t="s">
        <v>258</v>
      </c>
      <c r="D664" t="str">
        <f>IFERROR(VLOOKUP(C664,APOYO!J:K,2,FALSE),C664)</f>
        <v>YONDÓ</v>
      </c>
      <c r="E664">
        <v>2013</v>
      </c>
      <c r="F664" t="s">
        <v>2189</v>
      </c>
      <c r="G664" t="s">
        <v>2509</v>
      </c>
      <c r="H664">
        <v>54</v>
      </c>
      <c r="I664" s="13" t="s">
        <v>2189</v>
      </c>
      <c r="J664" s="13" t="s">
        <v>2189</v>
      </c>
      <c r="K664" s="13" t="s">
        <v>2189</v>
      </c>
    </row>
    <row r="665" spans="1:11" hidden="1" x14ac:dyDescent="0.25">
      <c r="A665" t="str">
        <f>_xlfn.XLOOKUP(C665, 'Códigos DANE Municipios'!$B$2:$B$1123, 'Códigos DANE Municipios'!$A$2:$A$1123, "No encontrado")</f>
        <v>85001</v>
      </c>
      <c r="B665" t="str">
        <f>IFERROR(VLOOKUP(D665,APOYO!K:L,2,FALSE),A665)</f>
        <v>85001</v>
      </c>
      <c r="C665" t="s">
        <v>2048</v>
      </c>
      <c r="D665" t="str">
        <f>IFERROR(VLOOKUP(C665,APOYO!J:K,2,FALSE),C665)</f>
        <v>YOPAL</v>
      </c>
      <c r="E665">
        <v>2013</v>
      </c>
      <c r="F665">
        <v>21522</v>
      </c>
      <c r="G665">
        <v>259</v>
      </c>
      <c r="H665">
        <v>542</v>
      </c>
      <c r="I665" s="13" t="s">
        <v>2189</v>
      </c>
      <c r="J665" s="13" t="s">
        <v>2189</v>
      </c>
      <c r="K665" s="13" t="s">
        <v>2189</v>
      </c>
    </row>
    <row r="666" spans="1:11" hidden="1" x14ac:dyDescent="0.25">
      <c r="A666" t="str">
        <f>_xlfn.XLOOKUP(C666, 'Códigos DANE Municipios'!$B$2:$B$1123, 'Códigos DANE Municipios'!$A$2:$A$1123, "No encontrado")</f>
        <v>76890</v>
      </c>
      <c r="B666" t="str">
        <f>IFERROR(VLOOKUP(D666,APOYO!K:L,2,FALSE),A666)</f>
        <v>76890</v>
      </c>
      <c r="C666" t="s">
        <v>2028</v>
      </c>
      <c r="D666" t="str">
        <f>IFERROR(VLOOKUP(C666,APOYO!J:K,2,FALSE),C666)</f>
        <v>YOTOCO</v>
      </c>
      <c r="E666">
        <v>2013</v>
      </c>
      <c r="F666" t="s">
        <v>2189</v>
      </c>
      <c r="G666" t="s">
        <v>2189</v>
      </c>
      <c r="H666">
        <v>25</v>
      </c>
      <c r="I666" s="13" t="s">
        <v>2189</v>
      </c>
      <c r="J666" s="13" t="s">
        <v>2189</v>
      </c>
      <c r="K666" s="13" t="s">
        <v>2189</v>
      </c>
    </row>
    <row r="667" spans="1:11" hidden="1" x14ac:dyDescent="0.25">
      <c r="A667" t="str">
        <f>_xlfn.XLOOKUP(C667, 'Códigos DANE Municipios'!$B$2:$B$1123, 'Códigos DANE Municipios'!$A$2:$A$1123, "No encontrado")</f>
        <v>76892</v>
      </c>
      <c r="B667" t="str">
        <f>IFERROR(VLOOKUP(D667,APOYO!K:L,2,FALSE),A667)</f>
        <v>76892</v>
      </c>
      <c r="C667" t="s">
        <v>2030</v>
      </c>
      <c r="D667" t="str">
        <f>IFERROR(VLOOKUP(C667,APOYO!J:K,2,FALSE),C667)</f>
        <v>YUMBO</v>
      </c>
      <c r="E667">
        <v>2013</v>
      </c>
      <c r="F667" t="s">
        <v>2189</v>
      </c>
      <c r="G667" t="s">
        <v>2509</v>
      </c>
      <c r="H667">
        <v>299</v>
      </c>
      <c r="I667" s="13" t="s">
        <v>2189</v>
      </c>
      <c r="J667" s="13" t="s">
        <v>2189</v>
      </c>
      <c r="K667" s="13" t="s">
        <v>2189</v>
      </c>
    </row>
    <row r="668" spans="1:11" hidden="1" x14ac:dyDescent="0.25">
      <c r="A668" t="str">
        <f>_xlfn.XLOOKUP(C668, 'Códigos DANE Municipios'!$B$2:$B$1123, 'Códigos DANE Municipios'!$A$2:$A$1123, "No encontrado")</f>
        <v>68895</v>
      </c>
      <c r="B668" t="str">
        <f>IFERROR(VLOOKUP(D668,APOYO!K:L,2,FALSE),A668)</f>
        <v>68895</v>
      </c>
      <c r="C668" t="s">
        <v>1814</v>
      </c>
      <c r="D668" t="str">
        <f>IFERROR(VLOOKUP(C668,APOYO!J:K,2,FALSE),C668)</f>
        <v>ZAPATOCA</v>
      </c>
      <c r="E668">
        <v>2013</v>
      </c>
      <c r="F668" t="s">
        <v>2189</v>
      </c>
      <c r="G668" t="s">
        <v>2509</v>
      </c>
      <c r="H668">
        <v>8</v>
      </c>
      <c r="I668" s="13" t="s">
        <v>2189</v>
      </c>
      <c r="J668" s="13" t="s">
        <v>2189</v>
      </c>
      <c r="K668" s="13" t="s">
        <v>2189</v>
      </c>
    </row>
    <row r="669" spans="1:11" hidden="1" x14ac:dyDescent="0.25">
      <c r="A669" t="str">
        <f>_xlfn.XLOOKUP(C669, 'Códigos DANE Municipios'!$B$2:$B$1123, 'Códigos DANE Municipios'!$A$2:$A$1123, "No encontrado")</f>
        <v>05895</v>
      </c>
      <c r="B669" t="str">
        <f>IFERROR(VLOOKUP(D669,APOYO!K:L,2,FALSE),A669)</f>
        <v>05895</v>
      </c>
      <c r="C669" t="s">
        <v>260</v>
      </c>
      <c r="D669" t="str">
        <f>IFERROR(VLOOKUP(C669,APOYO!J:K,2,FALSE),C669)</f>
        <v>ZARAGOZA</v>
      </c>
      <c r="E669">
        <v>2013</v>
      </c>
      <c r="F669" t="s">
        <v>2189</v>
      </c>
      <c r="G669" t="s">
        <v>2509</v>
      </c>
      <c r="H669">
        <v>9</v>
      </c>
      <c r="I669" s="13" t="s">
        <v>2189</v>
      </c>
      <c r="J669" s="13" t="s">
        <v>2189</v>
      </c>
      <c r="K669" s="13" t="s">
        <v>2189</v>
      </c>
    </row>
    <row r="670" spans="1:11" hidden="1" x14ac:dyDescent="0.25">
      <c r="A670" t="str">
        <f>_xlfn.XLOOKUP(C670, 'Códigos DANE Municipios'!$B$2:$B$1123, 'Códigos DANE Municipios'!$A$2:$A$1123, "No encontrado")</f>
        <v>76895</v>
      </c>
      <c r="B670" t="str">
        <f>IFERROR(VLOOKUP(D670,APOYO!K:L,2,FALSE),A670)</f>
        <v>76895</v>
      </c>
      <c r="C670" t="s">
        <v>2032</v>
      </c>
      <c r="D670" t="str">
        <f>IFERROR(VLOOKUP(C670,APOYO!J:K,2,FALSE),C670)</f>
        <v>ZARZAL</v>
      </c>
      <c r="E670">
        <v>2013</v>
      </c>
      <c r="F670" t="s">
        <v>2189</v>
      </c>
      <c r="G670" t="s">
        <v>2189</v>
      </c>
      <c r="H670">
        <v>115</v>
      </c>
      <c r="I670" s="13" t="s">
        <v>2189</v>
      </c>
      <c r="J670" s="13" t="s">
        <v>2189</v>
      </c>
      <c r="K670" s="13" t="s">
        <v>2189</v>
      </c>
    </row>
    <row r="671" spans="1:11" hidden="1" x14ac:dyDescent="0.25">
      <c r="A671" t="str">
        <f>_xlfn.XLOOKUP(C671, 'Códigos DANE Municipios'!$B$2:$B$1123, 'Códigos DANE Municipios'!$A$2:$A$1123, "No encontrado")</f>
        <v>15897</v>
      </c>
      <c r="B671" t="str">
        <f>IFERROR(VLOOKUP(D671,APOYO!K:L,2,FALSE),A671)</f>
        <v>15897</v>
      </c>
      <c r="C671" t="s">
        <v>642</v>
      </c>
      <c r="D671" t="str">
        <f>IFERROR(VLOOKUP(C671,APOYO!J:K,2,FALSE),C671)</f>
        <v>ZETAQUIRA</v>
      </c>
      <c r="E671">
        <v>2013</v>
      </c>
      <c r="F671" t="s">
        <v>2189</v>
      </c>
      <c r="G671" t="s">
        <v>2509</v>
      </c>
      <c r="H671">
        <v>8</v>
      </c>
      <c r="I671" s="13" t="s">
        <v>2189</v>
      </c>
      <c r="J671" s="13" t="s">
        <v>2189</v>
      </c>
      <c r="K671" s="13" t="s">
        <v>2189</v>
      </c>
    </row>
    <row r="672" spans="1:11" hidden="1" x14ac:dyDescent="0.25">
      <c r="A672" t="str">
        <f>_xlfn.XLOOKUP(C672, 'Códigos DANE Municipios'!$B$2:$B$1123, 'Códigos DANE Municipios'!$A$2:$A$1123, "No encontrado")</f>
        <v>25898</v>
      </c>
      <c r="B672" t="str">
        <f>IFERROR(VLOOKUP(D672,APOYO!K:L,2,FALSE),A672)</f>
        <v>25898</v>
      </c>
      <c r="C672" t="s">
        <v>1138</v>
      </c>
      <c r="D672" t="str">
        <f>IFERROR(VLOOKUP(C672,APOYO!J:K,2,FALSE),C672)</f>
        <v>ZIPACÓN</v>
      </c>
      <c r="E672">
        <v>2013</v>
      </c>
      <c r="F672" t="s">
        <v>2189</v>
      </c>
      <c r="G672" t="s">
        <v>2509</v>
      </c>
      <c r="H672">
        <v>8</v>
      </c>
      <c r="I672" s="13" t="s">
        <v>2189</v>
      </c>
      <c r="J672" s="13" t="s">
        <v>2189</v>
      </c>
      <c r="K672" s="13" t="s">
        <v>2189</v>
      </c>
    </row>
    <row r="673" spans="1:11" hidden="1" x14ac:dyDescent="0.25">
      <c r="A673" t="str">
        <f>_xlfn.XLOOKUP(C673, 'Códigos DANE Municipios'!$B$2:$B$1123, 'Códigos DANE Municipios'!$A$2:$A$1123, "No encontrado")</f>
        <v>25899</v>
      </c>
      <c r="B673" t="str">
        <f>IFERROR(VLOOKUP(D673,APOYO!K:L,2,FALSE),A673)</f>
        <v>25899</v>
      </c>
      <c r="C673" t="s">
        <v>1140</v>
      </c>
      <c r="D673" t="str">
        <f>IFERROR(VLOOKUP(C673,APOYO!J:K,2,FALSE),C673)</f>
        <v>ZIPAQUIRÁ</v>
      </c>
      <c r="E673">
        <v>2013</v>
      </c>
      <c r="F673" t="s">
        <v>2189</v>
      </c>
      <c r="G673" t="s">
        <v>2509</v>
      </c>
      <c r="H673">
        <v>373</v>
      </c>
      <c r="I673" s="13" t="s">
        <v>2189</v>
      </c>
      <c r="J673" s="13" t="s">
        <v>2189</v>
      </c>
      <c r="K673" s="13" t="s">
        <v>2189</v>
      </c>
    </row>
    <row r="674" spans="1:11" hidden="1" x14ac:dyDescent="0.25">
      <c r="A674" t="str">
        <f>_xlfn.XLOOKUP(C674, 'Códigos DANE Municipios'!$B$2:$B$1123, 'Códigos DANE Municipios'!$A$2:$A$1123, "No encontrado")</f>
        <v>20570</v>
      </c>
      <c r="B674" t="str">
        <f>IFERROR(VLOOKUP(D674,APOYO!K:L,2,FALSE),A674)</f>
        <v>20570</v>
      </c>
      <c r="C674" t="s">
        <v>844</v>
      </c>
      <c r="D674" t="str">
        <f>IFERROR(VLOOKUP(C674,APOYO!J:K,2,FALSE),C674)</f>
        <v>PUEBLO BELLO</v>
      </c>
      <c r="E674">
        <v>2014</v>
      </c>
      <c r="F674" t="s">
        <v>2189</v>
      </c>
      <c r="G674" t="s">
        <v>2189</v>
      </c>
      <c r="H674">
        <v>1</v>
      </c>
      <c r="I674" s="13" t="s">
        <v>2189</v>
      </c>
      <c r="J674" s="13" t="s">
        <v>2189</v>
      </c>
      <c r="K674" s="13" t="s">
        <v>2189</v>
      </c>
    </row>
    <row r="675" spans="1:11" hidden="1" x14ac:dyDescent="0.25">
      <c r="A675" t="str">
        <f>_xlfn.XLOOKUP(C675, 'Códigos DANE Municipios'!$B$2:$B$1123, 'Códigos DANE Municipios'!$A$2:$A$1123, "No encontrado")</f>
        <v>44378</v>
      </c>
      <c r="B675" t="str">
        <f>IFERROR(VLOOKUP(D675,APOYO!K:L,2,FALSE),A675)</f>
        <v>44378</v>
      </c>
      <c r="C675" t="s">
        <v>1285</v>
      </c>
      <c r="D675" t="str">
        <f>IFERROR(VLOOKUP(C675,APOYO!J:K,2,FALSE),C675)</f>
        <v>HATONUEVO</v>
      </c>
      <c r="E675">
        <v>2014</v>
      </c>
      <c r="F675" t="s">
        <v>2189</v>
      </c>
      <c r="G675" t="s">
        <v>2189</v>
      </c>
      <c r="H675">
        <v>1</v>
      </c>
      <c r="I675" s="13" t="s">
        <v>2189</v>
      </c>
      <c r="J675" s="13" t="s">
        <v>2189</v>
      </c>
      <c r="K675" s="13" t="s">
        <v>2189</v>
      </c>
    </row>
    <row r="676" spans="1:11" hidden="1" x14ac:dyDescent="0.25">
      <c r="A676" t="str">
        <f>_xlfn.XLOOKUP(C676, 'Códigos DANE Municipios'!$B$2:$B$1123, 'Códigos DANE Municipios'!$A$2:$A$1123, "No encontrado")</f>
        <v>99624</v>
      </c>
      <c r="B676" t="str">
        <f>IFERROR(VLOOKUP(D676,APOYO!K:L,2,FALSE),A676)</f>
        <v>99624</v>
      </c>
      <c r="C676" t="s">
        <v>2167</v>
      </c>
      <c r="D676" t="str">
        <f>IFERROR(VLOOKUP(C676,APOYO!J:K,2,FALSE),C676)</f>
        <v>SANTA ROSALÍA</v>
      </c>
      <c r="E676">
        <v>2014</v>
      </c>
      <c r="F676">
        <v>709</v>
      </c>
      <c r="G676" t="s">
        <v>2189</v>
      </c>
      <c r="H676">
        <v>1</v>
      </c>
      <c r="I676" s="13" t="s">
        <v>2189</v>
      </c>
      <c r="J676" s="13" t="s">
        <v>2189</v>
      </c>
      <c r="K676" s="13" t="s">
        <v>2189</v>
      </c>
    </row>
    <row r="677" spans="1:11" hidden="1" x14ac:dyDescent="0.25">
      <c r="A677" t="str">
        <f>_xlfn.XLOOKUP(C677, 'Códigos DANE Municipios'!$B$2:$B$1123, 'Códigos DANE Municipios'!$A$2:$A$1123, "No encontrado")</f>
        <v>05002</v>
      </c>
      <c r="B677" t="str">
        <f>IFERROR(VLOOKUP(D677,APOYO!K:L,2,FALSE),A677)</f>
        <v>05002</v>
      </c>
      <c r="C677" t="s">
        <v>14</v>
      </c>
      <c r="D677" t="str">
        <f>IFERROR(VLOOKUP(C677,APOYO!J:K,2,FALSE),C677)</f>
        <v>ABEJORRAL</v>
      </c>
      <c r="E677">
        <v>2014</v>
      </c>
      <c r="F677" t="s">
        <v>2189</v>
      </c>
      <c r="G677" t="s">
        <v>2189</v>
      </c>
      <c r="H677">
        <v>664</v>
      </c>
      <c r="I677" s="13" t="s">
        <v>2189</v>
      </c>
      <c r="J677" s="13" t="s">
        <v>2189</v>
      </c>
      <c r="K677" s="13" t="s">
        <v>2189</v>
      </c>
    </row>
    <row r="678" spans="1:11" hidden="1" x14ac:dyDescent="0.25">
      <c r="A678" t="str">
        <f>_xlfn.XLOOKUP(C678, 'Códigos DANE Municipios'!$B$2:$B$1123, 'Códigos DANE Municipios'!$A$2:$A$1123, "No encontrado")</f>
        <v>54003</v>
      </c>
      <c r="B678" t="str">
        <f>IFERROR(VLOOKUP(D678,APOYO!K:L,2,FALSE),A678)</f>
        <v>54003</v>
      </c>
      <c r="C678" t="s">
        <v>1531</v>
      </c>
      <c r="D678" t="str">
        <f>IFERROR(VLOOKUP(C678,APOYO!J:K,2,FALSE),C678)</f>
        <v>ÁBREGO</v>
      </c>
      <c r="E678">
        <v>2014</v>
      </c>
      <c r="F678" t="s">
        <v>2189</v>
      </c>
      <c r="G678" t="s">
        <v>2189</v>
      </c>
      <c r="H678">
        <v>92</v>
      </c>
      <c r="I678" s="13" t="s">
        <v>2189</v>
      </c>
      <c r="J678" s="13" t="s">
        <v>2189</v>
      </c>
      <c r="K678" s="13" t="s">
        <v>2189</v>
      </c>
    </row>
    <row r="679" spans="1:11" hidden="1" x14ac:dyDescent="0.25">
      <c r="A679" t="str">
        <f>_xlfn.XLOOKUP(C679, 'Códigos DANE Municipios'!$B$2:$B$1123, 'Códigos DANE Municipios'!$A$2:$A$1123, "No encontrado")</f>
        <v>05004</v>
      </c>
      <c r="B679" t="str">
        <f>IFERROR(VLOOKUP(D679,APOYO!K:L,2,FALSE),A679)</f>
        <v>05004</v>
      </c>
      <c r="C679" t="s">
        <v>16</v>
      </c>
      <c r="D679" t="str">
        <f>IFERROR(VLOOKUP(C679,APOYO!J:K,2,FALSE),C679)</f>
        <v>ABRIAQUÍ</v>
      </c>
      <c r="E679">
        <v>2014</v>
      </c>
      <c r="F679" t="s">
        <v>2189</v>
      </c>
      <c r="G679" t="s">
        <v>2189</v>
      </c>
      <c r="H679">
        <v>23</v>
      </c>
      <c r="I679" s="13" t="s">
        <v>2189</v>
      </c>
      <c r="J679" s="13" t="s">
        <v>2189</v>
      </c>
      <c r="K679" s="13" t="s">
        <v>2189</v>
      </c>
    </row>
    <row r="680" spans="1:11" hidden="1" x14ac:dyDescent="0.25">
      <c r="A680" t="str">
        <f>_xlfn.XLOOKUP(C680, 'Códigos DANE Municipios'!$B$2:$B$1123, 'Códigos DANE Municipios'!$A$2:$A$1123, "No encontrado")</f>
        <v>50006</v>
      </c>
      <c r="B680" t="str">
        <f>IFERROR(VLOOKUP(D680,APOYO!K:L,2,FALSE),A680)</f>
        <v>50006</v>
      </c>
      <c r="C680" t="s">
        <v>1360</v>
      </c>
      <c r="D680" t="str">
        <f>IFERROR(VLOOKUP(C680,APOYO!J:K,2,FALSE),C680)</f>
        <v>ACACÍAS</v>
      </c>
      <c r="E680">
        <v>2014</v>
      </c>
      <c r="F680" t="s">
        <v>2189</v>
      </c>
      <c r="G680" t="s">
        <v>2189</v>
      </c>
      <c r="H680">
        <v>101</v>
      </c>
      <c r="I680" s="13" t="s">
        <v>2189</v>
      </c>
      <c r="J680" s="13" t="s">
        <v>2189</v>
      </c>
      <c r="K680" s="13" t="s">
        <v>2189</v>
      </c>
    </row>
    <row r="681" spans="1:11" hidden="1" x14ac:dyDescent="0.25">
      <c r="A681" t="str">
        <f>_xlfn.XLOOKUP(C681, 'Códigos DANE Municipios'!$B$2:$B$1123, 'Códigos DANE Municipios'!$A$2:$A$1123, "No encontrado")</f>
        <v>27006</v>
      </c>
      <c r="B681" t="str">
        <f>IFERROR(VLOOKUP(D681,APOYO!K:L,2,FALSE),A681)</f>
        <v>27006</v>
      </c>
      <c r="C681" t="s">
        <v>1144</v>
      </c>
      <c r="D681" t="str">
        <f>IFERROR(VLOOKUP(C681,APOYO!J:K,2,FALSE),C681)</f>
        <v>ACANDÍ</v>
      </c>
      <c r="E681">
        <v>2014</v>
      </c>
      <c r="F681">
        <v>6622</v>
      </c>
      <c r="G681">
        <v>45</v>
      </c>
      <c r="H681">
        <v>1519</v>
      </c>
      <c r="I681" s="13" t="s">
        <v>2189</v>
      </c>
      <c r="J681" s="13" t="s">
        <v>2189</v>
      </c>
      <c r="K681" s="13" t="s">
        <v>2189</v>
      </c>
    </row>
    <row r="682" spans="1:11" hidden="1" x14ac:dyDescent="0.25">
      <c r="A682" t="str">
        <f>_xlfn.XLOOKUP(C682, 'Códigos DANE Municipios'!$B$2:$B$1123, 'Códigos DANE Municipios'!$A$2:$A$1123, "No encontrado")</f>
        <v>41006</v>
      </c>
      <c r="B682" t="str">
        <f>IFERROR(VLOOKUP(D682,APOYO!K:L,2,FALSE),A682)</f>
        <v>41006</v>
      </c>
      <c r="C682" t="s">
        <v>1203</v>
      </c>
      <c r="D682" t="str">
        <f>IFERROR(VLOOKUP(C682,APOYO!J:K,2,FALSE),C682)</f>
        <v>ACEVEDO</v>
      </c>
      <c r="E682">
        <v>2014</v>
      </c>
      <c r="F682" t="s">
        <v>2189</v>
      </c>
      <c r="G682" t="s">
        <v>2189</v>
      </c>
      <c r="H682">
        <v>857</v>
      </c>
      <c r="I682">
        <v>857</v>
      </c>
      <c r="J682" s="13" t="s">
        <v>2189</v>
      </c>
      <c r="K682" s="13" t="s">
        <v>2189</v>
      </c>
    </row>
    <row r="683" spans="1:11" hidden="1" x14ac:dyDescent="0.25">
      <c r="A683" t="str">
        <f>_xlfn.XLOOKUP(C683, 'Códigos DANE Municipios'!$B$2:$B$1123, 'Códigos DANE Municipios'!$A$2:$A$1123, "No encontrado")</f>
        <v>13006</v>
      </c>
      <c r="B683" t="str">
        <f>IFERROR(VLOOKUP(D683,APOYO!K:L,2,FALSE),A683)</f>
        <v>13006</v>
      </c>
      <c r="C683" t="s">
        <v>311</v>
      </c>
      <c r="D683" t="str">
        <f>IFERROR(VLOOKUP(C683,APOYO!J:K,2,FALSE),C683)</f>
        <v>ACHÍ</v>
      </c>
      <c r="E683">
        <v>2014</v>
      </c>
      <c r="F683" t="s">
        <v>2189</v>
      </c>
      <c r="G683" t="s">
        <v>2189</v>
      </c>
      <c r="H683">
        <v>544</v>
      </c>
      <c r="I683" s="13" t="s">
        <v>2189</v>
      </c>
      <c r="J683" s="13" t="s">
        <v>2189</v>
      </c>
      <c r="K683" s="13" t="s">
        <v>2189</v>
      </c>
    </row>
    <row r="684" spans="1:11" hidden="1" x14ac:dyDescent="0.25">
      <c r="A684" t="str">
        <f>_xlfn.XLOOKUP(C684, 'Códigos DANE Municipios'!$B$2:$B$1123, 'Códigos DANE Municipios'!$A$2:$A$1123, "No encontrado")</f>
        <v>41013</v>
      </c>
      <c r="B684" t="str">
        <f>IFERROR(VLOOKUP(D684,APOYO!K:L,2,FALSE),A684)</f>
        <v>41013</v>
      </c>
      <c r="C684" t="s">
        <v>1205</v>
      </c>
      <c r="D684" t="str">
        <f>IFERROR(VLOOKUP(C684,APOYO!J:K,2,FALSE),C684)</f>
        <v>AGRADO</v>
      </c>
      <c r="E684">
        <v>2014</v>
      </c>
      <c r="F684" t="s">
        <v>2189</v>
      </c>
      <c r="G684" t="s">
        <v>2189</v>
      </c>
      <c r="H684">
        <v>2</v>
      </c>
      <c r="I684" s="13" t="s">
        <v>2189</v>
      </c>
      <c r="J684" s="13" t="s">
        <v>2189</v>
      </c>
      <c r="K684" s="13" t="s">
        <v>2189</v>
      </c>
    </row>
    <row r="685" spans="1:11" hidden="1" x14ac:dyDescent="0.25">
      <c r="A685" t="str">
        <f>_xlfn.XLOOKUP(C685, 'Códigos DANE Municipios'!$B$2:$B$1123, 'Códigos DANE Municipios'!$A$2:$A$1123, "No encontrado")</f>
        <v>25001</v>
      </c>
      <c r="B685" t="str">
        <f>IFERROR(VLOOKUP(D685,APOYO!K:L,2,FALSE),A685)</f>
        <v>25001</v>
      </c>
      <c r="C685" t="s">
        <v>916</v>
      </c>
      <c r="D685" t="str">
        <f>IFERROR(VLOOKUP(C685,APOYO!J:K,2,FALSE),C685)</f>
        <v>AGUA DE DIOS</v>
      </c>
      <c r="E685">
        <v>2014</v>
      </c>
      <c r="F685" t="s">
        <v>2189</v>
      </c>
      <c r="G685" t="s">
        <v>2189</v>
      </c>
      <c r="H685">
        <v>158</v>
      </c>
      <c r="I685" s="13" t="s">
        <v>2189</v>
      </c>
      <c r="J685" s="13" t="s">
        <v>2189</v>
      </c>
      <c r="K685" s="13" t="s">
        <v>2189</v>
      </c>
    </row>
    <row r="686" spans="1:11" hidden="1" x14ac:dyDescent="0.25">
      <c r="A686" t="str">
        <f>_xlfn.XLOOKUP(C686, 'Códigos DANE Municipios'!$B$2:$B$1123, 'Códigos DANE Municipios'!$A$2:$A$1123, "No encontrado")</f>
        <v>20011</v>
      </c>
      <c r="B686" t="str">
        <f>IFERROR(VLOOKUP(D686,APOYO!K:L,2,FALSE),A686)</f>
        <v>20011</v>
      </c>
      <c r="C686" t="s">
        <v>810</v>
      </c>
      <c r="D686" t="str">
        <f>IFERROR(VLOOKUP(C686,APOYO!J:K,2,FALSE),C686)</f>
        <v>AGUACHICA</v>
      </c>
      <c r="E686">
        <v>2014</v>
      </c>
      <c r="F686">
        <v>491</v>
      </c>
      <c r="G686" t="s">
        <v>2189</v>
      </c>
      <c r="H686">
        <v>135</v>
      </c>
      <c r="I686" s="13" t="s">
        <v>2189</v>
      </c>
      <c r="J686" s="13" t="s">
        <v>2189</v>
      </c>
      <c r="K686" s="13" t="s">
        <v>2189</v>
      </c>
    </row>
    <row r="687" spans="1:11" hidden="1" x14ac:dyDescent="0.25">
      <c r="A687" t="str">
        <f>_xlfn.XLOOKUP(C687, 'Códigos DANE Municipios'!$B$2:$B$1123, 'Códigos DANE Municipios'!$A$2:$A$1123, "No encontrado")</f>
        <v>68013</v>
      </c>
      <c r="B687" t="str">
        <f>IFERROR(VLOOKUP(D687,APOYO!K:L,2,FALSE),A687)</f>
        <v>68013</v>
      </c>
      <c r="C687" t="s">
        <v>1657</v>
      </c>
      <c r="D687" t="str">
        <f>IFERROR(VLOOKUP(C687,APOYO!J:K,2,FALSE),C687)</f>
        <v>AGUADA</v>
      </c>
      <c r="E687">
        <v>2014</v>
      </c>
      <c r="F687" t="s">
        <v>2189</v>
      </c>
      <c r="G687" t="s">
        <v>2189</v>
      </c>
      <c r="H687">
        <v>72</v>
      </c>
      <c r="I687" s="13" t="s">
        <v>2189</v>
      </c>
      <c r="J687" s="13" t="s">
        <v>2189</v>
      </c>
      <c r="K687" s="13" t="s">
        <v>2189</v>
      </c>
    </row>
    <row r="688" spans="1:11" hidden="1" x14ac:dyDescent="0.25">
      <c r="A688" t="str">
        <f>_xlfn.XLOOKUP(C688, 'Códigos DANE Municipios'!$B$2:$B$1123, 'Códigos DANE Municipios'!$A$2:$A$1123, "No encontrado")</f>
        <v>17013</v>
      </c>
      <c r="B688" t="str">
        <f>IFERROR(VLOOKUP(D688,APOYO!K:L,2,FALSE),A688)</f>
        <v>17013</v>
      </c>
      <c r="C688" t="s">
        <v>646</v>
      </c>
      <c r="D688" t="str">
        <f>IFERROR(VLOOKUP(C688,APOYO!J:K,2,FALSE),C688)</f>
        <v>AGUADAS</v>
      </c>
      <c r="E688">
        <v>2014</v>
      </c>
      <c r="F688" t="s">
        <v>2189</v>
      </c>
      <c r="G688" t="s">
        <v>2189</v>
      </c>
      <c r="H688">
        <v>37</v>
      </c>
      <c r="I688" s="13" t="s">
        <v>2189</v>
      </c>
      <c r="J688" s="13" t="s">
        <v>2189</v>
      </c>
      <c r="K688" s="13" t="s">
        <v>2189</v>
      </c>
    </row>
    <row r="689" spans="1:11" hidden="1" x14ac:dyDescent="0.25">
      <c r="A689" t="str">
        <f>_xlfn.XLOOKUP(C689, 'Códigos DANE Municipios'!$B$2:$B$1123, 'Códigos DANE Municipios'!$A$2:$A$1123, "No encontrado")</f>
        <v>85010</v>
      </c>
      <c r="B689" t="str">
        <f>IFERROR(VLOOKUP(D689,APOYO!K:L,2,FALSE),A689)</f>
        <v>85010</v>
      </c>
      <c r="C689" t="s">
        <v>2050</v>
      </c>
      <c r="D689" t="str">
        <f>IFERROR(VLOOKUP(C689,APOYO!J:K,2,FALSE),C689)</f>
        <v>AGUAZUL</v>
      </c>
      <c r="E689">
        <v>2014</v>
      </c>
      <c r="F689">
        <v>9</v>
      </c>
      <c r="G689" t="s">
        <v>2189</v>
      </c>
      <c r="H689">
        <v>17</v>
      </c>
      <c r="I689" s="13" t="s">
        <v>2189</v>
      </c>
      <c r="J689" s="13" t="s">
        <v>2189</v>
      </c>
      <c r="K689" s="13" t="s">
        <v>2189</v>
      </c>
    </row>
    <row r="690" spans="1:11" hidden="1" x14ac:dyDescent="0.25">
      <c r="A690" t="str">
        <f>_xlfn.XLOOKUP(C690, 'Códigos DANE Municipios'!$B$2:$B$1123, 'Códigos DANE Municipios'!$A$2:$A$1123, "No encontrado")</f>
        <v>20013</v>
      </c>
      <c r="B690" t="str">
        <f>IFERROR(VLOOKUP(D690,APOYO!K:L,2,FALSE),A690)</f>
        <v>20013</v>
      </c>
      <c r="C690" t="s">
        <v>812</v>
      </c>
      <c r="D690" t="str">
        <f>IFERROR(VLOOKUP(C690,APOYO!J:K,2,FALSE),C690)</f>
        <v>AGUSTÍN CODAZZI</v>
      </c>
      <c r="E690">
        <v>2014</v>
      </c>
      <c r="F690">
        <v>2</v>
      </c>
      <c r="G690" t="s">
        <v>2189</v>
      </c>
      <c r="H690">
        <v>10</v>
      </c>
      <c r="I690" s="13" t="s">
        <v>2189</v>
      </c>
      <c r="J690" s="13" t="s">
        <v>2189</v>
      </c>
      <c r="K690" s="13" t="s">
        <v>2189</v>
      </c>
    </row>
    <row r="691" spans="1:11" hidden="1" x14ac:dyDescent="0.25">
      <c r="A691" t="str">
        <f>_xlfn.XLOOKUP(C691, 'Códigos DANE Municipios'!$B$2:$B$1123, 'Códigos DANE Municipios'!$A$2:$A$1123, "No encontrado")</f>
        <v>41016</v>
      </c>
      <c r="B691" t="str">
        <f>IFERROR(VLOOKUP(D691,APOYO!K:L,2,FALSE),A691)</f>
        <v>41016</v>
      </c>
      <c r="C691" t="s">
        <v>1207</v>
      </c>
      <c r="D691" t="str">
        <f>IFERROR(VLOOKUP(C691,APOYO!J:K,2,FALSE),C691)</f>
        <v>AIPE</v>
      </c>
      <c r="E691">
        <v>2014</v>
      </c>
      <c r="F691" t="s">
        <v>2189</v>
      </c>
      <c r="G691" t="s">
        <v>2189</v>
      </c>
      <c r="H691">
        <v>5</v>
      </c>
      <c r="I691" s="13" t="s">
        <v>2189</v>
      </c>
      <c r="J691" s="13" t="s">
        <v>2189</v>
      </c>
      <c r="K691" s="13" t="s">
        <v>2189</v>
      </c>
    </row>
    <row r="692" spans="1:11" hidden="1" x14ac:dyDescent="0.25">
      <c r="A692" t="str">
        <f>_xlfn.XLOOKUP(C692, 'Códigos DANE Municipios'!$B$2:$B$1123, 'Códigos DANE Municipios'!$A$2:$A$1123, "No encontrado")</f>
        <v>25019</v>
      </c>
      <c r="B692" t="str">
        <f>IFERROR(VLOOKUP(D692,APOYO!K:L,2,FALSE),A692)</f>
        <v>25019</v>
      </c>
      <c r="C692" t="s">
        <v>918</v>
      </c>
      <c r="D692" t="str">
        <f>IFERROR(VLOOKUP(C692,APOYO!J:K,2,FALSE),C692)</f>
        <v>ALBÁN</v>
      </c>
      <c r="E692">
        <v>2014</v>
      </c>
      <c r="F692" t="s">
        <v>2189</v>
      </c>
      <c r="G692" t="s">
        <v>2189</v>
      </c>
      <c r="H692">
        <v>10</v>
      </c>
      <c r="I692" s="13" t="s">
        <v>2189</v>
      </c>
      <c r="J692" s="13" t="s">
        <v>2189</v>
      </c>
      <c r="K692" s="13" t="s">
        <v>2189</v>
      </c>
    </row>
    <row r="693" spans="1:11" hidden="1" x14ac:dyDescent="0.25">
      <c r="A693" t="str">
        <f>_xlfn.XLOOKUP(C693, 'Códigos DANE Municipios'!$B$2:$B$1123, 'Códigos DANE Municipios'!$A$2:$A$1123, "No encontrado")</f>
        <v>18029</v>
      </c>
      <c r="B693" t="str">
        <f>IFERROR(VLOOKUP(D693,APOYO!K:L,2,FALSE),A693)</f>
        <v>18029</v>
      </c>
      <c r="C693" t="s">
        <v>700</v>
      </c>
      <c r="D693" t="str">
        <f>IFERROR(VLOOKUP(C693,APOYO!J:K,2,FALSE),C693)</f>
        <v>ALBANIA</v>
      </c>
      <c r="E693">
        <v>2014</v>
      </c>
      <c r="F693" t="s">
        <v>2189</v>
      </c>
      <c r="G693" t="s">
        <v>2189</v>
      </c>
      <c r="H693">
        <v>31</v>
      </c>
      <c r="I693" s="13" t="s">
        <v>2189</v>
      </c>
      <c r="J693" s="13" t="s">
        <v>2189</v>
      </c>
      <c r="K693" s="13" t="s">
        <v>2189</v>
      </c>
    </row>
    <row r="694" spans="1:11" hidden="1" x14ac:dyDescent="0.25">
      <c r="A694" t="str">
        <f>_xlfn.XLOOKUP(C694, 'Códigos DANE Municipios'!$B$2:$B$1123, 'Códigos DANE Municipios'!$A$2:$A$1123, "No encontrado")</f>
        <v>76020</v>
      </c>
      <c r="B694" t="str">
        <f>IFERROR(VLOOKUP(D694,APOYO!K:L,2,FALSE),A694)</f>
        <v>76020</v>
      </c>
      <c r="C694" t="s">
        <v>1959</v>
      </c>
      <c r="D694" t="str">
        <f>IFERROR(VLOOKUP(C694,APOYO!J:K,2,FALSE),C694)</f>
        <v>ALCALÁ</v>
      </c>
      <c r="E694">
        <v>2014</v>
      </c>
      <c r="F694" t="s">
        <v>2189</v>
      </c>
      <c r="G694" t="s">
        <v>2189</v>
      </c>
      <c r="H694">
        <v>2175</v>
      </c>
      <c r="I694" s="13" t="s">
        <v>2189</v>
      </c>
      <c r="J694" s="13" t="s">
        <v>2189</v>
      </c>
      <c r="K694" s="13" t="s">
        <v>2189</v>
      </c>
    </row>
    <row r="695" spans="1:11" hidden="1" x14ac:dyDescent="0.25">
      <c r="A695" t="str">
        <f>_xlfn.XLOOKUP(C695, 'Códigos DANE Municipios'!$B$2:$B$1123, 'Códigos DANE Municipios'!$A$2:$A$1123, "No encontrado")</f>
        <v>05021</v>
      </c>
      <c r="B695" t="str">
        <f>IFERROR(VLOOKUP(D695,APOYO!K:L,2,FALSE),A695)</f>
        <v>05021</v>
      </c>
      <c r="C695" t="s">
        <v>18</v>
      </c>
      <c r="D695" t="str">
        <f>IFERROR(VLOOKUP(C695,APOYO!J:K,2,FALSE),C695)</f>
        <v>ALEJANDRÍA</v>
      </c>
      <c r="E695">
        <v>2014</v>
      </c>
      <c r="F695" t="s">
        <v>2189</v>
      </c>
      <c r="G695" t="s">
        <v>2189</v>
      </c>
      <c r="H695">
        <v>11</v>
      </c>
      <c r="I695" s="13" t="s">
        <v>2189</v>
      </c>
      <c r="J695" s="13" t="s">
        <v>2189</v>
      </c>
      <c r="K695" s="13" t="s">
        <v>2189</v>
      </c>
    </row>
    <row r="696" spans="1:11" hidden="1" x14ac:dyDescent="0.25">
      <c r="A696" t="str">
        <f>_xlfn.XLOOKUP(C696, 'Códigos DANE Municipios'!$B$2:$B$1123, 'Códigos DANE Municipios'!$A$2:$A$1123, "No encontrado")</f>
        <v>41020</v>
      </c>
      <c r="B696" t="str">
        <f>IFERROR(VLOOKUP(D696,APOYO!K:L,2,FALSE),A696)</f>
        <v>41020</v>
      </c>
      <c r="C696" t="s">
        <v>1209</v>
      </c>
      <c r="D696" t="str">
        <f>IFERROR(VLOOKUP(C696,APOYO!J:K,2,FALSE),C696)</f>
        <v>ALGECIRAS</v>
      </c>
      <c r="E696">
        <v>2014</v>
      </c>
      <c r="F696" t="s">
        <v>2189</v>
      </c>
      <c r="G696" t="s">
        <v>2189</v>
      </c>
      <c r="H696">
        <v>1</v>
      </c>
      <c r="I696" s="13" t="s">
        <v>2189</v>
      </c>
      <c r="J696" s="13" t="s">
        <v>2189</v>
      </c>
      <c r="K696" s="13" t="s">
        <v>2189</v>
      </c>
    </row>
    <row r="697" spans="1:11" hidden="1" x14ac:dyDescent="0.25">
      <c r="A697" t="str">
        <f>_xlfn.XLOOKUP(C697, 'Códigos DANE Municipios'!$B$2:$B$1123, 'Códigos DANE Municipios'!$A$2:$A$1123, "No encontrado")</f>
        <v>73024</v>
      </c>
      <c r="B697" t="str">
        <f>IFERROR(VLOOKUP(D697,APOYO!K:L,2,FALSE),A697)</f>
        <v>73024</v>
      </c>
      <c r="C697" t="s">
        <v>1867</v>
      </c>
      <c r="D697" t="str">
        <f>IFERROR(VLOOKUP(C697,APOYO!J:K,2,FALSE),C697)</f>
        <v>ALPUJARRA</v>
      </c>
      <c r="E697">
        <v>2014</v>
      </c>
      <c r="F697" t="s">
        <v>2189</v>
      </c>
      <c r="G697" t="s">
        <v>2189</v>
      </c>
      <c r="H697">
        <v>27</v>
      </c>
      <c r="I697" s="13" t="s">
        <v>2189</v>
      </c>
      <c r="J697" s="13" t="s">
        <v>2189</v>
      </c>
      <c r="K697" s="13" t="s">
        <v>2189</v>
      </c>
    </row>
    <row r="698" spans="1:11" hidden="1" x14ac:dyDescent="0.25">
      <c r="A698" t="str">
        <f>_xlfn.XLOOKUP(C698, 'Códigos DANE Municipios'!$B$2:$B$1123, 'Códigos DANE Municipios'!$A$2:$A$1123, "No encontrado")</f>
        <v>41026</v>
      </c>
      <c r="B698" t="str">
        <f>IFERROR(VLOOKUP(D698,APOYO!K:L,2,FALSE),A698)</f>
        <v>41026</v>
      </c>
      <c r="C698" t="s">
        <v>1211</v>
      </c>
      <c r="D698" t="str">
        <f>IFERROR(VLOOKUP(C698,APOYO!J:K,2,FALSE),C698)</f>
        <v>ALTAMIRA</v>
      </c>
      <c r="E698">
        <v>2014</v>
      </c>
      <c r="F698" t="s">
        <v>2189</v>
      </c>
      <c r="G698" t="s">
        <v>2189</v>
      </c>
      <c r="H698">
        <v>6</v>
      </c>
      <c r="I698" s="13" t="s">
        <v>2189</v>
      </c>
      <c r="J698" s="13" t="s">
        <v>2189</v>
      </c>
      <c r="K698" s="13" t="s">
        <v>2189</v>
      </c>
    </row>
    <row r="699" spans="1:11" hidden="1" x14ac:dyDescent="0.25">
      <c r="A699" t="str">
        <f>_xlfn.XLOOKUP(C699, 'Códigos DANE Municipios'!$B$2:$B$1123, 'Códigos DANE Municipios'!$A$2:$A$1123, "No encontrado")</f>
        <v>73026</v>
      </c>
      <c r="B699" t="str">
        <f>IFERROR(VLOOKUP(D699,APOYO!K:L,2,FALSE),A699)</f>
        <v>73026</v>
      </c>
      <c r="C699" t="s">
        <v>1869</v>
      </c>
      <c r="D699" t="str">
        <f>IFERROR(VLOOKUP(C699,APOYO!J:K,2,FALSE),C699)</f>
        <v>ALVARADO</v>
      </c>
      <c r="E699">
        <v>2014</v>
      </c>
      <c r="F699" t="s">
        <v>2189</v>
      </c>
      <c r="G699" t="s">
        <v>2189</v>
      </c>
      <c r="H699">
        <v>4</v>
      </c>
      <c r="I699" s="13" t="s">
        <v>2189</v>
      </c>
      <c r="J699" s="13" t="s">
        <v>2189</v>
      </c>
      <c r="K699" s="13" t="s">
        <v>2189</v>
      </c>
    </row>
    <row r="700" spans="1:11" hidden="1" x14ac:dyDescent="0.25">
      <c r="A700" t="str">
        <f>_xlfn.XLOOKUP(C700, 'Códigos DANE Municipios'!$B$2:$B$1123, 'Códigos DANE Municipios'!$A$2:$A$1123, "No encontrado")</f>
        <v>05030</v>
      </c>
      <c r="B700" t="str">
        <f>IFERROR(VLOOKUP(D700,APOYO!K:L,2,FALSE),A700)</f>
        <v>05030</v>
      </c>
      <c r="C700" t="s">
        <v>20</v>
      </c>
      <c r="D700" t="str">
        <f>IFERROR(VLOOKUP(C700,APOYO!J:K,2,FALSE),C700)</f>
        <v>AMAGÁ</v>
      </c>
      <c r="E700">
        <v>2014</v>
      </c>
      <c r="F700" t="s">
        <v>2189</v>
      </c>
      <c r="G700" t="s">
        <v>2189</v>
      </c>
      <c r="H700">
        <v>10</v>
      </c>
      <c r="I700" s="13" t="s">
        <v>2189</v>
      </c>
      <c r="J700" s="13" t="s">
        <v>2189</v>
      </c>
      <c r="K700" s="13" t="s">
        <v>2189</v>
      </c>
    </row>
    <row r="701" spans="1:11" hidden="1" x14ac:dyDescent="0.25">
      <c r="A701" t="str">
        <f>_xlfn.XLOOKUP(C701, 'Códigos DANE Municipios'!$B$2:$B$1123, 'Códigos DANE Municipios'!$A$2:$A$1123, "No encontrado")</f>
        <v>05031</v>
      </c>
      <c r="B701" t="str">
        <f>IFERROR(VLOOKUP(D701,APOYO!K:L,2,FALSE),A701)</f>
        <v>05031</v>
      </c>
      <c r="C701" t="s">
        <v>22</v>
      </c>
      <c r="D701" t="str">
        <f>IFERROR(VLOOKUP(C701,APOYO!J:K,2,FALSE),C701)</f>
        <v>AMALFI</v>
      </c>
      <c r="E701">
        <v>2014</v>
      </c>
      <c r="F701">
        <v>8</v>
      </c>
      <c r="G701" t="s">
        <v>2189</v>
      </c>
      <c r="H701">
        <v>3</v>
      </c>
      <c r="I701" s="13" t="s">
        <v>2189</v>
      </c>
      <c r="J701" s="13" t="s">
        <v>2189</v>
      </c>
      <c r="K701" s="13" t="s">
        <v>2189</v>
      </c>
    </row>
    <row r="702" spans="1:11" hidden="1" x14ac:dyDescent="0.25">
      <c r="A702" t="str">
        <f>_xlfn.XLOOKUP(C702, 'Códigos DANE Municipios'!$B$2:$B$1123, 'Códigos DANE Municipios'!$A$2:$A$1123, "No encontrado")</f>
        <v>73030</v>
      </c>
      <c r="B702" t="str">
        <f>IFERROR(VLOOKUP(D702,APOYO!K:L,2,FALSE),A702)</f>
        <v>73030</v>
      </c>
      <c r="C702" t="s">
        <v>1871</v>
      </c>
      <c r="D702" t="str">
        <f>IFERROR(VLOOKUP(C702,APOYO!J:K,2,FALSE),C702)</f>
        <v>AMBALEMA</v>
      </c>
      <c r="E702">
        <v>2014</v>
      </c>
      <c r="F702" t="s">
        <v>2189</v>
      </c>
      <c r="G702" t="s">
        <v>2189</v>
      </c>
      <c r="H702" t="s">
        <v>2189</v>
      </c>
      <c r="I702" s="13" t="s">
        <v>2189</v>
      </c>
      <c r="J702" s="13" t="s">
        <v>2189</v>
      </c>
      <c r="K702" s="13" t="s">
        <v>2189</v>
      </c>
    </row>
    <row r="703" spans="1:11" hidden="1" x14ac:dyDescent="0.25">
      <c r="A703" t="str">
        <f>_xlfn.XLOOKUP(C703, 'Códigos DANE Municipios'!$B$2:$B$1123, 'Códigos DANE Municipios'!$A$2:$A$1123, "No encontrado")</f>
        <v>25035</v>
      </c>
      <c r="B703" t="str">
        <f>IFERROR(VLOOKUP(D703,APOYO!K:L,2,FALSE),A703)</f>
        <v>25035</v>
      </c>
      <c r="C703" t="s">
        <v>920</v>
      </c>
      <c r="D703" t="str">
        <f>IFERROR(VLOOKUP(C703,APOYO!J:K,2,FALSE),C703)</f>
        <v>ANAPOIMA</v>
      </c>
      <c r="E703">
        <v>2014</v>
      </c>
      <c r="F703" t="s">
        <v>2189</v>
      </c>
      <c r="G703" t="s">
        <v>2189</v>
      </c>
      <c r="H703">
        <v>68</v>
      </c>
      <c r="I703" s="13" t="s">
        <v>2189</v>
      </c>
      <c r="J703" s="13" t="s">
        <v>2189</v>
      </c>
      <c r="K703" s="13" t="s">
        <v>2189</v>
      </c>
    </row>
    <row r="704" spans="1:11" hidden="1" x14ac:dyDescent="0.25">
      <c r="A704" t="str">
        <f>_xlfn.XLOOKUP(C704, 'Códigos DANE Municipios'!$B$2:$B$1123, 'Códigos DANE Municipios'!$A$2:$A$1123, "No encontrado")</f>
        <v>76036</v>
      </c>
      <c r="B704" t="str">
        <f>IFERROR(VLOOKUP(D704,APOYO!K:L,2,FALSE),A704)</f>
        <v>76036</v>
      </c>
      <c r="C704" t="s">
        <v>1961</v>
      </c>
      <c r="D704" t="str">
        <f>IFERROR(VLOOKUP(C704,APOYO!J:K,2,FALSE),C704)</f>
        <v>ANDALUCÍA</v>
      </c>
      <c r="E704">
        <v>2014</v>
      </c>
      <c r="F704" t="s">
        <v>2189</v>
      </c>
      <c r="G704" t="s">
        <v>2189</v>
      </c>
      <c r="H704">
        <v>73</v>
      </c>
      <c r="I704" s="13" t="s">
        <v>2189</v>
      </c>
      <c r="J704" s="13" t="s">
        <v>2189</v>
      </c>
      <c r="K704" s="13" t="s">
        <v>2189</v>
      </c>
    </row>
    <row r="705" spans="1:11" hidden="1" x14ac:dyDescent="0.25">
      <c r="A705" t="str">
        <f>_xlfn.XLOOKUP(C705, 'Códigos DANE Municipios'!$B$2:$B$1123, 'Códigos DANE Municipios'!$A$2:$A$1123, "No encontrado")</f>
        <v>05034</v>
      </c>
      <c r="B705" t="str">
        <f>IFERROR(VLOOKUP(D705,APOYO!K:L,2,FALSE),A705)</f>
        <v>05034</v>
      </c>
      <c r="C705" t="s">
        <v>24</v>
      </c>
      <c r="D705" t="str">
        <f>IFERROR(VLOOKUP(C705,APOYO!J:K,2,FALSE),C705)</f>
        <v>ANDES</v>
      </c>
      <c r="E705">
        <v>2014</v>
      </c>
      <c r="F705" t="s">
        <v>2189</v>
      </c>
      <c r="G705" t="s">
        <v>2189</v>
      </c>
      <c r="H705">
        <v>16</v>
      </c>
      <c r="I705" s="13" t="s">
        <v>2189</v>
      </c>
      <c r="J705" s="13" t="s">
        <v>2189</v>
      </c>
      <c r="K705" s="13" t="s">
        <v>2189</v>
      </c>
    </row>
    <row r="706" spans="1:11" hidden="1" x14ac:dyDescent="0.25">
      <c r="A706" t="str">
        <f>_xlfn.XLOOKUP(C706, 'Códigos DANE Municipios'!$B$2:$B$1123, 'Códigos DANE Municipios'!$A$2:$A$1123, "No encontrado")</f>
        <v>05036</v>
      </c>
      <c r="B706" t="str">
        <f>IFERROR(VLOOKUP(D706,APOYO!K:L,2,FALSE),A706)</f>
        <v>05036</v>
      </c>
      <c r="C706" t="s">
        <v>26</v>
      </c>
      <c r="D706" t="str">
        <f>IFERROR(VLOOKUP(C706,APOYO!J:K,2,FALSE),C706)</f>
        <v>ANGELÓPOLIS</v>
      </c>
      <c r="E706">
        <v>2014</v>
      </c>
      <c r="F706" t="s">
        <v>2189</v>
      </c>
      <c r="G706" t="s">
        <v>2189</v>
      </c>
      <c r="H706">
        <v>2</v>
      </c>
      <c r="I706" s="13" t="s">
        <v>2189</v>
      </c>
      <c r="J706" s="13" t="s">
        <v>2189</v>
      </c>
      <c r="K706" s="13" t="s">
        <v>2189</v>
      </c>
    </row>
    <row r="707" spans="1:11" hidden="1" x14ac:dyDescent="0.25">
      <c r="A707" t="str">
        <f>_xlfn.XLOOKUP(C707, 'Códigos DANE Municipios'!$B$2:$B$1123, 'Códigos DANE Municipios'!$A$2:$A$1123, "No encontrado")</f>
        <v>05038</v>
      </c>
      <c r="B707" t="str">
        <f>IFERROR(VLOOKUP(D707,APOYO!K:L,2,FALSE),A707)</f>
        <v>05038</v>
      </c>
      <c r="C707" t="s">
        <v>28</v>
      </c>
      <c r="D707" t="str">
        <f>IFERROR(VLOOKUP(C707,APOYO!J:K,2,FALSE),C707)</f>
        <v>ANGOSTURA</v>
      </c>
      <c r="E707">
        <v>2014</v>
      </c>
      <c r="F707" t="s">
        <v>2189</v>
      </c>
      <c r="G707" t="s">
        <v>2189</v>
      </c>
      <c r="H707">
        <v>1</v>
      </c>
      <c r="I707" s="13" t="s">
        <v>2189</v>
      </c>
      <c r="J707" s="13" t="s">
        <v>2189</v>
      </c>
      <c r="K707" s="13" t="s">
        <v>2189</v>
      </c>
    </row>
    <row r="708" spans="1:11" hidden="1" x14ac:dyDescent="0.25">
      <c r="A708" t="str">
        <f>_xlfn.XLOOKUP(C708, 'Códigos DANE Municipios'!$B$2:$B$1123, 'Códigos DANE Municipios'!$A$2:$A$1123, "No encontrado")</f>
        <v>25040</v>
      </c>
      <c r="B708" t="str">
        <f>IFERROR(VLOOKUP(D708,APOYO!K:L,2,FALSE),A708)</f>
        <v>25040</v>
      </c>
      <c r="C708" t="s">
        <v>922</v>
      </c>
      <c r="D708" t="str">
        <f>IFERROR(VLOOKUP(C708,APOYO!J:K,2,FALSE),C708)</f>
        <v>ANOLAIMA</v>
      </c>
      <c r="E708">
        <v>2014</v>
      </c>
      <c r="F708" t="s">
        <v>2189</v>
      </c>
      <c r="G708" t="s">
        <v>2189</v>
      </c>
      <c r="H708">
        <v>23</v>
      </c>
      <c r="I708" s="13" t="s">
        <v>2189</v>
      </c>
      <c r="J708" s="13" t="s">
        <v>2189</v>
      </c>
      <c r="K708" s="13" t="s">
        <v>2189</v>
      </c>
    </row>
    <row r="709" spans="1:11" hidden="1" x14ac:dyDescent="0.25">
      <c r="A709" t="str">
        <f>_xlfn.XLOOKUP(C709, 'Códigos DANE Municipios'!$B$2:$B$1123, 'Códigos DANE Municipios'!$A$2:$A$1123, "No encontrado")</f>
        <v>05040</v>
      </c>
      <c r="B709" t="str">
        <f>IFERROR(VLOOKUP(D709,APOYO!K:L,2,FALSE),A709)</f>
        <v>05040</v>
      </c>
      <c r="C709" t="s">
        <v>30</v>
      </c>
      <c r="D709" t="str">
        <f>IFERROR(VLOOKUP(C709,APOYO!J:K,2,FALSE),C709)</f>
        <v>ANORÍ</v>
      </c>
      <c r="E709">
        <v>2014</v>
      </c>
      <c r="F709" t="s">
        <v>2189</v>
      </c>
      <c r="G709" t="s">
        <v>2189</v>
      </c>
      <c r="H709">
        <v>1</v>
      </c>
      <c r="I709" s="13" t="s">
        <v>2189</v>
      </c>
      <c r="J709" s="13" t="s">
        <v>2189</v>
      </c>
      <c r="K709" s="13" t="s">
        <v>2189</v>
      </c>
    </row>
    <row r="710" spans="1:11" hidden="1" x14ac:dyDescent="0.25">
      <c r="A710" t="str">
        <f>_xlfn.XLOOKUP(C710, 'Códigos DANE Municipios'!$B$2:$B$1123, 'Códigos DANE Municipios'!$A$2:$A$1123, "No encontrado")</f>
        <v>17042</v>
      </c>
      <c r="B710" t="str">
        <f>IFERROR(VLOOKUP(D710,APOYO!K:L,2,FALSE),A710)</f>
        <v>17042</v>
      </c>
      <c r="C710" t="s">
        <v>648</v>
      </c>
      <c r="D710" t="str">
        <f>IFERROR(VLOOKUP(C710,APOYO!J:K,2,FALSE),C710)</f>
        <v>ANSERMA</v>
      </c>
      <c r="E710">
        <v>2014</v>
      </c>
      <c r="F710" t="s">
        <v>2189</v>
      </c>
      <c r="G710" t="s">
        <v>2189</v>
      </c>
      <c r="H710">
        <v>128</v>
      </c>
      <c r="I710" s="13" t="s">
        <v>2189</v>
      </c>
      <c r="J710" s="13" t="s">
        <v>2189</v>
      </c>
      <c r="K710" s="13" t="s">
        <v>2189</v>
      </c>
    </row>
    <row r="711" spans="1:11" hidden="1" x14ac:dyDescent="0.25">
      <c r="A711" t="str">
        <f>_xlfn.XLOOKUP(C711, 'Códigos DANE Municipios'!$B$2:$B$1123, 'Códigos DANE Municipios'!$A$2:$A$1123, "No encontrado")</f>
        <v>76041</v>
      </c>
      <c r="B711" t="str">
        <f>IFERROR(VLOOKUP(D711,APOYO!K:L,2,FALSE),A711)</f>
        <v>76041</v>
      </c>
      <c r="C711" t="s">
        <v>1963</v>
      </c>
      <c r="D711" t="str">
        <f>IFERROR(VLOOKUP(C711,APOYO!J:K,2,FALSE),C711)</f>
        <v>ANSERMANUEVO</v>
      </c>
      <c r="E711">
        <v>2014</v>
      </c>
      <c r="F711" t="s">
        <v>2189</v>
      </c>
      <c r="G711" t="s">
        <v>2189</v>
      </c>
      <c r="H711">
        <v>36</v>
      </c>
      <c r="I711" s="13" t="s">
        <v>2189</v>
      </c>
      <c r="J711" s="13" t="s">
        <v>2189</v>
      </c>
      <c r="K711" s="13" t="s">
        <v>2189</v>
      </c>
    </row>
    <row r="712" spans="1:11" ht="14.25" hidden="1" customHeight="1" x14ac:dyDescent="0.25">
      <c r="A712" t="str">
        <f>_xlfn.XLOOKUP(C712, 'Códigos DANE Municipios'!$B$2:$B$1123, 'Códigos DANE Municipios'!$A$2:$A$1123, "No encontrado")</f>
        <v>05042</v>
      </c>
      <c r="B712" t="str">
        <f>IFERROR(VLOOKUP(D712,APOYO!K:L,2,FALSE),A712)</f>
        <v>05042</v>
      </c>
      <c r="C712" t="s">
        <v>32</v>
      </c>
      <c r="D712" t="str">
        <f>IFERROR(VLOOKUP(C712,APOYO!J:K,2,FALSE),C712)</f>
        <v>SANTA FÉ DE ANTIOQUIA</v>
      </c>
      <c r="E712">
        <v>2014</v>
      </c>
      <c r="F712" t="s">
        <v>2189</v>
      </c>
      <c r="G712" t="s">
        <v>2189</v>
      </c>
      <c r="H712">
        <v>26</v>
      </c>
      <c r="I712" s="13" t="s">
        <v>2189</v>
      </c>
      <c r="J712" s="13" t="s">
        <v>2189</v>
      </c>
      <c r="K712" s="13" t="s">
        <v>2189</v>
      </c>
    </row>
    <row r="713" spans="1:11" hidden="1" x14ac:dyDescent="0.25">
      <c r="A713" t="str">
        <f>_xlfn.XLOOKUP(C713, 'Códigos DANE Municipios'!$B$2:$B$1123, 'Códigos DANE Municipios'!$A$2:$A$1123, "No encontrado")</f>
        <v>05044</v>
      </c>
      <c r="B713" t="str">
        <f>IFERROR(VLOOKUP(D713,APOYO!K:L,2,FALSE),A713)</f>
        <v>05044</v>
      </c>
      <c r="C713" t="s">
        <v>34</v>
      </c>
      <c r="D713" t="str">
        <f>IFERROR(VLOOKUP(C713,APOYO!J:K,2,FALSE),C713)</f>
        <v>ANZÁ</v>
      </c>
      <c r="E713">
        <v>2014</v>
      </c>
      <c r="F713" t="s">
        <v>2189</v>
      </c>
      <c r="G713" t="s">
        <v>2189</v>
      </c>
      <c r="H713">
        <v>1</v>
      </c>
      <c r="I713" s="13" t="s">
        <v>2189</v>
      </c>
      <c r="J713" s="13" t="s">
        <v>2189</v>
      </c>
      <c r="K713" s="13" t="s">
        <v>2189</v>
      </c>
    </row>
    <row r="714" spans="1:11" hidden="1" x14ac:dyDescent="0.25">
      <c r="A714" t="str">
        <f>_xlfn.XLOOKUP(C714, 'Códigos DANE Municipios'!$B$2:$B$1123, 'Códigos DANE Municipios'!$A$2:$A$1123, "No encontrado")</f>
        <v>05045</v>
      </c>
      <c r="B714" t="str">
        <f>IFERROR(VLOOKUP(D714,APOYO!K:L,2,FALSE),A714)</f>
        <v>05045</v>
      </c>
      <c r="C714" t="s">
        <v>36</v>
      </c>
      <c r="D714" t="str">
        <f>IFERROR(VLOOKUP(C714,APOYO!J:K,2,FALSE),C714)</f>
        <v>APARTADÓ</v>
      </c>
      <c r="E714">
        <v>2014</v>
      </c>
      <c r="F714">
        <v>0</v>
      </c>
      <c r="G714" t="s">
        <v>2189</v>
      </c>
      <c r="H714">
        <v>76</v>
      </c>
      <c r="I714" s="13" t="s">
        <v>2189</v>
      </c>
      <c r="J714" s="13" t="s">
        <v>2189</v>
      </c>
      <c r="K714" s="13" t="s">
        <v>2189</v>
      </c>
    </row>
    <row r="715" spans="1:11" hidden="1" x14ac:dyDescent="0.25">
      <c r="A715" t="str">
        <f>_xlfn.XLOOKUP(C715, 'Códigos DANE Municipios'!$B$2:$B$1123, 'Códigos DANE Municipios'!$A$2:$A$1123, "No encontrado")</f>
        <v>66045</v>
      </c>
      <c r="B715" t="str">
        <f>IFERROR(VLOOKUP(D715,APOYO!K:L,2,FALSE),A715)</f>
        <v>66045</v>
      </c>
      <c r="C715" t="s">
        <v>1630</v>
      </c>
      <c r="D715" t="str">
        <f>IFERROR(VLOOKUP(C715,APOYO!J:K,2,FALSE),C715)</f>
        <v>APÍA</v>
      </c>
      <c r="E715">
        <v>2014</v>
      </c>
      <c r="F715" t="s">
        <v>2189</v>
      </c>
      <c r="G715" t="s">
        <v>2189</v>
      </c>
      <c r="H715">
        <v>82</v>
      </c>
      <c r="I715" s="13" t="s">
        <v>2189</v>
      </c>
      <c r="J715" s="13" t="s">
        <v>2189</v>
      </c>
      <c r="K715" s="13" t="s">
        <v>2189</v>
      </c>
    </row>
    <row r="716" spans="1:11" hidden="1" x14ac:dyDescent="0.25">
      <c r="A716" t="str">
        <f>_xlfn.XLOOKUP(C716, 'Códigos DANE Municipios'!$B$2:$B$1123, 'Códigos DANE Municipios'!$A$2:$A$1123, "No encontrado")</f>
        <v>15047</v>
      </c>
      <c r="B716" t="str">
        <f>IFERROR(VLOOKUP(D716,APOYO!K:L,2,FALSE),A716)</f>
        <v>15047</v>
      </c>
      <c r="C716" t="s">
        <v>405</v>
      </c>
      <c r="D716" t="str">
        <f>IFERROR(VLOOKUP(C716,APOYO!J:K,2,FALSE),C716)</f>
        <v>AQUITANIA</v>
      </c>
      <c r="E716">
        <v>2014</v>
      </c>
      <c r="F716" t="s">
        <v>2189</v>
      </c>
      <c r="G716" t="s">
        <v>2189</v>
      </c>
      <c r="H716">
        <v>12</v>
      </c>
      <c r="I716" s="13" t="s">
        <v>2189</v>
      </c>
      <c r="J716" s="13" t="s">
        <v>2189</v>
      </c>
      <c r="K716" s="13" t="s">
        <v>2189</v>
      </c>
    </row>
    <row r="717" spans="1:11" hidden="1" x14ac:dyDescent="0.25">
      <c r="A717" t="str">
        <f>_xlfn.XLOOKUP(C717, 'Códigos DANE Municipios'!$B$2:$B$1123, 'Códigos DANE Municipios'!$A$2:$A$1123, "No encontrado")</f>
        <v>47053</v>
      </c>
      <c r="B717" t="str">
        <f>IFERROR(VLOOKUP(D717,APOYO!K:L,2,FALSE),A717)</f>
        <v>47053</v>
      </c>
      <c r="C717" t="s">
        <v>1304</v>
      </c>
      <c r="D717" t="str">
        <f>IFERROR(VLOOKUP(C717,APOYO!J:K,2,FALSE),C717)</f>
        <v>ARACATACA</v>
      </c>
      <c r="E717">
        <v>2014</v>
      </c>
      <c r="F717" t="s">
        <v>2189</v>
      </c>
      <c r="G717" t="s">
        <v>2189</v>
      </c>
      <c r="H717">
        <v>6</v>
      </c>
      <c r="I717" s="13" t="s">
        <v>2189</v>
      </c>
      <c r="J717" s="13" t="s">
        <v>2189</v>
      </c>
      <c r="K717" s="13" t="s">
        <v>2189</v>
      </c>
    </row>
    <row r="718" spans="1:11" hidden="1" x14ac:dyDescent="0.25">
      <c r="A718" t="str">
        <f>_xlfn.XLOOKUP(C718, 'Códigos DANE Municipios'!$B$2:$B$1123, 'Códigos DANE Municipios'!$A$2:$A$1123, "No encontrado")</f>
        <v>17050</v>
      </c>
      <c r="B718" t="str">
        <f>IFERROR(VLOOKUP(D718,APOYO!K:L,2,FALSE),A718)</f>
        <v>17050</v>
      </c>
      <c r="C718" t="s">
        <v>650</v>
      </c>
      <c r="D718" t="str">
        <f>IFERROR(VLOOKUP(C718,APOYO!J:K,2,FALSE),C718)</f>
        <v>ARANZAZU</v>
      </c>
      <c r="E718">
        <v>2014</v>
      </c>
      <c r="F718" t="s">
        <v>2189</v>
      </c>
      <c r="G718" t="s">
        <v>2189</v>
      </c>
      <c r="H718">
        <v>19</v>
      </c>
      <c r="I718" s="13" t="s">
        <v>2189</v>
      </c>
      <c r="J718" s="13" t="s">
        <v>2189</v>
      </c>
      <c r="K718" s="13" t="s">
        <v>2189</v>
      </c>
    </row>
    <row r="719" spans="1:11" hidden="1" x14ac:dyDescent="0.25">
      <c r="A719" t="str">
        <f>_xlfn.XLOOKUP(C719, 'Códigos DANE Municipios'!$B$2:$B$1123, 'Códigos DANE Municipios'!$A$2:$A$1123, "No encontrado")</f>
        <v>68051</v>
      </c>
      <c r="B719" t="str">
        <f>IFERROR(VLOOKUP(D719,APOYO!K:L,2,FALSE),A719)</f>
        <v>68051</v>
      </c>
      <c r="C719" t="s">
        <v>1660</v>
      </c>
      <c r="D719" t="str">
        <f>IFERROR(VLOOKUP(C719,APOYO!J:K,2,FALSE),C719)</f>
        <v>ARATOCA</v>
      </c>
      <c r="E719">
        <v>2014</v>
      </c>
      <c r="F719" t="s">
        <v>2189</v>
      </c>
      <c r="G719" t="s">
        <v>2189</v>
      </c>
      <c r="H719">
        <v>3</v>
      </c>
      <c r="I719" s="13" t="s">
        <v>2189</v>
      </c>
      <c r="J719" s="13" t="s">
        <v>2189</v>
      </c>
      <c r="K719" s="13" t="s">
        <v>2189</v>
      </c>
    </row>
    <row r="720" spans="1:11" hidden="1" x14ac:dyDescent="0.25">
      <c r="A720" t="str">
        <f>_xlfn.XLOOKUP(C720, 'Códigos DANE Municipios'!$B$2:$B$1123, 'Códigos DANE Municipios'!$A$2:$A$1123, "No encontrado")</f>
        <v>81001</v>
      </c>
      <c r="B720" t="str">
        <f>IFERROR(VLOOKUP(D720,APOYO!K:L,2,FALSE),A720)</f>
        <v>81001</v>
      </c>
      <c r="C720" t="s">
        <v>2034</v>
      </c>
      <c r="D720" t="str">
        <f>IFERROR(VLOOKUP(C720,APOYO!J:K,2,FALSE),C720)</f>
        <v>ARAUCA</v>
      </c>
      <c r="E720">
        <v>2014</v>
      </c>
      <c r="F720">
        <v>59167</v>
      </c>
      <c r="G720">
        <v>0</v>
      </c>
      <c r="H720">
        <v>131</v>
      </c>
      <c r="I720" s="13" t="s">
        <v>2189</v>
      </c>
      <c r="J720" s="13" t="s">
        <v>2189</v>
      </c>
      <c r="K720" s="13" t="s">
        <v>2189</v>
      </c>
    </row>
    <row r="721" spans="1:11" hidden="1" x14ac:dyDescent="0.25">
      <c r="A721" t="str">
        <f>_xlfn.XLOOKUP(C721, 'Códigos DANE Municipios'!$B$2:$B$1123, 'Códigos DANE Municipios'!$A$2:$A$1123, "No encontrado")</f>
        <v>81065</v>
      </c>
      <c r="B721" t="str">
        <f>IFERROR(VLOOKUP(D721,APOYO!K:L,2,FALSE),A721)</f>
        <v>81065</v>
      </c>
      <c r="C721" t="s">
        <v>2036</v>
      </c>
      <c r="D721" t="str">
        <f>IFERROR(VLOOKUP(C721,APOYO!J:K,2,FALSE),C721)</f>
        <v>ARAUQUITA</v>
      </c>
      <c r="E721">
        <v>2014</v>
      </c>
      <c r="F721">
        <v>13</v>
      </c>
      <c r="G721" t="s">
        <v>2189</v>
      </c>
      <c r="H721">
        <v>5</v>
      </c>
      <c r="I721" s="13" t="s">
        <v>2189</v>
      </c>
      <c r="J721" s="13" t="s">
        <v>2189</v>
      </c>
      <c r="K721" s="13" t="s">
        <v>2189</v>
      </c>
    </row>
    <row r="722" spans="1:11" hidden="1" x14ac:dyDescent="0.25">
      <c r="A722" t="str">
        <f>_xlfn.XLOOKUP(C722, 'Códigos DANE Municipios'!$B$2:$B$1123, 'Códigos DANE Municipios'!$A$2:$A$1123, "No encontrado")</f>
        <v>25053</v>
      </c>
      <c r="B722" t="str">
        <f>IFERROR(VLOOKUP(D722,APOYO!K:L,2,FALSE),A722)</f>
        <v>25053</v>
      </c>
      <c r="C722" t="s">
        <v>924</v>
      </c>
      <c r="D722" t="str">
        <f>IFERROR(VLOOKUP(C722,APOYO!J:K,2,FALSE),C722)</f>
        <v>ARBELÁEZ</v>
      </c>
      <c r="E722">
        <v>2014</v>
      </c>
      <c r="F722" t="s">
        <v>2189</v>
      </c>
      <c r="G722">
        <v>7</v>
      </c>
      <c r="H722" t="s">
        <v>2189</v>
      </c>
      <c r="I722" s="13" t="s">
        <v>2189</v>
      </c>
      <c r="J722" s="13" t="s">
        <v>2189</v>
      </c>
      <c r="K722" s="13" t="s">
        <v>2189</v>
      </c>
    </row>
    <row r="723" spans="1:11" hidden="1" x14ac:dyDescent="0.25">
      <c r="A723" t="str">
        <f>_xlfn.XLOOKUP(C723, 'Códigos DANE Municipios'!$B$2:$B$1123, 'Códigos DANE Municipios'!$A$2:$A$1123, "No encontrado")</f>
        <v>54051</v>
      </c>
      <c r="B723" t="str">
        <f>IFERROR(VLOOKUP(D723,APOYO!K:L,2,FALSE),A723)</f>
        <v>54051</v>
      </c>
      <c r="C723" t="s">
        <v>1533</v>
      </c>
      <c r="D723" t="str">
        <f>IFERROR(VLOOKUP(C723,APOYO!J:K,2,FALSE),C723)</f>
        <v>ARBOLEDAS</v>
      </c>
      <c r="E723">
        <v>2014</v>
      </c>
      <c r="F723" t="s">
        <v>2189</v>
      </c>
      <c r="G723" t="s">
        <v>2189</v>
      </c>
      <c r="H723">
        <v>9</v>
      </c>
      <c r="I723" s="13" t="s">
        <v>2189</v>
      </c>
      <c r="J723" s="13" t="s">
        <v>2189</v>
      </c>
      <c r="K723" s="13" t="s">
        <v>2189</v>
      </c>
    </row>
    <row r="724" spans="1:11" hidden="1" x14ac:dyDescent="0.25">
      <c r="A724" t="str">
        <f>_xlfn.XLOOKUP(C724, 'Códigos DANE Municipios'!$B$2:$B$1123, 'Códigos DANE Municipios'!$A$2:$A$1123, "No encontrado")</f>
        <v>05051</v>
      </c>
      <c r="B724" t="str">
        <f>IFERROR(VLOOKUP(D724,APOYO!K:L,2,FALSE),A724)</f>
        <v>05051</v>
      </c>
      <c r="C724" t="s">
        <v>38</v>
      </c>
      <c r="D724" t="str">
        <f>IFERROR(VLOOKUP(C724,APOYO!J:K,2,FALSE),C724)</f>
        <v>ARBOLETES</v>
      </c>
      <c r="E724">
        <v>2014</v>
      </c>
      <c r="F724" t="s">
        <v>2189</v>
      </c>
      <c r="G724" t="s">
        <v>2189</v>
      </c>
      <c r="H724">
        <v>1</v>
      </c>
      <c r="I724" s="13" t="s">
        <v>2189</v>
      </c>
      <c r="J724" s="13" t="s">
        <v>2189</v>
      </c>
      <c r="K724" s="13" t="s">
        <v>2189</v>
      </c>
    </row>
    <row r="725" spans="1:11" hidden="1" x14ac:dyDescent="0.25">
      <c r="A725" t="str">
        <f>_xlfn.XLOOKUP(C725, 'Códigos DANE Municipios'!$B$2:$B$1123, 'Códigos DANE Municipios'!$A$2:$A$1123, "No encontrado")</f>
        <v>15051</v>
      </c>
      <c r="B725" t="str">
        <f>IFERROR(VLOOKUP(D725,APOYO!K:L,2,FALSE),A725)</f>
        <v>15051</v>
      </c>
      <c r="C725" t="s">
        <v>407</v>
      </c>
      <c r="D725" t="str">
        <f>IFERROR(VLOOKUP(C725,APOYO!J:K,2,FALSE),C725)</f>
        <v>ARCABUCO</v>
      </c>
      <c r="E725">
        <v>2014</v>
      </c>
      <c r="F725" t="s">
        <v>2189</v>
      </c>
      <c r="G725" t="s">
        <v>2189</v>
      </c>
      <c r="H725">
        <v>4</v>
      </c>
      <c r="I725" s="13" t="s">
        <v>2189</v>
      </c>
      <c r="J725" s="13" t="s">
        <v>2189</v>
      </c>
      <c r="K725" s="13" t="s">
        <v>2189</v>
      </c>
    </row>
    <row r="726" spans="1:11" hidden="1" x14ac:dyDescent="0.25">
      <c r="A726" t="str">
        <f>_xlfn.XLOOKUP(C726, 'Códigos DANE Municipios'!$B$2:$B$1123, 'Códigos DANE Municipios'!$A$2:$A$1123, "No encontrado")</f>
        <v>05055</v>
      </c>
      <c r="B726" t="str">
        <f>IFERROR(VLOOKUP(D726,APOYO!K:L,2,FALSE),A726)</f>
        <v>05055</v>
      </c>
      <c r="C726" t="s">
        <v>40</v>
      </c>
      <c r="D726" t="str">
        <f>IFERROR(VLOOKUP(C726,APOYO!J:K,2,FALSE),C726)</f>
        <v>ARGELIA</v>
      </c>
      <c r="E726">
        <v>2014</v>
      </c>
      <c r="F726" t="s">
        <v>2189</v>
      </c>
      <c r="G726" t="s">
        <v>2189</v>
      </c>
      <c r="H726">
        <v>19</v>
      </c>
      <c r="I726" s="13" t="s">
        <v>2189</v>
      </c>
      <c r="J726" s="13" t="s">
        <v>2189</v>
      </c>
      <c r="K726" s="13" t="s">
        <v>2189</v>
      </c>
    </row>
    <row r="727" spans="1:11" hidden="1" x14ac:dyDescent="0.25">
      <c r="A727" t="str">
        <f>_xlfn.XLOOKUP(C727, 'Códigos DANE Municipios'!$B$2:$B$1123, 'Códigos DANE Municipios'!$A$2:$A$1123, "No encontrado")</f>
        <v>47058</v>
      </c>
      <c r="B727" t="str">
        <f>IFERROR(VLOOKUP(D727,APOYO!K:L,2,FALSE),A727)</f>
        <v>47058</v>
      </c>
      <c r="C727" t="s">
        <v>1306</v>
      </c>
      <c r="D727" t="str">
        <f>IFERROR(VLOOKUP(C727,APOYO!J:K,2,FALSE),C727)</f>
        <v>ARIGUANÍ</v>
      </c>
      <c r="E727">
        <v>2014</v>
      </c>
      <c r="F727" t="s">
        <v>2189</v>
      </c>
      <c r="G727" t="s">
        <v>2189</v>
      </c>
      <c r="H727">
        <v>1</v>
      </c>
      <c r="I727" s="13" t="s">
        <v>2189</v>
      </c>
      <c r="J727" s="13" t="s">
        <v>2189</v>
      </c>
      <c r="K727" s="13" t="s">
        <v>2189</v>
      </c>
    </row>
    <row r="728" spans="1:11" hidden="1" x14ac:dyDescent="0.25">
      <c r="A728" t="str">
        <f>_xlfn.XLOOKUP(C728, 'Códigos DANE Municipios'!$B$2:$B$1123, 'Códigos DANE Municipios'!$A$2:$A$1123, "No encontrado")</f>
        <v>13052</v>
      </c>
      <c r="B728" t="str">
        <f>IFERROR(VLOOKUP(D728,APOYO!K:L,2,FALSE),A728)</f>
        <v>13052</v>
      </c>
      <c r="C728" t="s">
        <v>317</v>
      </c>
      <c r="D728" t="str">
        <f>IFERROR(VLOOKUP(C728,APOYO!J:K,2,FALSE),C728)</f>
        <v>ARJONA</v>
      </c>
      <c r="E728">
        <v>2014</v>
      </c>
      <c r="F728" t="s">
        <v>2189</v>
      </c>
      <c r="G728" t="s">
        <v>2189</v>
      </c>
      <c r="H728">
        <v>41</v>
      </c>
      <c r="I728" s="13" t="s">
        <v>2189</v>
      </c>
      <c r="J728" s="13" t="s">
        <v>2189</v>
      </c>
      <c r="K728" s="13" t="s">
        <v>2189</v>
      </c>
    </row>
    <row r="729" spans="1:11" hidden="1" x14ac:dyDescent="0.25">
      <c r="A729" t="str">
        <f>_xlfn.XLOOKUP(C729, 'Códigos DANE Municipios'!$B$2:$B$1123, 'Códigos DANE Municipios'!$A$2:$A$1123, "No encontrado")</f>
        <v>05059</v>
      </c>
      <c r="B729" t="str">
        <f>IFERROR(VLOOKUP(D729,APOYO!K:L,2,FALSE),A729)</f>
        <v>05059</v>
      </c>
      <c r="C729" t="s">
        <v>42</v>
      </c>
      <c r="D729" t="str">
        <f>IFERROR(VLOOKUP(C729,APOYO!J:K,2,FALSE),C729)</f>
        <v>ARMENIA</v>
      </c>
      <c r="E729">
        <v>2014</v>
      </c>
      <c r="F729">
        <v>156168</v>
      </c>
      <c r="G729">
        <v>25659</v>
      </c>
      <c r="H729">
        <v>7099</v>
      </c>
      <c r="I729" s="13" t="s">
        <v>2189</v>
      </c>
      <c r="J729" s="13" t="s">
        <v>2189</v>
      </c>
      <c r="K729" s="13" t="s">
        <v>2189</v>
      </c>
    </row>
    <row r="730" spans="1:11" hidden="1" x14ac:dyDescent="0.25">
      <c r="A730" t="str">
        <f>_xlfn.XLOOKUP(C730, 'Códigos DANE Municipios'!$B$2:$B$1123, 'Códigos DANE Municipios'!$A$2:$A$1123, "No encontrado")</f>
        <v>73055</v>
      </c>
      <c r="B730" t="str">
        <f>IFERROR(VLOOKUP(D730,APOYO!K:L,2,FALSE),A730)</f>
        <v>73055</v>
      </c>
      <c r="C730" t="s">
        <v>1875</v>
      </c>
      <c r="D730" t="str">
        <f>IFERROR(VLOOKUP(C730,APOYO!J:K,2,FALSE),C730)</f>
        <v>ARMERO GUAYABAL</v>
      </c>
      <c r="E730">
        <v>2014</v>
      </c>
      <c r="F730" t="s">
        <v>2189</v>
      </c>
      <c r="G730" t="s">
        <v>2189</v>
      </c>
      <c r="H730">
        <v>7</v>
      </c>
      <c r="I730" s="13" t="s">
        <v>2189</v>
      </c>
      <c r="J730" s="13" t="s">
        <v>2189</v>
      </c>
      <c r="K730" s="13" t="s">
        <v>2189</v>
      </c>
    </row>
    <row r="731" spans="1:11" hidden="1" x14ac:dyDescent="0.25">
      <c r="A731" t="str">
        <f>_xlfn.XLOOKUP(C731, 'Códigos DANE Municipios'!$B$2:$B$1123, 'Códigos DANE Municipios'!$A$2:$A$1123, "No encontrado")</f>
        <v>20032</v>
      </c>
      <c r="B731" t="str">
        <f>IFERROR(VLOOKUP(D731,APOYO!K:L,2,FALSE),A731)</f>
        <v>20032</v>
      </c>
      <c r="C731" t="s">
        <v>814</v>
      </c>
      <c r="D731" t="str">
        <f>IFERROR(VLOOKUP(C731,APOYO!J:K,2,FALSE),C731)</f>
        <v>ASTREA</v>
      </c>
      <c r="E731">
        <v>2014</v>
      </c>
      <c r="F731" t="s">
        <v>2189</v>
      </c>
      <c r="G731" t="s">
        <v>2189</v>
      </c>
      <c r="H731" t="s">
        <v>2189</v>
      </c>
      <c r="I731" s="13" t="s">
        <v>2189</v>
      </c>
      <c r="J731" s="13" t="s">
        <v>2189</v>
      </c>
      <c r="K731" s="13" t="s">
        <v>2189</v>
      </c>
    </row>
    <row r="732" spans="1:11" hidden="1" x14ac:dyDescent="0.25">
      <c r="A732" t="str">
        <f>_xlfn.XLOOKUP(C732, 'Códigos DANE Municipios'!$B$2:$B$1123, 'Códigos DANE Municipios'!$A$2:$A$1123, "No encontrado")</f>
        <v>23068</v>
      </c>
      <c r="B732" t="str">
        <f>IFERROR(VLOOKUP(D732,APOYO!K:L,2,FALSE),A732)</f>
        <v>23068</v>
      </c>
      <c r="C732" t="s">
        <v>860</v>
      </c>
      <c r="D732" t="str">
        <f>IFERROR(VLOOKUP(C732,APOYO!J:K,2,FALSE),C732)</f>
        <v>AYAPEL</v>
      </c>
      <c r="E732">
        <v>2014</v>
      </c>
      <c r="F732">
        <v>7</v>
      </c>
      <c r="G732" t="s">
        <v>2189</v>
      </c>
      <c r="H732">
        <v>10</v>
      </c>
      <c r="I732" s="13" t="s">
        <v>2189</v>
      </c>
      <c r="J732" s="13" t="s">
        <v>2189</v>
      </c>
      <c r="K732" s="13" t="s">
        <v>2189</v>
      </c>
    </row>
    <row r="733" spans="1:11" hidden="1" x14ac:dyDescent="0.25">
      <c r="A733" t="str">
        <f>_xlfn.XLOOKUP(C733, 'Códigos DANE Municipios'!$B$2:$B$1123, 'Códigos DANE Municipios'!$A$2:$A$1123, "No encontrado")</f>
        <v>27073</v>
      </c>
      <c r="B733" t="str">
        <f>IFERROR(VLOOKUP(D733,APOYO!K:L,2,FALSE),A733)</f>
        <v>27073</v>
      </c>
      <c r="C733" t="s">
        <v>1150</v>
      </c>
      <c r="D733" t="str">
        <f>IFERROR(VLOOKUP(C733,APOYO!J:K,2,FALSE),C733)</f>
        <v>BAGADÓ</v>
      </c>
      <c r="E733">
        <v>2014</v>
      </c>
      <c r="F733" t="s">
        <v>2189</v>
      </c>
      <c r="G733" t="s">
        <v>2189</v>
      </c>
      <c r="H733" t="s">
        <v>2189</v>
      </c>
      <c r="I733" s="13" t="s">
        <v>2189</v>
      </c>
      <c r="J733" s="13" t="s">
        <v>2189</v>
      </c>
      <c r="K733" s="13" t="s">
        <v>2189</v>
      </c>
    </row>
    <row r="734" spans="1:11" hidden="1" x14ac:dyDescent="0.25">
      <c r="A734" t="str">
        <f>_xlfn.XLOOKUP(C734, 'Códigos DANE Municipios'!$B$2:$B$1123, 'Códigos DANE Municipios'!$A$2:$A$1123, "No encontrado")</f>
        <v>27075</v>
      </c>
      <c r="B734" t="str">
        <f>IFERROR(VLOOKUP(D734,APOYO!K:L,2,FALSE),A734)</f>
        <v>27075</v>
      </c>
      <c r="C734" t="s">
        <v>1152</v>
      </c>
      <c r="D734" t="str">
        <f>IFERROR(VLOOKUP(C734,APOYO!J:K,2,FALSE),C734)</f>
        <v>BAHÍA SOLANO</v>
      </c>
      <c r="E734">
        <v>2014</v>
      </c>
      <c r="F734">
        <v>18804</v>
      </c>
      <c r="G734">
        <v>1</v>
      </c>
      <c r="H734">
        <v>141</v>
      </c>
      <c r="I734" s="13" t="s">
        <v>2189</v>
      </c>
      <c r="J734" s="13" t="s">
        <v>2189</v>
      </c>
      <c r="K734" s="13" t="s">
        <v>2189</v>
      </c>
    </row>
    <row r="735" spans="1:11" hidden="1" x14ac:dyDescent="0.25">
      <c r="A735" t="str">
        <f>_xlfn.XLOOKUP(C735, 'Códigos DANE Municipios'!$B$2:$B$1123, 'Códigos DANE Municipios'!$A$2:$A$1123, "No encontrado")</f>
        <v>27077</v>
      </c>
      <c r="B735" t="str">
        <f>IFERROR(VLOOKUP(D735,APOYO!K:L,2,FALSE),A735)</f>
        <v>27077</v>
      </c>
      <c r="C735" t="s">
        <v>1154</v>
      </c>
      <c r="D735" t="str">
        <f>IFERROR(VLOOKUP(C735,APOYO!J:K,2,FALSE),C735)</f>
        <v>BAJO BAUDÓ</v>
      </c>
      <c r="E735">
        <v>2014</v>
      </c>
      <c r="F735">
        <v>2011</v>
      </c>
      <c r="G735" t="s">
        <v>2189</v>
      </c>
      <c r="H735" t="s">
        <v>2189</v>
      </c>
      <c r="I735" s="13" t="s">
        <v>2189</v>
      </c>
      <c r="J735" s="13" t="s">
        <v>2189</v>
      </c>
      <c r="K735" s="13" t="s">
        <v>2189</v>
      </c>
    </row>
    <row r="736" spans="1:11" hidden="1" x14ac:dyDescent="0.25">
      <c r="A736" t="str">
        <f>_xlfn.XLOOKUP(C736, 'Códigos DANE Municipios'!$B$2:$B$1123, 'Códigos DANE Municipios'!$A$2:$A$1123, "No encontrado")</f>
        <v>19075</v>
      </c>
      <c r="B736" t="str">
        <f>IFERROR(VLOOKUP(D736,APOYO!K:L,2,FALSE),A736)</f>
        <v>19075</v>
      </c>
      <c r="C736" t="s">
        <v>734</v>
      </c>
      <c r="D736" t="str">
        <f>IFERROR(VLOOKUP(C736,APOYO!J:K,2,FALSE),C736)</f>
        <v>BALBOA</v>
      </c>
      <c r="E736">
        <v>2014</v>
      </c>
      <c r="F736" t="s">
        <v>2189</v>
      </c>
      <c r="G736" t="s">
        <v>2189</v>
      </c>
      <c r="H736">
        <v>15</v>
      </c>
      <c r="I736" s="13" t="s">
        <v>2189</v>
      </c>
      <c r="J736" s="13" t="s">
        <v>2189</v>
      </c>
      <c r="K736" s="13" t="s">
        <v>2189</v>
      </c>
    </row>
    <row r="737" spans="1:11" hidden="1" x14ac:dyDescent="0.25">
      <c r="A737" t="str">
        <f>_xlfn.XLOOKUP(C737, 'Códigos DANE Municipios'!$B$2:$B$1123, 'Códigos DANE Municipios'!$A$2:$A$1123, "No encontrado")</f>
        <v>08078</v>
      </c>
      <c r="B737" t="str">
        <f>IFERROR(VLOOKUP(D737,APOYO!K:L,2,FALSE),A737)</f>
        <v>08078</v>
      </c>
      <c r="C737" t="s">
        <v>264</v>
      </c>
      <c r="D737" t="str">
        <f>IFERROR(VLOOKUP(C737,APOYO!J:K,2,FALSE),C737)</f>
        <v>BARANOA</v>
      </c>
      <c r="E737">
        <v>2014</v>
      </c>
      <c r="F737" t="s">
        <v>2189</v>
      </c>
      <c r="G737" t="s">
        <v>2189</v>
      </c>
      <c r="H737">
        <v>221</v>
      </c>
      <c r="I737" s="13" t="s">
        <v>2189</v>
      </c>
      <c r="J737" s="13" t="s">
        <v>2189</v>
      </c>
      <c r="K737" s="13" t="s">
        <v>2189</v>
      </c>
    </row>
    <row r="738" spans="1:11" hidden="1" x14ac:dyDescent="0.25">
      <c r="A738" t="str">
        <f>_xlfn.XLOOKUP(C738, 'Códigos DANE Municipios'!$B$2:$B$1123, 'Códigos DANE Municipios'!$A$2:$A$1123, "No encontrado")</f>
        <v>41078</v>
      </c>
      <c r="B738" t="str">
        <f>IFERROR(VLOOKUP(D738,APOYO!K:L,2,FALSE),A738)</f>
        <v>41078</v>
      </c>
      <c r="C738" t="s">
        <v>1213</v>
      </c>
      <c r="D738" t="str">
        <f>IFERROR(VLOOKUP(C738,APOYO!J:K,2,FALSE),C738)</f>
        <v>BARAYA</v>
      </c>
      <c r="E738">
        <v>2014</v>
      </c>
      <c r="F738" t="s">
        <v>2189</v>
      </c>
      <c r="G738" t="s">
        <v>2189</v>
      </c>
      <c r="H738">
        <v>2</v>
      </c>
      <c r="I738" s="13" t="s">
        <v>2189</v>
      </c>
      <c r="J738" s="13" t="s">
        <v>2189</v>
      </c>
      <c r="K738" s="13" t="s">
        <v>2189</v>
      </c>
    </row>
    <row r="739" spans="1:11" hidden="1" x14ac:dyDescent="0.25">
      <c r="A739" t="str">
        <f>_xlfn.XLOOKUP(C739, 'Códigos DANE Municipios'!$B$2:$B$1123, 'Códigos DANE Municipios'!$A$2:$A$1123, "No encontrado")</f>
        <v>52079</v>
      </c>
      <c r="B739" t="str">
        <f>IFERROR(VLOOKUP(D739,APOYO!K:L,2,FALSE),A739)</f>
        <v>52079</v>
      </c>
      <c r="C739" t="s">
        <v>1421</v>
      </c>
      <c r="D739" t="str">
        <f>IFERROR(VLOOKUP(C739,APOYO!J:K,2,FALSE),C739)</f>
        <v>BARBACOAS</v>
      </c>
      <c r="E739">
        <v>2014</v>
      </c>
      <c r="F739" t="s">
        <v>2189</v>
      </c>
      <c r="G739" t="s">
        <v>2189</v>
      </c>
      <c r="H739">
        <v>10</v>
      </c>
      <c r="I739" s="13" t="s">
        <v>2189</v>
      </c>
      <c r="J739" s="13" t="s">
        <v>2189</v>
      </c>
      <c r="K739" s="13" t="s">
        <v>2189</v>
      </c>
    </row>
    <row r="740" spans="1:11" hidden="1" x14ac:dyDescent="0.25">
      <c r="A740" t="str">
        <f>_xlfn.XLOOKUP(C740, 'Códigos DANE Municipios'!$B$2:$B$1123, 'Códigos DANE Municipios'!$A$2:$A$1123, "No encontrado")</f>
        <v>05079</v>
      </c>
      <c r="B740" t="str">
        <f>IFERROR(VLOOKUP(D740,APOYO!K:L,2,FALSE),A740)</f>
        <v>05079</v>
      </c>
      <c r="C740" t="s">
        <v>44</v>
      </c>
      <c r="D740" t="str">
        <f>IFERROR(VLOOKUP(C740,APOYO!J:K,2,FALSE),C740)</f>
        <v>BARBOSA</v>
      </c>
      <c r="E740">
        <v>2014</v>
      </c>
      <c r="F740">
        <v>0</v>
      </c>
      <c r="G740" t="s">
        <v>2189</v>
      </c>
      <c r="H740">
        <v>103</v>
      </c>
      <c r="I740" s="13" t="s">
        <v>2189</v>
      </c>
      <c r="J740" s="13" t="s">
        <v>2189</v>
      </c>
      <c r="K740" s="13" t="s">
        <v>2189</v>
      </c>
    </row>
    <row r="741" spans="1:11" hidden="1" x14ac:dyDescent="0.25">
      <c r="A741" t="str">
        <f>_xlfn.XLOOKUP(C741, 'Códigos DANE Municipios'!$B$2:$B$1123, 'Códigos DANE Municipios'!$A$2:$A$1123, "No encontrado")</f>
        <v>68079</v>
      </c>
      <c r="B741" t="str">
        <f>IFERROR(VLOOKUP(D741,APOYO!K:L,2,FALSE),A741)</f>
        <v>68079</v>
      </c>
      <c r="C741" t="s">
        <v>1663</v>
      </c>
      <c r="D741" t="str">
        <f>IFERROR(VLOOKUP(C741,APOYO!J:K,2,FALSE),C741)</f>
        <v>BARICHARA</v>
      </c>
      <c r="E741">
        <v>2014</v>
      </c>
      <c r="F741" t="s">
        <v>2189</v>
      </c>
      <c r="G741" t="s">
        <v>2189</v>
      </c>
      <c r="H741">
        <v>58</v>
      </c>
      <c r="I741" s="13" t="s">
        <v>2189</v>
      </c>
      <c r="J741" s="13" t="s">
        <v>2189</v>
      </c>
      <c r="K741" s="13" t="s">
        <v>2189</v>
      </c>
    </row>
    <row r="742" spans="1:11" hidden="1" x14ac:dyDescent="0.25">
      <c r="A742" t="str">
        <f>_xlfn.XLOOKUP(C742, 'Códigos DANE Municipios'!$B$2:$B$1123, 'Códigos DANE Municipios'!$A$2:$A$1123, "No encontrado")</f>
        <v>50110</v>
      </c>
      <c r="B742" t="str">
        <f>IFERROR(VLOOKUP(D742,APOYO!K:L,2,FALSE),A742)</f>
        <v>50110</v>
      </c>
      <c r="C742" t="s">
        <v>1362</v>
      </c>
      <c r="D742" t="str">
        <f>IFERROR(VLOOKUP(C742,APOYO!J:K,2,FALSE),C742)</f>
        <v>BARRANCA DE UPÍA</v>
      </c>
      <c r="E742">
        <v>2014</v>
      </c>
      <c r="F742" t="s">
        <v>2189</v>
      </c>
      <c r="G742" t="s">
        <v>2189</v>
      </c>
      <c r="H742">
        <v>8</v>
      </c>
      <c r="I742" s="13" t="s">
        <v>2189</v>
      </c>
      <c r="J742" s="13" t="s">
        <v>2189</v>
      </c>
      <c r="K742" s="13" t="s">
        <v>2189</v>
      </c>
    </row>
    <row r="743" spans="1:11" hidden="1" x14ac:dyDescent="0.25">
      <c r="A743" t="str">
        <f>_xlfn.XLOOKUP(C743, 'Códigos DANE Municipios'!$B$2:$B$1123, 'Códigos DANE Municipios'!$A$2:$A$1123, "No encontrado")</f>
        <v>68081</v>
      </c>
      <c r="B743" t="str">
        <f>IFERROR(VLOOKUP(D743,APOYO!K:L,2,FALSE),A743)</f>
        <v>68081</v>
      </c>
      <c r="C743" t="s">
        <v>1665</v>
      </c>
      <c r="D743" t="str">
        <f>IFERROR(VLOOKUP(C743,APOYO!J:K,2,FALSE),C743)</f>
        <v>BARRANCABERMEJA</v>
      </c>
      <c r="E743">
        <v>2014</v>
      </c>
      <c r="F743">
        <v>109447</v>
      </c>
      <c r="G743">
        <v>923</v>
      </c>
      <c r="H743">
        <v>1056</v>
      </c>
      <c r="I743" s="13" t="s">
        <v>2189</v>
      </c>
      <c r="J743" s="13" t="s">
        <v>2189</v>
      </c>
      <c r="K743" s="13" t="s">
        <v>2189</v>
      </c>
    </row>
    <row r="744" spans="1:11" hidden="1" x14ac:dyDescent="0.25">
      <c r="A744" t="str">
        <f>_xlfn.XLOOKUP(C744, 'Códigos DANE Municipios'!$B$2:$B$1123, 'Códigos DANE Municipios'!$A$2:$A$1123, "No encontrado")</f>
        <v>44078</v>
      </c>
      <c r="B744" t="str">
        <f>IFERROR(VLOOKUP(D744,APOYO!K:L,2,FALSE),A744)</f>
        <v>44078</v>
      </c>
      <c r="C744" t="s">
        <v>1275</v>
      </c>
      <c r="D744" t="str">
        <f>IFERROR(VLOOKUP(C744,APOYO!J:K,2,FALSE),C744)</f>
        <v>BARRANCAS</v>
      </c>
      <c r="E744">
        <v>2014</v>
      </c>
      <c r="F744" t="s">
        <v>2189</v>
      </c>
      <c r="G744" t="s">
        <v>2189</v>
      </c>
      <c r="H744">
        <v>39</v>
      </c>
      <c r="I744" s="13" t="s">
        <v>2189</v>
      </c>
      <c r="J744" s="13" t="s">
        <v>2189</v>
      </c>
      <c r="K744" s="13" t="s">
        <v>2189</v>
      </c>
    </row>
    <row r="745" spans="1:11" hidden="1" x14ac:dyDescent="0.25">
      <c r="A745" t="str">
        <f>_xlfn.XLOOKUP(C745, 'Códigos DANE Municipios'!$B$2:$B$1123, 'Códigos DANE Municipios'!$A$2:$A$1123, "No encontrado")</f>
        <v>08001</v>
      </c>
      <c r="B745" t="str">
        <f>IFERROR(VLOOKUP(D745,APOYO!K:L,2,FALSE),A745)</f>
        <v>08001</v>
      </c>
      <c r="C745" t="s">
        <v>262</v>
      </c>
      <c r="D745" t="str">
        <f>IFERROR(VLOOKUP(C745,APOYO!J:K,2,FALSE),C745)</f>
        <v>BARRANQUILLA</v>
      </c>
      <c r="E745">
        <v>2014</v>
      </c>
      <c r="F745">
        <v>1068252</v>
      </c>
      <c r="G745">
        <v>122868</v>
      </c>
      <c r="H745">
        <v>37611</v>
      </c>
      <c r="I745" s="13" t="s">
        <v>2189</v>
      </c>
      <c r="J745" s="13" t="s">
        <v>2189</v>
      </c>
      <c r="K745" s="13" t="s">
        <v>2189</v>
      </c>
    </row>
    <row r="746" spans="1:11" hidden="1" x14ac:dyDescent="0.25">
      <c r="A746" t="str">
        <f>_xlfn.XLOOKUP(C746, 'Códigos DANE Municipios'!$B$2:$B$1123, 'Códigos DANE Municipios'!$A$2:$A$1123, "No encontrado")</f>
        <v>17088</v>
      </c>
      <c r="B746" t="str">
        <f>IFERROR(VLOOKUP(D746,APOYO!K:L,2,FALSE),A746)</f>
        <v>17088</v>
      </c>
      <c r="C746" t="s">
        <v>652</v>
      </c>
      <c r="D746" t="str">
        <f>IFERROR(VLOOKUP(C746,APOYO!J:K,2,FALSE),C746)</f>
        <v>BELALCÁZAR</v>
      </c>
      <c r="E746">
        <v>2014</v>
      </c>
      <c r="F746" t="s">
        <v>2189</v>
      </c>
      <c r="G746" t="s">
        <v>2189</v>
      </c>
      <c r="H746">
        <v>3</v>
      </c>
      <c r="I746" s="13" t="s">
        <v>2189</v>
      </c>
      <c r="J746" s="13" t="s">
        <v>2189</v>
      </c>
      <c r="K746" s="13" t="s">
        <v>2189</v>
      </c>
    </row>
    <row r="747" spans="1:11" hidden="1" x14ac:dyDescent="0.25">
      <c r="A747" t="str">
        <f>_xlfn.XLOOKUP(C747, 'Códigos DANE Municipios'!$B$2:$B$1123, 'Códigos DANE Municipios'!$A$2:$A$1123, "No encontrado")</f>
        <v>15087</v>
      </c>
      <c r="B747" t="str">
        <f>IFERROR(VLOOKUP(D747,APOYO!K:L,2,FALSE),A747)</f>
        <v>15087</v>
      </c>
      <c r="C747" t="s">
        <v>409</v>
      </c>
      <c r="D747" t="str">
        <f>IFERROR(VLOOKUP(C747,APOYO!J:K,2,FALSE),C747)</f>
        <v>BELÉN</v>
      </c>
      <c r="E747">
        <v>2014</v>
      </c>
      <c r="F747" t="s">
        <v>2189</v>
      </c>
      <c r="G747" t="s">
        <v>2189</v>
      </c>
      <c r="H747">
        <v>15</v>
      </c>
      <c r="I747" s="13" t="s">
        <v>2189</v>
      </c>
      <c r="J747" s="13" t="s">
        <v>2189</v>
      </c>
      <c r="K747" s="13" t="s">
        <v>2189</v>
      </c>
    </row>
    <row r="748" spans="1:11" hidden="1" x14ac:dyDescent="0.25">
      <c r="A748" t="str">
        <f>_xlfn.XLOOKUP(C748, 'Códigos DANE Municipios'!$B$2:$B$1123, 'Códigos DANE Municipios'!$A$2:$A$1123, "No encontrado")</f>
        <v>66088</v>
      </c>
      <c r="B748" t="str">
        <f>IFERROR(VLOOKUP(D748,APOYO!K:L,2,FALSE),A748)</f>
        <v>66088</v>
      </c>
      <c r="C748" t="s">
        <v>1633</v>
      </c>
      <c r="D748" t="str">
        <f>IFERROR(VLOOKUP(C748,APOYO!J:K,2,FALSE),C748)</f>
        <v>BELÉN DE UMBRÍA</v>
      </c>
      <c r="E748">
        <v>2014</v>
      </c>
      <c r="F748" t="s">
        <v>2189</v>
      </c>
      <c r="G748" t="s">
        <v>2189</v>
      </c>
      <c r="H748">
        <v>35</v>
      </c>
      <c r="I748" s="13" t="s">
        <v>2189</v>
      </c>
      <c r="J748" s="13" t="s">
        <v>2189</v>
      </c>
      <c r="K748" s="13" t="s">
        <v>2189</v>
      </c>
    </row>
    <row r="749" spans="1:11" hidden="1" x14ac:dyDescent="0.25">
      <c r="A749" t="str">
        <f>_xlfn.XLOOKUP(C749, 'Códigos DANE Municipios'!$B$2:$B$1123, 'Códigos DANE Municipios'!$A$2:$A$1123, "No encontrado")</f>
        <v>05088</v>
      </c>
      <c r="B749" t="str">
        <f>IFERROR(VLOOKUP(D749,APOYO!K:L,2,FALSE),A749)</f>
        <v>05088</v>
      </c>
      <c r="C749" t="s">
        <v>48</v>
      </c>
      <c r="D749" t="str">
        <f>IFERROR(VLOOKUP(C749,APOYO!J:K,2,FALSE),C749)</f>
        <v>BELLO</v>
      </c>
      <c r="E749">
        <v>2014</v>
      </c>
      <c r="F749" t="s">
        <v>2189</v>
      </c>
      <c r="G749" t="s">
        <v>2189</v>
      </c>
      <c r="H749">
        <v>323</v>
      </c>
      <c r="I749" s="13" t="s">
        <v>2189</v>
      </c>
      <c r="J749" s="13" t="s">
        <v>2189</v>
      </c>
      <c r="K749" s="13" t="s">
        <v>2189</v>
      </c>
    </row>
    <row r="750" spans="1:11" hidden="1" x14ac:dyDescent="0.25">
      <c r="A750" t="str">
        <f>_xlfn.XLOOKUP(C750, 'Códigos DANE Municipios'!$B$2:$B$1123, 'Códigos DANE Municipios'!$A$2:$A$1123, "No encontrado")</f>
        <v>05086</v>
      </c>
      <c r="B750" t="str">
        <f>IFERROR(VLOOKUP(D750,APOYO!K:L,2,FALSE),A750)</f>
        <v>05086</v>
      </c>
      <c r="C750" t="s">
        <v>46</v>
      </c>
      <c r="D750" t="str">
        <f>IFERROR(VLOOKUP(C750,APOYO!J:K,2,FALSE),C750)</f>
        <v>BELMIRA</v>
      </c>
      <c r="E750">
        <v>2014</v>
      </c>
      <c r="F750" t="s">
        <v>2189</v>
      </c>
      <c r="G750" t="s">
        <v>2189</v>
      </c>
      <c r="H750">
        <v>4</v>
      </c>
      <c r="I750" s="13" t="s">
        <v>2189</v>
      </c>
      <c r="J750" s="13" t="s">
        <v>2189</v>
      </c>
      <c r="K750" s="13" t="s">
        <v>2189</v>
      </c>
    </row>
    <row r="751" spans="1:11" hidden="1" x14ac:dyDescent="0.25">
      <c r="A751" t="str">
        <f>_xlfn.XLOOKUP(C751, 'Códigos DANE Municipios'!$B$2:$B$1123, 'Códigos DANE Municipios'!$A$2:$A$1123, "No encontrado")</f>
        <v>25086</v>
      </c>
      <c r="B751" t="str">
        <f>IFERROR(VLOOKUP(D751,APOYO!K:L,2,FALSE),A751)</f>
        <v>25086</v>
      </c>
      <c r="C751" t="s">
        <v>926</v>
      </c>
      <c r="D751" t="str">
        <f>IFERROR(VLOOKUP(C751,APOYO!J:K,2,FALSE),C751)</f>
        <v>BELTRÁN</v>
      </c>
      <c r="E751">
        <v>2014</v>
      </c>
      <c r="F751" t="s">
        <v>2189</v>
      </c>
      <c r="G751" t="s">
        <v>2189</v>
      </c>
      <c r="H751">
        <v>1</v>
      </c>
      <c r="I751" s="13" t="s">
        <v>2189</v>
      </c>
      <c r="J751" s="13" t="s">
        <v>2189</v>
      </c>
      <c r="K751" s="13" t="s">
        <v>2189</v>
      </c>
    </row>
    <row r="752" spans="1:11" hidden="1" x14ac:dyDescent="0.25">
      <c r="A752" t="str">
        <f>_xlfn.XLOOKUP(C752, 'Códigos DANE Municipios'!$B$2:$B$1123, 'Códigos DANE Municipios'!$A$2:$A$1123, "No encontrado")</f>
        <v>05091</v>
      </c>
      <c r="B752" t="str">
        <f>IFERROR(VLOOKUP(D752,APOYO!K:L,2,FALSE),A752)</f>
        <v>05091</v>
      </c>
      <c r="C752" t="s">
        <v>50</v>
      </c>
      <c r="D752" t="str">
        <f>IFERROR(VLOOKUP(C752,APOYO!J:K,2,FALSE),C752)</f>
        <v>BETANIA</v>
      </c>
      <c r="E752">
        <v>2014</v>
      </c>
      <c r="F752" t="s">
        <v>2189</v>
      </c>
      <c r="G752" t="s">
        <v>2512</v>
      </c>
      <c r="H752">
        <v>3</v>
      </c>
      <c r="I752" s="13" t="s">
        <v>2189</v>
      </c>
      <c r="J752" s="13" t="s">
        <v>2189</v>
      </c>
      <c r="K752" s="13" t="s">
        <v>2189</v>
      </c>
    </row>
    <row r="753" spans="1:11" hidden="1" x14ac:dyDescent="0.25">
      <c r="A753" t="str">
        <f>_xlfn.XLOOKUP(C753, 'Códigos DANE Municipios'!$B$2:$B$1123, 'Códigos DANE Municipios'!$A$2:$A$1123, "No encontrado")</f>
        <v>05093</v>
      </c>
      <c r="B753" t="str">
        <f>IFERROR(VLOOKUP(D753,APOYO!K:L,2,FALSE),A753)</f>
        <v>05093</v>
      </c>
      <c r="C753" t="s">
        <v>52</v>
      </c>
      <c r="D753" t="str">
        <f>IFERROR(VLOOKUP(C753,APOYO!J:K,2,FALSE),C753)</f>
        <v>BETULIA</v>
      </c>
      <c r="E753">
        <v>2014</v>
      </c>
      <c r="F753" t="s">
        <v>2189</v>
      </c>
      <c r="G753" t="s">
        <v>2189</v>
      </c>
      <c r="H753">
        <v>2</v>
      </c>
      <c r="I753" s="13" t="s">
        <v>2189</v>
      </c>
      <c r="J753" s="13" t="s">
        <v>2189</v>
      </c>
      <c r="K753" s="13" t="s">
        <v>2189</v>
      </c>
    </row>
    <row r="754" spans="1:11" hidden="1" x14ac:dyDescent="0.25">
      <c r="A754" t="str">
        <f>_xlfn.XLOOKUP(C754, 'Códigos DANE Municipios'!$B$2:$B$1123, 'Códigos DANE Municipios'!$A$2:$A$1123, "No encontrado")</f>
        <v>25095</v>
      </c>
      <c r="B754" t="str">
        <f>IFERROR(VLOOKUP(D754,APOYO!K:L,2,FALSE),A754)</f>
        <v>25095</v>
      </c>
      <c r="C754" t="s">
        <v>928</v>
      </c>
      <c r="D754" t="str">
        <f>IFERROR(VLOOKUP(C754,APOYO!J:K,2,FALSE),C754)</f>
        <v>BITUIMA</v>
      </c>
      <c r="E754">
        <v>2014</v>
      </c>
      <c r="F754" t="s">
        <v>2189</v>
      </c>
      <c r="G754" t="s">
        <v>2189</v>
      </c>
      <c r="H754">
        <v>2</v>
      </c>
      <c r="I754" s="13" t="s">
        <v>2189</v>
      </c>
      <c r="J754" s="13" t="s">
        <v>2189</v>
      </c>
      <c r="K754" s="13" t="s">
        <v>2189</v>
      </c>
    </row>
    <row r="755" spans="1:11" hidden="1" x14ac:dyDescent="0.25">
      <c r="A755" t="str">
        <f>_xlfn.XLOOKUP(C755, 'Códigos DANE Municipios'!$B$2:$B$1123, 'Códigos DANE Municipios'!$A$2:$A$1123, "No encontrado")</f>
        <v>15097</v>
      </c>
      <c r="B755" t="str">
        <f>IFERROR(VLOOKUP(D755,APOYO!K:L,2,FALSE),A755)</f>
        <v>15097</v>
      </c>
      <c r="C755" t="s">
        <v>415</v>
      </c>
      <c r="D755" t="str">
        <f>IFERROR(VLOOKUP(C755,APOYO!J:K,2,FALSE),C755)</f>
        <v>BOAVITA</v>
      </c>
      <c r="E755">
        <v>2014</v>
      </c>
      <c r="F755" t="s">
        <v>2189</v>
      </c>
      <c r="G755" t="s">
        <v>2189</v>
      </c>
      <c r="H755">
        <v>4</v>
      </c>
      <c r="I755" s="13" t="s">
        <v>2189</v>
      </c>
      <c r="J755" s="13" t="s">
        <v>2189</v>
      </c>
      <c r="K755" s="13" t="s">
        <v>2189</v>
      </c>
    </row>
    <row r="756" spans="1:11" hidden="1" x14ac:dyDescent="0.25">
      <c r="A756" t="str">
        <f>_xlfn.XLOOKUP(C756, 'Códigos DANE Municipios'!$B$2:$B$1123, 'Códigos DANE Municipios'!$A$2:$A$1123, "No encontrado")</f>
        <v>54099</v>
      </c>
      <c r="B756" t="str">
        <f>IFERROR(VLOOKUP(D756,APOYO!K:L,2,FALSE),A756)</f>
        <v>54099</v>
      </c>
      <c r="C756" t="s">
        <v>1535</v>
      </c>
      <c r="D756" t="str">
        <f>IFERROR(VLOOKUP(C756,APOYO!J:K,2,FALSE),C756)</f>
        <v>BOCHALEMA</v>
      </c>
      <c r="E756">
        <v>2014</v>
      </c>
      <c r="F756" t="s">
        <v>2189</v>
      </c>
      <c r="G756" t="s">
        <v>2189</v>
      </c>
      <c r="H756">
        <v>10</v>
      </c>
      <c r="I756" t="s">
        <v>2189</v>
      </c>
      <c r="J756" s="13" t="s">
        <v>2189</v>
      </c>
      <c r="K756" s="13" t="s">
        <v>2189</v>
      </c>
    </row>
    <row r="757" spans="1:11" hidden="1" x14ac:dyDescent="0.25">
      <c r="A757" t="str">
        <f>_xlfn.XLOOKUP(C757, 'Códigos DANE Municipios'!$B$2:$B$1123, 'Códigos DANE Municipios'!$A$2:$A$1123, "No encontrado")</f>
        <v>11001</v>
      </c>
      <c r="B757" t="str">
        <f>IFERROR(VLOOKUP(D757,APOYO!K:L,2,FALSE),A757)</f>
        <v>11001</v>
      </c>
      <c r="C757" t="s">
        <v>307</v>
      </c>
      <c r="D757" t="str">
        <f>IFERROR(VLOOKUP(C757,APOYO!J:K,2,FALSE),C757)</f>
        <v>BOGOTÁ, D.C.</v>
      </c>
      <c r="E757">
        <v>2014</v>
      </c>
      <c r="F757">
        <v>7612249</v>
      </c>
      <c r="G757">
        <v>3351737</v>
      </c>
      <c r="H757">
        <v>859886</v>
      </c>
      <c r="I757" s="13">
        <v>11972</v>
      </c>
      <c r="J757" s="13" t="s">
        <v>2189</v>
      </c>
      <c r="K757" s="13" t="s">
        <v>2189</v>
      </c>
    </row>
    <row r="758" spans="1:11" hidden="1" x14ac:dyDescent="0.25">
      <c r="A758" t="str">
        <f>_xlfn.XLOOKUP(C758, 'Códigos DANE Municipios'!$B$2:$B$1123, 'Códigos DANE Municipios'!$A$2:$A$1123, "No encontrado")</f>
        <v>25099</v>
      </c>
      <c r="B758" t="str">
        <f>IFERROR(VLOOKUP(D758,APOYO!K:L,2,FALSE),A758)</f>
        <v>25099</v>
      </c>
      <c r="C758" t="s">
        <v>930</v>
      </c>
      <c r="D758" t="str">
        <f>IFERROR(VLOOKUP(C758,APOYO!J:K,2,FALSE),C758)</f>
        <v>BOJACÁ</v>
      </c>
      <c r="E758">
        <v>2014</v>
      </c>
      <c r="F758" t="s">
        <v>2189</v>
      </c>
      <c r="G758" t="s">
        <v>2189</v>
      </c>
      <c r="H758">
        <v>38</v>
      </c>
      <c r="I758" s="13" t="s">
        <v>2189</v>
      </c>
      <c r="J758" s="13" t="s">
        <v>2189</v>
      </c>
      <c r="K758" s="13" t="s">
        <v>2189</v>
      </c>
    </row>
    <row r="759" spans="1:11" hidden="1" x14ac:dyDescent="0.25">
      <c r="A759" t="str">
        <f>_xlfn.XLOOKUP(C759, 'Códigos DANE Municipios'!$B$2:$B$1123, 'Códigos DANE Municipios'!$A$2:$A$1123, "No encontrado")</f>
        <v>19100</v>
      </c>
      <c r="B759" t="str">
        <f>IFERROR(VLOOKUP(D759,APOYO!K:L,2,FALSE),A759)</f>
        <v>19100</v>
      </c>
      <c r="C759" t="s">
        <v>736</v>
      </c>
      <c r="D759" t="str">
        <f>IFERROR(VLOOKUP(C759,APOYO!J:K,2,FALSE),C759)</f>
        <v>BOLÍVAR</v>
      </c>
      <c r="E759">
        <v>2014</v>
      </c>
      <c r="F759" t="s">
        <v>2189</v>
      </c>
      <c r="G759" t="s">
        <v>2189</v>
      </c>
      <c r="H759">
        <v>72</v>
      </c>
      <c r="I759" s="13" t="s">
        <v>2189</v>
      </c>
      <c r="J759" s="13" t="s">
        <v>2189</v>
      </c>
      <c r="K759" s="13" t="s">
        <v>2189</v>
      </c>
    </row>
    <row r="760" spans="1:11" hidden="1" x14ac:dyDescent="0.25">
      <c r="A760" t="str">
        <f>_xlfn.XLOOKUP(C760, 'Códigos DANE Municipios'!$B$2:$B$1123, 'Códigos DANE Municipios'!$A$2:$A$1123, "No encontrado")</f>
        <v>20060</v>
      </c>
      <c r="B760" t="str">
        <f>IFERROR(VLOOKUP(D760,APOYO!K:L,2,FALSE),A760)</f>
        <v>20060</v>
      </c>
      <c r="C760" t="s">
        <v>818</v>
      </c>
      <c r="D760" t="str">
        <f>IFERROR(VLOOKUP(C760,APOYO!J:K,2,FALSE),C760)</f>
        <v>BOSCONIA</v>
      </c>
      <c r="E760">
        <v>2014</v>
      </c>
      <c r="F760" t="s">
        <v>2189</v>
      </c>
      <c r="G760" t="s">
        <v>2189</v>
      </c>
      <c r="H760">
        <v>5</v>
      </c>
      <c r="I760" s="13" t="s">
        <v>2189</v>
      </c>
      <c r="J760" s="13" t="s">
        <v>2189</v>
      </c>
      <c r="K760" s="13" t="s">
        <v>2189</v>
      </c>
    </row>
    <row r="761" spans="1:11" hidden="1" x14ac:dyDescent="0.25">
      <c r="A761" t="str">
        <f>_xlfn.XLOOKUP(C761, 'Códigos DANE Municipios'!$B$2:$B$1123, 'Códigos DANE Municipios'!$A$2:$A$1123, "No encontrado")</f>
        <v>15104</v>
      </c>
      <c r="B761" t="str">
        <f>IFERROR(VLOOKUP(D761,APOYO!K:L,2,FALSE),A761)</f>
        <v>15104</v>
      </c>
      <c r="C761" t="s">
        <v>417</v>
      </c>
      <c r="D761" t="str">
        <f>IFERROR(VLOOKUP(C761,APOYO!J:K,2,FALSE),C761)</f>
        <v>BOYACÁ</v>
      </c>
      <c r="E761">
        <v>2014</v>
      </c>
      <c r="F761" t="s">
        <v>2189</v>
      </c>
      <c r="G761" t="s">
        <v>2189</v>
      </c>
      <c r="H761">
        <v>27</v>
      </c>
      <c r="I761" s="13" t="s">
        <v>2189</v>
      </c>
      <c r="J761" s="13" t="s">
        <v>2189</v>
      </c>
      <c r="K761" s="13" t="s">
        <v>2189</v>
      </c>
    </row>
    <row r="762" spans="1:11" hidden="1" x14ac:dyDescent="0.25">
      <c r="A762" t="s">
        <v>55</v>
      </c>
      <c r="B762" t="str">
        <f>IFERROR(VLOOKUP(D762,APOYO!K:L,2,FALSE),A762)</f>
        <v>05107</v>
      </c>
      <c r="C762" t="s">
        <v>2513</v>
      </c>
      <c r="D762" t="str">
        <f>IFERROR(VLOOKUP(C762,APOYO!J:K,2,FALSE),C762)</f>
        <v>BRICEÑO ANTIOQUÍA</v>
      </c>
      <c r="E762">
        <v>2014</v>
      </c>
      <c r="F762" t="s">
        <v>2189</v>
      </c>
      <c r="G762" t="s">
        <v>2189</v>
      </c>
      <c r="H762">
        <v>11</v>
      </c>
      <c r="I762" s="13" t="s">
        <v>2189</v>
      </c>
      <c r="J762" s="13" t="s">
        <v>2189</v>
      </c>
      <c r="K762" s="13" t="s">
        <v>2189</v>
      </c>
    </row>
    <row r="763" spans="1:11" hidden="1" x14ac:dyDescent="0.25">
      <c r="A763" t="str">
        <f>_xlfn.XLOOKUP(C763, 'Códigos DANE Municipios'!$B$2:$B$1123, 'Códigos DANE Municipios'!$A$2:$A$1123, "No encontrado")</f>
        <v>05107</v>
      </c>
      <c r="B763" t="str">
        <f>IFERROR(VLOOKUP(D763,APOYO!K:L,2,FALSE),A763)</f>
        <v>05107</v>
      </c>
      <c r="C763" t="s">
        <v>56</v>
      </c>
      <c r="D763" t="str">
        <f>IFERROR(VLOOKUP(C763,APOYO!J:K,2,FALSE),C763)</f>
        <v>BRICEÑO</v>
      </c>
      <c r="E763">
        <v>2014</v>
      </c>
      <c r="F763" t="s">
        <v>2189</v>
      </c>
      <c r="G763" t="s">
        <v>2189</v>
      </c>
      <c r="H763">
        <v>7</v>
      </c>
      <c r="I763" s="13" t="s">
        <v>2189</v>
      </c>
      <c r="J763" s="13" t="s">
        <v>2189</v>
      </c>
      <c r="K763" s="13" t="s">
        <v>2189</v>
      </c>
    </row>
    <row r="764" spans="1:11" hidden="1" x14ac:dyDescent="0.25">
      <c r="A764" t="str">
        <f>_xlfn.XLOOKUP(C764, 'Códigos DANE Municipios'!$B$2:$B$1123, 'Códigos DANE Municipios'!$A$2:$A$1123, "No encontrado")</f>
        <v>68001</v>
      </c>
      <c r="B764" t="str">
        <f>IFERROR(VLOOKUP(D764,APOYO!K:L,2,FALSE),A764)</f>
        <v>68001</v>
      </c>
      <c r="C764" t="s">
        <v>1655</v>
      </c>
      <c r="D764" t="str">
        <f>IFERROR(VLOOKUP(C764,APOYO!J:K,2,FALSE),C764)</f>
        <v>BUCARAMANGA</v>
      </c>
      <c r="E764">
        <v>2014</v>
      </c>
      <c r="F764">
        <v>808343</v>
      </c>
      <c r="G764">
        <v>41715</v>
      </c>
      <c r="H764">
        <v>12051</v>
      </c>
      <c r="I764" t="s">
        <v>2189</v>
      </c>
      <c r="J764" s="13" t="s">
        <v>2189</v>
      </c>
      <c r="K764" s="13" t="s">
        <v>2189</v>
      </c>
    </row>
    <row r="765" spans="1:11" hidden="1" x14ac:dyDescent="0.25">
      <c r="A765" t="str">
        <f>_xlfn.XLOOKUP(C765, 'Códigos DANE Municipios'!$B$2:$B$1123, 'Códigos DANE Municipios'!$A$2:$A$1123, "No encontrado")</f>
        <v>76109</v>
      </c>
      <c r="B765" t="str">
        <f>IFERROR(VLOOKUP(D765,APOYO!K:L,2,FALSE),A765)</f>
        <v>76109</v>
      </c>
      <c r="C765" t="s">
        <v>1967</v>
      </c>
      <c r="D765" t="str">
        <f>IFERROR(VLOOKUP(C765,APOYO!J:K,2,FALSE),C765)</f>
        <v>BUENAVENTURA</v>
      </c>
      <c r="E765">
        <v>2014</v>
      </c>
      <c r="F765">
        <v>6025</v>
      </c>
      <c r="G765" t="s">
        <v>2189</v>
      </c>
      <c r="H765">
        <v>1273</v>
      </c>
      <c r="I765" s="13">
        <v>364</v>
      </c>
      <c r="J765" s="13" t="s">
        <v>2189</v>
      </c>
      <c r="K765" s="13" t="s">
        <v>2189</v>
      </c>
    </row>
    <row r="766" spans="1:11" hidden="1" x14ac:dyDescent="0.25">
      <c r="A766" t="str">
        <f>_xlfn.XLOOKUP(C766, 'Códigos DANE Municipios'!$B$2:$B$1123, 'Códigos DANE Municipios'!$A$2:$A$1123, "No encontrado")</f>
        <v>15109</v>
      </c>
      <c r="B766" t="str">
        <f>IFERROR(VLOOKUP(D766,APOYO!K:L,2,FALSE),A766)</f>
        <v>15109</v>
      </c>
      <c r="C766" t="s">
        <v>420</v>
      </c>
      <c r="D766" t="str">
        <f>IFERROR(VLOOKUP(C766,APOYO!J:K,2,FALSE),C766)</f>
        <v>BUENAVISTA</v>
      </c>
      <c r="E766">
        <v>2014</v>
      </c>
      <c r="F766" t="s">
        <v>2189</v>
      </c>
      <c r="G766" t="s">
        <v>2189</v>
      </c>
      <c r="H766">
        <v>15</v>
      </c>
      <c r="I766" s="13" t="s">
        <v>2189</v>
      </c>
      <c r="J766" s="13" t="s">
        <v>2189</v>
      </c>
      <c r="K766" s="13" t="s">
        <v>2189</v>
      </c>
    </row>
    <row r="767" spans="1:11" hidden="1" x14ac:dyDescent="0.25">
      <c r="A767" t="str">
        <f>_xlfn.XLOOKUP(C767, 'Códigos DANE Municipios'!$B$2:$B$1123, 'Códigos DANE Municipios'!$A$2:$A$1123, "No encontrado")</f>
        <v>52110</v>
      </c>
      <c r="B767" t="str">
        <f>IFERROR(VLOOKUP(D767,APOYO!K:L,2,FALSE),A767)</f>
        <v>52110</v>
      </c>
      <c r="C767" t="s">
        <v>1424</v>
      </c>
      <c r="D767" t="str">
        <f>IFERROR(VLOOKUP(C767,APOYO!J:K,2,FALSE),C767)</f>
        <v>BUESACO</v>
      </c>
      <c r="E767">
        <v>2014</v>
      </c>
      <c r="F767" t="s">
        <v>2189</v>
      </c>
      <c r="G767" t="s">
        <v>2189</v>
      </c>
      <c r="H767">
        <v>1</v>
      </c>
      <c r="I767" s="13" t="s">
        <v>2189</v>
      </c>
      <c r="J767" s="13" t="s">
        <v>2189</v>
      </c>
      <c r="K767" s="13" t="s">
        <v>2189</v>
      </c>
    </row>
    <row r="768" spans="1:11" hidden="1" x14ac:dyDescent="0.25">
      <c r="A768" t="str">
        <f>_xlfn.XLOOKUP(C768, 'Códigos DANE Municipios'!$B$2:$B$1123, 'Códigos DANE Municipios'!$A$2:$A$1123, "No encontrado")</f>
        <v>76111</v>
      </c>
      <c r="B768" t="str">
        <f>IFERROR(VLOOKUP(D768,APOYO!K:L,2,FALSE),A768)</f>
        <v>76111</v>
      </c>
      <c r="C768" t="s">
        <v>1969</v>
      </c>
      <c r="D768" t="str">
        <f>IFERROR(VLOOKUP(C768,APOYO!J:K,2,FALSE),C768)</f>
        <v>GUADALAJARA DE BUGA</v>
      </c>
      <c r="E768">
        <v>2014</v>
      </c>
      <c r="F768">
        <v>25</v>
      </c>
      <c r="G768" t="s">
        <v>2189</v>
      </c>
      <c r="H768">
        <v>273</v>
      </c>
      <c r="I768" s="13" t="s">
        <v>2189</v>
      </c>
      <c r="J768" s="13" t="s">
        <v>2189</v>
      </c>
      <c r="K768" s="13" t="s">
        <v>2189</v>
      </c>
    </row>
    <row r="769" spans="1:11" hidden="1" x14ac:dyDescent="0.25">
      <c r="A769" t="str">
        <f>_xlfn.XLOOKUP(C769, 'Códigos DANE Municipios'!$B$2:$B$1123, 'Códigos DANE Municipios'!$A$2:$A$1123, "No encontrado")</f>
        <v>76113</v>
      </c>
      <c r="B769" t="str">
        <f>IFERROR(VLOOKUP(D769,APOYO!K:L,2,FALSE),A769)</f>
        <v>76113</v>
      </c>
      <c r="C769" t="s">
        <v>1971</v>
      </c>
      <c r="D769" t="str">
        <f>IFERROR(VLOOKUP(C769,APOYO!J:K,2,FALSE),C769)</f>
        <v>BUGALAGRANDE</v>
      </c>
      <c r="E769">
        <v>2014</v>
      </c>
      <c r="F769" t="s">
        <v>2189</v>
      </c>
      <c r="G769" t="s">
        <v>2189</v>
      </c>
      <c r="H769">
        <v>807</v>
      </c>
      <c r="I769" s="13" t="s">
        <v>2189</v>
      </c>
      <c r="J769" s="13" t="s">
        <v>2189</v>
      </c>
      <c r="K769" s="13" t="s">
        <v>2189</v>
      </c>
    </row>
    <row r="770" spans="1:11" hidden="1" x14ac:dyDescent="0.25">
      <c r="A770" t="str">
        <f>_xlfn.XLOOKUP(C770, 'Códigos DANE Municipios'!$B$2:$B$1123, 'Códigos DANE Municipios'!$A$2:$A$1123, "No encontrado")</f>
        <v>05113</v>
      </c>
      <c r="B770" t="str">
        <f>IFERROR(VLOOKUP(D770,APOYO!K:L,2,FALSE),A770)</f>
        <v>05113</v>
      </c>
      <c r="C770" t="s">
        <v>58</v>
      </c>
      <c r="D770" t="str">
        <f>IFERROR(VLOOKUP(C770,APOYO!J:K,2,FALSE),C770)</f>
        <v>BURITICÁ</v>
      </c>
      <c r="E770">
        <v>2014</v>
      </c>
      <c r="F770" t="s">
        <v>2189</v>
      </c>
      <c r="G770" t="s">
        <v>2189</v>
      </c>
      <c r="H770">
        <v>6</v>
      </c>
      <c r="I770" s="13" t="s">
        <v>2189</v>
      </c>
      <c r="J770" s="13" t="s">
        <v>2189</v>
      </c>
      <c r="K770" s="13" t="s">
        <v>2189</v>
      </c>
    </row>
    <row r="771" spans="1:11" hidden="1" x14ac:dyDescent="0.25">
      <c r="A771" t="str">
        <f>_xlfn.XLOOKUP(C771, 'Códigos DANE Municipios'!$B$2:$B$1123, 'Códigos DANE Municipios'!$A$2:$A$1123, "No encontrado")</f>
        <v>25120</v>
      </c>
      <c r="B771" t="str">
        <f>IFERROR(VLOOKUP(D771,APOYO!K:L,2,FALSE),A771)</f>
        <v>25120</v>
      </c>
      <c r="C771" t="s">
        <v>932</v>
      </c>
      <c r="D771" t="str">
        <f>IFERROR(VLOOKUP(C771,APOYO!J:K,2,FALSE),C771)</f>
        <v>CABRERA</v>
      </c>
      <c r="E771">
        <v>2014</v>
      </c>
      <c r="F771" t="s">
        <v>2189</v>
      </c>
      <c r="G771" t="s">
        <v>2189</v>
      </c>
      <c r="H771">
        <v>6</v>
      </c>
      <c r="I771" s="13" t="s">
        <v>2189</v>
      </c>
      <c r="J771" s="13" t="s">
        <v>2189</v>
      </c>
      <c r="K771" s="13" t="s">
        <v>2189</v>
      </c>
    </row>
    <row r="772" spans="1:11" hidden="1" x14ac:dyDescent="0.25">
      <c r="A772" t="str">
        <f>_xlfn.XLOOKUP(C772, 'Códigos DANE Municipios'!$B$2:$B$1123, 'Códigos DANE Municipios'!$A$2:$A$1123, "No encontrado")</f>
        <v>50124</v>
      </c>
      <c r="B772" t="str">
        <f>IFERROR(VLOOKUP(D772,APOYO!K:L,2,FALSE),A772)</f>
        <v>50124</v>
      </c>
      <c r="C772" t="s">
        <v>1364</v>
      </c>
      <c r="D772" t="str">
        <f>IFERROR(VLOOKUP(C772,APOYO!J:K,2,FALSE),C772)</f>
        <v>CABUYARO</v>
      </c>
      <c r="E772">
        <v>2014</v>
      </c>
      <c r="F772">
        <v>12</v>
      </c>
      <c r="G772" t="s">
        <v>2189</v>
      </c>
      <c r="H772" t="s">
        <v>2189</v>
      </c>
      <c r="I772" s="13" t="s">
        <v>2189</v>
      </c>
      <c r="J772" s="13" t="s">
        <v>2189</v>
      </c>
      <c r="K772" s="13" t="s">
        <v>2189</v>
      </c>
    </row>
    <row r="773" spans="1:11" hidden="1" x14ac:dyDescent="0.25">
      <c r="A773" t="str">
        <f>_xlfn.XLOOKUP(C773, 'Códigos DANE Municipios'!$B$2:$B$1123, 'Códigos DANE Municipios'!$A$2:$A$1123, "No encontrado")</f>
        <v>05120</v>
      </c>
      <c r="B773" t="str">
        <f>IFERROR(VLOOKUP(D773,APOYO!K:L,2,FALSE),A773)</f>
        <v>05120</v>
      </c>
      <c r="C773" t="s">
        <v>60</v>
      </c>
      <c r="D773" t="str">
        <f>IFERROR(VLOOKUP(C773,APOYO!J:K,2,FALSE),C773)</f>
        <v>CÁCERES</v>
      </c>
      <c r="E773">
        <v>2014</v>
      </c>
      <c r="F773" t="s">
        <v>2189</v>
      </c>
      <c r="G773" t="s">
        <v>2189</v>
      </c>
      <c r="H773">
        <v>7</v>
      </c>
      <c r="I773" s="13" t="s">
        <v>2189</v>
      </c>
      <c r="J773" s="13" t="s">
        <v>2189</v>
      </c>
      <c r="K773" s="13" t="s">
        <v>2189</v>
      </c>
    </row>
    <row r="774" spans="1:11" hidden="1" x14ac:dyDescent="0.25">
      <c r="A774" t="str">
        <f>_xlfn.XLOOKUP(C774, 'Códigos DANE Municipios'!$B$2:$B$1123, 'Códigos DANE Municipios'!$A$2:$A$1123, "No encontrado")</f>
        <v>25123</v>
      </c>
      <c r="B774" t="str">
        <f>IFERROR(VLOOKUP(D774,APOYO!K:L,2,FALSE),A774)</f>
        <v>25123</v>
      </c>
      <c r="C774" t="s">
        <v>934</v>
      </c>
      <c r="D774" t="str">
        <f>IFERROR(VLOOKUP(C774,APOYO!J:K,2,FALSE),C774)</f>
        <v>CACHIPAY</v>
      </c>
      <c r="E774">
        <v>2014</v>
      </c>
      <c r="F774" t="s">
        <v>2189</v>
      </c>
      <c r="G774" t="s">
        <v>2189</v>
      </c>
      <c r="H774">
        <v>12</v>
      </c>
      <c r="I774" s="13" t="s">
        <v>2189</v>
      </c>
      <c r="J774" s="13" t="s">
        <v>2189</v>
      </c>
      <c r="K774" s="13" t="s">
        <v>2189</v>
      </c>
    </row>
    <row r="775" spans="1:11" hidden="1" x14ac:dyDescent="0.25">
      <c r="A775" t="str">
        <f>_xlfn.XLOOKUP(C775, 'Códigos DANE Municipios'!$B$2:$B$1123, 'Códigos DANE Municipios'!$A$2:$A$1123, "No encontrado")</f>
        <v>68298</v>
      </c>
      <c r="B775" t="str">
        <f>IFERROR(VLOOKUP(D775,APOYO!K:L,2,FALSE),A775)</f>
        <v>68298</v>
      </c>
      <c r="C775" t="s">
        <v>1716</v>
      </c>
      <c r="D775" t="str">
        <f>IFERROR(VLOOKUP(C775,APOYO!J:K,2,FALSE),C775)</f>
        <v>GÁMBITA</v>
      </c>
      <c r="E775">
        <v>2014</v>
      </c>
      <c r="F775" t="s">
        <v>2189</v>
      </c>
      <c r="G775" t="s">
        <v>2189</v>
      </c>
      <c r="H775">
        <v>8</v>
      </c>
      <c r="I775" s="13" t="s">
        <v>2189</v>
      </c>
      <c r="J775" s="13" t="s">
        <v>2189</v>
      </c>
      <c r="K775" s="13" t="s">
        <v>2189</v>
      </c>
    </row>
    <row r="776" spans="1:11" hidden="1" x14ac:dyDescent="0.25">
      <c r="A776" t="str">
        <f>_xlfn.XLOOKUP(C776, 'Códigos DANE Municipios'!$B$2:$B$1123, 'Códigos DANE Municipios'!$A$2:$A$1123, "No encontrado")</f>
        <v>54125</v>
      </c>
      <c r="B776" t="str">
        <f>IFERROR(VLOOKUP(D776,APOYO!K:L,2,FALSE),A776)</f>
        <v>54125</v>
      </c>
      <c r="C776" t="s">
        <v>1539</v>
      </c>
      <c r="D776" t="str">
        <f>IFERROR(VLOOKUP(C776,APOYO!J:K,2,FALSE),C776)</f>
        <v>CÁCOTA</v>
      </c>
      <c r="E776">
        <v>2014</v>
      </c>
      <c r="F776" t="s">
        <v>2189</v>
      </c>
      <c r="G776" t="s">
        <v>2189</v>
      </c>
      <c r="H776">
        <v>5</v>
      </c>
      <c r="I776" s="13" t="s">
        <v>2189</v>
      </c>
      <c r="J776" s="13" t="s">
        <v>2189</v>
      </c>
      <c r="K776" s="13" t="s">
        <v>2189</v>
      </c>
    </row>
    <row r="777" spans="1:11" hidden="1" x14ac:dyDescent="0.25">
      <c r="A777" t="str">
        <f>_xlfn.XLOOKUP(C777, 'Códigos DANE Municipios'!$B$2:$B$1123, 'Códigos DANE Municipios'!$A$2:$A$1123, "No encontrado")</f>
        <v>05125</v>
      </c>
      <c r="B777" t="str">
        <f>IFERROR(VLOOKUP(D777,APOYO!K:L,2,FALSE),A777)</f>
        <v>05125</v>
      </c>
      <c r="C777" t="s">
        <v>62</v>
      </c>
      <c r="D777" t="str">
        <f>IFERROR(VLOOKUP(C777,APOYO!J:K,2,FALSE),C777)</f>
        <v>CAICEDO</v>
      </c>
      <c r="E777">
        <v>2014</v>
      </c>
      <c r="F777" t="s">
        <v>2189</v>
      </c>
      <c r="G777" t="s">
        <v>2189</v>
      </c>
      <c r="H777">
        <v>10</v>
      </c>
      <c r="I777" s="13" t="s">
        <v>2189</v>
      </c>
      <c r="J777" s="13" t="s">
        <v>2189</v>
      </c>
      <c r="K777" s="13" t="s">
        <v>2189</v>
      </c>
    </row>
    <row r="778" spans="1:11" hidden="1" x14ac:dyDescent="0.25">
      <c r="A778" t="str">
        <f>_xlfn.XLOOKUP(C778, 'Códigos DANE Municipios'!$B$2:$B$1123, 'Códigos DANE Municipios'!$A$2:$A$1123, "No encontrado")</f>
        <v>76122</v>
      </c>
      <c r="B778" t="str">
        <f>IFERROR(VLOOKUP(D778,APOYO!K:L,2,FALSE),A778)</f>
        <v>76122</v>
      </c>
      <c r="C778" t="s">
        <v>1973</v>
      </c>
      <c r="D778" t="str">
        <f>IFERROR(VLOOKUP(C778,APOYO!J:K,2,FALSE),C778)</f>
        <v>CAICEDONIA</v>
      </c>
      <c r="E778">
        <v>2014</v>
      </c>
      <c r="F778" t="s">
        <v>2189</v>
      </c>
      <c r="G778" t="s">
        <v>2189</v>
      </c>
      <c r="H778">
        <v>269</v>
      </c>
      <c r="I778" s="13" t="s">
        <v>2189</v>
      </c>
      <c r="J778" s="13" t="s">
        <v>2189</v>
      </c>
      <c r="K778" s="13" t="s">
        <v>2189</v>
      </c>
    </row>
    <row r="779" spans="1:11" hidden="1" x14ac:dyDescent="0.25">
      <c r="A779" t="str">
        <f>_xlfn.XLOOKUP(C779, 'Códigos DANE Municipios'!$B$2:$B$1123, 'Códigos DANE Municipios'!$A$2:$A$1123, "No encontrado")</f>
        <v>73124</v>
      </c>
      <c r="B779" t="str">
        <f>IFERROR(VLOOKUP(D779,APOYO!K:L,2,FALSE),A779)</f>
        <v>73124</v>
      </c>
      <c r="C779" t="s">
        <v>1879</v>
      </c>
      <c r="D779" t="str">
        <f>IFERROR(VLOOKUP(C779,APOYO!J:K,2,FALSE),C779)</f>
        <v>CAJAMARCA</v>
      </c>
      <c r="E779">
        <v>2014</v>
      </c>
      <c r="F779" t="s">
        <v>2189</v>
      </c>
      <c r="G779" t="s">
        <v>2189</v>
      </c>
      <c r="H779">
        <v>12</v>
      </c>
      <c r="I779" s="13" t="s">
        <v>2189</v>
      </c>
      <c r="J779" s="13" t="s">
        <v>2189</v>
      </c>
      <c r="K779" s="13" t="s">
        <v>2189</v>
      </c>
    </row>
    <row r="780" spans="1:11" hidden="1" x14ac:dyDescent="0.25">
      <c r="A780" t="str">
        <f>_xlfn.XLOOKUP(C780, 'Códigos DANE Municipios'!$B$2:$B$1123, 'Códigos DANE Municipios'!$A$2:$A$1123, "No encontrado")</f>
        <v>19130</v>
      </c>
      <c r="B780" t="str">
        <f>IFERROR(VLOOKUP(D780,APOYO!K:L,2,FALSE),A780)</f>
        <v>19130</v>
      </c>
      <c r="C780" t="s">
        <v>740</v>
      </c>
      <c r="D780" t="str">
        <f>IFERROR(VLOOKUP(C780,APOYO!J:K,2,FALSE),C780)</f>
        <v>CAJIBÍO</v>
      </c>
      <c r="E780">
        <v>2014</v>
      </c>
      <c r="F780" t="s">
        <v>2189</v>
      </c>
      <c r="G780" t="s">
        <v>2189</v>
      </c>
      <c r="H780">
        <v>9</v>
      </c>
      <c r="I780" s="13" t="s">
        <v>2189</v>
      </c>
      <c r="J780" s="13" t="s">
        <v>2189</v>
      </c>
      <c r="K780" s="13" t="s">
        <v>2189</v>
      </c>
    </row>
    <row r="781" spans="1:11" hidden="1" x14ac:dyDescent="0.25">
      <c r="A781" t="str">
        <f>_xlfn.XLOOKUP(C781, 'Códigos DANE Municipios'!$B$2:$B$1123, 'Códigos DANE Municipios'!$A$2:$A$1123, "No encontrado")</f>
        <v>25126</v>
      </c>
      <c r="B781" t="str">
        <f>IFERROR(VLOOKUP(D781,APOYO!K:L,2,FALSE),A781)</f>
        <v>25126</v>
      </c>
      <c r="C781" t="s">
        <v>936</v>
      </c>
      <c r="D781" t="str">
        <f>IFERROR(VLOOKUP(C781,APOYO!J:K,2,FALSE),C781)</f>
        <v>CAJICÁ</v>
      </c>
      <c r="E781">
        <v>2014</v>
      </c>
      <c r="F781" t="s">
        <v>2189</v>
      </c>
      <c r="G781" t="s">
        <v>2189</v>
      </c>
      <c r="H781">
        <v>398</v>
      </c>
      <c r="I781" s="13" t="s">
        <v>2189</v>
      </c>
      <c r="J781" s="13" t="s">
        <v>2189</v>
      </c>
      <c r="K781" s="13" t="s">
        <v>2189</v>
      </c>
    </row>
    <row r="782" spans="1:11" hidden="1" x14ac:dyDescent="0.25">
      <c r="A782" t="str">
        <f>_xlfn.XLOOKUP(C782, 'Códigos DANE Municipios'!$B$2:$B$1123, 'Códigos DANE Municipios'!$A$2:$A$1123, "No encontrado")</f>
        <v>13140</v>
      </c>
      <c r="B782" t="str">
        <f>IFERROR(VLOOKUP(D782,APOYO!K:L,2,FALSE),A782)</f>
        <v>13140</v>
      </c>
      <c r="C782" t="s">
        <v>323</v>
      </c>
      <c r="D782" t="str">
        <f>IFERROR(VLOOKUP(C782,APOYO!J:K,2,FALSE),C782)</f>
        <v>CALAMAR</v>
      </c>
      <c r="E782">
        <v>2014</v>
      </c>
      <c r="F782" t="s">
        <v>2189</v>
      </c>
      <c r="G782" t="s">
        <v>2189</v>
      </c>
      <c r="H782">
        <v>1</v>
      </c>
      <c r="I782" s="13" t="s">
        <v>2189</v>
      </c>
      <c r="J782" s="13" t="s">
        <v>2189</v>
      </c>
      <c r="K782" s="13" t="s">
        <v>2189</v>
      </c>
    </row>
    <row r="783" spans="1:11" hidden="1" x14ac:dyDescent="0.25">
      <c r="A783" t="str">
        <f>_xlfn.XLOOKUP(C783, 'Códigos DANE Municipios'!$B$2:$B$1123, 'Códigos DANE Municipios'!$A$2:$A$1123, "No encontrado")</f>
        <v>63130</v>
      </c>
      <c r="B783" t="str">
        <f>IFERROR(VLOOKUP(D783,APOYO!K:L,2,FALSE),A783)</f>
        <v>63130</v>
      </c>
      <c r="C783" t="s">
        <v>1609</v>
      </c>
      <c r="D783" t="str">
        <f>IFERROR(VLOOKUP(C783,APOYO!J:K,2,FALSE),C783)</f>
        <v>CALARCÁ</v>
      </c>
      <c r="E783">
        <v>2014</v>
      </c>
      <c r="F783" t="s">
        <v>2189</v>
      </c>
      <c r="G783" t="s">
        <v>2189</v>
      </c>
      <c r="H783">
        <v>307</v>
      </c>
      <c r="I783" s="13" t="s">
        <v>2189</v>
      </c>
      <c r="J783" s="13" t="s">
        <v>2189</v>
      </c>
      <c r="K783" s="13" t="s">
        <v>2189</v>
      </c>
    </row>
    <row r="784" spans="1:11" hidden="1" x14ac:dyDescent="0.25">
      <c r="A784" t="str">
        <f>_xlfn.XLOOKUP(C784, 'Códigos DANE Municipios'!$B$2:$B$1123, 'Códigos DANE Municipios'!$A$2:$A$1123, "No encontrado")</f>
        <v>05129</v>
      </c>
      <c r="B784" t="str">
        <f>IFERROR(VLOOKUP(D784,APOYO!K:L,2,FALSE),A784)</f>
        <v>05129</v>
      </c>
      <c r="C784" t="s">
        <v>64</v>
      </c>
      <c r="D784" t="str">
        <f>IFERROR(VLOOKUP(C784,APOYO!J:K,2,FALSE),C784)</f>
        <v>CALDAS</v>
      </c>
      <c r="E784">
        <v>2014</v>
      </c>
      <c r="F784" t="s">
        <v>2189</v>
      </c>
      <c r="G784" t="s">
        <v>2189</v>
      </c>
      <c r="H784">
        <v>80</v>
      </c>
      <c r="I784" s="13" t="s">
        <v>2189</v>
      </c>
      <c r="J784" s="13" t="s">
        <v>2189</v>
      </c>
      <c r="K784" s="13" t="s">
        <v>2189</v>
      </c>
    </row>
    <row r="785" spans="1:11" hidden="1" x14ac:dyDescent="0.25">
      <c r="A785" t="str">
        <f>_xlfn.XLOOKUP(C785, 'Códigos DANE Municipios'!$B$2:$B$1123, 'Códigos DANE Municipios'!$A$2:$A$1123, "No encontrado")</f>
        <v>19137</v>
      </c>
      <c r="B785" t="str">
        <f>IFERROR(VLOOKUP(D785,APOYO!K:L,2,FALSE),A785)</f>
        <v>19137</v>
      </c>
      <c r="C785" t="s">
        <v>742</v>
      </c>
      <c r="D785" t="str">
        <f>IFERROR(VLOOKUP(C785,APOYO!J:K,2,FALSE),C785)</f>
        <v>CALDONO</v>
      </c>
      <c r="E785">
        <v>2014</v>
      </c>
      <c r="F785" t="s">
        <v>2189</v>
      </c>
      <c r="G785" t="s">
        <v>2189</v>
      </c>
      <c r="H785">
        <v>1</v>
      </c>
      <c r="I785" s="13" t="s">
        <v>2189</v>
      </c>
      <c r="J785" s="13" t="s">
        <v>2189</v>
      </c>
      <c r="K785" s="13" t="s">
        <v>2189</v>
      </c>
    </row>
    <row r="786" spans="1:11" hidden="1" x14ac:dyDescent="0.25">
      <c r="A786" t="str">
        <f>_xlfn.XLOOKUP(C786, 'Códigos DANE Municipios'!$B$2:$B$1123, 'Códigos DANE Municipios'!$A$2:$A$1123, "No encontrado")</f>
        <v>76001</v>
      </c>
      <c r="B786" t="str">
        <f>IFERROR(VLOOKUP(D786,APOYO!K:L,2,FALSE),A786)</f>
        <v>76001</v>
      </c>
      <c r="C786" t="s">
        <v>1957</v>
      </c>
      <c r="D786" t="str">
        <f>IFERROR(VLOOKUP(C786,APOYO!J:K,2,FALSE),C786)</f>
        <v>CALI</v>
      </c>
      <c r="E786">
        <v>2014</v>
      </c>
      <c r="F786">
        <v>1877484</v>
      </c>
      <c r="G786">
        <v>407802</v>
      </c>
      <c r="H786">
        <v>126078</v>
      </c>
      <c r="I786" s="13" t="s">
        <v>2189</v>
      </c>
      <c r="J786" s="13" t="s">
        <v>2189</v>
      </c>
      <c r="K786" s="13" t="s">
        <v>2189</v>
      </c>
    </row>
    <row r="787" spans="1:11" hidden="1" x14ac:dyDescent="0.25">
      <c r="A787" t="str">
        <f>_xlfn.XLOOKUP(C787, 'Códigos DANE Municipios'!$B$2:$B$1123, 'Códigos DANE Municipios'!$A$2:$A$1123, "No encontrado")</f>
        <v>68132</v>
      </c>
      <c r="B787" t="str">
        <f>IFERROR(VLOOKUP(D787,APOYO!K:L,2,FALSE),A787)</f>
        <v>68132</v>
      </c>
      <c r="C787" t="s">
        <v>1670</v>
      </c>
      <c r="D787" t="str">
        <f>IFERROR(VLOOKUP(C787,APOYO!J:K,2,FALSE),C787)</f>
        <v>CALIFORNIA</v>
      </c>
      <c r="E787">
        <v>2014</v>
      </c>
      <c r="F787" t="s">
        <v>2189</v>
      </c>
      <c r="G787" t="s">
        <v>2189</v>
      </c>
      <c r="H787">
        <v>4</v>
      </c>
      <c r="I787" s="13" t="s">
        <v>2189</v>
      </c>
      <c r="J787" s="13" t="s">
        <v>2189</v>
      </c>
      <c r="K787" s="13" t="s">
        <v>2189</v>
      </c>
    </row>
    <row r="788" spans="1:11" hidden="1" x14ac:dyDescent="0.25">
      <c r="A788" t="str">
        <f>_xlfn.XLOOKUP(C788, 'Códigos DANE Municipios'!$B$2:$B$1123, 'Códigos DANE Municipios'!$A$2:$A$1123, "No encontrado")</f>
        <v>76126</v>
      </c>
      <c r="B788" t="str">
        <f>IFERROR(VLOOKUP(D788,APOYO!K:L,2,FALSE),A788)</f>
        <v>76126</v>
      </c>
      <c r="C788" t="s">
        <v>1975</v>
      </c>
      <c r="D788" t="str">
        <f>IFERROR(VLOOKUP(C788,APOYO!J:K,2,FALSE),C788)</f>
        <v>CALIMA</v>
      </c>
      <c r="E788">
        <v>2014</v>
      </c>
      <c r="F788" t="s">
        <v>2189</v>
      </c>
      <c r="G788" t="s">
        <v>2189</v>
      </c>
      <c r="H788">
        <v>82</v>
      </c>
      <c r="I788" s="13" t="s">
        <v>2189</v>
      </c>
      <c r="J788" s="13" t="s">
        <v>2189</v>
      </c>
      <c r="K788" s="13" t="s">
        <v>2189</v>
      </c>
    </row>
    <row r="789" spans="1:11" hidden="1" x14ac:dyDescent="0.25">
      <c r="A789" t="str">
        <f>_xlfn.XLOOKUP(C789, 'Códigos DANE Municipios'!$B$2:$B$1123, 'Códigos DANE Municipios'!$A$2:$A$1123, "No encontrado")</f>
        <v>19142</v>
      </c>
      <c r="B789" t="str">
        <f>IFERROR(VLOOKUP(D789,APOYO!K:L,2,FALSE),A789)</f>
        <v>19142</v>
      </c>
      <c r="C789" t="s">
        <v>744</v>
      </c>
      <c r="D789" t="str">
        <f>IFERROR(VLOOKUP(C789,APOYO!J:K,2,FALSE),C789)</f>
        <v>CALOTO</v>
      </c>
      <c r="E789">
        <v>2014</v>
      </c>
      <c r="F789" t="s">
        <v>2189</v>
      </c>
      <c r="G789" t="s">
        <v>2189</v>
      </c>
      <c r="H789">
        <v>10</v>
      </c>
      <c r="I789" s="13" t="s">
        <v>2189</v>
      </c>
      <c r="J789" s="13" t="s">
        <v>2189</v>
      </c>
      <c r="K789" s="13" t="s">
        <v>2189</v>
      </c>
    </row>
    <row r="790" spans="1:11" hidden="1" x14ac:dyDescent="0.25">
      <c r="A790" t="str">
        <f>_xlfn.XLOOKUP(C790, 'Códigos DANE Municipios'!$B$2:$B$1123, 'Códigos DANE Municipios'!$A$2:$A$1123, "No encontrado")</f>
        <v>41132</v>
      </c>
      <c r="B790" t="str">
        <f>IFERROR(VLOOKUP(D790,APOYO!K:L,2,FALSE),A790)</f>
        <v>41132</v>
      </c>
      <c r="C790" t="s">
        <v>1215</v>
      </c>
      <c r="D790" t="str">
        <f>IFERROR(VLOOKUP(C790,APOYO!J:K,2,FALSE),C790)</f>
        <v>CAMPOALEGRE</v>
      </c>
      <c r="E790">
        <v>2014</v>
      </c>
      <c r="F790" t="s">
        <v>2189</v>
      </c>
      <c r="G790" t="s">
        <v>2189</v>
      </c>
      <c r="H790">
        <v>19</v>
      </c>
      <c r="I790" s="13" t="s">
        <v>2189</v>
      </c>
      <c r="J790" s="13" t="s">
        <v>2189</v>
      </c>
      <c r="K790" s="13" t="s">
        <v>2189</v>
      </c>
    </row>
    <row r="791" spans="1:11" hidden="1" x14ac:dyDescent="0.25">
      <c r="A791" t="str">
        <f>_xlfn.XLOOKUP(C791, 'Códigos DANE Municipios'!$B$2:$B$1123, 'Códigos DANE Municipios'!$A$2:$A$1123, "No encontrado")</f>
        <v>08141</v>
      </c>
      <c r="B791" t="str">
        <f>IFERROR(VLOOKUP(D791,APOYO!K:L,2,FALSE),A791)</f>
        <v>08141</v>
      </c>
      <c r="C791" t="s">
        <v>268</v>
      </c>
      <c r="D791" t="str">
        <f>IFERROR(VLOOKUP(C791,APOYO!J:K,2,FALSE),C791)</f>
        <v>CANDELARIA</v>
      </c>
      <c r="E791">
        <v>2014</v>
      </c>
      <c r="F791" t="s">
        <v>2189</v>
      </c>
      <c r="G791" t="s">
        <v>2189</v>
      </c>
      <c r="H791">
        <v>93</v>
      </c>
      <c r="I791" s="13" t="s">
        <v>2189</v>
      </c>
      <c r="J791" s="13" t="s">
        <v>2189</v>
      </c>
      <c r="K791" s="13" t="s">
        <v>2189</v>
      </c>
    </row>
    <row r="792" spans="1:11" hidden="1" x14ac:dyDescent="0.25">
      <c r="A792" t="str">
        <f>_xlfn.XLOOKUP(C792, 'Códigos DANE Municipios'!$B$2:$B$1123, 'Códigos DANE Municipios'!$A$2:$A$1123, "No encontrado")</f>
        <v>13160</v>
      </c>
      <c r="B792" t="str">
        <f>IFERROR(VLOOKUP(D792,APOYO!K:L,2,FALSE),A792)</f>
        <v>13160</v>
      </c>
      <c r="C792" t="s">
        <v>325</v>
      </c>
      <c r="D792" t="str">
        <f>IFERROR(VLOOKUP(C792,APOYO!J:K,2,FALSE),C792)</f>
        <v>CANTAGALLO</v>
      </c>
      <c r="E792">
        <v>2014</v>
      </c>
      <c r="F792" t="s">
        <v>2189</v>
      </c>
      <c r="G792" t="s">
        <v>2189</v>
      </c>
      <c r="H792">
        <v>35</v>
      </c>
      <c r="I792" s="13" t="s">
        <v>2189</v>
      </c>
      <c r="J792" s="13" t="s">
        <v>2189</v>
      </c>
      <c r="K792" s="13" t="s">
        <v>2189</v>
      </c>
    </row>
    <row r="793" spans="1:11" hidden="1" x14ac:dyDescent="0.25">
      <c r="A793" t="str">
        <f>_xlfn.XLOOKUP(C793, 'Códigos DANE Municipios'!$B$2:$B$1123, 'Códigos DANE Municipios'!$A$2:$A$1123, "No encontrado")</f>
        <v>05138</v>
      </c>
      <c r="B793" t="str">
        <f>IFERROR(VLOOKUP(D793,APOYO!K:L,2,FALSE),A793)</f>
        <v>05138</v>
      </c>
      <c r="C793" t="s">
        <v>68</v>
      </c>
      <c r="D793" t="str">
        <f>IFERROR(VLOOKUP(C793,APOYO!J:K,2,FALSE),C793)</f>
        <v>CAÑASGORDAS</v>
      </c>
      <c r="E793">
        <v>2014</v>
      </c>
      <c r="F793" t="s">
        <v>2189</v>
      </c>
      <c r="G793" t="s">
        <v>2189</v>
      </c>
      <c r="H793">
        <v>4</v>
      </c>
      <c r="I793" s="13" t="s">
        <v>2189</v>
      </c>
      <c r="J793" s="13" t="s">
        <v>2189</v>
      </c>
      <c r="K793" s="13" t="s">
        <v>2189</v>
      </c>
    </row>
    <row r="794" spans="1:11" hidden="1" x14ac:dyDescent="0.25">
      <c r="A794" t="str">
        <f>_xlfn.XLOOKUP(C794, 'Códigos DANE Municipios'!$B$2:$B$1123, 'Códigos DANE Municipios'!$A$2:$A$1123, "No encontrado")</f>
        <v>25148</v>
      </c>
      <c r="B794" t="str">
        <f>IFERROR(VLOOKUP(D794,APOYO!K:L,2,FALSE),A794)</f>
        <v>25148</v>
      </c>
      <c r="C794" t="s">
        <v>938</v>
      </c>
      <c r="D794" t="str">
        <f>IFERROR(VLOOKUP(C794,APOYO!J:K,2,FALSE),C794)</f>
        <v>CAPARRAPÍ</v>
      </c>
      <c r="E794">
        <v>2014</v>
      </c>
      <c r="F794" t="s">
        <v>2189</v>
      </c>
      <c r="G794" t="s">
        <v>2189</v>
      </c>
      <c r="H794">
        <v>1</v>
      </c>
      <c r="I794" s="13" t="s">
        <v>2189</v>
      </c>
      <c r="J794" s="13" t="s">
        <v>2189</v>
      </c>
      <c r="K794" s="13" t="s">
        <v>2189</v>
      </c>
    </row>
    <row r="795" spans="1:11" hidden="1" x14ac:dyDescent="0.25">
      <c r="A795" t="str">
        <f>_xlfn.XLOOKUP(C795, 'Códigos DANE Municipios'!$B$2:$B$1123, 'Códigos DANE Municipios'!$A$2:$A$1123, "No encontrado")</f>
        <v>68147</v>
      </c>
      <c r="B795" t="str">
        <f>IFERROR(VLOOKUP(D795,APOYO!K:L,2,FALSE),A795)</f>
        <v>68147</v>
      </c>
      <c r="C795" t="s">
        <v>1672</v>
      </c>
      <c r="D795" t="str">
        <f>IFERROR(VLOOKUP(C795,APOYO!J:K,2,FALSE),C795)</f>
        <v>CAPITANEJO</v>
      </c>
      <c r="E795">
        <v>2014</v>
      </c>
      <c r="F795" t="s">
        <v>2189</v>
      </c>
      <c r="G795" t="s">
        <v>2189</v>
      </c>
      <c r="H795" t="s">
        <v>2189</v>
      </c>
      <c r="I795" s="13" t="s">
        <v>2189</v>
      </c>
      <c r="J795" s="13" t="s">
        <v>2189</v>
      </c>
      <c r="K795" s="13" t="s">
        <v>2189</v>
      </c>
    </row>
    <row r="796" spans="1:11" hidden="1" x14ac:dyDescent="0.25">
      <c r="A796" t="str">
        <f>_xlfn.XLOOKUP(C796, 'Códigos DANE Municipios'!$B$2:$B$1123, 'Códigos DANE Municipios'!$A$2:$A$1123, "No encontrado")</f>
        <v>25151</v>
      </c>
      <c r="B796" t="str">
        <f>IFERROR(VLOOKUP(D796,APOYO!K:L,2,FALSE),A796)</f>
        <v>25151</v>
      </c>
      <c r="C796" t="s">
        <v>940</v>
      </c>
      <c r="D796" t="str">
        <f>IFERROR(VLOOKUP(C796,APOYO!J:K,2,FALSE),C796)</f>
        <v>CÁQUEZA</v>
      </c>
      <c r="E796">
        <v>2014</v>
      </c>
      <c r="F796" t="s">
        <v>2189</v>
      </c>
      <c r="G796" t="s">
        <v>2189</v>
      </c>
      <c r="H796">
        <v>7</v>
      </c>
      <c r="I796" s="13" t="s">
        <v>2189</v>
      </c>
      <c r="J796" s="13" t="s">
        <v>2189</v>
      </c>
      <c r="K796" s="13" t="s">
        <v>2189</v>
      </c>
    </row>
    <row r="797" spans="1:11" hidden="1" x14ac:dyDescent="0.25">
      <c r="A797" t="str">
        <f>_xlfn.XLOOKUP(C797, 'Códigos DANE Municipios'!$B$2:$B$1123, 'Códigos DANE Municipios'!$A$2:$A$1123, "No encontrado")</f>
        <v>05142</v>
      </c>
      <c r="B797" t="str">
        <f>IFERROR(VLOOKUP(D797,APOYO!K:L,2,FALSE),A797)</f>
        <v>05142</v>
      </c>
      <c r="C797" t="s">
        <v>70</v>
      </c>
      <c r="D797" t="str">
        <f>IFERROR(VLOOKUP(C797,APOYO!J:K,2,FALSE),C797)</f>
        <v>CARACOLÍ</v>
      </c>
      <c r="E797">
        <v>2014</v>
      </c>
      <c r="F797" t="s">
        <v>2189</v>
      </c>
      <c r="G797" t="s">
        <v>2189</v>
      </c>
      <c r="H797">
        <v>8</v>
      </c>
      <c r="I797" s="13" t="s">
        <v>2189</v>
      </c>
      <c r="J797" s="13" t="s">
        <v>2189</v>
      </c>
      <c r="K797" s="13" t="s">
        <v>2189</v>
      </c>
    </row>
    <row r="798" spans="1:11" hidden="1" x14ac:dyDescent="0.25">
      <c r="A798" t="str">
        <f>_xlfn.XLOOKUP(C798, 'Códigos DANE Municipios'!$B$2:$B$1123, 'Códigos DANE Municipios'!$A$2:$A$1123, "No encontrado")</f>
        <v>05145</v>
      </c>
      <c r="B798" t="str">
        <f>IFERROR(VLOOKUP(D798,APOYO!K:L,2,FALSE),A798)</f>
        <v>05145</v>
      </c>
      <c r="C798" t="s">
        <v>72</v>
      </c>
      <c r="D798" t="str">
        <f>IFERROR(VLOOKUP(C798,APOYO!J:K,2,FALSE),C798)</f>
        <v>CARAMANTA</v>
      </c>
      <c r="E798">
        <v>2014</v>
      </c>
      <c r="F798" t="s">
        <v>2189</v>
      </c>
      <c r="G798" t="s">
        <v>2189</v>
      </c>
      <c r="H798">
        <v>2</v>
      </c>
      <c r="I798" s="13" t="s">
        <v>2189</v>
      </c>
      <c r="J798" s="13" t="s">
        <v>2189</v>
      </c>
      <c r="K798" s="13" t="s">
        <v>2189</v>
      </c>
    </row>
    <row r="799" spans="1:11" hidden="1" x14ac:dyDescent="0.25">
      <c r="A799" t="str">
        <f>_xlfn.XLOOKUP(C799, 'Códigos DANE Municipios'!$B$2:$B$1123, 'Códigos DANE Municipios'!$A$2:$A$1123, "No encontrado")</f>
        <v>05147</v>
      </c>
      <c r="B799" t="str">
        <f>IFERROR(VLOOKUP(D799,APOYO!K:L,2,FALSE),A799)</f>
        <v>05147</v>
      </c>
      <c r="C799" t="s">
        <v>74</v>
      </c>
      <c r="D799" t="str">
        <f>IFERROR(VLOOKUP(C799,APOYO!J:K,2,FALSE),C799)</f>
        <v>CAREPA</v>
      </c>
      <c r="E799">
        <v>2014</v>
      </c>
      <c r="F799">
        <v>103117</v>
      </c>
      <c r="G799" t="s">
        <v>2189</v>
      </c>
      <c r="H799">
        <v>28</v>
      </c>
      <c r="I799" s="13" t="s">
        <v>2189</v>
      </c>
      <c r="J799" s="13" t="s">
        <v>2189</v>
      </c>
      <c r="K799" s="13" t="s">
        <v>2189</v>
      </c>
    </row>
    <row r="800" spans="1:11" hidden="1" x14ac:dyDescent="0.25">
      <c r="A800" t="str">
        <f>_xlfn.XLOOKUP(C800, 'Códigos DANE Municipios'!$B$2:$B$1123, 'Códigos DANE Municipios'!$A$2:$A$1123, "No encontrado")</f>
        <v>73148</v>
      </c>
      <c r="B800" t="str">
        <f>IFERROR(VLOOKUP(D800,APOYO!K:L,2,FALSE),A800)</f>
        <v>73148</v>
      </c>
      <c r="C800" t="s">
        <v>1881</v>
      </c>
      <c r="D800" t="str">
        <f>IFERROR(VLOOKUP(C800,APOYO!J:K,2,FALSE),C800)</f>
        <v>CARMEN DE APICALÁ</v>
      </c>
      <c r="E800">
        <v>2014</v>
      </c>
      <c r="F800" t="s">
        <v>2189</v>
      </c>
      <c r="G800" t="s">
        <v>2189</v>
      </c>
      <c r="H800">
        <v>1</v>
      </c>
      <c r="I800" s="13" t="s">
        <v>2189</v>
      </c>
      <c r="J800" s="13" t="s">
        <v>2189</v>
      </c>
      <c r="K800" s="13" t="s">
        <v>2189</v>
      </c>
    </row>
    <row r="801" spans="1:11" hidden="1" x14ac:dyDescent="0.25">
      <c r="A801" t="str">
        <f>_xlfn.XLOOKUP(C801, 'Códigos DANE Municipios'!$B$2:$B$1123, 'Códigos DANE Municipios'!$A$2:$A$1123, "No encontrado")</f>
        <v>25154</v>
      </c>
      <c r="B801" t="str">
        <f>IFERROR(VLOOKUP(D801,APOYO!K:L,2,FALSE),A801)</f>
        <v>25154</v>
      </c>
      <c r="C801" t="s">
        <v>942</v>
      </c>
      <c r="D801" t="str">
        <f>IFERROR(VLOOKUP(C801,APOYO!J:K,2,FALSE),C801)</f>
        <v>CARMEN DE CARUPA</v>
      </c>
      <c r="E801">
        <v>2014</v>
      </c>
      <c r="F801" t="s">
        <v>2189</v>
      </c>
      <c r="G801" t="s">
        <v>2189</v>
      </c>
      <c r="H801">
        <v>4</v>
      </c>
      <c r="I801" s="13" t="s">
        <v>2189</v>
      </c>
      <c r="J801" s="13" t="s">
        <v>2189</v>
      </c>
      <c r="K801" s="13" t="s">
        <v>2189</v>
      </c>
    </row>
    <row r="802" spans="1:11" hidden="1" x14ac:dyDescent="0.25">
      <c r="A802" t="str">
        <f>_xlfn.XLOOKUP(C802, 'Códigos DANE Municipios'!$B$2:$B$1123, 'Códigos DANE Municipios'!$A$2:$A$1123, "No encontrado")</f>
        <v>05148</v>
      </c>
      <c r="B802" t="str">
        <f>IFERROR(VLOOKUP(D802,APOYO!K:L,2,FALSE),A802)</f>
        <v>05148</v>
      </c>
      <c r="C802" t="s">
        <v>76</v>
      </c>
      <c r="D802" t="str">
        <f>IFERROR(VLOOKUP(C802,APOYO!J:K,2,FALSE),C802)</f>
        <v>EL CARMEN DE VIBORAL</v>
      </c>
      <c r="E802">
        <v>2014</v>
      </c>
      <c r="F802" t="s">
        <v>2189</v>
      </c>
      <c r="G802" t="s">
        <v>2189</v>
      </c>
      <c r="H802">
        <v>34</v>
      </c>
      <c r="I802" s="13" t="s">
        <v>2189</v>
      </c>
      <c r="J802" s="13" t="s">
        <v>2189</v>
      </c>
      <c r="K802" s="13" t="s">
        <v>2189</v>
      </c>
    </row>
    <row r="803" spans="1:11" hidden="1" x14ac:dyDescent="0.25">
      <c r="A803" t="str">
        <f>_xlfn.XLOOKUP(C803, 'Códigos DANE Municipios'!$B$2:$B$1123, 'Códigos DANE Municipios'!$A$2:$A$1123, "No encontrado")</f>
        <v>05150</v>
      </c>
      <c r="B803" t="str">
        <f>IFERROR(VLOOKUP(D803,APOYO!K:L,2,FALSE),A803)</f>
        <v>05150</v>
      </c>
      <c r="C803" t="s">
        <v>78</v>
      </c>
      <c r="D803" t="str">
        <f>IFERROR(VLOOKUP(C803,APOYO!J:K,2,FALSE),C803)</f>
        <v>CAROLINA</v>
      </c>
      <c r="E803">
        <v>2014</v>
      </c>
      <c r="F803" t="s">
        <v>2189</v>
      </c>
      <c r="G803" t="s">
        <v>2189</v>
      </c>
      <c r="H803">
        <v>1</v>
      </c>
      <c r="I803" t="s">
        <v>2189</v>
      </c>
      <c r="J803" s="13" t="s">
        <v>2189</v>
      </c>
      <c r="K803" s="13" t="s">
        <v>2189</v>
      </c>
    </row>
    <row r="804" spans="1:11" hidden="1" x14ac:dyDescent="0.25">
      <c r="A804" t="str">
        <f>_xlfn.XLOOKUP(C804, 'Códigos DANE Municipios'!$B$2:$B$1123, 'Códigos DANE Municipios'!$A$2:$A$1123, "No encontrado")</f>
        <v>13001</v>
      </c>
      <c r="B804" t="str">
        <f>IFERROR(VLOOKUP(D804,APOYO!K:L,2,FALSE),A804)</f>
        <v>13001</v>
      </c>
      <c r="C804" t="s">
        <v>309</v>
      </c>
      <c r="D804" t="str">
        <f>IFERROR(VLOOKUP(C804,APOYO!J:K,2,FALSE),C804)</f>
        <v>CARTAGENA DE INDIAS</v>
      </c>
      <c r="E804">
        <v>2014</v>
      </c>
      <c r="F804">
        <v>1454011</v>
      </c>
      <c r="G804">
        <v>211126</v>
      </c>
      <c r="H804">
        <v>238290</v>
      </c>
      <c r="I804" s="13">
        <v>433576</v>
      </c>
      <c r="J804" s="13" t="s">
        <v>2189</v>
      </c>
      <c r="K804" s="13" t="s">
        <v>2189</v>
      </c>
    </row>
    <row r="805" spans="1:11" hidden="1" x14ac:dyDescent="0.25">
      <c r="A805" t="str">
        <f>_xlfn.XLOOKUP(C805, 'Códigos DANE Municipios'!$B$2:$B$1123, 'Códigos DANE Municipios'!$A$2:$A$1123, "No encontrado")</f>
        <v>18150</v>
      </c>
      <c r="B805" t="str">
        <f>IFERROR(VLOOKUP(D805,APOYO!K:L,2,FALSE),A805)</f>
        <v>18150</v>
      </c>
      <c r="C805" t="s">
        <v>704</v>
      </c>
      <c r="D805" t="str">
        <f>IFERROR(VLOOKUP(C805,APOYO!J:K,2,FALSE),C805)</f>
        <v>CARTAGENA DEL CHAIRÁ</v>
      </c>
      <c r="E805">
        <v>2014</v>
      </c>
      <c r="F805" t="s">
        <v>2189</v>
      </c>
      <c r="G805" t="s">
        <v>2189</v>
      </c>
      <c r="H805">
        <v>3</v>
      </c>
      <c r="I805" s="13" t="s">
        <v>2189</v>
      </c>
      <c r="J805" s="13" t="s">
        <v>2189</v>
      </c>
      <c r="K805" s="13" t="s">
        <v>2189</v>
      </c>
    </row>
    <row r="806" spans="1:11" hidden="1" x14ac:dyDescent="0.25">
      <c r="A806" t="str">
        <f>_xlfn.XLOOKUP(C806, 'Códigos DANE Municipios'!$B$2:$B$1123, 'Códigos DANE Municipios'!$A$2:$A$1123, "No encontrado")</f>
        <v>76147</v>
      </c>
      <c r="B806" t="str">
        <f>IFERROR(VLOOKUP(D806,APOYO!K:L,2,FALSE),A806)</f>
        <v>76147</v>
      </c>
      <c r="C806" t="s">
        <v>1978</v>
      </c>
      <c r="D806" t="str">
        <f>IFERROR(VLOOKUP(C806,APOYO!J:K,2,FALSE),C806)</f>
        <v>CARTAGO</v>
      </c>
      <c r="E806">
        <v>2014</v>
      </c>
      <c r="F806">
        <v>73</v>
      </c>
      <c r="G806" t="s">
        <v>2189</v>
      </c>
      <c r="H806">
        <v>1295</v>
      </c>
      <c r="I806" s="13" t="s">
        <v>2189</v>
      </c>
      <c r="J806" s="13" t="s">
        <v>2189</v>
      </c>
      <c r="K806" s="13" t="s">
        <v>2189</v>
      </c>
    </row>
    <row r="807" spans="1:11" hidden="1" x14ac:dyDescent="0.25">
      <c r="A807" t="str">
        <f>_xlfn.XLOOKUP(C807, 'Códigos DANE Municipios'!$B$2:$B$1123, 'Códigos DANE Municipios'!$A$2:$A$1123, "No encontrado")</f>
        <v>97161</v>
      </c>
      <c r="B807" t="str">
        <f>IFERROR(VLOOKUP(D807,APOYO!K:L,2,FALSE),A807)</f>
        <v>97161</v>
      </c>
      <c r="C807" t="s">
        <v>2153</v>
      </c>
      <c r="D807" t="str">
        <f>IFERROR(VLOOKUP(C807,APOYO!J:K,2,FALSE),C807)</f>
        <v>CARURÚ</v>
      </c>
      <c r="E807">
        <v>2014</v>
      </c>
      <c r="F807">
        <v>1446</v>
      </c>
      <c r="G807" t="s">
        <v>2189</v>
      </c>
      <c r="H807">
        <v>9</v>
      </c>
      <c r="I807" s="13" t="s">
        <v>2189</v>
      </c>
      <c r="J807" s="13" t="s">
        <v>2189</v>
      </c>
      <c r="K807" s="13" t="s">
        <v>2189</v>
      </c>
    </row>
    <row r="808" spans="1:11" hidden="1" x14ac:dyDescent="0.25">
      <c r="A808" t="str">
        <f>_xlfn.XLOOKUP(C808, 'Códigos DANE Municipios'!$B$2:$B$1123, 'Códigos DANE Municipios'!$A$2:$A$1123, "No encontrado")</f>
        <v>50150</v>
      </c>
      <c r="B808" t="str">
        <f>IFERROR(VLOOKUP(D808,APOYO!K:L,2,FALSE),A808)</f>
        <v>50150</v>
      </c>
      <c r="C808" t="s">
        <v>1366</v>
      </c>
      <c r="D808" t="str">
        <f>IFERROR(VLOOKUP(C808,APOYO!J:K,2,FALSE),C808)</f>
        <v>CASTILLA LA NUEVA</v>
      </c>
      <c r="E808">
        <v>2014</v>
      </c>
      <c r="F808">
        <v>0</v>
      </c>
      <c r="G808" t="s">
        <v>2189</v>
      </c>
      <c r="H808">
        <v>3</v>
      </c>
      <c r="I808" s="13" t="s">
        <v>2189</v>
      </c>
      <c r="J808" s="13" t="s">
        <v>2189</v>
      </c>
      <c r="K808" s="13" t="s">
        <v>2189</v>
      </c>
    </row>
    <row r="809" spans="1:11" hidden="1" x14ac:dyDescent="0.25">
      <c r="A809" t="str">
        <f>_xlfn.XLOOKUP(C809, 'Códigos DANE Municipios'!$B$2:$B$1123, 'Códigos DANE Municipios'!$A$2:$A$1123, "No encontrado")</f>
        <v>05154</v>
      </c>
      <c r="B809" t="str">
        <f>IFERROR(VLOOKUP(D809,APOYO!K:L,2,FALSE),A809)</f>
        <v>05154</v>
      </c>
      <c r="C809" t="s">
        <v>80</v>
      </c>
      <c r="D809" t="str">
        <f>IFERROR(VLOOKUP(C809,APOYO!J:K,2,FALSE),C809)</f>
        <v>CAUCASIA</v>
      </c>
      <c r="E809">
        <v>2014</v>
      </c>
      <c r="F809">
        <v>19034</v>
      </c>
      <c r="G809" t="s">
        <v>2189</v>
      </c>
      <c r="H809">
        <v>30</v>
      </c>
      <c r="I809" s="13" t="s">
        <v>2189</v>
      </c>
      <c r="J809" s="13" t="s">
        <v>2189</v>
      </c>
      <c r="K809" s="13" t="s">
        <v>2189</v>
      </c>
    </row>
    <row r="810" spans="1:11" hidden="1" x14ac:dyDescent="0.25">
      <c r="A810" t="str">
        <f>_xlfn.XLOOKUP(C810, 'Códigos DANE Municipios'!$B$2:$B$1123, 'Códigos DANE Municipios'!$A$2:$A$1123, "No encontrado")</f>
        <v>68160</v>
      </c>
      <c r="B810" t="str">
        <f>IFERROR(VLOOKUP(D810,APOYO!K:L,2,FALSE),A810)</f>
        <v>68160</v>
      </c>
      <c r="C810" t="s">
        <v>1676</v>
      </c>
      <c r="D810" t="str">
        <f>IFERROR(VLOOKUP(C810,APOYO!J:K,2,FALSE),C810)</f>
        <v>CEPITÁ</v>
      </c>
      <c r="E810">
        <v>2014</v>
      </c>
      <c r="F810" t="s">
        <v>2189</v>
      </c>
      <c r="G810" t="s">
        <v>2189</v>
      </c>
      <c r="H810" t="s">
        <v>2189</v>
      </c>
      <c r="I810" s="13" t="s">
        <v>2189</v>
      </c>
      <c r="J810" s="13" t="s">
        <v>2189</v>
      </c>
      <c r="K810" s="13" t="s">
        <v>2189</v>
      </c>
    </row>
    <row r="811" spans="1:11" hidden="1" x14ac:dyDescent="0.25">
      <c r="A811" t="str">
        <f>_xlfn.XLOOKUP(C811, 'Códigos DANE Municipios'!$B$2:$B$1123, 'Códigos DANE Municipios'!$A$2:$A$1123, "No encontrado")</f>
        <v>23162</v>
      </c>
      <c r="B811" t="str">
        <f>IFERROR(VLOOKUP(D811,APOYO!K:L,2,FALSE),A811)</f>
        <v>23162</v>
      </c>
      <c r="C811" t="s">
        <v>865</v>
      </c>
      <c r="D811" t="str">
        <f>IFERROR(VLOOKUP(C811,APOYO!J:K,2,FALSE),C811)</f>
        <v>CERETÉ</v>
      </c>
      <c r="E811">
        <v>2014</v>
      </c>
      <c r="F811" t="s">
        <v>2189</v>
      </c>
      <c r="G811" t="s">
        <v>2189</v>
      </c>
      <c r="H811">
        <v>43</v>
      </c>
      <c r="I811" s="13" t="s">
        <v>2189</v>
      </c>
      <c r="J811" s="13" t="s">
        <v>2189</v>
      </c>
      <c r="K811" s="13" t="s">
        <v>2189</v>
      </c>
    </row>
    <row r="812" spans="1:11" hidden="1" x14ac:dyDescent="0.25">
      <c r="A812" t="str">
        <f>_xlfn.XLOOKUP(C812, 'Códigos DANE Municipios'!$B$2:$B$1123, 'Códigos DANE Municipios'!$A$2:$A$1123, "No encontrado")</f>
        <v>52240</v>
      </c>
      <c r="B812" t="str">
        <f>IFERROR(VLOOKUP(D812,APOYO!K:L,2,FALSE),A812)</f>
        <v>52240</v>
      </c>
      <c r="C812" t="s">
        <v>1439</v>
      </c>
      <c r="D812" t="str">
        <f>IFERROR(VLOOKUP(C812,APOYO!J:K,2,FALSE),C812)</f>
        <v>CHACHAGÜÍ</v>
      </c>
      <c r="E812">
        <v>2014</v>
      </c>
      <c r="F812" t="s">
        <v>2189</v>
      </c>
      <c r="G812" t="s">
        <v>2189</v>
      </c>
      <c r="H812">
        <v>9</v>
      </c>
      <c r="I812" s="13" t="s">
        <v>2189</v>
      </c>
      <c r="J812" s="13" t="s">
        <v>2189</v>
      </c>
      <c r="K812" s="13" t="s">
        <v>2189</v>
      </c>
    </row>
    <row r="813" spans="1:11" hidden="1" x14ac:dyDescent="0.25">
      <c r="A813" t="str">
        <f>_xlfn.XLOOKUP(C813, 'Códigos DANE Municipios'!$B$2:$B$1123, 'Códigos DANE Municipios'!$A$2:$A$1123, "No encontrado")</f>
        <v>25168</v>
      </c>
      <c r="B813" t="str">
        <f>IFERROR(VLOOKUP(D813,APOYO!K:L,2,FALSE),A813)</f>
        <v>25168</v>
      </c>
      <c r="C813" t="s">
        <v>944</v>
      </c>
      <c r="D813" t="str">
        <f>IFERROR(VLOOKUP(C813,APOYO!J:K,2,FALSE),C813)</f>
        <v>CHAGUANÍ</v>
      </c>
      <c r="E813">
        <v>2014</v>
      </c>
      <c r="F813" t="s">
        <v>2189</v>
      </c>
      <c r="G813" t="s">
        <v>2189</v>
      </c>
      <c r="H813">
        <v>3</v>
      </c>
      <c r="I813" t="s">
        <v>2189</v>
      </c>
      <c r="J813" s="13" t="s">
        <v>2189</v>
      </c>
      <c r="K813" s="13" t="s">
        <v>2189</v>
      </c>
    </row>
    <row r="814" spans="1:11" hidden="1" x14ac:dyDescent="0.25">
      <c r="A814" t="str">
        <f>_xlfn.XLOOKUP(C814, 'Códigos DANE Municipios'!$B$2:$B$1123, 'Códigos DANE Municipios'!$A$2:$A$1123, "No encontrado")</f>
        <v>73168</v>
      </c>
      <c r="B814" t="str">
        <f>IFERROR(VLOOKUP(D814,APOYO!K:L,2,FALSE),A814)</f>
        <v>73168</v>
      </c>
      <c r="C814" t="s">
        <v>1885</v>
      </c>
      <c r="D814" t="str">
        <f>IFERROR(VLOOKUP(C814,APOYO!J:K,2,FALSE),C814)</f>
        <v>CHAPARRAL</v>
      </c>
      <c r="E814">
        <v>2014</v>
      </c>
      <c r="F814">
        <v>183</v>
      </c>
      <c r="G814" t="s">
        <v>2189</v>
      </c>
      <c r="H814">
        <v>17</v>
      </c>
      <c r="I814" s="13" t="s">
        <v>2189</v>
      </c>
      <c r="J814" s="13" t="s">
        <v>2189</v>
      </c>
      <c r="K814" s="13" t="s">
        <v>2189</v>
      </c>
    </row>
    <row r="815" spans="1:11" hidden="1" x14ac:dyDescent="0.25">
      <c r="A815" t="str">
        <f>_xlfn.XLOOKUP(C815, 'Códigos DANE Municipios'!$B$2:$B$1123, 'Códigos DANE Municipios'!$A$2:$A$1123, "No encontrado")</f>
        <v>68167</v>
      </c>
      <c r="B815" t="str">
        <f>IFERROR(VLOOKUP(D815,APOYO!K:L,2,FALSE),A815)</f>
        <v>68167</v>
      </c>
      <c r="C815" t="s">
        <v>1680</v>
      </c>
      <c r="D815" t="str">
        <f>IFERROR(VLOOKUP(C815,APOYO!J:K,2,FALSE),C815)</f>
        <v>CHARALÁ</v>
      </c>
      <c r="E815">
        <v>2014</v>
      </c>
      <c r="F815" t="s">
        <v>2189</v>
      </c>
      <c r="G815" t="s">
        <v>2189</v>
      </c>
      <c r="H815">
        <v>7</v>
      </c>
      <c r="I815" s="13">
        <v>0</v>
      </c>
      <c r="J815" s="13" t="s">
        <v>2189</v>
      </c>
      <c r="K815" s="13" t="s">
        <v>2189</v>
      </c>
    </row>
    <row r="816" spans="1:11" hidden="1" x14ac:dyDescent="0.25">
      <c r="A816" t="str">
        <f>_xlfn.XLOOKUP(C816, 'Códigos DANE Municipios'!$B$2:$B$1123, 'Códigos DANE Municipios'!$A$2:$A$1123, "No encontrado")</f>
        <v>68169</v>
      </c>
      <c r="B816" t="str">
        <f>IFERROR(VLOOKUP(D816,APOYO!K:L,2,FALSE),A816)</f>
        <v>68169</v>
      </c>
      <c r="C816" t="s">
        <v>1682</v>
      </c>
      <c r="D816" t="str">
        <f>IFERROR(VLOOKUP(C816,APOYO!J:K,2,FALSE),C816)</f>
        <v>CHARTA</v>
      </c>
      <c r="E816">
        <v>2014</v>
      </c>
      <c r="F816" t="s">
        <v>2189</v>
      </c>
      <c r="G816" t="s">
        <v>2189</v>
      </c>
      <c r="H816">
        <v>1</v>
      </c>
      <c r="I816" s="13" t="s">
        <v>2189</v>
      </c>
      <c r="J816" s="13" t="s">
        <v>2189</v>
      </c>
      <c r="K816" s="13" t="s">
        <v>2189</v>
      </c>
    </row>
    <row r="817" spans="1:11" hidden="1" x14ac:dyDescent="0.25">
      <c r="A817" t="str">
        <f>_xlfn.XLOOKUP(C817, 'Códigos DANE Municipios'!$B$2:$B$1123, 'Códigos DANE Municipios'!$A$2:$A$1123, "No encontrado")</f>
        <v>25175</v>
      </c>
      <c r="B817" t="str">
        <f>IFERROR(VLOOKUP(D817,APOYO!K:L,2,FALSE),A817)</f>
        <v>25175</v>
      </c>
      <c r="C817" t="s">
        <v>946</v>
      </c>
      <c r="D817" t="str">
        <f>IFERROR(VLOOKUP(C817,APOYO!J:K,2,FALSE),C817)</f>
        <v>CHÍA</v>
      </c>
      <c r="E817">
        <v>2014</v>
      </c>
      <c r="F817">
        <v>2058</v>
      </c>
      <c r="G817">
        <v>4</v>
      </c>
      <c r="H817">
        <v>1754</v>
      </c>
      <c r="I817" s="13" t="s">
        <v>2189</v>
      </c>
      <c r="J817" s="13" t="s">
        <v>2189</v>
      </c>
      <c r="K817" s="13" t="s">
        <v>2189</v>
      </c>
    </row>
    <row r="818" spans="1:11" hidden="1" x14ac:dyDescent="0.25">
      <c r="A818" t="str">
        <f>_xlfn.XLOOKUP(C818, 'Códigos DANE Municipios'!$B$2:$B$1123, 'Códigos DANE Municipios'!$A$2:$A$1123, "No encontrado")</f>
        <v>05172</v>
      </c>
      <c r="B818" t="str">
        <f>IFERROR(VLOOKUP(D818,APOYO!K:L,2,FALSE),A818)</f>
        <v>05172</v>
      </c>
      <c r="C818" t="s">
        <v>82</v>
      </c>
      <c r="D818" t="str">
        <f>IFERROR(VLOOKUP(C818,APOYO!J:K,2,FALSE),C818)</f>
        <v>CHIGORODÓ</v>
      </c>
      <c r="E818">
        <v>2014</v>
      </c>
      <c r="F818" t="s">
        <v>2189</v>
      </c>
      <c r="G818" t="s">
        <v>2189</v>
      </c>
      <c r="H818">
        <v>13</v>
      </c>
      <c r="I818" s="13" t="s">
        <v>2189</v>
      </c>
      <c r="J818" s="13" t="s">
        <v>2189</v>
      </c>
      <c r="K818" s="13" t="s">
        <v>2189</v>
      </c>
    </row>
    <row r="819" spans="1:11" hidden="1" x14ac:dyDescent="0.25">
      <c r="A819" t="str">
        <f>_xlfn.XLOOKUP(C819, 'Códigos DANE Municipios'!$B$2:$B$1123, 'Códigos DANE Municipios'!$A$2:$A$1123, "No encontrado")</f>
        <v>20175</v>
      </c>
      <c r="B819" t="str">
        <f>IFERROR(VLOOKUP(D819,APOYO!K:L,2,FALSE),A819)</f>
        <v>20175</v>
      </c>
      <c r="C819" t="s">
        <v>820</v>
      </c>
      <c r="D819" t="str">
        <f>IFERROR(VLOOKUP(C819,APOYO!J:K,2,FALSE),C819)</f>
        <v>CHIMICHAGUA</v>
      </c>
      <c r="E819">
        <v>2014</v>
      </c>
      <c r="F819" t="s">
        <v>2189</v>
      </c>
      <c r="G819" t="s">
        <v>2189</v>
      </c>
      <c r="H819">
        <v>1</v>
      </c>
      <c r="I819" s="13" t="s">
        <v>2189</v>
      </c>
      <c r="J819" s="13" t="s">
        <v>2189</v>
      </c>
      <c r="K819" s="13" t="s">
        <v>2189</v>
      </c>
    </row>
    <row r="820" spans="1:11" hidden="1" x14ac:dyDescent="0.25">
      <c r="A820" t="str">
        <f>_xlfn.XLOOKUP(C820, 'Códigos DANE Municipios'!$B$2:$B$1123, 'Códigos DANE Municipios'!$A$2:$A$1123, "No encontrado")</f>
        <v>54172</v>
      </c>
      <c r="B820" t="str">
        <f>IFERROR(VLOOKUP(D820,APOYO!K:L,2,FALSE),A820)</f>
        <v>54172</v>
      </c>
      <c r="C820" t="s">
        <v>1543</v>
      </c>
      <c r="D820" t="str">
        <f>IFERROR(VLOOKUP(C820,APOYO!J:K,2,FALSE),C820)</f>
        <v>CHINÁCOTA</v>
      </c>
      <c r="E820">
        <v>2014</v>
      </c>
      <c r="F820" t="s">
        <v>2189</v>
      </c>
      <c r="G820" t="s">
        <v>2189</v>
      </c>
      <c r="H820">
        <v>21</v>
      </c>
      <c r="I820" s="13" t="s">
        <v>2189</v>
      </c>
      <c r="J820" s="13" t="s">
        <v>2189</v>
      </c>
      <c r="K820" s="13" t="s">
        <v>2189</v>
      </c>
    </row>
    <row r="821" spans="1:11" hidden="1" x14ac:dyDescent="0.25">
      <c r="A821" t="str">
        <f>_xlfn.XLOOKUP(C821, 'Códigos DANE Municipios'!$B$2:$B$1123, 'Códigos DANE Municipios'!$A$2:$A$1123, "No encontrado")</f>
        <v>15172</v>
      </c>
      <c r="B821" t="str">
        <f>IFERROR(VLOOKUP(D821,APOYO!K:L,2,FALSE),A821)</f>
        <v>15172</v>
      </c>
      <c r="C821" t="s">
        <v>429</v>
      </c>
      <c r="D821" t="str">
        <f>IFERROR(VLOOKUP(C821,APOYO!J:K,2,FALSE),C821)</f>
        <v>CHINAVITA</v>
      </c>
      <c r="E821">
        <v>2014</v>
      </c>
      <c r="F821" t="s">
        <v>2189</v>
      </c>
      <c r="G821" t="s">
        <v>2189</v>
      </c>
      <c r="H821">
        <v>2</v>
      </c>
      <c r="I821" s="13" t="s">
        <v>2189</v>
      </c>
      <c r="J821" s="13" t="s">
        <v>2189</v>
      </c>
      <c r="K821" s="13" t="s">
        <v>2189</v>
      </c>
    </row>
    <row r="822" spans="1:11" hidden="1" x14ac:dyDescent="0.25">
      <c r="A822" t="str">
        <f>_xlfn.XLOOKUP(C822, 'Códigos DANE Municipios'!$B$2:$B$1123, 'Códigos DANE Municipios'!$A$2:$A$1123, "No encontrado")</f>
        <v>17174</v>
      </c>
      <c r="B822" t="str">
        <f>IFERROR(VLOOKUP(D822,APOYO!K:L,2,FALSE),A822)</f>
        <v>17174</v>
      </c>
      <c r="C822" t="s">
        <v>654</v>
      </c>
      <c r="D822" t="str">
        <f>IFERROR(VLOOKUP(C822,APOYO!J:K,2,FALSE),C822)</f>
        <v>CHINCHINÁ</v>
      </c>
      <c r="E822">
        <v>2014</v>
      </c>
      <c r="F822" t="s">
        <v>2189</v>
      </c>
      <c r="G822" t="s">
        <v>2189</v>
      </c>
      <c r="H822">
        <v>201</v>
      </c>
      <c r="I822" s="13" t="s">
        <v>2189</v>
      </c>
      <c r="J822" s="13" t="s">
        <v>2189</v>
      </c>
      <c r="K822" s="13" t="s">
        <v>2189</v>
      </c>
    </row>
    <row r="823" spans="1:11" hidden="1" x14ac:dyDescent="0.25">
      <c r="A823" t="str">
        <f>_xlfn.XLOOKUP(C823, 'Códigos DANE Municipios'!$B$2:$B$1123, 'Códigos DANE Municipios'!$A$2:$A$1123, "No encontrado")</f>
        <v>23182</v>
      </c>
      <c r="B823" t="str">
        <f>IFERROR(VLOOKUP(D823,APOYO!K:L,2,FALSE),A823)</f>
        <v>23182</v>
      </c>
      <c r="C823" t="s">
        <v>869</v>
      </c>
      <c r="D823" t="str">
        <f>IFERROR(VLOOKUP(C823,APOYO!J:K,2,FALSE),C823)</f>
        <v>CHINÚ</v>
      </c>
      <c r="E823">
        <v>2014</v>
      </c>
      <c r="F823" t="s">
        <v>2189</v>
      </c>
      <c r="G823" t="s">
        <v>2189</v>
      </c>
      <c r="H823">
        <v>13</v>
      </c>
      <c r="I823" s="13" t="s">
        <v>2189</v>
      </c>
      <c r="J823" s="13" t="s">
        <v>2189</v>
      </c>
      <c r="K823" s="13" t="s">
        <v>2189</v>
      </c>
    </row>
    <row r="824" spans="1:11" hidden="1" x14ac:dyDescent="0.25">
      <c r="A824" t="str">
        <f>_xlfn.XLOOKUP(C824, 'Códigos DANE Municipios'!$B$2:$B$1123, 'Códigos DANE Municipios'!$A$2:$A$1123, "No encontrado")</f>
        <v>25178</v>
      </c>
      <c r="B824" t="str">
        <f>IFERROR(VLOOKUP(D824,APOYO!K:L,2,FALSE),A824)</f>
        <v>25178</v>
      </c>
      <c r="C824" t="s">
        <v>948</v>
      </c>
      <c r="D824" t="str">
        <f>IFERROR(VLOOKUP(C824,APOYO!J:K,2,FALSE),C824)</f>
        <v>CHIPAQUE</v>
      </c>
      <c r="E824">
        <v>2014</v>
      </c>
      <c r="F824" t="s">
        <v>2189</v>
      </c>
      <c r="G824" t="s">
        <v>2189</v>
      </c>
      <c r="H824">
        <v>15</v>
      </c>
      <c r="I824" s="13" t="s">
        <v>2189</v>
      </c>
      <c r="J824" s="13" t="s">
        <v>2189</v>
      </c>
      <c r="K824" s="13" t="s">
        <v>2189</v>
      </c>
    </row>
    <row r="825" spans="1:11" hidden="1" x14ac:dyDescent="0.25">
      <c r="A825" t="str">
        <f>_xlfn.XLOOKUP(C825, 'Códigos DANE Municipios'!$B$2:$B$1123, 'Códigos DANE Municipios'!$A$2:$A$1123, "No encontrado")</f>
        <v>15176</v>
      </c>
      <c r="B825" t="str">
        <f>IFERROR(VLOOKUP(D825,APOYO!K:L,2,FALSE),A825)</f>
        <v>15176</v>
      </c>
      <c r="C825" t="s">
        <v>431</v>
      </c>
      <c r="D825" t="str">
        <f>IFERROR(VLOOKUP(C825,APOYO!J:K,2,FALSE),C825)</f>
        <v>CHIQUINQUIRÁ</v>
      </c>
      <c r="E825">
        <v>2014</v>
      </c>
      <c r="F825" t="s">
        <v>2189</v>
      </c>
      <c r="G825" t="s">
        <v>2189</v>
      </c>
      <c r="H825">
        <v>72</v>
      </c>
      <c r="I825" s="13" t="s">
        <v>2189</v>
      </c>
      <c r="J825" s="13" t="s">
        <v>2189</v>
      </c>
      <c r="K825" s="13" t="s">
        <v>2189</v>
      </c>
    </row>
    <row r="826" spans="1:11" hidden="1" x14ac:dyDescent="0.25">
      <c r="A826" t="str">
        <f>_xlfn.XLOOKUP(C826, 'Códigos DANE Municipios'!$B$2:$B$1123, 'Códigos DANE Municipios'!$A$2:$A$1123, "No encontrado")</f>
        <v>20178</v>
      </c>
      <c r="B826" t="str">
        <f>IFERROR(VLOOKUP(D826,APOYO!K:L,2,FALSE),A826)</f>
        <v>20178</v>
      </c>
      <c r="C826" t="s">
        <v>822</v>
      </c>
      <c r="D826" t="str">
        <f>IFERROR(VLOOKUP(C826,APOYO!J:K,2,FALSE),C826)</f>
        <v>CHIRIGUANÁ</v>
      </c>
      <c r="E826">
        <v>2014</v>
      </c>
      <c r="F826">
        <v>5073</v>
      </c>
      <c r="G826" t="s">
        <v>2189</v>
      </c>
      <c r="H826">
        <v>8</v>
      </c>
      <c r="I826" s="13" t="s">
        <v>2189</v>
      </c>
      <c r="J826" s="13" t="s">
        <v>2189</v>
      </c>
      <c r="K826" s="13" t="s">
        <v>2189</v>
      </c>
    </row>
    <row r="827" spans="1:11" hidden="1" x14ac:dyDescent="0.25">
      <c r="A827" t="str">
        <f>_xlfn.XLOOKUP(C827, 'Códigos DANE Municipios'!$B$2:$B$1123, 'Códigos DANE Municipios'!$A$2:$A$1123, "No encontrado")</f>
        <v>15180</v>
      </c>
      <c r="B827" t="str">
        <f>IFERROR(VLOOKUP(D827,APOYO!K:L,2,FALSE),A827)</f>
        <v>15180</v>
      </c>
      <c r="C827" t="s">
        <v>433</v>
      </c>
      <c r="D827" t="str">
        <f>IFERROR(VLOOKUP(C827,APOYO!J:K,2,FALSE),C827)</f>
        <v>CHISCAS</v>
      </c>
      <c r="E827">
        <v>2014</v>
      </c>
      <c r="F827" t="s">
        <v>2189</v>
      </c>
      <c r="G827" t="s">
        <v>2189</v>
      </c>
      <c r="H827" t="s">
        <v>2189</v>
      </c>
      <c r="I827" s="13" t="s">
        <v>2189</v>
      </c>
      <c r="J827" s="13" t="s">
        <v>2189</v>
      </c>
      <c r="K827" s="13" t="s">
        <v>2189</v>
      </c>
    </row>
    <row r="828" spans="1:11" hidden="1" x14ac:dyDescent="0.25">
      <c r="A828" t="str">
        <f>_xlfn.XLOOKUP(C828, 'Códigos DANE Municipios'!$B$2:$B$1123, 'Códigos DANE Municipios'!$A$2:$A$1123, "No encontrado")</f>
        <v>54174</v>
      </c>
      <c r="B828" t="str">
        <f>IFERROR(VLOOKUP(D828,APOYO!K:L,2,FALSE),A828)</f>
        <v>54174</v>
      </c>
      <c r="C828" t="s">
        <v>1545</v>
      </c>
      <c r="D828" t="str">
        <f>IFERROR(VLOOKUP(C828,APOYO!J:K,2,FALSE),C828)</f>
        <v>CHITAGÁ</v>
      </c>
      <c r="E828">
        <v>2014</v>
      </c>
      <c r="F828" t="s">
        <v>2189</v>
      </c>
      <c r="G828" t="s">
        <v>2189</v>
      </c>
      <c r="H828" t="s">
        <v>2189</v>
      </c>
      <c r="I828" s="13" t="s">
        <v>2189</v>
      </c>
      <c r="J828" s="13" t="s">
        <v>2189</v>
      </c>
      <c r="K828" s="13" t="s">
        <v>2189</v>
      </c>
    </row>
    <row r="829" spans="1:11" hidden="1" x14ac:dyDescent="0.25">
      <c r="A829" t="str">
        <f>_xlfn.XLOOKUP(C829, 'Códigos DANE Municipios'!$B$2:$B$1123, 'Códigos DANE Municipios'!$A$2:$A$1123, "No encontrado")</f>
        <v>15236</v>
      </c>
      <c r="B829" t="str">
        <f>IFERROR(VLOOKUP(D829,APOYO!K:L,2,FALSE),A829)</f>
        <v>15236</v>
      </c>
      <c r="C829" t="s">
        <v>459</v>
      </c>
      <c r="D829" t="str">
        <f>IFERROR(VLOOKUP(C829,APOYO!J:K,2,FALSE),C829)</f>
        <v>CHIVOR</v>
      </c>
      <c r="E829">
        <v>2014</v>
      </c>
      <c r="F829" t="s">
        <v>2189</v>
      </c>
      <c r="G829" t="s">
        <v>2189</v>
      </c>
      <c r="H829">
        <v>6</v>
      </c>
      <c r="I829" s="13" t="s">
        <v>2189</v>
      </c>
      <c r="J829" s="13" t="s">
        <v>2189</v>
      </c>
      <c r="K829" s="13" t="s">
        <v>2189</v>
      </c>
    </row>
    <row r="830" spans="1:11" hidden="1" x14ac:dyDescent="0.25">
      <c r="A830" t="str">
        <f>_xlfn.XLOOKUP(C830, 'Códigos DANE Municipios'!$B$2:$B$1123, 'Códigos DANE Municipios'!$A$2:$A$1123, "No encontrado")</f>
        <v>25181</v>
      </c>
      <c r="B830" t="str">
        <f>IFERROR(VLOOKUP(D830,APOYO!K:L,2,FALSE),A830)</f>
        <v>25181</v>
      </c>
      <c r="C830" t="s">
        <v>950</v>
      </c>
      <c r="D830" t="str">
        <f>IFERROR(VLOOKUP(C830,APOYO!J:K,2,FALSE),C830)</f>
        <v>CHOACHÍ</v>
      </c>
      <c r="E830">
        <v>2014</v>
      </c>
      <c r="F830" t="s">
        <v>2189</v>
      </c>
      <c r="G830" t="s">
        <v>2189</v>
      </c>
      <c r="H830">
        <v>36</v>
      </c>
      <c r="I830" s="13" t="s">
        <v>2189</v>
      </c>
      <c r="J830" s="13" t="s">
        <v>2189</v>
      </c>
      <c r="K830" s="13" t="s">
        <v>2189</v>
      </c>
    </row>
    <row r="831" spans="1:11" hidden="1" x14ac:dyDescent="0.25">
      <c r="A831" t="str">
        <f>_xlfn.XLOOKUP(C831, 'Códigos DANE Municipios'!$B$2:$B$1123, 'Códigos DANE Municipios'!$A$2:$A$1123, "No encontrado")</f>
        <v>25183</v>
      </c>
      <c r="B831" t="str">
        <f>IFERROR(VLOOKUP(D831,APOYO!K:L,2,FALSE),A831)</f>
        <v>25183</v>
      </c>
      <c r="C831" t="s">
        <v>952</v>
      </c>
      <c r="D831" t="str">
        <f>IFERROR(VLOOKUP(C831,APOYO!J:K,2,FALSE),C831)</f>
        <v>CHOCONTÁ</v>
      </c>
      <c r="E831">
        <v>2014</v>
      </c>
      <c r="F831" t="s">
        <v>2189</v>
      </c>
      <c r="G831" t="s">
        <v>2189</v>
      </c>
      <c r="H831">
        <v>14</v>
      </c>
      <c r="I831" s="13" t="s">
        <v>2189</v>
      </c>
      <c r="J831" s="13" t="s">
        <v>2189</v>
      </c>
      <c r="K831" s="13" t="s">
        <v>2189</v>
      </c>
    </row>
    <row r="832" spans="1:11" hidden="1" x14ac:dyDescent="0.25">
      <c r="A832" t="str">
        <f>_xlfn.XLOOKUP(C832, 'Códigos DANE Municipios'!$B$2:$B$1123, 'Códigos DANE Municipios'!$A$2:$A$1123, "No encontrado")</f>
        <v>47189</v>
      </c>
      <c r="B832" t="str">
        <f>IFERROR(VLOOKUP(D832,APOYO!K:L,2,FALSE),A832)</f>
        <v>47189</v>
      </c>
      <c r="C832" t="s">
        <v>1312</v>
      </c>
      <c r="D832" t="str">
        <f>IFERROR(VLOOKUP(C832,APOYO!J:K,2,FALSE),C832)</f>
        <v>CIÉNAGA</v>
      </c>
      <c r="E832">
        <v>2014</v>
      </c>
      <c r="F832">
        <v>0</v>
      </c>
      <c r="G832" t="s">
        <v>2189</v>
      </c>
      <c r="H832">
        <v>68</v>
      </c>
      <c r="I832" s="13" t="s">
        <v>2189</v>
      </c>
      <c r="J832" s="13" t="s">
        <v>2189</v>
      </c>
      <c r="K832" s="13" t="s">
        <v>2189</v>
      </c>
    </row>
    <row r="833" spans="1:11" hidden="1" x14ac:dyDescent="0.25">
      <c r="A833" t="str">
        <f>_xlfn.XLOOKUP(C833, 'Códigos DANE Municipios'!$B$2:$B$1123, 'Códigos DANE Municipios'!$A$2:$A$1123, "No encontrado")</f>
        <v>23189</v>
      </c>
      <c r="B833" t="str">
        <f>IFERROR(VLOOKUP(D833,APOYO!K:L,2,FALSE),A833)</f>
        <v>23189</v>
      </c>
      <c r="C833" t="s">
        <v>871</v>
      </c>
      <c r="D833" t="str">
        <f>IFERROR(VLOOKUP(C833,APOYO!J:K,2,FALSE),C833)</f>
        <v>CIÉNAGA DE ORO</v>
      </c>
      <c r="E833">
        <v>2014</v>
      </c>
      <c r="F833" t="s">
        <v>2189</v>
      </c>
      <c r="G833" t="s">
        <v>2189</v>
      </c>
      <c r="H833">
        <v>8</v>
      </c>
      <c r="I833" s="13" t="s">
        <v>2189</v>
      </c>
      <c r="J833" s="13" t="s">
        <v>2189</v>
      </c>
      <c r="K833" s="13" t="s">
        <v>2189</v>
      </c>
    </row>
    <row r="834" spans="1:11" hidden="1" x14ac:dyDescent="0.25">
      <c r="A834" t="str">
        <f>_xlfn.XLOOKUP(C834, 'Códigos DANE Municipios'!$B$2:$B$1123, 'Códigos DANE Municipios'!$A$2:$A$1123, "No encontrado")</f>
        <v>47189</v>
      </c>
      <c r="B834" t="str">
        <f>IFERROR(VLOOKUP(D834,APOYO!K:L,2,FALSE),A834)</f>
        <v>47189</v>
      </c>
      <c r="C834" t="s">
        <v>1312</v>
      </c>
      <c r="D834" t="str">
        <f>IFERROR(VLOOKUP(C834,APOYO!J:K,2,FALSE),C834)</f>
        <v>CIÉNAGA</v>
      </c>
      <c r="E834">
        <v>2014</v>
      </c>
      <c r="F834" t="s">
        <v>2189</v>
      </c>
      <c r="G834" t="s">
        <v>2189</v>
      </c>
      <c r="H834">
        <v>1</v>
      </c>
      <c r="I834" s="13" t="s">
        <v>2189</v>
      </c>
      <c r="J834" s="13" t="s">
        <v>2189</v>
      </c>
      <c r="K834" s="13" t="s">
        <v>2189</v>
      </c>
    </row>
    <row r="835" spans="1:11" hidden="1" x14ac:dyDescent="0.25">
      <c r="A835" t="str">
        <f>_xlfn.XLOOKUP(C835, 'Códigos DANE Municipios'!$B$2:$B$1123, 'Códigos DANE Municipios'!$A$2:$A$1123, "No encontrado")</f>
        <v>68190</v>
      </c>
      <c r="B835" t="str">
        <f>IFERROR(VLOOKUP(D835,APOYO!K:L,2,FALSE),A835)</f>
        <v>68190</v>
      </c>
      <c r="C835" t="s">
        <v>1688</v>
      </c>
      <c r="D835" t="str">
        <f>IFERROR(VLOOKUP(C835,APOYO!J:K,2,FALSE),C835)</f>
        <v>CIMITARRA</v>
      </c>
      <c r="E835">
        <v>2014</v>
      </c>
      <c r="F835">
        <v>75</v>
      </c>
      <c r="G835" t="s">
        <v>2189</v>
      </c>
      <c r="H835">
        <v>3</v>
      </c>
      <c r="I835" s="13" t="s">
        <v>2189</v>
      </c>
      <c r="J835" s="13" t="s">
        <v>2189</v>
      </c>
      <c r="K835" s="13" t="s">
        <v>2189</v>
      </c>
    </row>
    <row r="836" spans="1:11" hidden="1" x14ac:dyDescent="0.25">
      <c r="A836" t="str">
        <f>_xlfn.XLOOKUP(C836, 'Códigos DANE Municipios'!$B$2:$B$1123, 'Códigos DANE Municipios'!$A$2:$A$1123, "No encontrado")</f>
        <v>63190</v>
      </c>
      <c r="B836" t="str">
        <f>IFERROR(VLOOKUP(D836,APOYO!K:L,2,FALSE),A836)</f>
        <v>63190</v>
      </c>
      <c r="C836" t="s">
        <v>1611</v>
      </c>
      <c r="D836" t="str">
        <f>IFERROR(VLOOKUP(C836,APOYO!J:K,2,FALSE),C836)</f>
        <v>CIRCASIA</v>
      </c>
      <c r="E836">
        <v>2014</v>
      </c>
      <c r="F836" t="s">
        <v>2189</v>
      </c>
      <c r="G836" t="s">
        <v>2189</v>
      </c>
      <c r="H836">
        <v>108</v>
      </c>
      <c r="I836" s="13" t="s">
        <v>2189</v>
      </c>
      <c r="J836" s="13" t="s">
        <v>2189</v>
      </c>
      <c r="K836" s="13" t="s">
        <v>2189</v>
      </c>
    </row>
    <row r="837" spans="1:11" hidden="1" x14ac:dyDescent="0.25">
      <c r="A837" t="str">
        <f>_xlfn.XLOOKUP(C837, 'Códigos DANE Municipios'!$B$2:$B$1123, 'Códigos DANE Municipios'!$A$2:$A$1123, "No encontrado")</f>
        <v>05190</v>
      </c>
      <c r="B837" t="str">
        <f>IFERROR(VLOOKUP(D837,APOYO!K:L,2,FALSE),A837)</f>
        <v>05190</v>
      </c>
      <c r="C837" t="s">
        <v>84</v>
      </c>
      <c r="D837" t="str">
        <f>IFERROR(VLOOKUP(C837,APOYO!J:K,2,FALSE),C837)</f>
        <v>CISNEROS</v>
      </c>
      <c r="E837">
        <v>2014</v>
      </c>
      <c r="F837" t="s">
        <v>2189</v>
      </c>
      <c r="G837" t="s">
        <v>2189</v>
      </c>
      <c r="H837">
        <v>1</v>
      </c>
      <c r="I837" s="13" t="s">
        <v>2189</v>
      </c>
      <c r="J837" s="13" t="s">
        <v>2189</v>
      </c>
      <c r="K837" s="13" t="s">
        <v>2189</v>
      </c>
    </row>
    <row r="838" spans="1:11" hidden="1" x14ac:dyDescent="0.25">
      <c r="A838" t="str">
        <f>_xlfn.XLOOKUP(C838, 'Códigos DANE Municipios'!$B$2:$B$1123, 'Códigos DANE Municipios'!$A$2:$A$1123, "No encontrado")</f>
        <v>05197</v>
      </c>
      <c r="B838" t="str">
        <f>IFERROR(VLOOKUP(D838,APOYO!K:L,2,FALSE),A838)</f>
        <v>05197</v>
      </c>
      <c r="C838" t="s">
        <v>86</v>
      </c>
      <c r="D838" t="str">
        <f>IFERROR(VLOOKUP(C838,APOYO!J:K,2,FALSE),C838)</f>
        <v>COCORNÁ</v>
      </c>
      <c r="E838">
        <v>2014</v>
      </c>
      <c r="F838" t="s">
        <v>2189</v>
      </c>
      <c r="G838" t="s">
        <v>2189</v>
      </c>
      <c r="H838">
        <v>3</v>
      </c>
      <c r="I838" s="13" t="s">
        <v>2189</v>
      </c>
      <c r="J838" s="13" t="s">
        <v>2189</v>
      </c>
      <c r="K838" s="13" t="s">
        <v>2189</v>
      </c>
    </row>
    <row r="839" spans="1:11" hidden="1" x14ac:dyDescent="0.25">
      <c r="A839" t="str">
        <f>_xlfn.XLOOKUP(C839, 'Códigos DANE Municipios'!$B$2:$B$1123, 'Códigos DANE Municipios'!$A$2:$A$1123, "No encontrado")</f>
        <v>73200</v>
      </c>
      <c r="B839" t="str">
        <f>IFERROR(VLOOKUP(D839,APOYO!K:L,2,FALSE),A839)</f>
        <v>73200</v>
      </c>
      <c r="C839" t="s">
        <v>1887</v>
      </c>
      <c r="D839" t="str">
        <f>IFERROR(VLOOKUP(C839,APOYO!J:K,2,FALSE),C839)</f>
        <v>COELLO</v>
      </c>
      <c r="E839">
        <v>2014</v>
      </c>
      <c r="F839" t="s">
        <v>2189</v>
      </c>
      <c r="G839" t="s">
        <v>2189</v>
      </c>
      <c r="H839" t="s">
        <v>2189</v>
      </c>
      <c r="I839" s="13" t="s">
        <v>2189</v>
      </c>
      <c r="J839" s="13" t="s">
        <v>2189</v>
      </c>
      <c r="K839" s="13" t="s">
        <v>2189</v>
      </c>
    </row>
    <row r="840" spans="1:11" hidden="1" x14ac:dyDescent="0.25">
      <c r="A840" t="str">
        <f>_xlfn.XLOOKUP(C840, 'Códigos DANE Municipios'!$B$2:$B$1123, 'Códigos DANE Municipios'!$A$2:$A$1123, "No encontrado")</f>
        <v>25200</v>
      </c>
      <c r="B840" t="str">
        <f>IFERROR(VLOOKUP(D840,APOYO!K:L,2,FALSE),A840)</f>
        <v>25200</v>
      </c>
      <c r="C840" t="s">
        <v>954</v>
      </c>
      <c r="D840" t="str">
        <f>IFERROR(VLOOKUP(C840,APOYO!J:K,2,FALSE),C840)</f>
        <v>COGUA</v>
      </c>
      <c r="E840">
        <v>2014</v>
      </c>
      <c r="F840" t="s">
        <v>2189</v>
      </c>
      <c r="G840" t="s">
        <v>2189</v>
      </c>
      <c r="H840">
        <v>9</v>
      </c>
      <c r="I840" s="13" t="s">
        <v>2189</v>
      </c>
      <c r="J840" s="13" t="s">
        <v>2189</v>
      </c>
      <c r="K840" s="13" t="s">
        <v>2189</v>
      </c>
    </row>
    <row r="841" spans="1:11" hidden="1" x14ac:dyDescent="0.25">
      <c r="A841" t="str">
        <f>_xlfn.XLOOKUP(C841, 'Códigos DANE Municipios'!$B$2:$B$1123, 'Códigos DANE Municipios'!$A$2:$A$1123, "No encontrado")</f>
        <v>41206</v>
      </c>
      <c r="B841" t="str">
        <f>IFERROR(VLOOKUP(D841,APOYO!K:L,2,FALSE),A841)</f>
        <v>41206</v>
      </c>
      <c r="C841" t="s">
        <v>1217</v>
      </c>
      <c r="D841" t="str">
        <f>IFERROR(VLOOKUP(C841,APOYO!J:K,2,FALSE),C841)</f>
        <v>COLOMBIA</v>
      </c>
      <c r="E841">
        <v>2014</v>
      </c>
      <c r="F841" t="s">
        <v>2189</v>
      </c>
      <c r="G841" t="s">
        <v>2189</v>
      </c>
      <c r="H841">
        <v>1</v>
      </c>
      <c r="I841" s="13" t="s">
        <v>2189</v>
      </c>
      <c r="J841" s="13" t="s">
        <v>2189</v>
      </c>
      <c r="K841" s="13" t="s">
        <v>2189</v>
      </c>
    </row>
    <row r="842" spans="1:11" hidden="1" x14ac:dyDescent="0.25">
      <c r="A842" t="str">
        <f>_xlfn.XLOOKUP(C842, 'Códigos DANE Municipios'!$B$2:$B$1123, 'Códigos DANE Municipios'!$A$2:$A$1123, "No encontrado")</f>
        <v>52203</v>
      </c>
      <c r="B842" t="str">
        <f>IFERROR(VLOOKUP(D842,APOYO!K:L,2,FALSE),A842)</f>
        <v>52203</v>
      </c>
      <c r="C842" t="s">
        <v>1426</v>
      </c>
      <c r="D842" t="str">
        <f>IFERROR(VLOOKUP(C842,APOYO!J:K,2,FALSE),C842)</f>
        <v>COLÓN</v>
      </c>
      <c r="E842">
        <v>2014</v>
      </c>
      <c r="F842" t="s">
        <v>2189</v>
      </c>
      <c r="G842" t="s">
        <v>2189</v>
      </c>
      <c r="H842">
        <v>15</v>
      </c>
      <c r="I842" s="13" t="s">
        <v>2189</v>
      </c>
      <c r="J842" s="13" t="s">
        <v>2189</v>
      </c>
      <c r="K842" s="13" t="s">
        <v>2189</v>
      </c>
    </row>
    <row r="843" spans="1:11" hidden="1" x14ac:dyDescent="0.25">
      <c r="A843" t="str">
        <f>_xlfn.XLOOKUP(C843, 'Códigos DANE Municipios'!$B$2:$B$1123, 'Códigos DANE Municipios'!$A$2:$A$1123, "No encontrado")</f>
        <v>15204</v>
      </c>
      <c r="B843" t="str">
        <f>IFERROR(VLOOKUP(D843,APOYO!K:L,2,FALSE),A843)</f>
        <v>15204</v>
      </c>
      <c r="C843" t="s">
        <v>443</v>
      </c>
      <c r="D843" t="str">
        <f>IFERROR(VLOOKUP(C843,APOYO!J:K,2,FALSE),C843)</f>
        <v>CÓMBITA</v>
      </c>
      <c r="E843">
        <v>2014</v>
      </c>
      <c r="F843" t="s">
        <v>2189</v>
      </c>
      <c r="G843" t="s">
        <v>2189</v>
      </c>
      <c r="H843">
        <v>3</v>
      </c>
      <c r="I843" s="13" t="s">
        <v>2189</v>
      </c>
      <c r="J843" s="13" t="s">
        <v>2189</v>
      </c>
      <c r="K843" s="13" t="s">
        <v>2189</v>
      </c>
    </row>
    <row r="844" spans="1:11" hidden="1" x14ac:dyDescent="0.25">
      <c r="A844" t="str">
        <f>_xlfn.XLOOKUP(C844, 'Códigos DANE Municipios'!$B$2:$B$1123, 'Códigos DANE Municipios'!$A$2:$A$1123, "No encontrado")</f>
        <v>05206</v>
      </c>
      <c r="B844" t="str">
        <f>IFERROR(VLOOKUP(D844,APOYO!K:L,2,FALSE),A844)</f>
        <v>05206</v>
      </c>
      <c r="C844" t="s">
        <v>88</v>
      </c>
      <c r="D844" t="str">
        <f>IFERROR(VLOOKUP(C844,APOYO!J:K,2,FALSE),C844)</f>
        <v>CONCEPCIÓN</v>
      </c>
      <c r="E844">
        <v>2014</v>
      </c>
      <c r="F844" t="s">
        <v>2189</v>
      </c>
      <c r="G844" t="s">
        <v>2189</v>
      </c>
      <c r="H844">
        <v>3</v>
      </c>
      <c r="I844" s="13" t="s">
        <v>2189</v>
      </c>
      <c r="J844" s="13" t="s">
        <v>2189</v>
      </c>
      <c r="K844" s="13" t="s">
        <v>2189</v>
      </c>
    </row>
    <row r="845" spans="1:11" hidden="1" x14ac:dyDescent="0.25">
      <c r="A845" t="str">
        <f>_xlfn.XLOOKUP(C845, 'Códigos DANE Municipios'!$B$2:$B$1123, 'Códigos DANE Municipios'!$A$2:$A$1123, "No encontrado")</f>
        <v>05209</v>
      </c>
      <c r="B845" t="str">
        <f>IFERROR(VLOOKUP(D845,APOYO!K:L,2,FALSE),A845)</f>
        <v>05209</v>
      </c>
      <c r="C845" t="s">
        <v>90</v>
      </c>
      <c r="D845" t="str">
        <f>IFERROR(VLOOKUP(C845,APOYO!J:K,2,FALSE),C845)</f>
        <v>CONCORDIA</v>
      </c>
      <c r="E845">
        <v>2014</v>
      </c>
      <c r="F845" t="s">
        <v>2189</v>
      </c>
      <c r="G845" t="s">
        <v>2189</v>
      </c>
      <c r="H845">
        <v>3</v>
      </c>
      <c r="I845" s="13" t="s">
        <v>2189</v>
      </c>
      <c r="J845" s="13" t="s">
        <v>2189</v>
      </c>
      <c r="K845" s="13" t="s">
        <v>2189</v>
      </c>
    </row>
    <row r="846" spans="1:11" hidden="1" x14ac:dyDescent="0.25">
      <c r="A846" t="str">
        <f>_xlfn.XLOOKUP(C846, 'Códigos DANE Municipios'!$B$2:$B$1123, 'Códigos DANE Municipios'!$A$2:$A$1123, "No encontrado")</f>
        <v>27205</v>
      </c>
      <c r="B846" t="str">
        <f>IFERROR(VLOOKUP(D846,APOYO!K:L,2,FALSE),A846)</f>
        <v>27205</v>
      </c>
      <c r="C846" t="s">
        <v>1164</v>
      </c>
      <c r="D846" t="str">
        <f>IFERROR(VLOOKUP(C846,APOYO!J:K,2,FALSE),C846)</f>
        <v>CONDOTO</v>
      </c>
      <c r="E846">
        <v>2014</v>
      </c>
      <c r="F846">
        <v>414</v>
      </c>
      <c r="G846" t="s">
        <v>2189</v>
      </c>
      <c r="H846" t="s">
        <v>2189</v>
      </c>
      <c r="I846" s="13" t="s">
        <v>2189</v>
      </c>
      <c r="J846" s="13" t="s">
        <v>2189</v>
      </c>
      <c r="K846" s="13" t="s">
        <v>2189</v>
      </c>
    </row>
    <row r="847" spans="1:11" hidden="1" x14ac:dyDescent="0.25">
      <c r="A847" t="str">
        <f>_xlfn.XLOOKUP(C847, 'Códigos DANE Municipios'!$B$2:$B$1123, 'Códigos DANE Municipios'!$A$2:$A$1123, "No encontrado")</f>
        <v>52207</v>
      </c>
      <c r="B847" t="str">
        <f>IFERROR(VLOOKUP(D847,APOYO!K:L,2,FALSE),A847)</f>
        <v>52207</v>
      </c>
      <c r="C847" t="s">
        <v>1428</v>
      </c>
      <c r="D847" t="str">
        <f>IFERROR(VLOOKUP(C847,APOYO!J:K,2,FALSE),C847)</f>
        <v>CONSACÁ</v>
      </c>
      <c r="E847">
        <v>2014</v>
      </c>
      <c r="F847" t="s">
        <v>2189</v>
      </c>
      <c r="G847" t="s">
        <v>2189</v>
      </c>
      <c r="H847">
        <v>1</v>
      </c>
      <c r="I847" s="13" t="s">
        <v>2189</v>
      </c>
      <c r="J847" s="13" t="s">
        <v>2189</v>
      </c>
      <c r="K847" s="13" t="s">
        <v>2189</v>
      </c>
    </row>
    <row r="848" spans="1:11" hidden="1" x14ac:dyDescent="0.25">
      <c r="A848" t="str">
        <f>_xlfn.XLOOKUP(C848, 'Códigos DANE Municipios'!$B$2:$B$1123, 'Códigos DANE Municipios'!$A$2:$A$1123, "No encontrado")</f>
        <v>68211</v>
      </c>
      <c r="B848" t="str">
        <f>IFERROR(VLOOKUP(D848,APOYO!K:L,2,FALSE),A848)</f>
        <v>68211</v>
      </c>
      <c r="C848" t="s">
        <v>1693</v>
      </c>
      <c r="D848" t="str">
        <f>IFERROR(VLOOKUP(C848,APOYO!J:K,2,FALSE),C848)</f>
        <v>CONTRATACIÓN</v>
      </c>
      <c r="E848">
        <v>2014</v>
      </c>
      <c r="F848" t="s">
        <v>2189</v>
      </c>
      <c r="G848" t="s">
        <v>2189</v>
      </c>
      <c r="H848">
        <v>1</v>
      </c>
      <c r="I848" s="13" t="s">
        <v>2189</v>
      </c>
      <c r="J848" s="13" t="s">
        <v>2189</v>
      </c>
      <c r="K848" s="13" t="s">
        <v>2189</v>
      </c>
    </row>
    <row r="849" spans="1:11" hidden="1" x14ac:dyDescent="0.25">
      <c r="A849" t="str">
        <f>_xlfn.XLOOKUP(C849, 'Códigos DANE Municipios'!$B$2:$B$1123, 'Códigos DANE Municipios'!$A$2:$A$1123, "No encontrado")</f>
        <v>52210</v>
      </c>
      <c r="B849" t="str">
        <f>IFERROR(VLOOKUP(D849,APOYO!K:L,2,FALSE),A849)</f>
        <v>52210</v>
      </c>
      <c r="C849" t="s">
        <v>1430</v>
      </c>
      <c r="D849" t="str">
        <f>IFERROR(VLOOKUP(C849,APOYO!J:K,2,FALSE),C849)</f>
        <v>CONTADERO</v>
      </c>
      <c r="E849">
        <v>2014</v>
      </c>
      <c r="F849" t="s">
        <v>2189</v>
      </c>
      <c r="G849" t="s">
        <v>2189</v>
      </c>
      <c r="H849" t="s">
        <v>2189</v>
      </c>
      <c r="I849" s="13" t="s">
        <v>2189</v>
      </c>
      <c r="J849" s="13" t="s">
        <v>2189</v>
      </c>
      <c r="K849" s="13" t="s">
        <v>2189</v>
      </c>
    </row>
    <row r="850" spans="1:11" hidden="1" x14ac:dyDescent="0.25">
      <c r="A850" t="str">
        <f>_xlfn.XLOOKUP(C850, 'Códigos DANE Municipios'!$B$2:$B$1123, 'Códigos DANE Municipios'!$A$2:$A$1123, "No encontrado")</f>
        <v>05212</v>
      </c>
      <c r="B850" t="str">
        <f>IFERROR(VLOOKUP(D850,APOYO!K:L,2,FALSE),A850)</f>
        <v>05212</v>
      </c>
      <c r="C850" t="s">
        <v>92</v>
      </c>
      <c r="D850" t="str">
        <f>IFERROR(VLOOKUP(C850,APOYO!J:K,2,FALSE),C850)</f>
        <v>COPACABANA</v>
      </c>
      <c r="E850">
        <v>2014</v>
      </c>
      <c r="F850" t="s">
        <v>2189</v>
      </c>
      <c r="G850" t="s">
        <v>2189</v>
      </c>
      <c r="H850">
        <v>103</v>
      </c>
      <c r="I850" s="13" t="s">
        <v>2189</v>
      </c>
      <c r="J850" s="13" t="s">
        <v>2189</v>
      </c>
      <c r="K850" s="13" t="s">
        <v>2189</v>
      </c>
    </row>
    <row r="851" spans="1:11" hidden="1" x14ac:dyDescent="0.25">
      <c r="A851" t="str">
        <f>_xlfn.XLOOKUP(C851, 'Códigos DANE Municipios'!$B$2:$B$1123, 'Códigos DANE Municipios'!$A$2:$A$1123, "No encontrado")</f>
        <v>13212</v>
      </c>
      <c r="B851" t="str">
        <f>IFERROR(VLOOKUP(D851,APOYO!K:L,2,FALSE),A851)</f>
        <v>13212</v>
      </c>
      <c r="C851" t="s">
        <v>329</v>
      </c>
      <c r="D851" t="str">
        <f>IFERROR(VLOOKUP(C851,APOYO!J:K,2,FALSE),C851)</f>
        <v>CÓRDOBA</v>
      </c>
      <c r="E851">
        <v>2014</v>
      </c>
      <c r="F851" t="s">
        <v>2189</v>
      </c>
      <c r="G851" t="s">
        <v>2189</v>
      </c>
      <c r="H851">
        <v>9</v>
      </c>
      <c r="I851" s="13" t="s">
        <v>2189</v>
      </c>
      <c r="J851" s="13" t="s">
        <v>2189</v>
      </c>
      <c r="K851" s="13" t="s">
        <v>2189</v>
      </c>
    </row>
    <row r="852" spans="1:11" hidden="1" x14ac:dyDescent="0.25">
      <c r="A852" t="str">
        <f>_xlfn.XLOOKUP(C852, 'Códigos DANE Municipios'!$B$2:$B$1123, 'Códigos DANE Municipios'!$A$2:$A$1123, "No encontrado")</f>
        <v>19212</v>
      </c>
      <c r="B852" t="str">
        <f>IFERROR(VLOOKUP(D852,APOYO!K:L,2,FALSE),A852)</f>
        <v>19212</v>
      </c>
      <c r="C852" t="s">
        <v>746</v>
      </c>
      <c r="D852" t="str">
        <f>IFERROR(VLOOKUP(C852,APOYO!J:K,2,FALSE),C852)</f>
        <v>CORINTO</v>
      </c>
      <c r="E852">
        <v>2014</v>
      </c>
      <c r="F852" t="s">
        <v>2189</v>
      </c>
      <c r="G852" t="s">
        <v>2189</v>
      </c>
      <c r="H852">
        <v>4</v>
      </c>
      <c r="I852" s="13" t="s">
        <v>2189</v>
      </c>
      <c r="J852" s="13" t="s">
        <v>2189</v>
      </c>
      <c r="K852" s="13" t="s">
        <v>2189</v>
      </c>
    </row>
    <row r="853" spans="1:11" hidden="1" x14ac:dyDescent="0.25">
      <c r="A853" t="str">
        <f>_xlfn.XLOOKUP(C853, 'Códigos DANE Municipios'!$B$2:$B$1123, 'Códigos DANE Municipios'!$A$2:$A$1123, "No encontrado")</f>
        <v>70215</v>
      </c>
      <c r="B853" t="str">
        <f>IFERROR(VLOOKUP(D853,APOYO!K:L,2,FALSE),A853)</f>
        <v>70215</v>
      </c>
      <c r="C853" t="s">
        <v>1823</v>
      </c>
      <c r="D853" t="str">
        <f>IFERROR(VLOOKUP(C853,APOYO!J:K,2,FALSE),C853)</f>
        <v>COROZAL</v>
      </c>
      <c r="E853">
        <v>2014</v>
      </c>
      <c r="F853">
        <v>21624</v>
      </c>
      <c r="G853">
        <v>7</v>
      </c>
      <c r="H853">
        <v>23</v>
      </c>
      <c r="I853" s="13" t="s">
        <v>2189</v>
      </c>
      <c r="J853" s="13" t="s">
        <v>2189</v>
      </c>
      <c r="K853" s="13" t="s">
        <v>2189</v>
      </c>
    </row>
    <row r="854" spans="1:11" hidden="1" x14ac:dyDescent="0.25">
      <c r="A854" t="str">
        <f>_xlfn.XLOOKUP(C854, 'Códigos DANE Municipios'!$B$2:$B$1123, 'Códigos DANE Municipios'!$A$2:$A$1123, "No encontrado")</f>
        <v>25214</v>
      </c>
      <c r="B854" t="str">
        <f>IFERROR(VLOOKUP(D854,APOYO!K:L,2,FALSE),A854)</f>
        <v>25214</v>
      </c>
      <c r="C854" t="s">
        <v>956</v>
      </c>
      <c r="D854" t="str">
        <f>IFERROR(VLOOKUP(C854,APOYO!J:K,2,FALSE),C854)</f>
        <v>COTA</v>
      </c>
      <c r="E854">
        <v>2014</v>
      </c>
      <c r="F854" t="s">
        <v>2189</v>
      </c>
      <c r="G854" t="s">
        <v>2189</v>
      </c>
      <c r="H854">
        <v>265</v>
      </c>
      <c r="I854" s="13" t="s">
        <v>2189</v>
      </c>
      <c r="J854" s="13" t="s">
        <v>2189</v>
      </c>
      <c r="K854" s="13" t="s">
        <v>2189</v>
      </c>
    </row>
    <row r="855" spans="1:11" hidden="1" x14ac:dyDescent="0.25">
      <c r="A855" t="str">
        <f>_xlfn.XLOOKUP(C855, 'Códigos DANE Municipios'!$B$2:$B$1123, 'Códigos DANE Municipios'!$A$2:$A$1123, "No encontrado")</f>
        <v>70221</v>
      </c>
      <c r="B855" t="str">
        <f>IFERROR(VLOOKUP(D855,APOYO!K:L,2,FALSE),A855)</f>
        <v>70221</v>
      </c>
      <c r="C855" t="s">
        <v>1825</v>
      </c>
      <c r="D855" t="str">
        <f>IFERROR(VLOOKUP(C855,APOYO!J:K,2,FALSE),C855)</f>
        <v>COVEÑAS</v>
      </c>
      <c r="E855">
        <v>2014</v>
      </c>
      <c r="F855">
        <v>661</v>
      </c>
      <c r="G855" t="s">
        <v>2189</v>
      </c>
      <c r="H855">
        <v>90</v>
      </c>
      <c r="I855" s="13" t="s">
        <v>2189</v>
      </c>
      <c r="J855" s="13" t="s">
        <v>2189</v>
      </c>
      <c r="K855" s="13" t="s">
        <v>2189</v>
      </c>
    </row>
    <row r="856" spans="1:11" hidden="1" x14ac:dyDescent="0.25">
      <c r="A856" t="str">
        <f>_xlfn.XLOOKUP(C856, 'Códigos DANE Municipios'!$B$2:$B$1123, 'Códigos DANE Municipios'!$A$2:$A$1123, "No encontrado")</f>
        <v>81220</v>
      </c>
      <c r="B856" t="str">
        <f>IFERROR(VLOOKUP(D856,APOYO!K:L,2,FALSE),A856)</f>
        <v>81220</v>
      </c>
      <c r="C856" t="s">
        <v>2038</v>
      </c>
      <c r="D856" t="str">
        <f>IFERROR(VLOOKUP(C856,APOYO!J:K,2,FALSE),C856)</f>
        <v>CRAVO NORTE</v>
      </c>
      <c r="E856">
        <v>2014</v>
      </c>
      <c r="F856">
        <v>212</v>
      </c>
      <c r="G856" t="s">
        <v>2189</v>
      </c>
      <c r="H856" t="s">
        <v>2189</v>
      </c>
      <c r="I856" s="13" t="s">
        <v>2189</v>
      </c>
      <c r="J856" s="13" t="s">
        <v>2189</v>
      </c>
      <c r="K856" s="13" t="s">
        <v>2189</v>
      </c>
    </row>
    <row r="857" spans="1:11" hidden="1" x14ac:dyDescent="0.25">
      <c r="A857" t="str">
        <f>_xlfn.XLOOKUP(C857, 'Códigos DANE Municipios'!$B$2:$B$1123, 'Códigos DANE Municipios'!$A$2:$A$1123, "No encontrado")</f>
        <v>15223</v>
      </c>
      <c r="B857" t="str">
        <f>IFERROR(VLOOKUP(D857,APOYO!K:L,2,FALSE),A857)</f>
        <v>15223</v>
      </c>
      <c r="C857" t="s">
        <v>451</v>
      </c>
      <c r="D857" t="str">
        <f>IFERROR(VLOOKUP(C857,APOYO!J:K,2,FALSE),C857)</f>
        <v>CUBARÁ</v>
      </c>
      <c r="E857">
        <v>2014</v>
      </c>
      <c r="F857" t="s">
        <v>2189</v>
      </c>
      <c r="G857" t="s">
        <v>2189</v>
      </c>
      <c r="H857">
        <v>1</v>
      </c>
      <c r="I857" s="13" t="s">
        <v>2189</v>
      </c>
      <c r="J857" s="13" t="s">
        <v>2189</v>
      </c>
      <c r="K857" s="13" t="s">
        <v>2189</v>
      </c>
    </row>
    <row r="858" spans="1:11" hidden="1" x14ac:dyDescent="0.25">
      <c r="A858" t="str">
        <f>_xlfn.XLOOKUP(C858, 'Códigos DANE Municipios'!$B$2:$B$1123, 'Códigos DANE Municipios'!$A$2:$A$1123, "No encontrado")</f>
        <v>50223</v>
      </c>
      <c r="B858" t="str">
        <f>IFERROR(VLOOKUP(D858,APOYO!K:L,2,FALSE),A858)</f>
        <v>50223</v>
      </c>
      <c r="C858" t="s">
        <v>1368</v>
      </c>
      <c r="D858" t="str">
        <f>IFERROR(VLOOKUP(C858,APOYO!J:K,2,FALSE),C858)</f>
        <v>SAN LUIS DE CUBARRAL</v>
      </c>
      <c r="E858">
        <v>2014</v>
      </c>
      <c r="F858" t="s">
        <v>2189</v>
      </c>
      <c r="G858" t="s">
        <v>2189</v>
      </c>
      <c r="H858" t="s">
        <v>2189</v>
      </c>
      <c r="I858" s="13" t="s">
        <v>2189</v>
      </c>
      <c r="J858" s="13" t="s">
        <v>2189</v>
      </c>
      <c r="K858" s="13" t="s">
        <v>2189</v>
      </c>
    </row>
    <row r="859" spans="1:11" hidden="1" x14ac:dyDescent="0.25">
      <c r="A859" t="str">
        <f>_xlfn.XLOOKUP(C859, 'Códigos DANE Municipios'!$B$2:$B$1123, 'Códigos DANE Municipios'!$A$2:$A$1123, "No encontrado")</f>
        <v>15224</v>
      </c>
      <c r="B859" t="str">
        <f>IFERROR(VLOOKUP(D859,APOYO!K:L,2,FALSE),A859)</f>
        <v>15224</v>
      </c>
      <c r="C859" t="s">
        <v>453</v>
      </c>
      <c r="D859" t="str">
        <f>IFERROR(VLOOKUP(C859,APOYO!J:K,2,FALSE),C859)</f>
        <v>CUCAITA</v>
      </c>
      <c r="E859">
        <v>2014</v>
      </c>
      <c r="F859" t="s">
        <v>2189</v>
      </c>
      <c r="G859" t="s">
        <v>2189</v>
      </c>
      <c r="H859">
        <v>1</v>
      </c>
      <c r="I859" s="13" t="s">
        <v>2189</v>
      </c>
      <c r="J859" s="13" t="s">
        <v>2189</v>
      </c>
      <c r="K859" s="13" t="s">
        <v>2189</v>
      </c>
    </row>
    <row r="860" spans="1:11" hidden="1" x14ac:dyDescent="0.25">
      <c r="A860" t="str">
        <f>_xlfn.XLOOKUP(C860, 'Códigos DANE Municipios'!$B$2:$B$1123, 'Códigos DANE Municipios'!$A$2:$A$1123, "No encontrado")</f>
        <v>25224</v>
      </c>
      <c r="B860" t="str">
        <f>IFERROR(VLOOKUP(D860,APOYO!K:L,2,FALSE),A860)</f>
        <v>25224</v>
      </c>
      <c r="C860" t="s">
        <v>958</v>
      </c>
      <c r="D860" t="str">
        <f>IFERROR(VLOOKUP(C860,APOYO!J:K,2,FALSE),C860)</f>
        <v>CUCUNUBÁ</v>
      </c>
      <c r="E860">
        <v>2014</v>
      </c>
      <c r="F860" t="s">
        <v>2189</v>
      </c>
      <c r="G860" t="s">
        <v>2189</v>
      </c>
      <c r="H860">
        <v>2</v>
      </c>
      <c r="I860" s="13" t="s">
        <v>2189</v>
      </c>
      <c r="J860" s="13" t="s">
        <v>2189</v>
      </c>
      <c r="K860" s="13" t="s">
        <v>2189</v>
      </c>
    </row>
    <row r="861" spans="1:11" hidden="1" x14ac:dyDescent="0.25">
      <c r="A861" t="str">
        <f>_xlfn.XLOOKUP(C861, 'Códigos DANE Municipios'!$B$2:$B$1123, 'Códigos DANE Municipios'!$A$2:$A$1123, "No encontrado")</f>
        <v>54001</v>
      </c>
      <c r="B861" t="str">
        <f>IFERROR(VLOOKUP(D861,APOYO!K:L,2,FALSE),A861)</f>
        <v>54001</v>
      </c>
      <c r="C861" t="s">
        <v>1529</v>
      </c>
      <c r="D861" t="str">
        <f>IFERROR(VLOOKUP(C861,APOYO!J:K,2,FALSE),C861)</f>
        <v>CÚCUTA</v>
      </c>
      <c r="E861">
        <v>2014</v>
      </c>
      <c r="F861">
        <v>468549</v>
      </c>
      <c r="G861">
        <v>25356</v>
      </c>
      <c r="H861">
        <v>16504</v>
      </c>
      <c r="I861" s="13" t="s">
        <v>2189</v>
      </c>
      <c r="J861" s="13" t="s">
        <v>2189</v>
      </c>
      <c r="K861" s="13" t="s">
        <v>2189</v>
      </c>
    </row>
    <row r="862" spans="1:11" hidden="1" x14ac:dyDescent="0.25">
      <c r="A862" t="str">
        <f>_xlfn.XLOOKUP(C862, 'Códigos DANE Municipios'!$B$2:$B$1123, 'Códigos DANE Municipios'!$A$2:$A$1123, "No encontrado")</f>
        <v>54223</v>
      </c>
      <c r="B862" t="str">
        <f>IFERROR(VLOOKUP(D862,APOYO!K:L,2,FALSE),A862)</f>
        <v>54223</v>
      </c>
      <c r="C862" t="s">
        <v>1549</v>
      </c>
      <c r="D862" t="str">
        <f>IFERROR(VLOOKUP(C862,APOYO!J:K,2,FALSE),C862)</f>
        <v>CUCUTILLA</v>
      </c>
      <c r="E862">
        <v>2014</v>
      </c>
      <c r="F862" t="s">
        <v>2189</v>
      </c>
      <c r="G862" t="s">
        <v>2189</v>
      </c>
      <c r="H862">
        <v>149</v>
      </c>
      <c r="I862" s="13" t="s">
        <v>2189</v>
      </c>
      <c r="J862" s="13" t="s">
        <v>2189</v>
      </c>
      <c r="K862" s="13" t="s">
        <v>2189</v>
      </c>
    </row>
    <row r="863" spans="1:11" hidden="1" x14ac:dyDescent="0.25">
      <c r="A863" t="str">
        <f>_xlfn.XLOOKUP(C863, 'Códigos DANE Municipios'!$B$2:$B$1123, 'Códigos DANE Municipios'!$A$2:$A$1123, "No encontrado")</f>
        <v>15226</v>
      </c>
      <c r="B863" t="str">
        <f>IFERROR(VLOOKUP(D863,APOYO!K:L,2,FALSE),A863)</f>
        <v>15226</v>
      </c>
      <c r="C863" t="s">
        <v>455</v>
      </c>
      <c r="D863" t="str">
        <f>IFERROR(VLOOKUP(C863,APOYO!J:K,2,FALSE),C863)</f>
        <v>CUÍTIVA</v>
      </c>
      <c r="E863">
        <v>2014</v>
      </c>
      <c r="F863" t="s">
        <v>2189</v>
      </c>
      <c r="G863" t="s">
        <v>2189</v>
      </c>
      <c r="H863" t="s">
        <v>2189</v>
      </c>
      <c r="I863" s="13" t="s">
        <v>2189</v>
      </c>
      <c r="J863" s="13" t="s">
        <v>2189</v>
      </c>
      <c r="K863" s="13" t="s">
        <v>2189</v>
      </c>
    </row>
    <row r="864" spans="1:11" hidden="1" x14ac:dyDescent="0.25">
      <c r="A864" t="str">
        <f>_xlfn.XLOOKUP(C864, 'Códigos DANE Municipios'!$B$2:$B$1123, 'Códigos DANE Municipios'!$A$2:$A$1123, "No encontrado")</f>
        <v>50226</v>
      </c>
      <c r="B864" t="str">
        <f>IFERROR(VLOOKUP(D864,APOYO!K:L,2,FALSE),A864)</f>
        <v>50226</v>
      </c>
      <c r="C864" t="s">
        <v>1370</v>
      </c>
      <c r="D864" t="str">
        <f>IFERROR(VLOOKUP(C864,APOYO!J:K,2,FALSE),C864)</f>
        <v>CUMARAL</v>
      </c>
      <c r="E864">
        <v>2014</v>
      </c>
      <c r="F864">
        <v>5</v>
      </c>
      <c r="G864" t="s">
        <v>2189</v>
      </c>
      <c r="H864">
        <v>32</v>
      </c>
      <c r="I864" s="13" t="s">
        <v>2189</v>
      </c>
      <c r="J864" s="13" t="s">
        <v>2189</v>
      </c>
      <c r="K864" s="13" t="s">
        <v>2189</v>
      </c>
    </row>
    <row r="865" spans="1:11" hidden="1" x14ac:dyDescent="0.25">
      <c r="A865" t="str">
        <f>_xlfn.XLOOKUP(C865, 'Códigos DANE Municipios'!$B$2:$B$1123, 'Códigos DANE Municipios'!$A$2:$A$1123, "No encontrado")</f>
        <v>99773</v>
      </c>
      <c r="B865" t="str">
        <f>IFERROR(VLOOKUP(D865,APOYO!K:L,2,FALSE),A865)</f>
        <v>99773</v>
      </c>
      <c r="C865" t="s">
        <v>2169</v>
      </c>
      <c r="D865" t="str">
        <f>IFERROR(VLOOKUP(C865,APOYO!J:K,2,FALSE),C865)</f>
        <v>CUMARIBO</v>
      </c>
      <c r="E865">
        <v>2014</v>
      </c>
      <c r="F865">
        <v>1324</v>
      </c>
      <c r="G865" t="s">
        <v>2189</v>
      </c>
      <c r="H865">
        <v>1</v>
      </c>
      <c r="I865" s="13" t="s">
        <v>2189</v>
      </c>
      <c r="J865" s="13" t="s">
        <v>2189</v>
      </c>
      <c r="K865" s="13" t="s">
        <v>2189</v>
      </c>
    </row>
    <row r="866" spans="1:11" hidden="1" x14ac:dyDescent="0.25">
      <c r="A866" t="str">
        <f>_xlfn.XLOOKUP(C866, 'Códigos DANE Municipios'!$B$2:$B$1123, 'Códigos DANE Municipios'!$A$2:$A$1123, "No encontrado")</f>
        <v>52227</v>
      </c>
      <c r="B866" t="str">
        <f>IFERROR(VLOOKUP(D866,APOYO!K:L,2,FALSE),A866)</f>
        <v>52227</v>
      </c>
      <c r="C866" t="s">
        <v>1435</v>
      </c>
      <c r="D866" t="str">
        <f>IFERROR(VLOOKUP(C866,APOYO!J:K,2,FALSE),C866)</f>
        <v>CUMBAL</v>
      </c>
      <c r="E866">
        <v>2014</v>
      </c>
      <c r="F866" t="s">
        <v>2189</v>
      </c>
      <c r="G866" t="s">
        <v>2189</v>
      </c>
      <c r="H866">
        <v>6</v>
      </c>
      <c r="I866" s="13" t="s">
        <v>2189</v>
      </c>
      <c r="J866" s="13" t="s">
        <v>2189</v>
      </c>
      <c r="K866" s="13" t="s">
        <v>2189</v>
      </c>
    </row>
    <row r="867" spans="1:11" hidden="1" x14ac:dyDescent="0.25">
      <c r="A867" t="str">
        <f>_xlfn.XLOOKUP(C867, 'Códigos DANE Municipios'!$B$2:$B$1123, 'Códigos DANE Municipios'!$A$2:$A$1123, "No encontrado")</f>
        <v>73226</v>
      </c>
      <c r="B867" t="str">
        <f>IFERROR(VLOOKUP(D867,APOYO!K:L,2,FALSE),A867)</f>
        <v>73226</v>
      </c>
      <c r="C867" t="s">
        <v>1891</v>
      </c>
      <c r="D867" t="str">
        <f>IFERROR(VLOOKUP(C867,APOYO!J:K,2,FALSE),C867)</f>
        <v>CUNDAY</v>
      </c>
      <c r="E867">
        <v>2014</v>
      </c>
      <c r="F867" t="s">
        <v>2189</v>
      </c>
      <c r="G867" t="s">
        <v>2189</v>
      </c>
      <c r="H867">
        <v>6</v>
      </c>
      <c r="I867" s="13" t="s">
        <v>2189</v>
      </c>
      <c r="J867" s="13" t="s">
        <v>2189</v>
      </c>
      <c r="K867" s="13" t="s">
        <v>2189</v>
      </c>
    </row>
    <row r="868" spans="1:11" hidden="1" x14ac:dyDescent="0.25">
      <c r="A868" t="str">
        <f>_xlfn.XLOOKUP(C868, 'Códigos DANE Municipios'!$B$2:$B$1123, 'Códigos DANE Municipios'!$A$2:$A$1123, "No encontrado")</f>
        <v>68229</v>
      </c>
      <c r="B868" t="str">
        <f>IFERROR(VLOOKUP(D868,APOYO!K:L,2,FALSE),A868)</f>
        <v>68229</v>
      </c>
      <c r="C868" t="s">
        <v>1697</v>
      </c>
      <c r="D868" t="str">
        <f>IFERROR(VLOOKUP(C868,APOYO!J:K,2,FALSE),C868)</f>
        <v>CURITÍ</v>
      </c>
      <c r="E868">
        <v>2014</v>
      </c>
      <c r="F868" t="s">
        <v>2189</v>
      </c>
      <c r="G868" t="s">
        <v>2189</v>
      </c>
      <c r="H868">
        <v>14</v>
      </c>
      <c r="I868" s="13" t="s">
        <v>2189</v>
      </c>
      <c r="J868" s="13" t="s">
        <v>2189</v>
      </c>
      <c r="K868" s="13" t="s">
        <v>2189</v>
      </c>
    </row>
    <row r="869" spans="1:11" hidden="1" x14ac:dyDescent="0.25">
      <c r="A869" t="str">
        <f>_xlfn.XLOOKUP(C869, 'Códigos DANE Municipios'!$B$2:$B$1123, 'Códigos DANE Municipios'!$A$2:$A$1123, "No encontrado")</f>
        <v>20228</v>
      </c>
      <c r="B869" t="str">
        <f>IFERROR(VLOOKUP(D869,APOYO!K:L,2,FALSE),A869)</f>
        <v>20228</v>
      </c>
      <c r="C869" t="s">
        <v>824</v>
      </c>
      <c r="D869" t="str">
        <f>IFERROR(VLOOKUP(C869,APOYO!J:K,2,FALSE),C869)</f>
        <v>CURUMANÍ</v>
      </c>
      <c r="E869">
        <v>2014</v>
      </c>
      <c r="F869" t="s">
        <v>2189</v>
      </c>
      <c r="G869" t="s">
        <v>2189</v>
      </c>
      <c r="H869">
        <v>14</v>
      </c>
      <c r="I869" s="13" t="s">
        <v>2189</v>
      </c>
      <c r="J869" s="13" t="s">
        <v>2189</v>
      </c>
      <c r="K869" s="13" t="s">
        <v>2189</v>
      </c>
    </row>
    <row r="870" spans="1:11" hidden="1" x14ac:dyDescent="0.25">
      <c r="A870" t="str">
        <f>_xlfn.XLOOKUP(C870, 'Códigos DANE Municipios'!$B$2:$B$1123, 'Códigos DANE Municipios'!$A$2:$A$1123, "No encontrado")</f>
        <v>76233</v>
      </c>
      <c r="B870" t="str">
        <f>IFERROR(VLOOKUP(D870,APOYO!K:L,2,FALSE),A870)</f>
        <v>76233</v>
      </c>
      <c r="C870" t="s">
        <v>1980</v>
      </c>
      <c r="D870" t="str">
        <f>IFERROR(VLOOKUP(C870,APOYO!J:K,2,FALSE),C870)</f>
        <v>DAGUA</v>
      </c>
      <c r="E870">
        <v>2014</v>
      </c>
      <c r="F870" t="s">
        <v>2189</v>
      </c>
      <c r="G870" t="s">
        <v>2189</v>
      </c>
      <c r="H870">
        <v>20</v>
      </c>
      <c r="I870" s="13" t="s">
        <v>2189</v>
      </c>
      <c r="J870" s="13" t="s">
        <v>2189</v>
      </c>
      <c r="K870" s="13" t="s">
        <v>2189</v>
      </c>
    </row>
    <row r="871" spans="1:11" hidden="1" x14ac:dyDescent="0.25">
      <c r="A871" t="str">
        <f>_xlfn.XLOOKUP(C871, 'Códigos DANE Municipios'!$B$2:$B$1123, 'Códigos DANE Municipios'!$A$2:$A$1123, "No encontrado")</f>
        <v>44090</v>
      </c>
      <c r="B871" t="str">
        <f>IFERROR(VLOOKUP(D871,APOYO!K:L,2,FALSE),A871)</f>
        <v>44090</v>
      </c>
      <c r="C871" t="s">
        <v>1277</v>
      </c>
      <c r="D871" t="str">
        <f>IFERROR(VLOOKUP(C871,APOYO!J:K,2,FALSE),C871)</f>
        <v>DIBULLA</v>
      </c>
      <c r="E871">
        <v>2014</v>
      </c>
      <c r="F871" t="s">
        <v>2189</v>
      </c>
      <c r="G871" t="s">
        <v>2189</v>
      </c>
      <c r="H871">
        <v>41</v>
      </c>
      <c r="I871" s="13" t="s">
        <v>2189</v>
      </c>
      <c r="J871" s="13" t="s">
        <v>2189</v>
      </c>
      <c r="K871" s="13" t="s">
        <v>2189</v>
      </c>
    </row>
    <row r="872" spans="1:11" hidden="1" x14ac:dyDescent="0.25">
      <c r="A872" t="str">
        <f>_xlfn.XLOOKUP(C872, 'Códigos DANE Municipios'!$B$2:$B$1123, 'Códigos DANE Municipios'!$A$2:$A$1123, "No encontrado")</f>
        <v>44098</v>
      </c>
      <c r="B872" t="str">
        <f>IFERROR(VLOOKUP(D872,APOYO!K:L,2,FALSE),A872)</f>
        <v>44098</v>
      </c>
      <c r="C872" t="s">
        <v>1279</v>
      </c>
      <c r="D872" t="str">
        <f>IFERROR(VLOOKUP(C872,APOYO!J:K,2,FALSE),C872)</f>
        <v>DISTRACCIÓN</v>
      </c>
      <c r="E872">
        <v>2014</v>
      </c>
      <c r="F872">
        <v>42</v>
      </c>
      <c r="G872" t="s">
        <v>2189</v>
      </c>
      <c r="H872">
        <v>2</v>
      </c>
      <c r="I872" s="13" t="s">
        <v>2189</v>
      </c>
      <c r="J872" s="13" t="s">
        <v>2189</v>
      </c>
      <c r="K872" s="13" t="s">
        <v>2189</v>
      </c>
    </row>
    <row r="873" spans="1:11" hidden="1" x14ac:dyDescent="0.25">
      <c r="A873" t="str">
        <f>_xlfn.XLOOKUP(C873, 'Códigos DANE Municipios'!$B$2:$B$1123, 'Códigos DANE Municipios'!$A$2:$A$1123, "No encontrado")</f>
        <v>05237</v>
      </c>
      <c r="B873" t="str">
        <f>IFERROR(VLOOKUP(D873,APOYO!K:L,2,FALSE),A873)</f>
        <v>05237</v>
      </c>
      <c r="C873" t="s">
        <v>96</v>
      </c>
      <c r="D873" t="str">
        <f>IFERROR(VLOOKUP(C873,APOYO!J:K,2,FALSE),C873)</f>
        <v>DONMATÍAS</v>
      </c>
      <c r="E873">
        <v>2014</v>
      </c>
      <c r="F873" t="s">
        <v>2189</v>
      </c>
      <c r="G873" t="s">
        <v>2189</v>
      </c>
      <c r="H873">
        <v>18</v>
      </c>
      <c r="I873" s="13" t="s">
        <v>2189</v>
      </c>
      <c r="J873" s="13" t="s">
        <v>2189</v>
      </c>
      <c r="K873" s="13" t="s">
        <v>2189</v>
      </c>
    </row>
    <row r="874" spans="1:11" hidden="1" x14ac:dyDescent="0.25">
      <c r="A874" t="str">
        <f>_xlfn.XLOOKUP(C874, 'Códigos DANE Municipios'!$B$2:$B$1123, 'Códigos DANE Municipios'!$A$2:$A$1123, "No encontrado")</f>
        <v>66170</v>
      </c>
      <c r="B874" t="str">
        <f>IFERROR(VLOOKUP(D874,APOYO!K:L,2,FALSE),A874)</f>
        <v>66170</v>
      </c>
      <c r="C874" t="s">
        <v>1635</v>
      </c>
      <c r="D874" t="str">
        <f>IFERROR(VLOOKUP(C874,APOYO!J:K,2,FALSE),C874)</f>
        <v>DOSQUEBRADAS</v>
      </c>
      <c r="E874">
        <v>2014</v>
      </c>
      <c r="F874" t="s">
        <v>2189</v>
      </c>
      <c r="G874" t="s">
        <v>2189</v>
      </c>
      <c r="H874">
        <v>725</v>
      </c>
      <c r="I874" s="13" t="s">
        <v>2189</v>
      </c>
      <c r="J874" s="13" t="s">
        <v>2189</v>
      </c>
      <c r="K874" s="13" t="s">
        <v>2189</v>
      </c>
    </row>
    <row r="875" spans="1:11" hidden="1" x14ac:dyDescent="0.25">
      <c r="A875" t="str">
        <f>_xlfn.XLOOKUP(C875, 'Códigos DANE Municipios'!$B$2:$B$1123, 'Códigos DANE Municipios'!$A$2:$A$1123, "No encontrado")</f>
        <v>15238</v>
      </c>
      <c r="B875" t="str">
        <f>IFERROR(VLOOKUP(D875,APOYO!K:L,2,FALSE),A875)</f>
        <v>15238</v>
      </c>
      <c r="C875" t="s">
        <v>461</v>
      </c>
      <c r="D875" t="str">
        <f>IFERROR(VLOOKUP(C875,APOYO!J:K,2,FALSE),C875)</f>
        <v>DUITAMA</v>
      </c>
      <c r="E875">
        <v>2014</v>
      </c>
      <c r="F875" t="s">
        <v>2189</v>
      </c>
      <c r="G875" t="s">
        <v>2189</v>
      </c>
      <c r="H875">
        <v>360</v>
      </c>
      <c r="I875" s="13" t="s">
        <v>2189</v>
      </c>
      <c r="J875" s="13" t="s">
        <v>2189</v>
      </c>
      <c r="K875" s="13" t="s">
        <v>2189</v>
      </c>
    </row>
    <row r="876" spans="1:11" hidden="1" x14ac:dyDescent="0.25">
      <c r="A876" t="str">
        <f>_xlfn.XLOOKUP(C876, 'Códigos DANE Municipios'!$B$2:$B$1123, 'Códigos DANE Municipios'!$A$2:$A$1123, "No encontrado")</f>
        <v>05240</v>
      </c>
      <c r="B876" t="str">
        <f>IFERROR(VLOOKUP(D876,APOYO!K:L,2,FALSE),A876)</f>
        <v>05240</v>
      </c>
      <c r="C876" t="s">
        <v>98</v>
      </c>
      <c r="D876" t="str">
        <f>IFERROR(VLOOKUP(C876,APOYO!J:K,2,FALSE),C876)</f>
        <v>EBÉJICO</v>
      </c>
      <c r="E876">
        <v>2014</v>
      </c>
      <c r="F876" t="s">
        <v>2189</v>
      </c>
      <c r="G876" t="s">
        <v>2189</v>
      </c>
      <c r="H876">
        <v>3</v>
      </c>
      <c r="I876" s="13" t="s">
        <v>2189</v>
      </c>
      <c r="J876" s="13" t="s">
        <v>2189</v>
      </c>
      <c r="K876" s="13" t="s">
        <v>2189</v>
      </c>
    </row>
    <row r="877" spans="1:11" hidden="1" x14ac:dyDescent="0.25">
      <c r="A877" t="str">
        <f>_xlfn.XLOOKUP(C877, 'Códigos DANE Municipios'!$B$2:$B$1123, 'Códigos DANE Municipios'!$A$2:$A$1123, "No encontrado")</f>
        <v>05250</v>
      </c>
      <c r="B877" t="str">
        <f>IFERROR(VLOOKUP(D877,APOYO!K:L,2,FALSE),A877)</f>
        <v>05250</v>
      </c>
      <c r="C877" t="s">
        <v>100</v>
      </c>
      <c r="D877" t="str">
        <f>IFERROR(VLOOKUP(C877,APOYO!J:K,2,FALSE),C877)</f>
        <v>EL BAGRE</v>
      </c>
      <c r="E877">
        <v>2014</v>
      </c>
      <c r="F877">
        <v>5014</v>
      </c>
      <c r="G877" t="s">
        <v>2189</v>
      </c>
      <c r="H877" t="s">
        <v>2189</v>
      </c>
      <c r="I877" s="13" t="s">
        <v>2189</v>
      </c>
      <c r="J877" s="13" t="s">
        <v>2189</v>
      </c>
      <c r="K877" s="13" t="s">
        <v>2189</v>
      </c>
    </row>
    <row r="878" spans="1:11" hidden="1" x14ac:dyDescent="0.25">
      <c r="A878" t="str">
        <f>_xlfn.XLOOKUP(C878, 'Códigos DANE Municipios'!$B$2:$B$1123, 'Códigos DANE Municipios'!$A$2:$A$1123, "No encontrado")</f>
        <v>47245</v>
      </c>
      <c r="B878" t="str">
        <f>IFERROR(VLOOKUP(D878,APOYO!K:L,2,FALSE),A878)</f>
        <v>47245</v>
      </c>
      <c r="C878" t="s">
        <v>1315</v>
      </c>
      <c r="D878" t="str">
        <f>IFERROR(VLOOKUP(C878,APOYO!J:K,2,FALSE),C878)</f>
        <v>EL BANCO</v>
      </c>
      <c r="E878">
        <v>2014</v>
      </c>
      <c r="F878">
        <v>160</v>
      </c>
      <c r="G878" t="s">
        <v>2189</v>
      </c>
      <c r="H878">
        <v>9</v>
      </c>
      <c r="I878" s="13" t="s">
        <v>2189</v>
      </c>
      <c r="J878" s="13" t="s">
        <v>2189</v>
      </c>
      <c r="K878" s="13" t="s">
        <v>2189</v>
      </c>
    </row>
    <row r="879" spans="1:11" hidden="1" x14ac:dyDescent="0.25">
      <c r="A879" t="str">
        <f>_xlfn.XLOOKUP(C879, 'Códigos DANE Municipios'!$B$2:$B$1123, 'Códigos DANE Municipios'!$A$2:$A$1123, "No encontrado")</f>
        <v>76246</v>
      </c>
      <c r="B879" t="str">
        <f>IFERROR(VLOOKUP(D879,APOYO!K:L,2,FALSE),A879)</f>
        <v>76246</v>
      </c>
      <c r="C879" t="s">
        <v>1984</v>
      </c>
      <c r="D879" t="str">
        <f>IFERROR(VLOOKUP(C879,APOYO!J:K,2,FALSE),C879)</f>
        <v>EL CAIRO</v>
      </c>
      <c r="E879">
        <v>2014</v>
      </c>
      <c r="F879" t="s">
        <v>2189</v>
      </c>
      <c r="G879" t="s">
        <v>2189</v>
      </c>
      <c r="H879">
        <v>5</v>
      </c>
      <c r="I879" s="13" t="s">
        <v>2189</v>
      </c>
      <c r="J879" s="13" t="s">
        <v>2189</v>
      </c>
      <c r="K879" s="13" t="s">
        <v>2189</v>
      </c>
    </row>
    <row r="880" spans="1:11" hidden="1" x14ac:dyDescent="0.25">
      <c r="A880" t="str">
        <f>_xlfn.XLOOKUP(C880, 'Códigos DANE Municipios'!$B$2:$B$1123, 'Códigos DANE Municipios'!$A$2:$A$1123, "No encontrado")</f>
        <v>54245</v>
      </c>
      <c r="B880" t="str">
        <f>IFERROR(VLOOKUP(D880,APOYO!K:L,2,FALSE),A880)</f>
        <v>54245</v>
      </c>
      <c r="C880" t="s">
        <v>1553</v>
      </c>
      <c r="D880" t="str">
        <f>IFERROR(VLOOKUP(C880,APOYO!J:K,2,FALSE),C880)</f>
        <v>EL CARMEN</v>
      </c>
      <c r="E880">
        <v>2014</v>
      </c>
      <c r="F880">
        <v>20</v>
      </c>
      <c r="G880" t="s">
        <v>2189</v>
      </c>
      <c r="H880">
        <v>56</v>
      </c>
      <c r="I880" s="13" t="s">
        <v>2189</v>
      </c>
      <c r="J880" s="13" t="s">
        <v>2189</v>
      </c>
      <c r="K880" s="13" t="s">
        <v>2189</v>
      </c>
    </row>
    <row r="881" spans="1:11" hidden="1" x14ac:dyDescent="0.25">
      <c r="A881" t="str">
        <f>_xlfn.XLOOKUP(C881, 'Códigos DANE Municipios'!$B$2:$B$1123, 'Códigos DANE Municipios'!$A$2:$A$1123, "No encontrado")</f>
        <v>13244</v>
      </c>
      <c r="B881" t="str">
        <f>IFERROR(VLOOKUP(D881,APOYO!K:L,2,FALSE),A881)</f>
        <v>13244</v>
      </c>
      <c r="C881" t="s">
        <v>333</v>
      </c>
      <c r="D881" t="str">
        <f>IFERROR(VLOOKUP(C881,APOYO!J:K,2,FALSE),C881)</f>
        <v>EL CARMEN DE BOLÍVAR</v>
      </c>
      <c r="E881">
        <v>2014</v>
      </c>
      <c r="F881" t="s">
        <v>2189</v>
      </c>
      <c r="G881" t="s">
        <v>2189</v>
      </c>
      <c r="H881">
        <v>9</v>
      </c>
      <c r="I881" s="13" t="s">
        <v>2189</v>
      </c>
      <c r="J881" s="13" t="s">
        <v>2189</v>
      </c>
      <c r="K881" s="13" t="s">
        <v>2189</v>
      </c>
    </row>
    <row r="882" spans="1:11" hidden="1" x14ac:dyDescent="0.25">
      <c r="A882" t="str">
        <f>_xlfn.XLOOKUP(C882, 'Códigos DANE Municipios'!$B$2:$B$1123, 'Códigos DANE Municipios'!$A$2:$A$1123, "No encontrado")</f>
        <v>50251</v>
      </c>
      <c r="B882" t="str">
        <f>IFERROR(VLOOKUP(D882,APOYO!K:L,2,FALSE),A882)</f>
        <v>50251</v>
      </c>
      <c r="C882" t="s">
        <v>1374</v>
      </c>
      <c r="D882" t="str">
        <f>IFERROR(VLOOKUP(C882,APOYO!J:K,2,FALSE),C882)</f>
        <v>EL CASTILLO</v>
      </c>
      <c r="E882">
        <v>2014</v>
      </c>
      <c r="F882" t="s">
        <v>2189</v>
      </c>
      <c r="G882" t="s">
        <v>2189</v>
      </c>
      <c r="H882">
        <v>1</v>
      </c>
      <c r="I882" t="s">
        <v>2189</v>
      </c>
      <c r="J882" s="13" t="s">
        <v>2189</v>
      </c>
      <c r="K882" s="13" t="s">
        <v>2189</v>
      </c>
    </row>
    <row r="883" spans="1:11" hidden="1" x14ac:dyDescent="0.25">
      <c r="A883" t="str">
        <f>_xlfn.XLOOKUP(C883, 'Códigos DANE Municipios'!$B$2:$B$1123, 'Códigos DANE Municipios'!$A$2:$A$1123, "No encontrado")</f>
        <v>76248</v>
      </c>
      <c r="B883" t="str">
        <f>IFERROR(VLOOKUP(D883,APOYO!K:L,2,FALSE),A883)</f>
        <v>76248</v>
      </c>
      <c r="C883" t="s">
        <v>1986</v>
      </c>
      <c r="D883" t="str">
        <f>IFERROR(VLOOKUP(C883,APOYO!J:K,2,FALSE),C883)</f>
        <v>EL CERRITO</v>
      </c>
      <c r="E883">
        <v>2014</v>
      </c>
      <c r="F883" t="s">
        <v>2189</v>
      </c>
      <c r="G883" t="s">
        <v>2189</v>
      </c>
      <c r="H883">
        <v>77</v>
      </c>
      <c r="I883" s="13" t="s">
        <v>2189</v>
      </c>
      <c r="J883" s="13" t="s">
        <v>2189</v>
      </c>
      <c r="K883" s="13" t="s">
        <v>2189</v>
      </c>
    </row>
    <row r="884" spans="1:11" hidden="1" x14ac:dyDescent="0.25">
      <c r="A884" t="str">
        <f>_xlfn.XLOOKUP(C884, 'Códigos DANE Municipios'!$B$2:$B$1123, 'Códigos DANE Municipios'!$A$2:$A$1123, "No encontrado")</f>
        <v>15244</v>
      </c>
      <c r="B884" t="str">
        <f>IFERROR(VLOOKUP(D884,APOYO!K:L,2,FALSE),A884)</f>
        <v>15244</v>
      </c>
      <c r="C884" t="s">
        <v>463</v>
      </c>
      <c r="D884" t="str">
        <f>IFERROR(VLOOKUP(C884,APOYO!J:K,2,FALSE),C884)</f>
        <v>EL COCUY</v>
      </c>
      <c r="E884">
        <v>2014</v>
      </c>
      <c r="F884" t="s">
        <v>2189</v>
      </c>
      <c r="G884" t="s">
        <v>2189</v>
      </c>
      <c r="H884">
        <v>7</v>
      </c>
      <c r="I884" s="13">
        <v>16867</v>
      </c>
      <c r="J884" s="13" t="s">
        <v>2189</v>
      </c>
      <c r="K884" s="13" t="s">
        <v>2189</v>
      </c>
    </row>
    <row r="885" spans="1:11" hidden="1" x14ac:dyDescent="0.25">
      <c r="A885" t="str">
        <f>_xlfn.XLOOKUP(C885, 'Códigos DANE Municipios'!$B$2:$B$1123, 'Códigos DANE Municipios'!$A$2:$A$1123, "No encontrado")</f>
        <v>25245</v>
      </c>
      <c r="B885" t="str">
        <f>IFERROR(VLOOKUP(D885,APOYO!K:L,2,FALSE),A885)</f>
        <v>25245</v>
      </c>
      <c r="C885" t="s">
        <v>960</v>
      </c>
      <c r="D885" t="str">
        <f>IFERROR(VLOOKUP(C885,APOYO!J:K,2,FALSE),C885)</f>
        <v>EL COLEGIO</v>
      </c>
      <c r="E885">
        <v>2014</v>
      </c>
      <c r="F885" t="s">
        <v>2189</v>
      </c>
      <c r="G885" t="s">
        <v>2189</v>
      </c>
      <c r="H885">
        <v>21</v>
      </c>
      <c r="I885" s="13" t="s">
        <v>2189</v>
      </c>
      <c r="J885" s="13" t="s">
        <v>2189</v>
      </c>
      <c r="K885" s="13" t="s">
        <v>2189</v>
      </c>
    </row>
    <row r="886" spans="1:11" hidden="1" x14ac:dyDescent="0.25">
      <c r="A886" t="str">
        <f>_xlfn.XLOOKUP(C886, 'Códigos DANE Municipios'!$B$2:$B$1123, 'Códigos DANE Municipios'!$A$2:$A$1123, "No encontrado")</f>
        <v>20238</v>
      </c>
      <c r="B886" t="str">
        <f>IFERROR(VLOOKUP(D886,APOYO!K:L,2,FALSE),A886)</f>
        <v>20238</v>
      </c>
      <c r="C886" t="s">
        <v>826</v>
      </c>
      <c r="D886" t="str">
        <f>IFERROR(VLOOKUP(C886,APOYO!J:K,2,FALSE),C886)</f>
        <v>EL COPEY</v>
      </c>
      <c r="E886">
        <v>2014</v>
      </c>
      <c r="F886">
        <v>1</v>
      </c>
      <c r="G886" t="s">
        <v>2189</v>
      </c>
      <c r="H886">
        <v>1</v>
      </c>
      <c r="I886" s="13" t="s">
        <v>2189</v>
      </c>
      <c r="J886" s="13" t="s">
        <v>2189</v>
      </c>
      <c r="K886" s="13" t="s">
        <v>2189</v>
      </c>
    </row>
    <row r="887" spans="1:11" hidden="1" x14ac:dyDescent="0.25">
      <c r="A887" t="str">
        <f>_xlfn.XLOOKUP(C887, 'Códigos DANE Municipios'!$B$2:$B$1123, 'Códigos DANE Municipios'!$A$2:$A$1123, "No encontrado")</f>
        <v>18247</v>
      </c>
      <c r="B887" t="str">
        <f>IFERROR(VLOOKUP(D887,APOYO!K:L,2,FALSE),A887)</f>
        <v>18247</v>
      </c>
      <c r="C887" t="s">
        <v>708</v>
      </c>
      <c r="D887" t="str">
        <f>IFERROR(VLOOKUP(C887,APOYO!J:K,2,FALSE),C887)</f>
        <v>EL DONCELLO</v>
      </c>
      <c r="E887">
        <v>2014</v>
      </c>
      <c r="F887" t="s">
        <v>2189</v>
      </c>
      <c r="G887" t="s">
        <v>2189</v>
      </c>
      <c r="H887">
        <v>1</v>
      </c>
      <c r="I887" s="13" t="s">
        <v>2189</v>
      </c>
      <c r="J887" s="13" t="s">
        <v>2189</v>
      </c>
      <c r="K887" s="13" t="s">
        <v>2189</v>
      </c>
    </row>
    <row r="888" spans="1:11" hidden="1" x14ac:dyDescent="0.25">
      <c r="A888" t="str">
        <f>_xlfn.XLOOKUP(C888, 'Códigos DANE Municipios'!$B$2:$B$1123, 'Códigos DANE Municipios'!$A$2:$A$1123, "No encontrado")</f>
        <v>50270</v>
      </c>
      <c r="B888" t="str">
        <f>IFERROR(VLOOKUP(D888,APOYO!K:L,2,FALSE),A888)</f>
        <v>50270</v>
      </c>
      <c r="C888" t="s">
        <v>1376</v>
      </c>
      <c r="D888" t="str">
        <f>IFERROR(VLOOKUP(C888,APOYO!J:K,2,FALSE),C888)</f>
        <v>EL DORADO</v>
      </c>
      <c r="E888">
        <v>2014</v>
      </c>
      <c r="F888" t="s">
        <v>2189</v>
      </c>
      <c r="G888" t="s">
        <v>2189</v>
      </c>
      <c r="H888" t="s">
        <v>2189</v>
      </c>
      <c r="I888" s="13" t="s">
        <v>2189</v>
      </c>
      <c r="J888" s="13" t="s">
        <v>2189</v>
      </c>
      <c r="K888" s="13" t="s">
        <v>2189</v>
      </c>
    </row>
    <row r="889" spans="1:11" hidden="1" x14ac:dyDescent="0.25">
      <c r="A889" t="str">
        <f>_xlfn.XLOOKUP(C889, 'Códigos DANE Municipios'!$B$2:$B$1123, 'Códigos DANE Municipios'!$A$2:$A$1123, "No encontrado")</f>
        <v>76250</v>
      </c>
      <c r="B889" t="str">
        <f>IFERROR(VLOOKUP(D889,APOYO!K:L,2,FALSE),A889)</f>
        <v>76250</v>
      </c>
      <c r="C889" t="s">
        <v>1988</v>
      </c>
      <c r="D889" t="str">
        <f>IFERROR(VLOOKUP(C889,APOYO!J:K,2,FALSE),C889)</f>
        <v>EL DOVIO</v>
      </c>
      <c r="E889">
        <v>2014</v>
      </c>
      <c r="F889" t="s">
        <v>2189</v>
      </c>
      <c r="G889" t="s">
        <v>2189</v>
      </c>
      <c r="H889">
        <v>3</v>
      </c>
      <c r="I889" s="13" t="s">
        <v>2189</v>
      </c>
      <c r="J889" s="13" t="s">
        <v>2189</v>
      </c>
      <c r="K889" s="13" t="s">
        <v>2189</v>
      </c>
    </row>
    <row r="890" spans="1:11" hidden="1" x14ac:dyDescent="0.25">
      <c r="A890" t="str">
        <f>_xlfn.XLOOKUP(C890, 'Códigos DANE Municipios'!$B$2:$B$1123, 'Códigos DANE Municipios'!$A$2:$A$1123, "No encontrado")</f>
        <v>20250</v>
      </c>
      <c r="B890" t="str">
        <f>IFERROR(VLOOKUP(D890,APOYO!K:L,2,FALSE),A890)</f>
        <v>20250</v>
      </c>
      <c r="C890" t="s">
        <v>828</v>
      </c>
      <c r="D890" t="str">
        <f>IFERROR(VLOOKUP(C890,APOYO!J:K,2,FALSE),C890)</f>
        <v>EL PASO</v>
      </c>
      <c r="E890">
        <v>2014</v>
      </c>
      <c r="F890">
        <v>8</v>
      </c>
      <c r="G890" t="s">
        <v>2189</v>
      </c>
      <c r="H890" t="s">
        <v>2189</v>
      </c>
      <c r="I890" s="13" t="s">
        <v>2189</v>
      </c>
      <c r="J890" s="13" t="s">
        <v>2189</v>
      </c>
      <c r="K890" s="13" t="s">
        <v>2189</v>
      </c>
    </row>
    <row r="891" spans="1:11" hidden="1" x14ac:dyDescent="0.25">
      <c r="A891" t="str">
        <f>_xlfn.XLOOKUP(C891, 'Códigos DANE Municipios'!$B$2:$B$1123, 'Códigos DANE Municipios'!$A$2:$A$1123, "No encontrado")</f>
        <v>18256</v>
      </c>
      <c r="B891" t="str">
        <f>IFERROR(VLOOKUP(D891,APOYO!K:L,2,FALSE),A891)</f>
        <v>18256</v>
      </c>
      <c r="C891" t="s">
        <v>710</v>
      </c>
      <c r="D891" t="str">
        <f>IFERROR(VLOOKUP(C891,APOYO!J:K,2,FALSE),C891)</f>
        <v>EL PAUJÍL</v>
      </c>
      <c r="E891">
        <v>2014</v>
      </c>
      <c r="F891" t="s">
        <v>2189</v>
      </c>
      <c r="G891" t="s">
        <v>2189</v>
      </c>
      <c r="H891">
        <v>2</v>
      </c>
      <c r="I891" s="13" t="s">
        <v>2189</v>
      </c>
      <c r="J891" s="13" t="s">
        <v>2189</v>
      </c>
      <c r="K891" s="13" t="s">
        <v>2189</v>
      </c>
    </row>
    <row r="892" spans="1:11" hidden="1" x14ac:dyDescent="0.25">
      <c r="A892" t="str">
        <f>_xlfn.XLOOKUP(C892, 'Códigos DANE Municipios'!$B$2:$B$1123, 'Códigos DANE Municipios'!$A$2:$A$1123, "No encontrado")</f>
        <v>13268</v>
      </c>
      <c r="B892" t="str">
        <f>IFERROR(VLOOKUP(D892,APOYO!K:L,2,FALSE),A892)</f>
        <v>13268</v>
      </c>
      <c r="C892" t="s">
        <v>337</v>
      </c>
      <c r="D892" t="str">
        <f>IFERROR(VLOOKUP(C892,APOYO!J:K,2,FALSE),C892)</f>
        <v>EL PEÑÓN</v>
      </c>
      <c r="E892">
        <v>2014</v>
      </c>
      <c r="F892" t="s">
        <v>2189</v>
      </c>
      <c r="G892" t="s">
        <v>2189</v>
      </c>
      <c r="H892">
        <v>3</v>
      </c>
      <c r="I892" s="13" t="s">
        <v>2189</v>
      </c>
      <c r="J892" s="13" t="s">
        <v>2189</v>
      </c>
      <c r="K892" s="13" t="s">
        <v>2189</v>
      </c>
    </row>
    <row r="893" spans="1:11" hidden="1" x14ac:dyDescent="0.25">
      <c r="A893" t="str">
        <f>_xlfn.XLOOKUP(C893, 'Códigos DANE Municipios'!$B$2:$B$1123, 'Códigos DANE Municipios'!$A$2:$A$1123, "No encontrado")</f>
        <v>68255</v>
      </c>
      <c r="B893" t="str">
        <f>IFERROR(VLOOKUP(D893,APOYO!K:L,2,FALSE),A893)</f>
        <v>68255</v>
      </c>
      <c r="C893" t="s">
        <v>1704</v>
      </c>
      <c r="D893" t="str">
        <f>IFERROR(VLOOKUP(C893,APOYO!J:K,2,FALSE),C893)</f>
        <v>EL PLAYÓN</v>
      </c>
      <c r="E893">
        <v>2014</v>
      </c>
      <c r="F893" t="s">
        <v>2189</v>
      </c>
      <c r="G893" t="s">
        <v>2189</v>
      </c>
      <c r="H893" t="s">
        <v>2189</v>
      </c>
      <c r="I893" s="13" t="s">
        <v>2189</v>
      </c>
      <c r="J893" s="13" t="s">
        <v>2189</v>
      </c>
      <c r="K893" s="13" t="s">
        <v>2189</v>
      </c>
    </row>
    <row r="894" spans="1:11" hidden="1" x14ac:dyDescent="0.25">
      <c r="A894" t="str">
        <f>_xlfn.XLOOKUP(C894, 'Códigos DANE Municipios'!$B$2:$B$1123, 'Códigos DANE Municipios'!$A$2:$A$1123, "No encontrado")</f>
        <v>95025</v>
      </c>
      <c r="B894" t="str">
        <f>IFERROR(VLOOKUP(D894,APOYO!K:L,2,FALSE),A894)</f>
        <v>95025</v>
      </c>
      <c r="C894" t="s">
        <v>2148</v>
      </c>
      <c r="D894" t="str">
        <f>IFERROR(VLOOKUP(C894,APOYO!J:K,2,FALSE),C894)</f>
        <v>EL RETORNO</v>
      </c>
      <c r="E894">
        <v>2014</v>
      </c>
      <c r="F894">
        <v>5</v>
      </c>
      <c r="G894" t="s">
        <v>2189</v>
      </c>
      <c r="H894" t="s">
        <v>2189</v>
      </c>
      <c r="I894" s="13" t="s">
        <v>2189</v>
      </c>
      <c r="J894" s="13" t="s">
        <v>2189</v>
      </c>
      <c r="K894" s="13" t="s">
        <v>2189</v>
      </c>
    </row>
    <row r="895" spans="1:11" hidden="1" x14ac:dyDescent="0.25">
      <c r="A895" t="str">
        <f>_xlfn.XLOOKUP(C895, 'Códigos DANE Municipios'!$B$2:$B$1123, 'Códigos DANE Municipios'!$A$2:$A$1123, "No encontrado")</f>
        <v>25260</v>
      </c>
      <c r="B895" t="str">
        <f>IFERROR(VLOOKUP(D895,APOYO!K:L,2,FALSE),A895)</f>
        <v>25260</v>
      </c>
      <c r="C895" t="s">
        <v>963</v>
      </c>
      <c r="D895" t="str">
        <f>IFERROR(VLOOKUP(C895,APOYO!J:K,2,FALSE),C895)</f>
        <v>EL ROSAL</v>
      </c>
      <c r="E895">
        <v>2014</v>
      </c>
      <c r="F895" t="s">
        <v>2189</v>
      </c>
      <c r="G895" t="s">
        <v>2189</v>
      </c>
      <c r="H895">
        <v>9</v>
      </c>
      <c r="I895" s="13" t="s">
        <v>2189</v>
      </c>
      <c r="J895" s="13" t="s">
        <v>2189</v>
      </c>
      <c r="K895" s="13" t="s">
        <v>2189</v>
      </c>
    </row>
    <row r="896" spans="1:11" hidden="1" x14ac:dyDescent="0.25">
      <c r="A896" t="str">
        <f>_xlfn.XLOOKUP(C896, 'Códigos DANE Municipios'!$B$2:$B$1123, 'Códigos DANE Municipios'!$A$2:$A$1123, "No encontrado")</f>
        <v>52256</v>
      </c>
      <c r="B896" t="str">
        <f>IFERROR(VLOOKUP(D896,APOYO!K:L,2,FALSE),A896)</f>
        <v>52256</v>
      </c>
      <c r="C896" t="s">
        <v>1445</v>
      </c>
      <c r="D896" t="str">
        <f>IFERROR(VLOOKUP(C896,APOYO!J:K,2,FALSE),C896)</f>
        <v>EL ROSARIO</v>
      </c>
      <c r="E896">
        <v>2014</v>
      </c>
      <c r="F896" t="s">
        <v>2189</v>
      </c>
      <c r="G896" t="s">
        <v>2189</v>
      </c>
      <c r="H896">
        <v>1</v>
      </c>
      <c r="I896" s="13" t="s">
        <v>2189</v>
      </c>
      <c r="J896" s="13" t="s">
        <v>2189</v>
      </c>
      <c r="K896" s="13" t="s">
        <v>2189</v>
      </c>
    </row>
    <row r="897" spans="1:11" hidden="1" x14ac:dyDescent="0.25">
      <c r="A897" t="str">
        <f>_xlfn.XLOOKUP(C897, 'Códigos DANE Municipios'!$B$2:$B$1123, 'Códigos DANE Municipios'!$A$2:$A$1123, "No encontrado")</f>
        <v>19256</v>
      </c>
      <c r="B897" t="str">
        <f>IFERROR(VLOOKUP(D897,APOYO!K:L,2,FALSE),A897)</f>
        <v>19256</v>
      </c>
      <c r="C897" t="s">
        <v>748</v>
      </c>
      <c r="D897" t="str">
        <f>IFERROR(VLOOKUP(C897,APOYO!J:K,2,FALSE),C897)</f>
        <v>EL TAMBO</v>
      </c>
      <c r="E897">
        <v>2014</v>
      </c>
      <c r="F897" t="s">
        <v>2189</v>
      </c>
      <c r="G897" t="s">
        <v>2189</v>
      </c>
      <c r="H897">
        <v>5</v>
      </c>
      <c r="I897" s="13" t="s">
        <v>2189</v>
      </c>
      <c r="J897" s="13" t="s">
        <v>2189</v>
      </c>
      <c r="K897" s="13" t="s">
        <v>2189</v>
      </c>
    </row>
    <row r="898" spans="1:11" hidden="1" x14ac:dyDescent="0.25">
      <c r="A898" t="str">
        <f>_xlfn.XLOOKUP(C898, 'Códigos DANE Municipios'!$B$2:$B$1123, 'Códigos DANE Municipios'!$A$2:$A$1123, "No encontrado")</f>
        <v>54250</v>
      </c>
      <c r="B898" t="str">
        <f>IFERROR(VLOOKUP(D898,APOYO!K:L,2,FALSE),A898)</f>
        <v>54250</v>
      </c>
      <c r="C898" t="s">
        <v>1555</v>
      </c>
      <c r="D898" t="str">
        <f>IFERROR(VLOOKUP(C898,APOYO!J:K,2,FALSE),C898)</f>
        <v>EL TARRA</v>
      </c>
      <c r="E898">
        <v>2014</v>
      </c>
      <c r="F898" t="s">
        <v>2189</v>
      </c>
      <c r="G898" t="s">
        <v>2189</v>
      </c>
      <c r="H898">
        <v>1</v>
      </c>
      <c r="I898" s="13" t="s">
        <v>2189</v>
      </c>
      <c r="J898" s="13" t="s">
        <v>2189</v>
      </c>
      <c r="K898" s="13" t="s">
        <v>2189</v>
      </c>
    </row>
    <row r="899" spans="1:11" hidden="1" x14ac:dyDescent="0.25">
      <c r="A899" t="str">
        <f>_xlfn.XLOOKUP(C899, 'Códigos DANE Municipios'!$B$2:$B$1123, 'Códigos DANE Municipios'!$A$2:$A$1123, "No encontrado")</f>
        <v>54261</v>
      </c>
      <c r="B899" t="str">
        <f>IFERROR(VLOOKUP(D899,APOYO!K:L,2,FALSE),A899)</f>
        <v>54261</v>
      </c>
      <c r="C899" t="s">
        <v>1557</v>
      </c>
      <c r="D899" t="str">
        <f>IFERROR(VLOOKUP(C899,APOYO!J:K,2,FALSE),C899)</f>
        <v>EL ZULIA</v>
      </c>
      <c r="E899">
        <v>2014</v>
      </c>
      <c r="F899" t="s">
        <v>2189</v>
      </c>
      <c r="G899" t="s">
        <v>2189</v>
      </c>
      <c r="H899">
        <v>3</v>
      </c>
      <c r="I899" s="13" t="s">
        <v>2189</v>
      </c>
      <c r="J899" s="13" t="s">
        <v>2189</v>
      </c>
      <c r="K899" s="13" t="s">
        <v>2189</v>
      </c>
    </row>
    <row r="900" spans="1:11" hidden="1" x14ac:dyDescent="0.25">
      <c r="A900" t="str">
        <f>_xlfn.XLOOKUP(C900, 'Códigos DANE Municipios'!$B$2:$B$1123, 'Códigos DANE Municipios'!$A$2:$A$1123, "No encontrado")</f>
        <v>68266</v>
      </c>
      <c r="B900" t="str">
        <f>IFERROR(VLOOKUP(D900,APOYO!K:L,2,FALSE),A900)</f>
        <v>68266</v>
      </c>
      <c r="C900" t="s">
        <v>1708</v>
      </c>
      <c r="D900" t="str">
        <f>IFERROR(VLOOKUP(C900,APOYO!J:K,2,FALSE),C900)</f>
        <v>ENCISO</v>
      </c>
      <c r="E900">
        <v>2014</v>
      </c>
      <c r="F900" t="s">
        <v>2189</v>
      </c>
      <c r="G900" t="s">
        <v>2189</v>
      </c>
      <c r="H900">
        <v>3</v>
      </c>
      <c r="I900" s="13" t="s">
        <v>2189</v>
      </c>
      <c r="J900" s="13" t="s">
        <v>2189</v>
      </c>
      <c r="K900" s="13" t="s">
        <v>2189</v>
      </c>
    </row>
    <row r="901" spans="1:11" hidden="1" x14ac:dyDescent="0.25">
      <c r="A901" t="str">
        <f>_xlfn.XLOOKUP(C901, 'Códigos DANE Municipios'!$B$2:$B$1123, 'Códigos DANE Municipios'!$A$2:$A$1123, "No encontrado")</f>
        <v>41244</v>
      </c>
      <c r="B901" t="str">
        <f>IFERROR(VLOOKUP(D901,APOYO!K:L,2,FALSE),A901)</f>
        <v>41244</v>
      </c>
      <c r="C901" t="s">
        <v>1219</v>
      </c>
      <c r="D901" t="str">
        <f>IFERROR(VLOOKUP(C901,APOYO!J:K,2,FALSE),C901)</f>
        <v>ELÍAS</v>
      </c>
      <c r="E901">
        <v>2014</v>
      </c>
      <c r="F901" t="s">
        <v>2189</v>
      </c>
      <c r="G901" t="s">
        <v>2189</v>
      </c>
      <c r="H901" t="s">
        <v>2189</v>
      </c>
      <c r="I901" s="13" t="s">
        <v>2189</v>
      </c>
      <c r="J901" s="13" t="s">
        <v>2189</v>
      </c>
      <c r="K901" s="13" t="s">
        <v>2189</v>
      </c>
    </row>
    <row r="902" spans="1:11" hidden="1" x14ac:dyDescent="0.25">
      <c r="A902" t="str">
        <f>_xlfn.XLOOKUP(C902, 'Códigos DANE Municipios'!$B$2:$B$1123, 'Códigos DANE Municipios'!$A$2:$A$1123, "No encontrado")</f>
        <v>05264</v>
      </c>
      <c r="B902" t="str">
        <f>IFERROR(VLOOKUP(D902,APOYO!K:L,2,FALSE),A902)</f>
        <v>05264</v>
      </c>
      <c r="C902" t="s">
        <v>102</v>
      </c>
      <c r="D902" t="str">
        <f>IFERROR(VLOOKUP(C902,APOYO!J:K,2,FALSE),C902)</f>
        <v>ENTRERRÍOS</v>
      </c>
      <c r="E902">
        <v>2014</v>
      </c>
      <c r="F902" t="s">
        <v>2189</v>
      </c>
      <c r="G902" t="s">
        <v>2189</v>
      </c>
      <c r="H902">
        <v>6</v>
      </c>
      <c r="I902" s="13" t="s">
        <v>2189</v>
      </c>
      <c r="J902" s="13" t="s">
        <v>2189</v>
      </c>
      <c r="K902" s="13" t="s">
        <v>2189</v>
      </c>
    </row>
    <row r="903" spans="1:11" hidden="1" x14ac:dyDescent="0.25">
      <c r="A903" t="str">
        <f>_xlfn.XLOOKUP(C903, 'Códigos DANE Municipios'!$B$2:$B$1123, 'Códigos DANE Municipios'!$A$2:$A$1123, "No encontrado")</f>
        <v>05266</v>
      </c>
      <c r="B903" t="str">
        <f>IFERROR(VLOOKUP(D903,APOYO!K:L,2,FALSE),A903)</f>
        <v>05266</v>
      </c>
      <c r="C903" t="s">
        <v>104</v>
      </c>
      <c r="D903" t="str">
        <f>IFERROR(VLOOKUP(C903,APOYO!J:K,2,FALSE),C903)</f>
        <v>ENVIGADO</v>
      </c>
      <c r="E903">
        <v>2014</v>
      </c>
      <c r="F903" t="s">
        <v>2189</v>
      </c>
      <c r="G903" t="s">
        <v>2189</v>
      </c>
      <c r="H903">
        <v>782</v>
      </c>
      <c r="I903" s="13" t="s">
        <v>2189</v>
      </c>
      <c r="J903" s="13" t="s">
        <v>2189</v>
      </c>
      <c r="K903" s="13" t="s">
        <v>2189</v>
      </c>
    </row>
    <row r="904" spans="1:11" hidden="1" x14ac:dyDescent="0.25">
      <c r="A904" t="str">
        <f>_xlfn.XLOOKUP(C904, 'Códigos DANE Municipios'!$B$2:$B$1123, 'Códigos DANE Municipios'!$A$2:$A$1123, "No encontrado")</f>
        <v>73268</v>
      </c>
      <c r="B904" t="str">
        <f>IFERROR(VLOOKUP(D904,APOYO!K:L,2,FALSE),A904)</f>
        <v>73268</v>
      </c>
      <c r="C904" t="s">
        <v>1895</v>
      </c>
      <c r="D904" t="str">
        <f>IFERROR(VLOOKUP(C904,APOYO!J:K,2,FALSE),C904)</f>
        <v>ESPINAL</v>
      </c>
      <c r="E904">
        <v>2014</v>
      </c>
      <c r="F904">
        <v>6</v>
      </c>
      <c r="G904" t="s">
        <v>2189</v>
      </c>
      <c r="H904">
        <v>80</v>
      </c>
      <c r="I904" s="13" t="s">
        <v>2189</v>
      </c>
      <c r="J904" s="13" t="s">
        <v>2189</v>
      </c>
      <c r="K904" s="13" t="s">
        <v>2189</v>
      </c>
    </row>
    <row r="905" spans="1:11" hidden="1" x14ac:dyDescent="0.25">
      <c r="A905" t="str">
        <f>_xlfn.XLOOKUP(C905, 'Códigos DANE Municipios'!$B$2:$B$1123, 'Códigos DANE Municipios'!$A$2:$A$1123, "No encontrado")</f>
        <v>25269</v>
      </c>
      <c r="B905" t="str">
        <f>IFERROR(VLOOKUP(D905,APOYO!K:L,2,FALSE),A905)</f>
        <v>25269</v>
      </c>
      <c r="C905" t="s">
        <v>965</v>
      </c>
      <c r="D905" t="str">
        <f>IFERROR(VLOOKUP(C905,APOYO!J:K,2,FALSE),C905)</f>
        <v>FACATATIVÁ</v>
      </c>
      <c r="E905">
        <v>2014</v>
      </c>
      <c r="F905" t="s">
        <v>2189</v>
      </c>
      <c r="G905" t="s">
        <v>2189</v>
      </c>
      <c r="H905">
        <v>295</v>
      </c>
      <c r="I905" s="13" t="s">
        <v>2189</v>
      </c>
      <c r="J905" s="13" t="s">
        <v>2189</v>
      </c>
      <c r="K905" s="13" t="s">
        <v>2189</v>
      </c>
    </row>
    <row r="906" spans="1:11" hidden="1" x14ac:dyDescent="0.25">
      <c r="A906" t="str">
        <f>_xlfn.XLOOKUP(C906, 'Códigos DANE Municipios'!$B$2:$B$1123, 'Códigos DANE Municipios'!$A$2:$A$1123, "No encontrado")</f>
        <v>73270</v>
      </c>
      <c r="B906" t="str">
        <f>IFERROR(VLOOKUP(D906,APOYO!K:L,2,FALSE),A906)</f>
        <v>73270</v>
      </c>
      <c r="C906" t="s">
        <v>1897</v>
      </c>
      <c r="D906" t="str">
        <f>IFERROR(VLOOKUP(C906,APOYO!J:K,2,FALSE),C906)</f>
        <v>FALAN</v>
      </c>
      <c r="E906">
        <v>2014</v>
      </c>
      <c r="F906" t="s">
        <v>2189</v>
      </c>
      <c r="G906" t="s">
        <v>2189</v>
      </c>
      <c r="H906">
        <v>2</v>
      </c>
      <c r="I906" s="13" t="s">
        <v>2189</v>
      </c>
      <c r="J906" s="13" t="s">
        <v>2189</v>
      </c>
      <c r="K906" s="13" t="s">
        <v>2189</v>
      </c>
    </row>
    <row r="907" spans="1:11" hidden="1" x14ac:dyDescent="0.25">
      <c r="A907" t="str">
        <f>_xlfn.XLOOKUP(C907, 'Códigos DANE Municipios'!$B$2:$B$1123, 'Códigos DANE Municipios'!$A$2:$A$1123, "No encontrado")</f>
        <v>17272</v>
      </c>
      <c r="B907" t="str">
        <f>IFERROR(VLOOKUP(D907,APOYO!K:L,2,FALSE),A907)</f>
        <v>17272</v>
      </c>
      <c r="C907" t="s">
        <v>656</v>
      </c>
      <c r="D907" t="str">
        <f>IFERROR(VLOOKUP(C907,APOYO!J:K,2,FALSE),C907)</f>
        <v>FILADELFIA</v>
      </c>
      <c r="E907">
        <v>2014</v>
      </c>
      <c r="F907" t="s">
        <v>2189</v>
      </c>
      <c r="G907" t="s">
        <v>2189</v>
      </c>
      <c r="H907">
        <v>5</v>
      </c>
      <c r="I907" s="13" t="s">
        <v>2189</v>
      </c>
      <c r="J907" s="13" t="s">
        <v>2189</v>
      </c>
      <c r="K907" s="13" t="s">
        <v>2189</v>
      </c>
    </row>
    <row r="908" spans="1:11" hidden="1" x14ac:dyDescent="0.25">
      <c r="A908" t="str">
        <f>_xlfn.XLOOKUP(C908, 'Códigos DANE Municipios'!$B$2:$B$1123, 'Códigos DANE Municipios'!$A$2:$A$1123, "No encontrado")</f>
        <v>63272</v>
      </c>
      <c r="B908" t="str">
        <f>IFERROR(VLOOKUP(D908,APOYO!K:L,2,FALSE),A908)</f>
        <v>63272</v>
      </c>
      <c r="C908" t="s">
        <v>1614</v>
      </c>
      <c r="D908" t="str">
        <f>IFERROR(VLOOKUP(C908,APOYO!J:K,2,FALSE),C908)</f>
        <v>FILANDIA</v>
      </c>
      <c r="E908">
        <v>2014</v>
      </c>
      <c r="F908" t="s">
        <v>2189</v>
      </c>
      <c r="G908" t="s">
        <v>2189</v>
      </c>
      <c r="H908">
        <v>106</v>
      </c>
      <c r="I908" s="13" t="s">
        <v>2189</v>
      </c>
      <c r="J908" s="13" t="s">
        <v>2189</v>
      </c>
      <c r="K908" s="13" t="s">
        <v>2189</v>
      </c>
    </row>
    <row r="909" spans="1:11" hidden="1" x14ac:dyDescent="0.25">
      <c r="A909" t="str">
        <f>_xlfn.XLOOKUP(C909, 'Códigos DANE Municipios'!$B$2:$B$1123, 'Códigos DANE Municipios'!$A$2:$A$1123, "No encontrado")</f>
        <v>15272</v>
      </c>
      <c r="B909" t="str">
        <f>IFERROR(VLOOKUP(D909,APOYO!K:L,2,FALSE),A909)</f>
        <v>15272</v>
      </c>
      <c r="C909" t="s">
        <v>467</v>
      </c>
      <c r="D909" t="str">
        <f>IFERROR(VLOOKUP(C909,APOYO!J:K,2,FALSE),C909)</f>
        <v>FIRAVITOBA</v>
      </c>
      <c r="E909">
        <v>2014</v>
      </c>
      <c r="F909">
        <v>27</v>
      </c>
      <c r="G909" t="s">
        <v>2189</v>
      </c>
      <c r="H909">
        <v>3</v>
      </c>
      <c r="I909" s="13" t="s">
        <v>2189</v>
      </c>
      <c r="J909" s="13" t="s">
        <v>2189</v>
      </c>
      <c r="K909" s="13" t="s">
        <v>2189</v>
      </c>
    </row>
    <row r="910" spans="1:11" hidden="1" x14ac:dyDescent="0.25">
      <c r="A910" t="str">
        <f>_xlfn.XLOOKUP(C910, 'Códigos DANE Municipios'!$B$2:$B$1123, 'Códigos DANE Municipios'!$A$2:$A$1123, "No encontrado")</f>
        <v>73275</v>
      </c>
      <c r="B910" t="str">
        <f>IFERROR(VLOOKUP(D910,APOYO!K:L,2,FALSE),A910)</f>
        <v>73275</v>
      </c>
      <c r="C910" t="s">
        <v>1899</v>
      </c>
      <c r="D910" t="str">
        <f>IFERROR(VLOOKUP(C910,APOYO!J:K,2,FALSE),C910)</f>
        <v>FLANDES</v>
      </c>
      <c r="E910">
        <v>2014</v>
      </c>
      <c r="F910">
        <v>341</v>
      </c>
      <c r="G910">
        <v>2</v>
      </c>
      <c r="H910">
        <v>14</v>
      </c>
      <c r="I910" s="13" t="s">
        <v>2189</v>
      </c>
      <c r="J910" s="13" t="s">
        <v>2189</v>
      </c>
      <c r="K910" s="13" t="s">
        <v>2189</v>
      </c>
    </row>
    <row r="911" spans="1:11" hidden="1" x14ac:dyDescent="0.25">
      <c r="A911" t="str">
        <f>_xlfn.XLOOKUP(C911, 'Códigos DANE Municipios'!$B$2:$B$1123, 'Códigos DANE Municipios'!$A$2:$A$1123, "No encontrado")</f>
        <v>18001</v>
      </c>
      <c r="B911" t="str">
        <f>IFERROR(VLOOKUP(D911,APOYO!K:L,2,FALSE),A911)</f>
        <v>18001</v>
      </c>
      <c r="C911" t="s">
        <v>698</v>
      </c>
      <c r="D911" t="str">
        <f>IFERROR(VLOOKUP(C911,APOYO!J:K,2,FALSE),C911)</f>
        <v>FLORENCIA</v>
      </c>
      <c r="E911">
        <v>2014</v>
      </c>
      <c r="F911">
        <v>41489</v>
      </c>
      <c r="G911">
        <v>105</v>
      </c>
      <c r="H911" t="s">
        <v>2189</v>
      </c>
      <c r="I911" s="13" t="s">
        <v>2189</v>
      </c>
      <c r="J911" s="13" t="s">
        <v>2189</v>
      </c>
      <c r="K911" s="13" t="s">
        <v>2189</v>
      </c>
    </row>
    <row r="912" spans="1:11" hidden="1" x14ac:dyDescent="0.25">
      <c r="A912" t="str">
        <f>_xlfn.XLOOKUP(C912, 'Códigos DANE Municipios'!$B$2:$B$1123, 'Códigos DANE Municipios'!$A$2:$A$1123, "No encontrado")</f>
        <v>15276</v>
      </c>
      <c r="B912" t="str">
        <f>IFERROR(VLOOKUP(D912,APOYO!K:L,2,FALSE),A912)</f>
        <v>15276</v>
      </c>
      <c r="C912" t="s">
        <v>469</v>
      </c>
      <c r="D912" t="str">
        <f>IFERROR(VLOOKUP(C912,APOYO!J:K,2,FALSE),C912)</f>
        <v>FLORESTA</v>
      </c>
      <c r="E912">
        <v>2014</v>
      </c>
      <c r="F912" t="s">
        <v>2189</v>
      </c>
      <c r="G912" t="s">
        <v>2189</v>
      </c>
      <c r="H912">
        <v>3</v>
      </c>
      <c r="I912" s="13" t="s">
        <v>2189</v>
      </c>
      <c r="J912" s="13" t="s">
        <v>2189</v>
      </c>
      <c r="K912" s="13" t="s">
        <v>2189</v>
      </c>
    </row>
    <row r="913" spans="1:11" hidden="1" x14ac:dyDescent="0.25">
      <c r="A913" t="str">
        <f>_xlfn.XLOOKUP(C913, 'Códigos DANE Municipios'!$B$2:$B$1123, 'Códigos DANE Municipios'!$A$2:$A$1123, "No encontrado")</f>
        <v>68271</v>
      </c>
      <c r="B913" t="str">
        <f>IFERROR(VLOOKUP(D913,APOYO!K:L,2,FALSE),A913)</f>
        <v>68271</v>
      </c>
      <c r="C913" t="s">
        <v>1710</v>
      </c>
      <c r="D913" t="str">
        <f>IFERROR(VLOOKUP(C913,APOYO!J:K,2,FALSE),C913)</f>
        <v>FLORIÁN</v>
      </c>
      <c r="E913">
        <v>2014</v>
      </c>
      <c r="F913" t="s">
        <v>2189</v>
      </c>
      <c r="G913" t="s">
        <v>2189</v>
      </c>
      <c r="H913" t="s">
        <v>2189</v>
      </c>
      <c r="I913" s="13" t="s">
        <v>2189</v>
      </c>
      <c r="J913" s="13" t="s">
        <v>2189</v>
      </c>
      <c r="K913" s="13" t="s">
        <v>2189</v>
      </c>
    </row>
    <row r="914" spans="1:11" hidden="1" x14ac:dyDescent="0.25">
      <c r="A914" t="str">
        <f>_xlfn.XLOOKUP(C914, 'Códigos DANE Municipios'!$B$2:$B$1123, 'Códigos DANE Municipios'!$A$2:$A$1123, "No encontrado")</f>
        <v>76275</v>
      </c>
      <c r="B914" t="str">
        <f>IFERROR(VLOOKUP(D914,APOYO!K:L,2,FALSE),A914)</f>
        <v>76275</v>
      </c>
      <c r="C914" t="s">
        <v>1990</v>
      </c>
      <c r="D914" t="str">
        <f>IFERROR(VLOOKUP(C914,APOYO!J:K,2,FALSE),C914)</f>
        <v>FLORIDA</v>
      </c>
      <c r="E914">
        <v>2014</v>
      </c>
      <c r="F914" t="s">
        <v>2189</v>
      </c>
      <c r="G914" t="s">
        <v>2189</v>
      </c>
      <c r="H914">
        <v>91</v>
      </c>
      <c r="I914" s="13" t="s">
        <v>2189</v>
      </c>
      <c r="J914" s="13" t="s">
        <v>2189</v>
      </c>
      <c r="K914" s="13" t="s">
        <v>2189</v>
      </c>
    </row>
    <row r="915" spans="1:11" hidden="1" x14ac:dyDescent="0.25">
      <c r="A915" t="str">
        <f>_xlfn.XLOOKUP(C915, 'Códigos DANE Municipios'!$B$2:$B$1123, 'Códigos DANE Municipios'!$A$2:$A$1123, "No encontrado")</f>
        <v>68276</v>
      </c>
      <c r="B915" t="str">
        <f>IFERROR(VLOOKUP(D915,APOYO!K:L,2,FALSE),A915)</f>
        <v>68276</v>
      </c>
      <c r="C915" t="s">
        <v>1712</v>
      </c>
      <c r="D915" t="str">
        <f>IFERROR(VLOOKUP(C915,APOYO!J:K,2,FALSE),C915)</f>
        <v>FLORIDABLANCA</v>
      </c>
      <c r="E915">
        <v>2014</v>
      </c>
      <c r="F915" t="s">
        <v>2189</v>
      </c>
      <c r="G915" t="s">
        <v>2189</v>
      </c>
      <c r="H915">
        <v>293</v>
      </c>
      <c r="I915" s="13" t="s">
        <v>2189</v>
      </c>
      <c r="J915" s="13" t="s">
        <v>2189</v>
      </c>
      <c r="K915" s="13" t="s">
        <v>2189</v>
      </c>
    </row>
    <row r="916" spans="1:11" hidden="1" x14ac:dyDescent="0.25">
      <c r="A916" t="str">
        <f>_xlfn.XLOOKUP(C916, 'Códigos DANE Municipios'!$B$2:$B$1123, 'Códigos DANE Municipios'!$A$2:$A$1123, "No encontrado")</f>
        <v>25279</v>
      </c>
      <c r="B916" t="str">
        <f>IFERROR(VLOOKUP(D916,APOYO!K:L,2,FALSE),A916)</f>
        <v>25279</v>
      </c>
      <c r="C916" t="s">
        <v>967</v>
      </c>
      <c r="D916" t="str">
        <f>IFERROR(VLOOKUP(C916,APOYO!J:K,2,FALSE),C916)</f>
        <v>FÓMEQUE</v>
      </c>
      <c r="E916">
        <v>2014</v>
      </c>
      <c r="F916" t="s">
        <v>2189</v>
      </c>
      <c r="G916" t="s">
        <v>2189</v>
      </c>
      <c r="H916">
        <v>2</v>
      </c>
      <c r="I916" s="13" t="s">
        <v>2189</v>
      </c>
      <c r="J916" s="13" t="s">
        <v>2189</v>
      </c>
      <c r="K916" s="13" t="s">
        <v>2189</v>
      </c>
    </row>
    <row r="917" spans="1:11" hidden="1" x14ac:dyDescent="0.25">
      <c r="A917" t="str">
        <f>_xlfn.XLOOKUP(C917, 'Códigos DANE Municipios'!$B$2:$B$1123, 'Códigos DANE Municipios'!$A$2:$A$1123, "No encontrado")</f>
        <v>44279</v>
      </c>
      <c r="B917" t="str">
        <f>IFERROR(VLOOKUP(D917,APOYO!K:L,2,FALSE),A917)</f>
        <v>44279</v>
      </c>
      <c r="C917" t="s">
        <v>1283</v>
      </c>
      <c r="D917" t="str">
        <f>IFERROR(VLOOKUP(C917,APOYO!J:K,2,FALSE),C917)</f>
        <v>FONSECA</v>
      </c>
      <c r="E917">
        <v>2014</v>
      </c>
      <c r="F917" t="s">
        <v>2189</v>
      </c>
      <c r="G917" t="s">
        <v>2189</v>
      </c>
      <c r="H917">
        <v>26</v>
      </c>
      <c r="I917" s="13" t="s">
        <v>2189</v>
      </c>
      <c r="J917" s="13" t="s">
        <v>2189</v>
      </c>
      <c r="K917" s="13" t="s">
        <v>2189</v>
      </c>
    </row>
    <row r="918" spans="1:11" hidden="1" x14ac:dyDescent="0.25">
      <c r="A918" t="str">
        <f>_xlfn.XLOOKUP(C918, 'Códigos DANE Municipios'!$B$2:$B$1123, 'Códigos DANE Municipios'!$A$2:$A$1123, "No encontrado")</f>
        <v>81300</v>
      </c>
      <c r="B918" t="str">
        <f>IFERROR(VLOOKUP(D918,APOYO!K:L,2,FALSE),A918)</f>
        <v>81300</v>
      </c>
      <c r="C918" t="s">
        <v>2040</v>
      </c>
      <c r="D918" t="str">
        <f>IFERROR(VLOOKUP(C918,APOYO!J:K,2,FALSE),C918)</f>
        <v>FORTUL</v>
      </c>
      <c r="E918">
        <v>2014</v>
      </c>
      <c r="F918" t="s">
        <v>2189</v>
      </c>
      <c r="G918" t="s">
        <v>2189</v>
      </c>
      <c r="H918" t="s">
        <v>2189</v>
      </c>
      <c r="I918" s="13" t="s">
        <v>2189</v>
      </c>
      <c r="J918" s="13" t="s">
        <v>2189</v>
      </c>
      <c r="K918" s="13" t="s">
        <v>2189</v>
      </c>
    </row>
    <row r="919" spans="1:11" hidden="1" x14ac:dyDescent="0.25">
      <c r="A919" t="str">
        <f>_xlfn.XLOOKUP(C919, 'Códigos DANE Municipios'!$B$2:$B$1123, 'Códigos DANE Municipios'!$A$2:$A$1123, "No encontrado")</f>
        <v>05282</v>
      </c>
      <c r="B919" t="str">
        <f>IFERROR(VLOOKUP(D919,APOYO!K:L,2,FALSE),A919)</f>
        <v>05282</v>
      </c>
      <c r="C919" t="s">
        <v>106</v>
      </c>
      <c r="D919" t="str">
        <f>IFERROR(VLOOKUP(C919,APOYO!J:K,2,FALSE),C919)</f>
        <v>FREDONIA</v>
      </c>
      <c r="E919">
        <v>2014</v>
      </c>
      <c r="F919" t="s">
        <v>2189</v>
      </c>
      <c r="G919" t="s">
        <v>2189</v>
      </c>
      <c r="H919">
        <v>3</v>
      </c>
      <c r="I919" s="13" t="s">
        <v>2189</v>
      </c>
      <c r="J919" s="13" t="s">
        <v>2189</v>
      </c>
      <c r="K919" s="13" t="s">
        <v>2189</v>
      </c>
    </row>
    <row r="920" spans="1:11" hidden="1" x14ac:dyDescent="0.25">
      <c r="A920" t="str">
        <f>_xlfn.XLOOKUP(C920, 'Códigos DANE Municipios'!$B$2:$B$1123, 'Códigos DANE Municipios'!$A$2:$A$1123, "No encontrado")</f>
        <v>73283</v>
      </c>
      <c r="B920" t="str">
        <f>IFERROR(VLOOKUP(D920,APOYO!K:L,2,FALSE),A920)</f>
        <v>73283</v>
      </c>
      <c r="C920" t="s">
        <v>1901</v>
      </c>
      <c r="D920" t="str">
        <f>IFERROR(VLOOKUP(C920,APOYO!J:K,2,FALSE),C920)</f>
        <v>FRESNO</v>
      </c>
      <c r="E920">
        <v>2014</v>
      </c>
      <c r="F920" t="s">
        <v>2189</v>
      </c>
      <c r="G920" t="s">
        <v>2189</v>
      </c>
      <c r="H920">
        <v>8</v>
      </c>
      <c r="I920" s="13" t="s">
        <v>2189</v>
      </c>
      <c r="J920" s="13" t="s">
        <v>2189</v>
      </c>
      <c r="K920" s="13" t="s">
        <v>2189</v>
      </c>
    </row>
    <row r="921" spans="1:11" hidden="1" x14ac:dyDescent="0.25">
      <c r="A921" t="str">
        <f>_xlfn.XLOOKUP(C921, 'Códigos DANE Municipios'!$B$2:$B$1123, 'Códigos DANE Municipios'!$A$2:$A$1123, "No encontrado")</f>
        <v>05284</v>
      </c>
      <c r="B921" t="str">
        <f>IFERROR(VLOOKUP(D921,APOYO!K:L,2,FALSE),A921)</f>
        <v>05284</v>
      </c>
      <c r="C921" t="s">
        <v>108</v>
      </c>
      <c r="D921" t="str">
        <f>IFERROR(VLOOKUP(C921,APOYO!J:K,2,FALSE),C921)</f>
        <v>FRONTINO</v>
      </c>
      <c r="E921">
        <v>2014</v>
      </c>
      <c r="F921" t="s">
        <v>2189</v>
      </c>
      <c r="G921" t="s">
        <v>2189</v>
      </c>
      <c r="H921" t="s">
        <v>2189</v>
      </c>
      <c r="I921" s="13" t="s">
        <v>2189</v>
      </c>
      <c r="J921" s="13" t="s">
        <v>2189</v>
      </c>
      <c r="K921" s="13" t="s">
        <v>2189</v>
      </c>
    </row>
    <row r="922" spans="1:11" hidden="1" x14ac:dyDescent="0.25">
      <c r="A922" t="str">
        <f>_xlfn.XLOOKUP(C922, 'Códigos DANE Municipios'!$B$2:$B$1123, 'Códigos DANE Municipios'!$A$2:$A$1123, "No encontrado")</f>
        <v>50287</v>
      </c>
      <c r="B922" t="str">
        <f>IFERROR(VLOOKUP(D922,APOYO!K:L,2,FALSE),A922)</f>
        <v>50287</v>
      </c>
      <c r="C922" t="s">
        <v>1378</v>
      </c>
      <c r="D922" t="str">
        <f>IFERROR(VLOOKUP(C922,APOYO!J:K,2,FALSE),C922)</f>
        <v>FUENTE DE ORO</v>
      </c>
      <c r="E922">
        <v>2014</v>
      </c>
      <c r="F922">
        <v>5</v>
      </c>
      <c r="G922" t="s">
        <v>2189</v>
      </c>
      <c r="H922" t="s">
        <v>2189</v>
      </c>
      <c r="I922" s="13" t="s">
        <v>2189</v>
      </c>
      <c r="J922" s="13" t="s">
        <v>2189</v>
      </c>
      <c r="K922" s="13" t="s">
        <v>2189</v>
      </c>
    </row>
    <row r="923" spans="1:11" hidden="1" x14ac:dyDescent="0.25">
      <c r="A923" t="str">
        <f>_xlfn.XLOOKUP(C923, 'Códigos DANE Municipios'!$B$2:$B$1123, 'Códigos DANE Municipios'!$A$2:$A$1123, "No encontrado")</f>
        <v>47288</v>
      </c>
      <c r="B923" t="str">
        <f>IFERROR(VLOOKUP(D923,APOYO!K:L,2,FALSE),A923)</f>
        <v>47288</v>
      </c>
      <c r="C923" t="s">
        <v>1321</v>
      </c>
      <c r="D923" t="str">
        <f>IFERROR(VLOOKUP(C923,APOYO!J:K,2,FALSE),C923)</f>
        <v>FUNDACIÓN</v>
      </c>
      <c r="E923">
        <v>2014</v>
      </c>
      <c r="F923" t="s">
        <v>2189</v>
      </c>
      <c r="G923" t="s">
        <v>2189</v>
      </c>
      <c r="H923">
        <v>24</v>
      </c>
      <c r="I923" s="13" t="s">
        <v>2189</v>
      </c>
      <c r="J923" s="13" t="s">
        <v>2189</v>
      </c>
      <c r="K923" s="13" t="s">
        <v>2189</v>
      </c>
    </row>
    <row r="924" spans="1:11" hidden="1" x14ac:dyDescent="0.25">
      <c r="A924" t="str">
        <f>_xlfn.XLOOKUP(C924, 'Códigos DANE Municipios'!$B$2:$B$1123, 'Códigos DANE Municipios'!$A$2:$A$1123, "No encontrado")</f>
        <v>52287</v>
      </c>
      <c r="B924" t="str">
        <f>IFERROR(VLOOKUP(D924,APOYO!K:L,2,FALSE),A924)</f>
        <v>52287</v>
      </c>
      <c r="C924" t="s">
        <v>1450</v>
      </c>
      <c r="D924" t="str">
        <f>IFERROR(VLOOKUP(C924,APOYO!J:K,2,FALSE),C924)</f>
        <v>FUNES</v>
      </c>
      <c r="E924">
        <v>2014</v>
      </c>
      <c r="F924" t="s">
        <v>2189</v>
      </c>
      <c r="G924" t="s">
        <v>2189</v>
      </c>
      <c r="H924">
        <v>3</v>
      </c>
      <c r="I924" s="13" t="s">
        <v>2189</v>
      </c>
      <c r="J924" s="13" t="s">
        <v>2189</v>
      </c>
      <c r="K924" s="13" t="s">
        <v>2189</v>
      </c>
    </row>
    <row r="925" spans="1:11" hidden="1" x14ac:dyDescent="0.25">
      <c r="A925" t="str">
        <f>_xlfn.XLOOKUP(C925, 'Códigos DANE Municipios'!$B$2:$B$1123, 'Códigos DANE Municipios'!$A$2:$A$1123, "No encontrado")</f>
        <v>25286</v>
      </c>
      <c r="B925" t="str">
        <f>IFERROR(VLOOKUP(D925,APOYO!K:L,2,FALSE),A925)</f>
        <v>25286</v>
      </c>
      <c r="C925" t="s">
        <v>971</v>
      </c>
      <c r="D925" t="str">
        <f>IFERROR(VLOOKUP(C925,APOYO!J:K,2,FALSE),C925)</f>
        <v>FUNZA</v>
      </c>
      <c r="E925">
        <v>2014</v>
      </c>
      <c r="F925" t="s">
        <v>2189</v>
      </c>
      <c r="G925" t="s">
        <v>2189</v>
      </c>
      <c r="H925">
        <v>10</v>
      </c>
      <c r="I925" s="13" t="s">
        <v>2189</v>
      </c>
      <c r="J925" s="13" t="s">
        <v>2189</v>
      </c>
      <c r="K925" s="13" t="s">
        <v>2189</v>
      </c>
    </row>
    <row r="926" spans="1:11" hidden="1" x14ac:dyDescent="0.25">
      <c r="A926" t="str">
        <f>_xlfn.XLOOKUP(C926, 'Códigos DANE Municipios'!$B$2:$B$1123, 'Códigos DANE Municipios'!$A$2:$A$1123, "No encontrado")</f>
        <v>25288</v>
      </c>
      <c r="B926" t="str">
        <f>IFERROR(VLOOKUP(D926,APOYO!K:L,2,FALSE),A926)</f>
        <v>25288</v>
      </c>
      <c r="C926" t="s">
        <v>973</v>
      </c>
      <c r="D926" t="str">
        <f>IFERROR(VLOOKUP(C926,APOYO!J:K,2,FALSE),C926)</f>
        <v>FÚQUENE</v>
      </c>
      <c r="E926">
        <v>2014</v>
      </c>
      <c r="F926" t="s">
        <v>2189</v>
      </c>
      <c r="G926" t="s">
        <v>2189</v>
      </c>
      <c r="H926">
        <v>1</v>
      </c>
      <c r="I926" s="13" t="s">
        <v>2189</v>
      </c>
      <c r="J926" s="13" t="s">
        <v>2189</v>
      </c>
      <c r="K926" s="13" t="s">
        <v>2189</v>
      </c>
    </row>
    <row r="927" spans="1:11" hidden="1" x14ac:dyDescent="0.25">
      <c r="A927" t="str">
        <f>_xlfn.XLOOKUP(C927, 'Códigos DANE Municipios'!$B$2:$B$1123, 'Códigos DANE Municipios'!$A$2:$A$1123, "No encontrado")</f>
        <v>25290</v>
      </c>
      <c r="B927" t="str">
        <f>IFERROR(VLOOKUP(D927,APOYO!K:L,2,FALSE),A927)</f>
        <v>25290</v>
      </c>
      <c r="C927" t="s">
        <v>975</v>
      </c>
      <c r="D927" t="str">
        <f>IFERROR(VLOOKUP(C927,APOYO!J:K,2,FALSE),C927)</f>
        <v>FUSAGASUGÁ</v>
      </c>
      <c r="E927">
        <v>2014</v>
      </c>
      <c r="F927" t="s">
        <v>2189</v>
      </c>
      <c r="G927" t="s">
        <v>2189</v>
      </c>
      <c r="H927">
        <v>1106</v>
      </c>
      <c r="I927" s="13" t="s">
        <v>2189</v>
      </c>
      <c r="J927" s="13" t="s">
        <v>2189</v>
      </c>
      <c r="K927" s="13" t="s">
        <v>2189</v>
      </c>
    </row>
    <row r="928" spans="1:11" hidden="1" x14ac:dyDescent="0.25">
      <c r="A928" t="str">
        <f>_xlfn.XLOOKUP(C928, 'Códigos DANE Municipios'!$B$2:$B$1123, 'Códigos DANE Municipios'!$A$2:$A$1123, "No encontrado")</f>
        <v>25295</v>
      </c>
      <c r="B928" t="str">
        <f>IFERROR(VLOOKUP(D928,APOYO!K:L,2,FALSE),A928)</f>
        <v>25295</v>
      </c>
      <c r="C928" t="s">
        <v>979</v>
      </c>
      <c r="D928" t="str">
        <f>IFERROR(VLOOKUP(C928,APOYO!J:K,2,FALSE),C928)</f>
        <v>GACHANCIPÁ</v>
      </c>
      <c r="E928">
        <v>2014</v>
      </c>
      <c r="F928" t="s">
        <v>2189</v>
      </c>
      <c r="G928" t="s">
        <v>2189</v>
      </c>
      <c r="H928">
        <v>18</v>
      </c>
      <c r="I928" s="13" t="s">
        <v>2189</v>
      </c>
      <c r="J928" s="13" t="s">
        <v>2189</v>
      </c>
      <c r="K928" s="13" t="s">
        <v>2189</v>
      </c>
    </row>
    <row r="929" spans="1:11" hidden="1" x14ac:dyDescent="0.25">
      <c r="A929" t="str">
        <f>_xlfn.XLOOKUP(C929, 'Códigos DANE Municipios'!$B$2:$B$1123, 'Códigos DANE Municipios'!$A$2:$A$1123, "No encontrado")</f>
        <v>25297</v>
      </c>
      <c r="B929" t="str">
        <f>IFERROR(VLOOKUP(D929,APOYO!K:L,2,FALSE),A929)</f>
        <v>25297</v>
      </c>
      <c r="C929" t="s">
        <v>981</v>
      </c>
      <c r="D929" t="str">
        <f>IFERROR(VLOOKUP(C929,APOYO!J:K,2,FALSE),C929)</f>
        <v>GACHETÁ</v>
      </c>
      <c r="E929">
        <v>2014</v>
      </c>
      <c r="F929" t="s">
        <v>2189</v>
      </c>
      <c r="G929" t="s">
        <v>2189</v>
      </c>
      <c r="H929">
        <v>6</v>
      </c>
      <c r="I929" s="13" t="s">
        <v>2189</v>
      </c>
      <c r="J929" s="13" t="s">
        <v>2189</v>
      </c>
      <c r="K929" s="13" t="s">
        <v>2189</v>
      </c>
    </row>
    <row r="930" spans="1:11" hidden="1" x14ac:dyDescent="0.25">
      <c r="A930" t="str">
        <f>_xlfn.XLOOKUP(C930, 'Códigos DANE Municipios'!$B$2:$B$1123, 'Códigos DANE Municipios'!$A$2:$A$1123, "No encontrado")</f>
        <v>08296</v>
      </c>
      <c r="B930" t="str">
        <f>IFERROR(VLOOKUP(D930,APOYO!K:L,2,FALSE),A930)</f>
        <v>08296</v>
      </c>
      <c r="C930" t="s">
        <v>270</v>
      </c>
      <c r="D930" t="str">
        <f>IFERROR(VLOOKUP(C930,APOYO!J:K,2,FALSE),C930)</f>
        <v>GALAPA</v>
      </c>
      <c r="E930">
        <v>2014</v>
      </c>
      <c r="F930" t="s">
        <v>2189</v>
      </c>
      <c r="G930" t="s">
        <v>2189</v>
      </c>
      <c r="H930">
        <v>8</v>
      </c>
      <c r="I930" s="13" t="s">
        <v>2189</v>
      </c>
      <c r="J930" s="13" t="s">
        <v>2189</v>
      </c>
      <c r="K930" s="13" t="s">
        <v>2189</v>
      </c>
    </row>
    <row r="931" spans="1:11" hidden="1" x14ac:dyDescent="0.25">
      <c r="A931" t="str">
        <f>_xlfn.XLOOKUP(C931, 'Códigos DANE Municipios'!$B$2:$B$1123, 'Códigos DANE Municipios'!$A$2:$A$1123, "No encontrado")</f>
        <v>68298</v>
      </c>
      <c r="B931" t="str">
        <f>IFERROR(VLOOKUP(D931,APOYO!K:L,2,FALSE),A931)</f>
        <v>68298</v>
      </c>
      <c r="C931" t="s">
        <v>1716</v>
      </c>
      <c r="D931" t="str">
        <f>IFERROR(VLOOKUP(C931,APOYO!J:K,2,FALSE),C931)</f>
        <v>GÁMBITA</v>
      </c>
      <c r="E931">
        <v>2014</v>
      </c>
      <c r="F931" t="s">
        <v>2189</v>
      </c>
      <c r="G931" t="s">
        <v>2189</v>
      </c>
      <c r="H931">
        <v>2</v>
      </c>
      <c r="I931" s="13" t="s">
        <v>2189</v>
      </c>
      <c r="J931" s="13" t="s">
        <v>2189</v>
      </c>
      <c r="K931" s="13" t="s">
        <v>2189</v>
      </c>
    </row>
    <row r="932" spans="1:11" hidden="1" x14ac:dyDescent="0.25">
      <c r="A932" t="str">
        <f>_xlfn.XLOOKUP(C932, 'Códigos DANE Municipios'!$B$2:$B$1123, 'Códigos DANE Municipios'!$A$2:$A$1123, "No encontrado")</f>
        <v>15293</v>
      </c>
      <c r="B932" t="str">
        <f>IFERROR(VLOOKUP(D932,APOYO!K:L,2,FALSE),A932)</f>
        <v>15293</v>
      </c>
      <c r="C932" t="s">
        <v>471</v>
      </c>
      <c r="D932" t="str">
        <f>IFERROR(VLOOKUP(C932,APOYO!J:K,2,FALSE),C932)</f>
        <v>GACHANTIVÁ</v>
      </c>
      <c r="E932">
        <v>2014</v>
      </c>
      <c r="F932" t="s">
        <v>2189</v>
      </c>
      <c r="G932" t="s">
        <v>2189</v>
      </c>
      <c r="H932">
        <v>1</v>
      </c>
      <c r="I932" s="13" t="s">
        <v>2189</v>
      </c>
      <c r="J932" s="13" t="s">
        <v>2189</v>
      </c>
      <c r="K932" s="13" t="s">
        <v>2189</v>
      </c>
    </row>
    <row r="933" spans="1:11" hidden="1" x14ac:dyDescent="0.25">
      <c r="A933" t="str">
        <f>_xlfn.XLOOKUP(C933, 'Códigos DANE Municipios'!$B$2:$B$1123, 'Códigos DANE Municipios'!$A$2:$A$1123, "No encontrado")</f>
        <v>68296</v>
      </c>
      <c r="B933" t="str">
        <f>IFERROR(VLOOKUP(D933,APOYO!K:L,2,FALSE),A933)</f>
        <v>68296</v>
      </c>
      <c r="C933" t="s">
        <v>1714</v>
      </c>
      <c r="D933" t="str">
        <f>IFERROR(VLOOKUP(C933,APOYO!J:K,2,FALSE),C933)</f>
        <v>GALÁN</v>
      </c>
      <c r="E933">
        <v>2014</v>
      </c>
      <c r="F933" t="s">
        <v>2189</v>
      </c>
      <c r="G933" t="s">
        <v>2189</v>
      </c>
      <c r="H933" t="s">
        <v>2189</v>
      </c>
      <c r="I933" s="13" t="s">
        <v>2189</v>
      </c>
      <c r="J933" s="13" t="s">
        <v>2189</v>
      </c>
      <c r="K933" s="13" t="s">
        <v>2189</v>
      </c>
    </row>
    <row r="934" spans="1:11" hidden="1" x14ac:dyDescent="0.25">
      <c r="A934" t="str">
        <f>_xlfn.XLOOKUP(C934, 'Códigos DANE Municipios'!$B$2:$B$1123, 'Códigos DANE Municipios'!$A$2:$A$1123, "No encontrado")</f>
        <v>08296</v>
      </c>
      <c r="B934" t="str">
        <f>IFERROR(VLOOKUP(D934,APOYO!K:L,2,FALSE),A934)</f>
        <v>08296</v>
      </c>
      <c r="C934" t="s">
        <v>270</v>
      </c>
      <c r="D934" t="str">
        <f>IFERROR(VLOOKUP(C934,APOYO!J:K,2,FALSE),C934)</f>
        <v>GALAPA</v>
      </c>
      <c r="E934">
        <v>2014</v>
      </c>
      <c r="F934" t="s">
        <v>2189</v>
      </c>
      <c r="G934" t="s">
        <v>2189</v>
      </c>
      <c r="H934" t="s">
        <v>2189</v>
      </c>
      <c r="I934" s="13" t="s">
        <v>2189</v>
      </c>
      <c r="J934" s="13" t="s">
        <v>2189</v>
      </c>
      <c r="K934" s="13" t="s">
        <v>2189</v>
      </c>
    </row>
    <row r="935" spans="1:11" hidden="1" x14ac:dyDescent="0.25">
      <c r="A935" t="str">
        <f>_xlfn.XLOOKUP(C935, 'Códigos DANE Municipios'!$B$2:$B$1123, 'Códigos DANE Municipios'!$A$2:$A$1123, "No encontrado")</f>
        <v>15299</v>
      </c>
      <c r="B935" t="str">
        <f>IFERROR(VLOOKUP(D935,APOYO!K:L,2,FALSE),A935)</f>
        <v>15299</v>
      </c>
      <c r="C935" t="s">
        <v>475</v>
      </c>
      <c r="D935" t="str">
        <f>IFERROR(VLOOKUP(C935,APOYO!J:K,2,FALSE),C935)</f>
        <v>GARAGOA</v>
      </c>
      <c r="E935">
        <v>2014</v>
      </c>
      <c r="F935" t="s">
        <v>2189</v>
      </c>
      <c r="G935" t="s">
        <v>2189</v>
      </c>
      <c r="H935">
        <v>39</v>
      </c>
      <c r="I935" s="13" t="s">
        <v>2189</v>
      </c>
      <c r="J935" s="13" t="s">
        <v>2189</v>
      </c>
      <c r="K935" s="13" t="s">
        <v>2189</v>
      </c>
    </row>
    <row r="936" spans="1:11" hidden="1" x14ac:dyDescent="0.25">
      <c r="A936" t="str">
        <f>_xlfn.XLOOKUP(C936, 'Códigos DANE Municipios'!$B$2:$B$1123, 'Códigos DANE Municipios'!$A$2:$A$1123, "No encontrado")</f>
        <v>41298</v>
      </c>
      <c r="B936" t="str">
        <f>IFERROR(VLOOKUP(D936,APOYO!K:L,2,FALSE),A936)</f>
        <v>41298</v>
      </c>
      <c r="C936" t="s">
        <v>1221</v>
      </c>
      <c r="D936" t="str">
        <f>IFERROR(VLOOKUP(C936,APOYO!J:K,2,FALSE),C936)</f>
        <v>GARZÓN</v>
      </c>
      <c r="E936">
        <v>2014</v>
      </c>
      <c r="F936" t="s">
        <v>2189</v>
      </c>
      <c r="G936" t="s">
        <v>2189</v>
      </c>
      <c r="H936">
        <v>65</v>
      </c>
      <c r="I936" s="13" t="s">
        <v>2189</v>
      </c>
      <c r="J936" s="13" t="s">
        <v>2189</v>
      </c>
      <c r="K936" s="13" t="s">
        <v>2189</v>
      </c>
    </row>
    <row r="937" spans="1:11" hidden="1" x14ac:dyDescent="0.25">
      <c r="A937" t="str">
        <f>_xlfn.XLOOKUP(C937, 'Códigos DANE Municipios'!$B$2:$B$1123, 'Códigos DANE Municipios'!$A$2:$A$1123, "No encontrado")</f>
        <v>63302</v>
      </c>
      <c r="B937" t="str">
        <f>IFERROR(VLOOKUP(D937,APOYO!K:L,2,FALSE),A937)</f>
        <v>63302</v>
      </c>
      <c r="C937" t="s">
        <v>1616</v>
      </c>
      <c r="D937" t="str">
        <f>IFERROR(VLOOKUP(C937,APOYO!J:K,2,FALSE),C937)</f>
        <v>GÉNOVA</v>
      </c>
      <c r="E937">
        <v>2014</v>
      </c>
      <c r="F937" t="s">
        <v>2189</v>
      </c>
      <c r="G937" t="s">
        <v>2189</v>
      </c>
      <c r="H937">
        <v>7</v>
      </c>
      <c r="I937" s="13" t="s">
        <v>2189</v>
      </c>
      <c r="J937" s="13" t="s">
        <v>2189</v>
      </c>
      <c r="K937" s="13" t="s">
        <v>2189</v>
      </c>
    </row>
    <row r="938" spans="1:11" hidden="1" x14ac:dyDescent="0.25">
      <c r="A938" t="str">
        <f>_xlfn.XLOOKUP(C938, 'Códigos DANE Municipios'!$B$2:$B$1123, 'Códigos DANE Municipios'!$A$2:$A$1123, "No encontrado")</f>
        <v>41306</v>
      </c>
      <c r="B938" t="str">
        <f>IFERROR(VLOOKUP(D938,APOYO!K:L,2,FALSE),A938)</f>
        <v>41306</v>
      </c>
      <c r="C938" t="s">
        <v>1223</v>
      </c>
      <c r="D938" t="str">
        <f>IFERROR(VLOOKUP(C938,APOYO!J:K,2,FALSE),C938)</f>
        <v>GIGANTE</v>
      </c>
      <c r="E938">
        <v>2014</v>
      </c>
      <c r="F938" t="s">
        <v>2189</v>
      </c>
      <c r="G938" t="s">
        <v>2189</v>
      </c>
      <c r="H938">
        <v>15</v>
      </c>
      <c r="I938" s="13" t="s">
        <v>2189</v>
      </c>
      <c r="J938" s="13" t="s">
        <v>2189</v>
      </c>
      <c r="K938" s="13" t="s">
        <v>2189</v>
      </c>
    </row>
    <row r="939" spans="1:11" hidden="1" x14ac:dyDescent="0.25">
      <c r="A939" t="str">
        <f>_xlfn.XLOOKUP(C939, 'Códigos DANE Municipios'!$B$2:$B$1123, 'Códigos DANE Municipios'!$A$2:$A$1123, "No encontrado")</f>
        <v>76306</v>
      </c>
      <c r="B939" t="str">
        <f>IFERROR(VLOOKUP(D939,APOYO!K:L,2,FALSE),A939)</f>
        <v>76306</v>
      </c>
      <c r="C939" t="s">
        <v>1992</v>
      </c>
      <c r="D939" t="str">
        <f>IFERROR(VLOOKUP(C939,APOYO!J:K,2,FALSE),C939)</f>
        <v>GINEBRA</v>
      </c>
      <c r="E939">
        <v>2014</v>
      </c>
      <c r="F939" t="s">
        <v>2189</v>
      </c>
      <c r="G939" t="s">
        <v>2189</v>
      </c>
      <c r="H939">
        <v>45</v>
      </c>
      <c r="I939" s="13" t="s">
        <v>2189</v>
      </c>
      <c r="J939" s="13" t="s">
        <v>2189</v>
      </c>
      <c r="K939" s="13" t="s">
        <v>2189</v>
      </c>
    </row>
    <row r="940" spans="1:11" hidden="1" x14ac:dyDescent="0.25">
      <c r="A940" t="str">
        <f>_xlfn.XLOOKUP(C940, 'Códigos DANE Municipios'!$B$2:$B$1123, 'Códigos DANE Municipios'!$A$2:$A$1123, "No encontrado")</f>
        <v>05306</v>
      </c>
      <c r="B940" t="str">
        <f>IFERROR(VLOOKUP(D940,APOYO!K:L,2,FALSE),A940)</f>
        <v>05306</v>
      </c>
      <c r="C940" t="s">
        <v>110</v>
      </c>
      <c r="D940" t="str">
        <f>IFERROR(VLOOKUP(C940,APOYO!J:K,2,FALSE),C940)</f>
        <v>GIRALDO</v>
      </c>
      <c r="E940">
        <v>2014</v>
      </c>
      <c r="F940" t="s">
        <v>2189</v>
      </c>
      <c r="G940" t="s">
        <v>2189</v>
      </c>
      <c r="H940">
        <v>3</v>
      </c>
      <c r="I940" s="13" t="s">
        <v>2189</v>
      </c>
      <c r="J940" s="13" t="s">
        <v>2189</v>
      </c>
      <c r="K940" s="13" t="s">
        <v>2189</v>
      </c>
    </row>
    <row r="941" spans="1:11" hidden="1" x14ac:dyDescent="0.25">
      <c r="A941" t="str">
        <f>_xlfn.XLOOKUP(C941, 'Códigos DANE Municipios'!$B$2:$B$1123, 'Códigos DANE Municipios'!$A$2:$A$1123, "No encontrado")</f>
        <v>25307</v>
      </c>
      <c r="B941" t="str">
        <f>IFERROR(VLOOKUP(D941,APOYO!K:L,2,FALSE),A941)</f>
        <v>25307</v>
      </c>
      <c r="C941" t="s">
        <v>985</v>
      </c>
      <c r="D941" t="str">
        <f>IFERROR(VLOOKUP(C941,APOYO!J:K,2,FALSE),C941)</f>
        <v>GIRARDOT</v>
      </c>
      <c r="E941">
        <v>2014</v>
      </c>
      <c r="F941" t="s">
        <v>2189</v>
      </c>
      <c r="G941" t="s">
        <v>2189</v>
      </c>
      <c r="H941">
        <v>325</v>
      </c>
      <c r="I941" s="13" t="s">
        <v>2189</v>
      </c>
      <c r="J941" s="13" t="s">
        <v>2189</v>
      </c>
      <c r="K941" s="13" t="s">
        <v>2189</v>
      </c>
    </row>
    <row r="942" spans="1:11" hidden="1" x14ac:dyDescent="0.25">
      <c r="A942" t="str">
        <f>_xlfn.XLOOKUP(C942, 'Códigos DANE Municipios'!$B$2:$B$1123, 'Códigos DANE Municipios'!$A$2:$A$1123, "No encontrado")</f>
        <v>05308</v>
      </c>
      <c r="B942" t="str">
        <f>IFERROR(VLOOKUP(D942,APOYO!K:L,2,FALSE),A942)</f>
        <v>05308</v>
      </c>
      <c r="C942" t="s">
        <v>112</v>
      </c>
      <c r="D942" t="str">
        <f>IFERROR(VLOOKUP(C942,APOYO!J:K,2,FALSE),C942)</f>
        <v>GIRARDOTA</v>
      </c>
      <c r="E942">
        <v>2014</v>
      </c>
      <c r="F942" t="s">
        <v>2189</v>
      </c>
      <c r="G942" t="s">
        <v>2189</v>
      </c>
      <c r="H942">
        <v>43</v>
      </c>
      <c r="I942" s="13" t="s">
        <v>2189</v>
      </c>
      <c r="J942" s="13" t="s">
        <v>2189</v>
      </c>
      <c r="K942" s="13" t="s">
        <v>2189</v>
      </c>
    </row>
    <row r="943" spans="1:11" hidden="1" x14ac:dyDescent="0.25">
      <c r="A943" t="str">
        <f>_xlfn.XLOOKUP(C943, 'Códigos DANE Municipios'!$B$2:$B$1123, 'Códigos DANE Municipios'!$A$2:$A$1123, "No encontrado")</f>
        <v>68307</v>
      </c>
      <c r="B943" t="str">
        <f>IFERROR(VLOOKUP(D943,APOYO!K:L,2,FALSE),A943)</f>
        <v>68307</v>
      </c>
      <c r="C943" t="s">
        <v>1718</v>
      </c>
      <c r="D943" t="str">
        <f>IFERROR(VLOOKUP(C943,APOYO!J:K,2,FALSE),C943)</f>
        <v>GIRÓN</v>
      </c>
      <c r="E943">
        <v>2014</v>
      </c>
      <c r="F943" t="s">
        <v>2189</v>
      </c>
      <c r="G943" t="s">
        <v>2189</v>
      </c>
      <c r="H943">
        <v>77</v>
      </c>
      <c r="I943" s="13" t="s">
        <v>2189</v>
      </c>
      <c r="J943" s="13" t="s">
        <v>2189</v>
      </c>
      <c r="K943" s="13" t="s">
        <v>2189</v>
      </c>
    </row>
    <row r="944" spans="1:11" hidden="1" x14ac:dyDescent="0.25">
      <c r="A944" t="str">
        <f>_xlfn.XLOOKUP(C944, 'Códigos DANE Municipios'!$B$2:$B$1123, 'Códigos DANE Municipios'!$A$2:$A$1123, "No encontrado")</f>
        <v>05310</v>
      </c>
      <c r="B944" t="str">
        <f>IFERROR(VLOOKUP(D944,APOYO!K:L,2,FALSE),A944)</f>
        <v>05310</v>
      </c>
      <c r="C944" t="s">
        <v>114</v>
      </c>
      <c r="D944" t="str">
        <f>IFERROR(VLOOKUP(C944,APOYO!J:K,2,FALSE),C944)</f>
        <v>GÓMEZ PLATA</v>
      </c>
      <c r="E944">
        <v>2014</v>
      </c>
      <c r="F944" t="s">
        <v>2189</v>
      </c>
      <c r="G944" t="s">
        <v>2189</v>
      </c>
      <c r="H944" t="s">
        <v>2189</v>
      </c>
      <c r="I944" s="13" t="s">
        <v>2189</v>
      </c>
      <c r="J944" s="13" t="s">
        <v>2189</v>
      </c>
      <c r="K944" s="13" t="s">
        <v>2189</v>
      </c>
    </row>
    <row r="945" spans="1:11" hidden="1" x14ac:dyDescent="0.25">
      <c r="A945" t="str">
        <f>_xlfn.XLOOKUP(C945, 'Códigos DANE Municipios'!$B$2:$B$1123, 'Códigos DANE Municipios'!$A$2:$A$1123, "No encontrado")</f>
        <v>05313</v>
      </c>
      <c r="B945" t="str">
        <f>IFERROR(VLOOKUP(D945,APOYO!K:L,2,FALSE),A945)</f>
        <v>05313</v>
      </c>
      <c r="C945" t="s">
        <v>116</v>
      </c>
      <c r="D945" t="str">
        <f>IFERROR(VLOOKUP(C945,APOYO!J:K,2,FALSE),C945)</f>
        <v>GRANADA</v>
      </c>
      <c r="E945">
        <v>2014</v>
      </c>
      <c r="F945" t="s">
        <v>2189</v>
      </c>
      <c r="G945" t="s">
        <v>2189</v>
      </c>
      <c r="H945" t="s">
        <v>2189</v>
      </c>
      <c r="I945" s="13" t="s">
        <v>2189</v>
      </c>
      <c r="J945" s="13" t="s">
        <v>2189</v>
      </c>
      <c r="K945" s="13" t="s">
        <v>2189</v>
      </c>
    </row>
    <row r="946" spans="1:11" hidden="1" x14ac:dyDescent="0.25">
      <c r="A946" t="str">
        <f>_xlfn.XLOOKUP(C946, 'Códigos DANE Municipios'!$B$2:$B$1123, 'Códigos DANE Municipios'!$A$2:$A$1123, "No encontrado")</f>
        <v>05313</v>
      </c>
      <c r="B946" t="str">
        <f>IFERROR(VLOOKUP(D946,APOYO!K:L,2,FALSE),A946)</f>
        <v>05313</v>
      </c>
      <c r="C946" t="s">
        <v>116</v>
      </c>
      <c r="D946" t="str">
        <f>IFERROR(VLOOKUP(C946,APOYO!J:K,2,FALSE),C946)</f>
        <v>GRANADA</v>
      </c>
      <c r="E946">
        <v>2014</v>
      </c>
      <c r="F946" t="s">
        <v>2189</v>
      </c>
      <c r="G946" t="s">
        <v>2189</v>
      </c>
      <c r="H946">
        <v>5</v>
      </c>
      <c r="I946" s="13" t="s">
        <v>2189</v>
      </c>
      <c r="J946" s="13" t="s">
        <v>2189</v>
      </c>
      <c r="K946" s="13" t="s">
        <v>2189</v>
      </c>
    </row>
    <row r="947" spans="1:11" hidden="1" x14ac:dyDescent="0.25">
      <c r="A947" t="str">
        <f>_xlfn.XLOOKUP(C947, 'Códigos DANE Municipios'!$B$2:$B$1123, 'Códigos DANE Municipios'!$A$2:$A$1123, "No encontrado")</f>
        <v>05313</v>
      </c>
      <c r="B947" t="str">
        <f>IFERROR(VLOOKUP(D947,APOYO!K:L,2,FALSE),A947)</f>
        <v>05313</v>
      </c>
      <c r="C947" t="s">
        <v>116</v>
      </c>
      <c r="D947" t="str">
        <f>IFERROR(VLOOKUP(C947,APOYO!J:K,2,FALSE),C947)</f>
        <v>GRANADA</v>
      </c>
      <c r="E947">
        <v>2014</v>
      </c>
      <c r="F947">
        <v>0</v>
      </c>
      <c r="G947" t="s">
        <v>2189</v>
      </c>
      <c r="H947">
        <v>37</v>
      </c>
      <c r="I947" s="13" t="s">
        <v>2189</v>
      </c>
      <c r="J947" s="13" t="s">
        <v>2189</v>
      </c>
      <c r="K947" s="13" t="s">
        <v>2189</v>
      </c>
    </row>
    <row r="948" spans="1:11" hidden="1" x14ac:dyDescent="0.25">
      <c r="A948" t="str">
        <f>_xlfn.XLOOKUP(C948, 'Códigos DANE Municipios'!$B$2:$B$1123, 'Códigos DANE Municipios'!$A$2:$A$1123, "No encontrado")</f>
        <v>15317</v>
      </c>
      <c r="B948" t="str">
        <f>IFERROR(VLOOKUP(D948,APOYO!K:L,2,FALSE),A948)</f>
        <v>15317</v>
      </c>
      <c r="C948" t="s">
        <v>477</v>
      </c>
      <c r="D948" t="str">
        <f>IFERROR(VLOOKUP(C948,APOYO!J:K,2,FALSE),C948)</f>
        <v>GUACAMAYAS</v>
      </c>
      <c r="E948">
        <v>2014</v>
      </c>
      <c r="F948" t="s">
        <v>2189</v>
      </c>
      <c r="G948" t="s">
        <v>2189</v>
      </c>
      <c r="H948" t="s">
        <v>2189</v>
      </c>
      <c r="I948" s="13" t="s">
        <v>2189</v>
      </c>
      <c r="J948" s="13" t="s">
        <v>2189</v>
      </c>
      <c r="K948" s="13" t="s">
        <v>2189</v>
      </c>
    </row>
    <row r="949" spans="1:11" hidden="1" x14ac:dyDescent="0.25">
      <c r="A949" t="str">
        <f>_xlfn.XLOOKUP(C949, 'Códigos DANE Municipios'!$B$2:$B$1123, 'Códigos DANE Municipios'!$A$2:$A$1123, "No encontrado")</f>
        <v>76318</v>
      </c>
      <c r="B949" t="str">
        <f>IFERROR(VLOOKUP(D949,APOYO!K:L,2,FALSE),A949)</f>
        <v>76318</v>
      </c>
      <c r="C949" t="s">
        <v>1994</v>
      </c>
      <c r="D949" t="str">
        <f>IFERROR(VLOOKUP(C949,APOYO!J:K,2,FALSE),C949)</f>
        <v>GUACARÍ</v>
      </c>
      <c r="E949">
        <v>2014</v>
      </c>
      <c r="F949" t="s">
        <v>2189</v>
      </c>
      <c r="G949" t="s">
        <v>2189</v>
      </c>
      <c r="H949">
        <v>40</v>
      </c>
      <c r="I949" s="13" t="s">
        <v>2189</v>
      </c>
      <c r="J949" s="13" t="s">
        <v>2189</v>
      </c>
      <c r="K949" s="13" t="s">
        <v>2189</v>
      </c>
    </row>
    <row r="950" spans="1:11" hidden="1" x14ac:dyDescent="0.25">
      <c r="A950" t="str">
        <f>_xlfn.XLOOKUP(C950, 'Códigos DANE Municipios'!$B$2:$B$1123, 'Códigos DANE Municipios'!$A$2:$A$1123, "No encontrado")</f>
        <v>25317</v>
      </c>
      <c r="B950" t="str">
        <f>IFERROR(VLOOKUP(D950,APOYO!K:L,2,FALSE),A950)</f>
        <v>25317</v>
      </c>
      <c r="C950" t="s">
        <v>988</v>
      </c>
      <c r="D950" t="str">
        <f>IFERROR(VLOOKUP(C950,APOYO!J:K,2,FALSE),C950)</f>
        <v>GUACHETÁ</v>
      </c>
      <c r="E950">
        <v>2014</v>
      </c>
      <c r="F950" t="s">
        <v>2189</v>
      </c>
      <c r="G950" t="s">
        <v>2189</v>
      </c>
      <c r="H950">
        <v>8</v>
      </c>
      <c r="I950" s="13" t="s">
        <v>2189</v>
      </c>
      <c r="J950" s="13" t="s">
        <v>2189</v>
      </c>
      <c r="K950" s="13" t="s">
        <v>2189</v>
      </c>
    </row>
    <row r="951" spans="1:11" hidden="1" x14ac:dyDescent="0.25">
      <c r="A951" t="str">
        <f>_xlfn.XLOOKUP(C951, 'Códigos DANE Municipios'!$B$2:$B$1123, 'Códigos DANE Municipios'!$A$2:$A$1123, "No encontrado")</f>
        <v>52317</v>
      </c>
      <c r="B951" t="str">
        <f>IFERROR(VLOOKUP(D951,APOYO!K:L,2,FALSE),A951)</f>
        <v>52317</v>
      </c>
      <c r="C951" t="s">
        <v>1452</v>
      </c>
      <c r="D951" t="str">
        <f>IFERROR(VLOOKUP(C951,APOYO!J:K,2,FALSE),C951)</f>
        <v>GUACHUCAL</v>
      </c>
      <c r="E951">
        <v>2014</v>
      </c>
      <c r="F951" t="s">
        <v>2189</v>
      </c>
      <c r="G951" t="s">
        <v>2189</v>
      </c>
      <c r="H951">
        <v>4</v>
      </c>
      <c r="I951" s="13" t="s">
        <v>2189</v>
      </c>
      <c r="J951" s="13" t="s">
        <v>2189</v>
      </c>
      <c r="K951" s="13" t="s">
        <v>2189</v>
      </c>
    </row>
    <row r="952" spans="1:11" hidden="1" x14ac:dyDescent="0.25">
      <c r="A952" t="str">
        <f>_xlfn.XLOOKUP(C952, 'Códigos DANE Municipios'!$B$2:$B$1123, 'Códigos DANE Municipios'!$A$2:$A$1123, "No encontrado")</f>
        <v>05315</v>
      </c>
      <c r="B952" t="str">
        <f>IFERROR(VLOOKUP(D952,APOYO!K:L,2,FALSE),A952)</f>
        <v>05315</v>
      </c>
      <c r="C952" t="s">
        <v>118</v>
      </c>
      <c r="D952" t="str">
        <f>IFERROR(VLOOKUP(C952,APOYO!J:K,2,FALSE),C952)</f>
        <v>GUADALUPE</v>
      </c>
      <c r="E952">
        <v>2014</v>
      </c>
      <c r="F952" t="s">
        <v>2189</v>
      </c>
      <c r="G952" t="s">
        <v>2189</v>
      </c>
      <c r="H952">
        <v>3</v>
      </c>
      <c r="I952" s="13" t="s">
        <v>2189</v>
      </c>
      <c r="J952" s="13" t="s">
        <v>2189</v>
      </c>
      <c r="K952" s="13" t="s">
        <v>2189</v>
      </c>
    </row>
    <row r="953" spans="1:11" hidden="1" x14ac:dyDescent="0.25">
      <c r="A953" t="str">
        <f>_xlfn.XLOOKUP(C953, 'Códigos DANE Municipios'!$B$2:$B$1123, 'Códigos DANE Municipios'!$A$2:$A$1123, "No encontrado")</f>
        <v>25320</v>
      </c>
      <c r="B953" t="str">
        <f>IFERROR(VLOOKUP(D953,APOYO!K:L,2,FALSE),A953)</f>
        <v>25320</v>
      </c>
      <c r="C953" t="s">
        <v>990</v>
      </c>
      <c r="D953" t="str">
        <f>IFERROR(VLOOKUP(C953,APOYO!J:K,2,FALSE),C953)</f>
        <v>GUADUAS</v>
      </c>
      <c r="E953">
        <v>2014</v>
      </c>
      <c r="F953" t="s">
        <v>2189</v>
      </c>
      <c r="G953" t="s">
        <v>2189</v>
      </c>
      <c r="H953">
        <v>26</v>
      </c>
      <c r="I953" t="s">
        <v>2189</v>
      </c>
      <c r="J953" s="13" t="s">
        <v>2189</v>
      </c>
      <c r="K953" s="13" t="s">
        <v>2189</v>
      </c>
    </row>
    <row r="954" spans="1:11" hidden="1" x14ac:dyDescent="0.25">
      <c r="A954" t="str">
        <f>_xlfn.XLOOKUP(C954, 'Códigos DANE Municipios'!$B$2:$B$1123, 'Códigos DANE Municipios'!$A$2:$A$1123, "No encontrado")</f>
        <v>47318</v>
      </c>
      <c r="B954" t="str">
        <f>IFERROR(VLOOKUP(D954,APOYO!K:L,2,FALSE),A954)</f>
        <v>47318</v>
      </c>
      <c r="C954" t="s">
        <v>1323</v>
      </c>
      <c r="D954" t="str">
        <f>IFERROR(VLOOKUP(C954,APOYO!J:K,2,FALSE),C954)</f>
        <v>GUAMAL</v>
      </c>
      <c r="E954">
        <v>2014</v>
      </c>
      <c r="F954" t="s">
        <v>2189</v>
      </c>
      <c r="G954" t="s">
        <v>2189</v>
      </c>
      <c r="H954">
        <v>15</v>
      </c>
      <c r="I954" s="13" t="s">
        <v>2189</v>
      </c>
      <c r="J954" s="13" t="s">
        <v>2189</v>
      </c>
      <c r="K954" s="13" t="s">
        <v>2189</v>
      </c>
    </row>
    <row r="955" spans="1:11" hidden="1" x14ac:dyDescent="0.25">
      <c r="A955" t="str">
        <f>_xlfn.XLOOKUP(C955, 'Códigos DANE Municipios'!$B$2:$B$1123, 'Códigos DANE Municipios'!$A$2:$A$1123, "No encontrado")</f>
        <v>73319</v>
      </c>
      <c r="B955" t="str">
        <f>IFERROR(VLOOKUP(D955,APOYO!K:L,2,FALSE),A955)</f>
        <v>73319</v>
      </c>
      <c r="C955" t="s">
        <v>1903</v>
      </c>
      <c r="D955" t="str">
        <f>IFERROR(VLOOKUP(C955,APOYO!J:K,2,FALSE),C955)</f>
        <v>GUAMO</v>
      </c>
      <c r="E955">
        <v>2014</v>
      </c>
      <c r="F955" t="s">
        <v>2189</v>
      </c>
      <c r="G955" t="s">
        <v>2189</v>
      </c>
      <c r="H955">
        <v>6</v>
      </c>
      <c r="I955" s="13" t="s">
        <v>2189</v>
      </c>
      <c r="J955" s="13" t="s">
        <v>2189</v>
      </c>
      <c r="K955" s="13" t="s">
        <v>2189</v>
      </c>
    </row>
    <row r="956" spans="1:11" hidden="1" x14ac:dyDescent="0.25">
      <c r="A956" t="str">
        <f>_xlfn.XLOOKUP(C956, 'Códigos DANE Municipios'!$B$2:$B$1123, 'Códigos DANE Municipios'!$A$2:$A$1123, "No encontrado")</f>
        <v>19318</v>
      </c>
      <c r="B956" t="str">
        <f>IFERROR(VLOOKUP(D956,APOYO!K:L,2,FALSE),A956)</f>
        <v>19318</v>
      </c>
      <c r="C956" t="s">
        <v>753</v>
      </c>
      <c r="D956" t="str">
        <f>IFERROR(VLOOKUP(C956,APOYO!J:K,2,FALSE),C956)</f>
        <v>GUAPÍ</v>
      </c>
      <c r="E956">
        <v>2014</v>
      </c>
      <c r="F956">
        <v>18153</v>
      </c>
      <c r="G956" t="s">
        <v>2189</v>
      </c>
      <c r="H956" t="s">
        <v>2189</v>
      </c>
      <c r="I956" s="13">
        <v>3086</v>
      </c>
      <c r="J956" s="13" t="s">
        <v>2189</v>
      </c>
      <c r="K956" s="13" t="s">
        <v>2189</v>
      </c>
    </row>
    <row r="957" spans="1:11" hidden="1" x14ac:dyDescent="0.25">
      <c r="A957" t="str">
        <f>_xlfn.XLOOKUP(C957, 'Códigos DANE Municipios'!$B$2:$B$1123, 'Códigos DANE Municipios'!$A$2:$A$1123, "No encontrado")</f>
        <v>70265</v>
      </c>
      <c r="B957" t="str">
        <f>IFERROR(VLOOKUP(D957,APOYO!K:L,2,FALSE),A957)</f>
        <v>70265</v>
      </c>
      <c r="C957" t="s">
        <v>1833</v>
      </c>
      <c r="D957" t="str">
        <f>IFERROR(VLOOKUP(C957,APOYO!J:K,2,FALSE),C957)</f>
        <v>GUARANDA</v>
      </c>
      <c r="E957">
        <v>2014</v>
      </c>
      <c r="F957" t="s">
        <v>2189</v>
      </c>
      <c r="G957" t="s">
        <v>2189</v>
      </c>
      <c r="H957">
        <v>1</v>
      </c>
      <c r="I957" s="13" t="s">
        <v>2189</v>
      </c>
      <c r="J957" s="13" t="s">
        <v>2189</v>
      </c>
      <c r="K957" s="13" t="s">
        <v>2189</v>
      </c>
    </row>
    <row r="958" spans="1:11" hidden="1" x14ac:dyDescent="0.25">
      <c r="A958" t="str">
        <f>_xlfn.XLOOKUP(C958, 'Códigos DANE Municipios'!$B$2:$B$1123, 'Códigos DANE Municipios'!$A$2:$A$1123, "No encontrado")</f>
        <v>05318</v>
      </c>
      <c r="B958" t="str">
        <f>IFERROR(VLOOKUP(D958,APOYO!K:L,2,FALSE),A958)</f>
        <v>05318</v>
      </c>
      <c r="C958" t="s">
        <v>120</v>
      </c>
      <c r="D958" t="str">
        <f>IFERROR(VLOOKUP(C958,APOYO!J:K,2,FALSE),C958)</f>
        <v>GUARNE</v>
      </c>
      <c r="E958">
        <v>2014</v>
      </c>
      <c r="F958" t="s">
        <v>2189</v>
      </c>
      <c r="G958" t="s">
        <v>2189</v>
      </c>
      <c r="H958">
        <v>68</v>
      </c>
      <c r="I958" s="13" t="s">
        <v>2189</v>
      </c>
      <c r="J958" s="13" t="s">
        <v>2189</v>
      </c>
      <c r="K958" s="13" t="s">
        <v>2189</v>
      </c>
    </row>
    <row r="959" spans="1:11" hidden="1" x14ac:dyDescent="0.25">
      <c r="A959" t="str">
        <f>_xlfn.XLOOKUP(C959, 'Códigos DANE Municipios'!$B$2:$B$1123, 'Códigos DANE Municipios'!$A$2:$A$1123, "No encontrado")</f>
        <v>25322</v>
      </c>
      <c r="B959" t="str">
        <f>IFERROR(VLOOKUP(D959,APOYO!K:L,2,FALSE),A959)</f>
        <v>25322</v>
      </c>
      <c r="C959" t="s">
        <v>992</v>
      </c>
      <c r="D959" t="str">
        <f>IFERROR(VLOOKUP(C959,APOYO!J:K,2,FALSE),C959)</f>
        <v>GUASCA</v>
      </c>
      <c r="E959">
        <v>2014</v>
      </c>
      <c r="F959" t="s">
        <v>2189</v>
      </c>
      <c r="G959" t="s">
        <v>2189</v>
      </c>
      <c r="H959">
        <v>23</v>
      </c>
      <c r="I959" s="13" t="s">
        <v>2189</v>
      </c>
      <c r="J959" s="13" t="s">
        <v>2189</v>
      </c>
      <c r="K959" s="13" t="s">
        <v>2189</v>
      </c>
    </row>
    <row r="960" spans="1:11" hidden="1" x14ac:dyDescent="0.25">
      <c r="A960" t="str">
        <f>_xlfn.XLOOKUP(C960, 'Códigos DANE Municipios'!$B$2:$B$1123, 'Códigos DANE Municipios'!$A$2:$A$1123, "No encontrado")</f>
        <v>05321</v>
      </c>
      <c r="B960" t="str">
        <f>IFERROR(VLOOKUP(D960,APOYO!K:L,2,FALSE),A960)</f>
        <v>05321</v>
      </c>
      <c r="C960" t="s">
        <v>122</v>
      </c>
      <c r="D960" t="str">
        <f>IFERROR(VLOOKUP(C960,APOYO!J:K,2,FALSE),C960)</f>
        <v>GUATAPÉ</v>
      </c>
      <c r="E960">
        <v>2014</v>
      </c>
      <c r="F960" t="s">
        <v>2189</v>
      </c>
      <c r="G960" t="s">
        <v>2189</v>
      </c>
      <c r="H960">
        <v>33</v>
      </c>
      <c r="I960" s="13" t="s">
        <v>2189</v>
      </c>
      <c r="J960" s="13" t="s">
        <v>2189</v>
      </c>
      <c r="K960" s="13" t="s">
        <v>2189</v>
      </c>
    </row>
    <row r="961" spans="1:11" hidden="1" x14ac:dyDescent="0.25">
      <c r="A961" t="str">
        <f>_xlfn.XLOOKUP(C961, 'Códigos DANE Municipios'!$B$2:$B$1123, 'Códigos DANE Municipios'!$A$2:$A$1123, "No encontrado")</f>
        <v>25324</v>
      </c>
      <c r="B961" t="str">
        <f>IFERROR(VLOOKUP(D961,APOYO!K:L,2,FALSE),A961)</f>
        <v>25324</v>
      </c>
      <c r="C961" t="s">
        <v>994</v>
      </c>
      <c r="D961" t="str">
        <f>IFERROR(VLOOKUP(C961,APOYO!J:K,2,FALSE),C961)</f>
        <v>GUATAQUÍ</v>
      </c>
      <c r="E961">
        <v>2014</v>
      </c>
      <c r="F961" t="s">
        <v>2189</v>
      </c>
      <c r="G961" t="s">
        <v>2189</v>
      </c>
      <c r="H961">
        <v>1</v>
      </c>
      <c r="I961" s="13" t="s">
        <v>2189</v>
      </c>
      <c r="J961" s="13" t="s">
        <v>2189</v>
      </c>
      <c r="K961" s="13" t="s">
        <v>2189</v>
      </c>
    </row>
    <row r="962" spans="1:11" hidden="1" x14ac:dyDescent="0.25">
      <c r="A962" t="str">
        <f>_xlfn.XLOOKUP(C962, 'Códigos DANE Municipios'!$B$2:$B$1123, 'Códigos DANE Municipios'!$A$2:$A$1123, "No encontrado")</f>
        <v>25326</v>
      </c>
      <c r="B962" t="str">
        <f>IFERROR(VLOOKUP(D962,APOYO!K:L,2,FALSE),A962)</f>
        <v>25326</v>
      </c>
      <c r="C962" t="s">
        <v>996</v>
      </c>
      <c r="D962" t="str">
        <f>IFERROR(VLOOKUP(C962,APOYO!J:K,2,FALSE),C962)</f>
        <v>GUATAVITA</v>
      </c>
      <c r="E962">
        <v>2014</v>
      </c>
      <c r="F962" t="s">
        <v>2189</v>
      </c>
      <c r="G962" t="s">
        <v>2189</v>
      </c>
      <c r="H962">
        <v>8</v>
      </c>
      <c r="I962" s="13" t="s">
        <v>2189</v>
      </c>
      <c r="J962" s="13" t="s">
        <v>2189</v>
      </c>
      <c r="K962" s="13" t="s">
        <v>2189</v>
      </c>
    </row>
    <row r="963" spans="1:11" hidden="1" x14ac:dyDescent="0.25">
      <c r="A963" t="str">
        <f>_xlfn.XLOOKUP(C963, 'Códigos DANE Municipios'!$B$2:$B$1123, 'Códigos DANE Municipios'!$A$2:$A$1123, "No encontrado")</f>
        <v>15322</v>
      </c>
      <c r="B963" t="str">
        <f>IFERROR(VLOOKUP(D963,APOYO!K:L,2,FALSE),A963)</f>
        <v>15322</v>
      </c>
      <c r="C963" t="s">
        <v>479</v>
      </c>
      <c r="D963" t="str">
        <f>IFERROR(VLOOKUP(C963,APOYO!J:K,2,FALSE),C963)</f>
        <v>GUATEQUE</v>
      </c>
      <c r="E963">
        <v>2014</v>
      </c>
      <c r="F963" t="s">
        <v>2189</v>
      </c>
      <c r="G963" t="s">
        <v>2189</v>
      </c>
      <c r="H963">
        <v>2</v>
      </c>
      <c r="I963" s="13" t="s">
        <v>2189</v>
      </c>
      <c r="J963" s="13" t="s">
        <v>2189</v>
      </c>
      <c r="K963" s="13" t="s">
        <v>2189</v>
      </c>
    </row>
    <row r="964" spans="1:11" hidden="1" x14ac:dyDescent="0.25">
      <c r="A964" t="str">
        <f>_xlfn.XLOOKUP(C964, 'Códigos DANE Municipios'!$B$2:$B$1123, 'Códigos DANE Municipios'!$A$2:$A$1123, "No encontrado")</f>
        <v>66318</v>
      </c>
      <c r="B964" t="str">
        <f>IFERROR(VLOOKUP(D964,APOYO!K:L,2,FALSE),A964)</f>
        <v>66318</v>
      </c>
      <c r="C964" t="s">
        <v>1637</v>
      </c>
      <c r="D964" t="str">
        <f>IFERROR(VLOOKUP(C964,APOYO!J:K,2,FALSE),C964)</f>
        <v>GUÁTICA</v>
      </c>
      <c r="E964">
        <v>2014</v>
      </c>
      <c r="F964" t="s">
        <v>2189</v>
      </c>
      <c r="G964" t="s">
        <v>2189</v>
      </c>
      <c r="H964">
        <v>6</v>
      </c>
      <c r="I964" s="13" t="s">
        <v>2189</v>
      </c>
      <c r="J964" s="13" t="s">
        <v>2189</v>
      </c>
      <c r="K964" s="13" t="s">
        <v>2189</v>
      </c>
    </row>
    <row r="965" spans="1:11" hidden="1" x14ac:dyDescent="0.25">
      <c r="A965" t="str">
        <f>_xlfn.XLOOKUP(C965, 'Códigos DANE Municipios'!$B$2:$B$1123, 'Códigos DANE Municipios'!$A$2:$A$1123, "No encontrado")</f>
        <v>15325</v>
      </c>
      <c r="B965" t="str">
        <f>IFERROR(VLOOKUP(D965,APOYO!K:L,2,FALSE),A965)</f>
        <v>15325</v>
      </c>
      <c r="C965" t="s">
        <v>481</v>
      </c>
      <c r="D965" t="str">
        <f>IFERROR(VLOOKUP(C965,APOYO!J:K,2,FALSE),C965)</f>
        <v>GUAYATÁ</v>
      </c>
      <c r="E965">
        <v>2014</v>
      </c>
      <c r="F965" t="s">
        <v>2189</v>
      </c>
      <c r="G965" t="s">
        <v>2189</v>
      </c>
      <c r="H965" t="s">
        <v>2189</v>
      </c>
      <c r="I965" s="13" t="s">
        <v>2189</v>
      </c>
      <c r="J965" s="13" t="s">
        <v>2189</v>
      </c>
      <c r="K965" s="13" t="s">
        <v>2189</v>
      </c>
    </row>
    <row r="966" spans="1:11" hidden="1" x14ac:dyDescent="0.25">
      <c r="A966" t="str">
        <f>_xlfn.XLOOKUP(C966, 'Códigos DANE Municipios'!$B$2:$B$1123, 'Códigos DANE Municipios'!$A$2:$A$1123, "No encontrado")</f>
        <v>68327</v>
      </c>
      <c r="B966" t="str">
        <f>IFERROR(VLOOKUP(D966,APOYO!K:L,2,FALSE),A966)</f>
        <v>68327</v>
      </c>
      <c r="C966" t="s">
        <v>1727</v>
      </c>
      <c r="D966" t="str">
        <f>IFERROR(VLOOKUP(C966,APOYO!J:K,2,FALSE),C966)</f>
        <v>GÜEPSA</v>
      </c>
      <c r="E966">
        <v>2014</v>
      </c>
      <c r="F966" t="s">
        <v>2189</v>
      </c>
      <c r="G966" t="s">
        <v>2189</v>
      </c>
      <c r="H966">
        <v>2</v>
      </c>
      <c r="I966" s="13" t="s">
        <v>2189</v>
      </c>
      <c r="J966" s="13" t="s">
        <v>2189</v>
      </c>
      <c r="K966" s="13" t="s">
        <v>2189</v>
      </c>
    </row>
    <row r="967" spans="1:11" hidden="1" x14ac:dyDescent="0.25">
      <c r="A967" t="str">
        <f>_xlfn.XLOOKUP(C967, 'Códigos DANE Municipios'!$B$2:$B$1123, 'Códigos DANE Municipios'!$A$2:$A$1123, "No encontrado")</f>
        <v>15332</v>
      </c>
      <c r="B967" t="str">
        <f>IFERROR(VLOOKUP(D967,APOYO!K:L,2,FALSE),A967)</f>
        <v>15332</v>
      </c>
      <c r="C967" t="s">
        <v>483</v>
      </c>
      <c r="D967" t="str">
        <f>IFERROR(VLOOKUP(C967,APOYO!J:K,2,FALSE),C967)</f>
        <v>GÜICÁN</v>
      </c>
      <c r="E967">
        <v>2014</v>
      </c>
      <c r="F967" t="s">
        <v>2189</v>
      </c>
      <c r="G967" t="s">
        <v>2189</v>
      </c>
      <c r="H967" t="s">
        <v>2189</v>
      </c>
      <c r="I967" s="13" t="s">
        <v>2189</v>
      </c>
      <c r="J967" s="13" t="s">
        <v>2189</v>
      </c>
      <c r="K967" s="13" t="s">
        <v>2189</v>
      </c>
    </row>
    <row r="968" spans="1:11" hidden="1" x14ac:dyDescent="0.25">
      <c r="A968" t="str">
        <f>_xlfn.XLOOKUP(C968, 'Códigos DANE Municipios'!$B$2:$B$1123, 'Códigos DANE Municipios'!$A$2:$A$1123, "No encontrado")</f>
        <v>85125</v>
      </c>
      <c r="B968" t="str">
        <f>IFERROR(VLOOKUP(D968,APOYO!K:L,2,FALSE),A968)</f>
        <v>85125</v>
      </c>
      <c r="C968" t="s">
        <v>2054</v>
      </c>
      <c r="D968" t="str">
        <f>IFERROR(VLOOKUP(C968,APOYO!J:K,2,FALSE),C968)</f>
        <v>HATO COROZAL</v>
      </c>
      <c r="E968">
        <v>2014</v>
      </c>
      <c r="F968" t="s">
        <v>2189</v>
      </c>
      <c r="G968" t="s">
        <v>2189</v>
      </c>
      <c r="H968">
        <v>33</v>
      </c>
      <c r="I968" s="13" t="s">
        <v>2189</v>
      </c>
      <c r="J968" s="13" t="s">
        <v>2189</v>
      </c>
      <c r="K968" s="13" t="s">
        <v>2189</v>
      </c>
    </row>
    <row r="969" spans="1:11" hidden="1" x14ac:dyDescent="0.25">
      <c r="A969" t="str">
        <f>_xlfn.XLOOKUP(C969, 'Códigos DANE Municipios'!$B$2:$B$1123, 'Códigos DANE Municipios'!$A$2:$A$1123, "No encontrado")</f>
        <v>05347</v>
      </c>
      <c r="B969" t="str">
        <f>IFERROR(VLOOKUP(D969,APOYO!K:L,2,FALSE),A969)</f>
        <v>05347</v>
      </c>
      <c r="C969" t="s">
        <v>124</v>
      </c>
      <c r="D969" t="str">
        <f>IFERROR(VLOOKUP(C969,APOYO!J:K,2,FALSE),C969)</f>
        <v>HELICONIA</v>
      </c>
      <c r="E969">
        <v>2014</v>
      </c>
      <c r="F969" t="s">
        <v>2189</v>
      </c>
      <c r="G969" t="s">
        <v>2189</v>
      </c>
      <c r="H969">
        <v>1</v>
      </c>
      <c r="I969" s="13" t="s">
        <v>2189</v>
      </c>
      <c r="J969" s="13" t="s">
        <v>2189</v>
      </c>
      <c r="K969" s="13" t="s">
        <v>2189</v>
      </c>
    </row>
    <row r="970" spans="1:11" hidden="1" x14ac:dyDescent="0.25">
      <c r="A970" t="str">
        <f>_xlfn.XLOOKUP(C970, 'Códigos DANE Municipios'!$B$2:$B$1123, 'Códigos DANE Municipios'!$A$2:$A$1123, "No encontrado")</f>
        <v>73347</v>
      </c>
      <c r="B970" t="str">
        <f>IFERROR(VLOOKUP(D970,APOYO!K:L,2,FALSE),A970)</f>
        <v>73347</v>
      </c>
      <c r="C970" t="s">
        <v>1905</v>
      </c>
      <c r="D970" t="str">
        <f>IFERROR(VLOOKUP(C970,APOYO!J:K,2,FALSE),C970)</f>
        <v>HERVEO</v>
      </c>
      <c r="E970">
        <v>2014</v>
      </c>
      <c r="F970" t="s">
        <v>2189</v>
      </c>
      <c r="G970" t="s">
        <v>2189</v>
      </c>
      <c r="H970">
        <v>1</v>
      </c>
      <c r="I970" t="s">
        <v>2189</v>
      </c>
      <c r="J970" s="13" t="s">
        <v>2189</v>
      </c>
      <c r="K970" s="13" t="s">
        <v>2189</v>
      </c>
    </row>
    <row r="971" spans="1:11" hidden="1" x14ac:dyDescent="0.25">
      <c r="A971" t="str">
        <f>_xlfn.XLOOKUP(C971, 'Códigos DANE Municipios'!$B$2:$B$1123, 'Códigos DANE Municipios'!$A$2:$A$1123, "No encontrado")</f>
        <v>05353</v>
      </c>
      <c r="B971" t="str">
        <f>IFERROR(VLOOKUP(D971,APOYO!K:L,2,FALSE),A971)</f>
        <v>05353</v>
      </c>
      <c r="C971" t="s">
        <v>126</v>
      </c>
      <c r="D971" t="str">
        <f>IFERROR(VLOOKUP(C971,APOYO!J:K,2,FALSE),C971)</f>
        <v>HISPANIA</v>
      </c>
      <c r="E971">
        <v>2014</v>
      </c>
      <c r="F971" t="s">
        <v>2189</v>
      </c>
      <c r="G971" t="s">
        <v>2189</v>
      </c>
      <c r="H971">
        <v>1</v>
      </c>
      <c r="I971" s="13" t="s">
        <v>2189</v>
      </c>
      <c r="J971" s="13" t="s">
        <v>2189</v>
      </c>
      <c r="K971" s="13" t="s">
        <v>2189</v>
      </c>
    </row>
    <row r="972" spans="1:11" hidden="1" x14ac:dyDescent="0.25">
      <c r="A972" t="str">
        <f>_xlfn.XLOOKUP(C972, 'Códigos DANE Municipios'!$B$2:$B$1123, 'Códigos DANE Municipios'!$A$2:$A$1123, "No encontrado")</f>
        <v>73349</v>
      </c>
      <c r="B972" t="str">
        <f>IFERROR(VLOOKUP(D972,APOYO!K:L,2,FALSE),A972)</f>
        <v>73349</v>
      </c>
      <c r="C972" t="s">
        <v>1907</v>
      </c>
      <c r="D972" t="str">
        <f>IFERROR(VLOOKUP(C972,APOYO!J:K,2,FALSE),C972)</f>
        <v>HONDA</v>
      </c>
      <c r="E972">
        <v>2014</v>
      </c>
      <c r="F972" t="s">
        <v>2189</v>
      </c>
      <c r="G972" t="s">
        <v>2189</v>
      </c>
      <c r="H972">
        <v>44</v>
      </c>
      <c r="I972" s="13" t="s">
        <v>2189</v>
      </c>
      <c r="J972" s="13" t="s">
        <v>2189</v>
      </c>
      <c r="K972" s="13" t="s">
        <v>2189</v>
      </c>
    </row>
    <row r="973" spans="1:11" hidden="1" x14ac:dyDescent="0.25">
      <c r="A973" t="str">
        <f>_xlfn.XLOOKUP(C973, 'Códigos DANE Municipios'!$B$2:$B$1123, 'Códigos DANE Municipios'!$A$2:$A$1123, "No encontrado")</f>
        <v>73001</v>
      </c>
      <c r="B973" t="str">
        <f>IFERROR(VLOOKUP(D973,APOYO!K:L,2,FALSE),A973)</f>
        <v>73001</v>
      </c>
      <c r="C973" t="s">
        <v>1865</v>
      </c>
      <c r="D973" t="str">
        <f>IFERROR(VLOOKUP(C973,APOYO!J:K,2,FALSE),C973)</f>
        <v>IBAGUÉ</v>
      </c>
      <c r="E973">
        <v>2014</v>
      </c>
      <c r="F973">
        <v>81218</v>
      </c>
      <c r="G973">
        <v>2025</v>
      </c>
      <c r="H973">
        <v>3594</v>
      </c>
      <c r="I973" s="13">
        <v>37498</v>
      </c>
      <c r="J973" s="13" t="s">
        <v>2189</v>
      </c>
      <c r="K973" s="13" t="s">
        <v>2189</v>
      </c>
    </row>
    <row r="974" spans="1:11" hidden="1" x14ac:dyDescent="0.25">
      <c r="A974" t="str">
        <f>_xlfn.XLOOKUP(C974, 'Códigos DANE Municipios'!$B$2:$B$1123, 'Códigos DANE Municipios'!$A$2:$A$1123, "No encontrado")</f>
        <v>73352</v>
      </c>
      <c r="B974" t="str">
        <f>IFERROR(VLOOKUP(D974,APOYO!K:L,2,FALSE),A974)</f>
        <v>73352</v>
      </c>
      <c r="C974" t="s">
        <v>1909</v>
      </c>
      <c r="D974" t="str">
        <f>IFERROR(VLOOKUP(C974,APOYO!J:K,2,FALSE),C974)</f>
        <v>ICONONZO</v>
      </c>
      <c r="E974">
        <v>2014</v>
      </c>
      <c r="F974" t="s">
        <v>2189</v>
      </c>
      <c r="G974" t="s">
        <v>2189</v>
      </c>
      <c r="H974">
        <v>4</v>
      </c>
      <c r="I974" s="13" t="s">
        <v>2189</v>
      </c>
      <c r="J974" s="13" t="s">
        <v>2189</v>
      </c>
      <c r="K974" s="13" t="s">
        <v>2189</v>
      </c>
    </row>
    <row r="975" spans="1:11" hidden="1" x14ac:dyDescent="0.25">
      <c r="A975" t="str">
        <f>_xlfn.XLOOKUP(C975, 'Códigos DANE Municipios'!$B$2:$B$1123, 'Códigos DANE Municipios'!$A$2:$A$1123, "No encontrado")</f>
        <v>41357</v>
      </c>
      <c r="B975" t="str">
        <f>IFERROR(VLOOKUP(D975,APOYO!K:L,2,FALSE),A975)</f>
        <v>41357</v>
      </c>
      <c r="C975" t="s">
        <v>1228</v>
      </c>
      <c r="D975" t="str">
        <f>IFERROR(VLOOKUP(C975,APOYO!J:K,2,FALSE),C975)</f>
        <v>ÍQUIRA</v>
      </c>
      <c r="E975">
        <v>2014</v>
      </c>
      <c r="F975" t="s">
        <v>2189</v>
      </c>
      <c r="G975" t="s">
        <v>2189</v>
      </c>
      <c r="H975" t="s">
        <v>2189</v>
      </c>
      <c r="I975" s="13" t="s">
        <v>2189</v>
      </c>
      <c r="J975" s="13" t="s">
        <v>2189</v>
      </c>
      <c r="K975" s="13" t="s">
        <v>2189</v>
      </c>
    </row>
    <row r="976" spans="1:11" hidden="1" x14ac:dyDescent="0.25">
      <c r="A976" t="str">
        <f>_xlfn.XLOOKUP(C976, 'Códigos DANE Municipios'!$B$2:$B$1123, 'Códigos DANE Municipios'!$A$2:$A$1123, "No encontrado")</f>
        <v>52352</v>
      </c>
      <c r="B976" t="str">
        <f>IFERROR(VLOOKUP(D976,APOYO!K:L,2,FALSE),A976)</f>
        <v>52352</v>
      </c>
      <c r="C976" t="s">
        <v>1458</v>
      </c>
      <c r="D976" t="str">
        <f>IFERROR(VLOOKUP(C976,APOYO!J:K,2,FALSE),C976)</f>
        <v>ILES</v>
      </c>
      <c r="E976">
        <v>2014</v>
      </c>
      <c r="F976" t="s">
        <v>2189</v>
      </c>
      <c r="G976" t="s">
        <v>2189</v>
      </c>
      <c r="H976">
        <v>1</v>
      </c>
      <c r="I976" s="13" t="s">
        <v>2189</v>
      </c>
      <c r="J976" s="13" t="s">
        <v>2189</v>
      </c>
      <c r="K976" s="13" t="s">
        <v>2189</v>
      </c>
    </row>
    <row r="977" spans="1:11" hidden="1" x14ac:dyDescent="0.25">
      <c r="A977" t="str">
        <f>_xlfn.XLOOKUP(C977, 'Códigos DANE Municipios'!$B$2:$B$1123, 'Códigos DANE Municipios'!$A$2:$A$1123, "No encontrado")</f>
        <v>19355</v>
      </c>
      <c r="B977" t="str">
        <f>IFERROR(VLOOKUP(D977,APOYO!K:L,2,FALSE),A977)</f>
        <v>19355</v>
      </c>
      <c r="C977" t="s">
        <v>755</v>
      </c>
      <c r="D977" t="str">
        <f>IFERROR(VLOOKUP(C977,APOYO!J:K,2,FALSE),C977)</f>
        <v>INZÁ</v>
      </c>
      <c r="E977">
        <v>2014</v>
      </c>
      <c r="F977" t="s">
        <v>2189</v>
      </c>
      <c r="G977" t="s">
        <v>2189</v>
      </c>
      <c r="H977" t="s">
        <v>2189</v>
      </c>
      <c r="I977" s="13" t="s">
        <v>2189</v>
      </c>
      <c r="J977" s="13" t="s">
        <v>2189</v>
      </c>
      <c r="K977" s="13" t="s">
        <v>2189</v>
      </c>
    </row>
    <row r="978" spans="1:11" hidden="1" x14ac:dyDescent="0.25">
      <c r="A978" t="str">
        <f>_xlfn.XLOOKUP(C978, 'Códigos DANE Municipios'!$B$2:$B$1123, 'Códigos DANE Municipios'!$A$2:$A$1123, "No encontrado")</f>
        <v>52356</v>
      </c>
      <c r="B978" t="str">
        <f>IFERROR(VLOOKUP(D978,APOYO!K:L,2,FALSE),A978)</f>
        <v>52356</v>
      </c>
      <c r="C978" t="s">
        <v>1462</v>
      </c>
      <c r="D978" t="str">
        <f>IFERROR(VLOOKUP(C978,APOYO!J:K,2,FALSE),C978)</f>
        <v>IPIALES</v>
      </c>
      <c r="E978">
        <v>2014</v>
      </c>
      <c r="F978" t="s">
        <v>2189</v>
      </c>
      <c r="G978" t="s">
        <v>2189</v>
      </c>
      <c r="H978">
        <v>4130</v>
      </c>
      <c r="I978" s="13" t="s">
        <v>2189</v>
      </c>
      <c r="J978" s="13" t="s">
        <v>2189</v>
      </c>
      <c r="K978" s="13" t="s">
        <v>2189</v>
      </c>
    </row>
    <row r="979" spans="1:11" hidden="1" x14ac:dyDescent="0.25">
      <c r="A979" t="str">
        <f>_xlfn.XLOOKUP(C979, 'Códigos DANE Municipios'!$B$2:$B$1123, 'Códigos DANE Municipios'!$A$2:$A$1123, "No encontrado")</f>
        <v>27361</v>
      </c>
      <c r="B979" t="str">
        <f>IFERROR(VLOOKUP(D979,APOYO!K:L,2,FALSE),A979)</f>
        <v>27361</v>
      </c>
      <c r="C979" t="s">
        <v>1170</v>
      </c>
      <c r="D979" t="str">
        <f>IFERROR(VLOOKUP(C979,APOYO!J:K,2,FALSE),C979)</f>
        <v>ISTMINA</v>
      </c>
      <c r="E979">
        <v>2014</v>
      </c>
      <c r="F979" t="s">
        <v>2189</v>
      </c>
      <c r="G979" t="s">
        <v>2189</v>
      </c>
      <c r="H979">
        <v>6</v>
      </c>
      <c r="I979" s="13" t="s">
        <v>2189</v>
      </c>
      <c r="J979" s="13" t="s">
        <v>2189</v>
      </c>
      <c r="K979" s="13" t="s">
        <v>2189</v>
      </c>
    </row>
    <row r="980" spans="1:11" hidden="1" x14ac:dyDescent="0.25">
      <c r="A980" t="str">
        <f>_xlfn.XLOOKUP(C980, 'Códigos DANE Municipios'!$B$2:$B$1123, 'Códigos DANE Municipios'!$A$2:$A$1123, "No encontrado")</f>
        <v>05360</v>
      </c>
      <c r="B980" t="str">
        <f>IFERROR(VLOOKUP(D980,APOYO!K:L,2,FALSE),A980)</f>
        <v>05360</v>
      </c>
      <c r="C980" t="s">
        <v>128</v>
      </c>
      <c r="D980" t="str">
        <f>IFERROR(VLOOKUP(C980,APOYO!J:K,2,FALSE),C980)</f>
        <v>ITAGÜÍ</v>
      </c>
      <c r="E980">
        <v>2014</v>
      </c>
      <c r="F980" t="s">
        <v>2189</v>
      </c>
      <c r="G980" t="s">
        <v>2189</v>
      </c>
      <c r="H980">
        <v>393</v>
      </c>
      <c r="I980" s="13" t="s">
        <v>2189</v>
      </c>
      <c r="J980" s="13" t="s">
        <v>2189</v>
      </c>
      <c r="K980" s="13" t="s">
        <v>2189</v>
      </c>
    </row>
    <row r="981" spans="1:11" hidden="1" x14ac:dyDescent="0.25">
      <c r="A981" t="str">
        <f>_xlfn.XLOOKUP(C981, 'Códigos DANE Municipios'!$B$2:$B$1123, 'Códigos DANE Municipios'!$A$2:$A$1123, "No encontrado")</f>
        <v>05361</v>
      </c>
      <c r="B981" t="str">
        <f>IFERROR(VLOOKUP(D981,APOYO!K:L,2,FALSE),A981)</f>
        <v>05361</v>
      </c>
      <c r="C981" t="s">
        <v>130</v>
      </c>
      <c r="D981" t="str">
        <f>IFERROR(VLOOKUP(C981,APOYO!J:K,2,FALSE),C981)</f>
        <v>ITUANGO</v>
      </c>
      <c r="E981">
        <v>2014</v>
      </c>
      <c r="F981">
        <v>2</v>
      </c>
      <c r="G981" t="s">
        <v>2189</v>
      </c>
      <c r="H981">
        <v>4</v>
      </c>
      <c r="I981" s="13" t="s">
        <v>2189</v>
      </c>
      <c r="J981" s="13" t="s">
        <v>2189</v>
      </c>
      <c r="K981" s="13" t="s">
        <v>2189</v>
      </c>
    </row>
    <row r="982" spans="1:11" hidden="1" x14ac:dyDescent="0.25">
      <c r="A982" t="str">
        <f>_xlfn.XLOOKUP(C982, 'Códigos DANE Municipios'!$B$2:$B$1123, 'Códigos DANE Municipios'!$A$2:$A$1123, "No encontrado")</f>
        <v>15362</v>
      </c>
      <c r="B982" t="str">
        <f>IFERROR(VLOOKUP(D982,APOYO!K:L,2,FALSE),A982)</f>
        <v>15362</v>
      </c>
      <c r="C982" t="s">
        <v>485</v>
      </c>
      <c r="D982" t="str">
        <f>IFERROR(VLOOKUP(C982,APOYO!J:K,2,FALSE),C982)</f>
        <v>IZA</v>
      </c>
      <c r="E982">
        <v>2014</v>
      </c>
      <c r="F982" t="s">
        <v>2189</v>
      </c>
      <c r="G982" t="s">
        <v>2189</v>
      </c>
      <c r="H982">
        <v>1</v>
      </c>
      <c r="I982" s="13" t="s">
        <v>2189</v>
      </c>
      <c r="J982" s="13" t="s">
        <v>2189</v>
      </c>
      <c r="K982" s="13" t="s">
        <v>2189</v>
      </c>
    </row>
    <row r="983" spans="1:11" hidden="1" x14ac:dyDescent="0.25">
      <c r="A983" t="str">
        <f>_xlfn.XLOOKUP(C983, 'Códigos DANE Municipios'!$B$2:$B$1123, 'Códigos DANE Municipios'!$A$2:$A$1123, "No encontrado")</f>
        <v>76364</v>
      </c>
      <c r="B983" t="str">
        <f>IFERROR(VLOOKUP(D983,APOYO!K:L,2,FALSE),A983)</f>
        <v>76364</v>
      </c>
      <c r="C983" t="s">
        <v>1996</v>
      </c>
      <c r="D983" t="str">
        <f>IFERROR(VLOOKUP(C983,APOYO!J:K,2,FALSE),C983)</f>
        <v>JAMUNDÍ</v>
      </c>
      <c r="E983">
        <v>2014</v>
      </c>
      <c r="F983" t="s">
        <v>2189</v>
      </c>
      <c r="G983" t="s">
        <v>2189</v>
      </c>
      <c r="H983">
        <v>426</v>
      </c>
      <c r="I983" s="13" t="s">
        <v>2189</v>
      </c>
      <c r="J983" s="13" t="s">
        <v>2189</v>
      </c>
      <c r="K983" s="13" t="s">
        <v>2189</v>
      </c>
    </row>
    <row r="984" spans="1:11" hidden="1" x14ac:dyDescent="0.25">
      <c r="A984" t="str">
        <f>_xlfn.XLOOKUP(C984, 'Códigos DANE Municipios'!$B$2:$B$1123, 'Códigos DANE Municipios'!$A$2:$A$1123, "No encontrado")</f>
        <v>05364</v>
      </c>
      <c r="B984" t="str">
        <f>IFERROR(VLOOKUP(D984,APOYO!K:L,2,FALSE),A984)</f>
        <v>05364</v>
      </c>
      <c r="C984" t="s">
        <v>132</v>
      </c>
      <c r="D984" t="str">
        <f>IFERROR(VLOOKUP(C984,APOYO!J:K,2,FALSE),C984)</f>
        <v>JARDÍN</v>
      </c>
      <c r="E984">
        <v>2014</v>
      </c>
      <c r="F984" t="s">
        <v>2189</v>
      </c>
      <c r="G984" t="s">
        <v>2189</v>
      </c>
      <c r="H984">
        <v>12</v>
      </c>
      <c r="I984" s="13" t="s">
        <v>2189</v>
      </c>
      <c r="J984" s="13" t="s">
        <v>2189</v>
      </c>
      <c r="K984" s="13" t="s">
        <v>2189</v>
      </c>
    </row>
    <row r="985" spans="1:11" hidden="1" x14ac:dyDescent="0.25">
      <c r="A985" t="str">
        <f>_xlfn.XLOOKUP(C985, 'Códigos DANE Municipios'!$B$2:$B$1123, 'Códigos DANE Municipios'!$A$2:$A$1123, "No encontrado")</f>
        <v>15367</v>
      </c>
      <c r="B985" t="str">
        <f>IFERROR(VLOOKUP(D985,APOYO!K:L,2,FALSE),A985)</f>
        <v>15367</v>
      </c>
      <c r="C985" t="s">
        <v>487</v>
      </c>
      <c r="D985" t="str">
        <f>IFERROR(VLOOKUP(C985,APOYO!J:K,2,FALSE),C985)</f>
        <v>JENESANO</v>
      </c>
      <c r="E985">
        <v>2014</v>
      </c>
      <c r="F985" t="s">
        <v>2189</v>
      </c>
      <c r="G985" t="s">
        <v>2189</v>
      </c>
      <c r="H985">
        <v>5</v>
      </c>
      <c r="I985" s="13" t="s">
        <v>2189</v>
      </c>
      <c r="J985" s="13" t="s">
        <v>2189</v>
      </c>
      <c r="K985" s="13" t="s">
        <v>2189</v>
      </c>
    </row>
    <row r="986" spans="1:11" hidden="1" x14ac:dyDescent="0.25">
      <c r="A986" t="str">
        <f>_xlfn.XLOOKUP(C986, 'Códigos DANE Municipios'!$B$2:$B$1123, 'Códigos DANE Municipios'!$A$2:$A$1123, "No encontrado")</f>
        <v>05368</v>
      </c>
      <c r="B986" t="str">
        <f>IFERROR(VLOOKUP(D986,APOYO!K:L,2,FALSE),A986)</f>
        <v>05368</v>
      </c>
      <c r="C986" t="s">
        <v>134</v>
      </c>
      <c r="D986" t="str">
        <f>IFERROR(VLOOKUP(C986,APOYO!J:K,2,FALSE),C986)</f>
        <v>JERICÓ</v>
      </c>
      <c r="E986">
        <v>2014</v>
      </c>
      <c r="F986" t="s">
        <v>2189</v>
      </c>
      <c r="G986" t="s">
        <v>2189</v>
      </c>
      <c r="H986">
        <v>19</v>
      </c>
      <c r="I986" s="13" t="s">
        <v>2189</v>
      </c>
      <c r="J986" s="13" t="s">
        <v>2189</v>
      </c>
      <c r="K986" s="13" t="s">
        <v>2189</v>
      </c>
    </row>
    <row r="987" spans="1:11" hidden="1" x14ac:dyDescent="0.25">
      <c r="A987" t="str">
        <f>_xlfn.XLOOKUP(C987, 'Códigos DANE Municipios'!$B$2:$B$1123, 'Códigos DANE Municipios'!$A$2:$A$1123, "No encontrado")</f>
        <v>08372</v>
      </c>
      <c r="B987" t="str">
        <f>IFERROR(VLOOKUP(D987,APOYO!K:L,2,FALSE),A987)</f>
        <v>08372</v>
      </c>
      <c r="C987" t="s">
        <v>272</v>
      </c>
      <c r="D987" t="str">
        <f>IFERROR(VLOOKUP(C987,APOYO!J:K,2,FALSE),C987)</f>
        <v>JUAN DE ACOSTA</v>
      </c>
      <c r="E987">
        <v>2014</v>
      </c>
      <c r="F987" t="s">
        <v>2189</v>
      </c>
      <c r="G987" t="s">
        <v>2189</v>
      </c>
      <c r="H987">
        <v>16</v>
      </c>
      <c r="I987" s="13" t="s">
        <v>2189</v>
      </c>
      <c r="J987" s="13" t="s">
        <v>2189</v>
      </c>
      <c r="K987" s="13" t="s">
        <v>2189</v>
      </c>
    </row>
    <row r="988" spans="1:11" hidden="1" x14ac:dyDescent="0.25">
      <c r="A988" t="str">
        <f>_xlfn.XLOOKUP(C988, 'Códigos DANE Municipios'!$B$2:$B$1123, 'Códigos DANE Municipios'!$A$2:$A$1123, "No encontrado")</f>
        <v>25372</v>
      </c>
      <c r="B988" t="str">
        <f>IFERROR(VLOOKUP(D988,APOYO!K:L,2,FALSE),A988)</f>
        <v>25372</v>
      </c>
      <c r="C988" t="s">
        <v>1006</v>
      </c>
      <c r="D988" t="str">
        <f>IFERROR(VLOOKUP(C988,APOYO!J:K,2,FALSE),C988)</f>
        <v>JUNÍN</v>
      </c>
      <c r="E988">
        <v>2014</v>
      </c>
      <c r="F988" t="s">
        <v>2189</v>
      </c>
      <c r="G988" t="s">
        <v>2189</v>
      </c>
      <c r="H988">
        <v>2</v>
      </c>
      <c r="I988" s="13" t="s">
        <v>2189</v>
      </c>
      <c r="J988" s="13" t="s">
        <v>2189</v>
      </c>
      <c r="K988" s="13" t="s">
        <v>2189</v>
      </c>
    </row>
    <row r="989" spans="1:11" hidden="1" x14ac:dyDescent="0.25">
      <c r="A989" t="str">
        <f>_xlfn.XLOOKUP(C989, 'Códigos DANE Municipios'!$B$2:$B$1123, 'Códigos DANE Municipios'!$A$2:$A$1123, "No encontrado")</f>
        <v>27372</v>
      </c>
      <c r="B989" t="str">
        <f>IFERROR(VLOOKUP(D989,APOYO!K:L,2,FALSE),A989)</f>
        <v>27372</v>
      </c>
      <c r="C989" t="s">
        <v>1172</v>
      </c>
      <c r="D989" t="str">
        <f>IFERROR(VLOOKUP(C989,APOYO!J:K,2,FALSE),C989)</f>
        <v>JURADÓ</v>
      </c>
      <c r="E989">
        <v>2014</v>
      </c>
      <c r="F989">
        <v>305</v>
      </c>
      <c r="G989" t="s">
        <v>2189</v>
      </c>
      <c r="H989">
        <v>134</v>
      </c>
      <c r="I989" s="13" t="s">
        <v>2189</v>
      </c>
      <c r="J989" s="13" t="s">
        <v>2189</v>
      </c>
      <c r="K989" s="13" t="s">
        <v>2189</v>
      </c>
    </row>
    <row r="990" spans="1:11" hidden="1" x14ac:dyDescent="0.25">
      <c r="A990" t="str">
        <f>_xlfn.XLOOKUP(C990, 'Códigos DANE Municipios'!$B$2:$B$1123, 'Códigos DANE Municipios'!$A$2:$A$1123, "No encontrado")</f>
        <v>41378</v>
      </c>
      <c r="B990" t="str">
        <f>IFERROR(VLOOKUP(D990,APOYO!K:L,2,FALSE),A990)</f>
        <v>41378</v>
      </c>
      <c r="C990" t="s">
        <v>1232</v>
      </c>
      <c r="D990" t="str">
        <f>IFERROR(VLOOKUP(C990,APOYO!J:K,2,FALSE),C990)</f>
        <v>LA ARGENTINA</v>
      </c>
      <c r="E990">
        <v>2014</v>
      </c>
      <c r="F990" t="s">
        <v>2189</v>
      </c>
      <c r="G990" t="s">
        <v>2189</v>
      </c>
      <c r="H990" t="s">
        <v>2189</v>
      </c>
      <c r="I990" s="13" t="s">
        <v>2189</v>
      </c>
      <c r="J990" s="13" t="s">
        <v>2189</v>
      </c>
      <c r="K990" s="13" t="s">
        <v>2189</v>
      </c>
    </row>
    <row r="991" spans="1:11" hidden="1" x14ac:dyDescent="0.25">
      <c r="A991" t="str">
        <f>_xlfn.XLOOKUP(C991, 'Códigos DANE Municipios'!$B$2:$B$1123, 'Códigos DANE Municipios'!$A$2:$A$1123, "No encontrado")</f>
        <v>25377</v>
      </c>
      <c r="B991" t="str">
        <f>IFERROR(VLOOKUP(D991,APOYO!K:L,2,FALSE),A991)</f>
        <v>25377</v>
      </c>
      <c r="C991" t="s">
        <v>1008</v>
      </c>
      <c r="D991" t="str">
        <f>IFERROR(VLOOKUP(C991,APOYO!J:K,2,FALSE),C991)</f>
        <v>LA CALERA</v>
      </c>
      <c r="E991">
        <v>2014</v>
      </c>
      <c r="F991" t="s">
        <v>2189</v>
      </c>
      <c r="G991" t="s">
        <v>2189</v>
      </c>
      <c r="H991">
        <v>104</v>
      </c>
      <c r="I991" s="13" t="s">
        <v>2189</v>
      </c>
      <c r="J991" s="13" t="s">
        <v>2189</v>
      </c>
      <c r="K991" s="13" t="s">
        <v>2189</v>
      </c>
    </row>
    <row r="992" spans="1:11" hidden="1" x14ac:dyDescent="0.25">
      <c r="A992" t="str">
        <f>_xlfn.XLOOKUP(C992, 'Códigos DANE Municipios'!$B$2:$B$1123, 'Códigos DANE Municipios'!$A$2:$A$1123, "No encontrado")</f>
        <v>05376</v>
      </c>
      <c r="B992" t="str">
        <f>IFERROR(VLOOKUP(D992,APOYO!K:L,2,FALSE),A992)</f>
        <v>05376</v>
      </c>
      <c r="C992" t="s">
        <v>136</v>
      </c>
      <c r="D992" t="str">
        <f>IFERROR(VLOOKUP(C992,APOYO!J:K,2,FALSE),C992)</f>
        <v>LA CEJA</v>
      </c>
      <c r="E992">
        <v>2014</v>
      </c>
      <c r="F992" t="s">
        <v>2189</v>
      </c>
      <c r="G992" t="s">
        <v>2189</v>
      </c>
      <c r="H992">
        <v>133</v>
      </c>
      <c r="I992" s="13" t="s">
        <v>2189</v>
      </c>
      <c r="J992" s="13" t="s">
        <v>2189</v>
      </c>
      <c r="K992" s="13" t="s">
        <v>2189</v>
      </c>
    </row>
    <row r="993" spans="1:11" hidden="1" x14ac:dyDescent="0.25">
      <c r="A993" t="str">
        <f>_xlfn.XLOOKUP(C993, 'Códigos DANE Municipios'!$B$2:$B$1123, 'Códigos DANE Municipios'!$A$2:$A$1123, "No encontrado")</f>
        <v>66383</v>
      </c>
      <c r="B993" t="str">
        <f>IFERROR(VLOOKUP(D993,APOYO!K:L,2,FALSE),A993)</f>
        <v>66383</v>
      </c>
      <c r="C993" t="s">
        <v>1639</v>
      </c>
      <c r="D993" t="str">
        <f>IFERROR(VLOOKUP(C993,APOYO!J:K,2,FALSE),C993)</f>
        <v>LA CELIA</v>
      </c>
      <c r="E993">
        <v>2014</v>
      </c>
      <c r="F993" t="s">
        <v>2189</v>
      </c>
      <c r="G993" t="s">
        <v>2189</v>
      </c>
      <c r="H993">
        <v>3</v>
      </c>
      <c r="I993" s="13" t="s">
        <v>2189</v>
      </c>
      <c r="J993" s="13" t="s">
        <v>2189</v>
      </c>
      <c r="K993" s="13" t="s">
        <v>2189</v>
      </c>
    </row>
    <row r="994" spans="1:11" hidden="1" x14ac:dyDescent="0.25">
      <c r="A994" t="str">
        <f>_xlfn.XLOOKUP(C994, 'Códigos DANE Municipios'!$B$2:$B$1123, 'Códigos DANE Municipios'!$A$2:$A$1123, "No encontrado")</f>
        <v>91405</v>
      </c>
      <c r="B994" t="str">
        <f>IFERROR(VLOOKUP(D994,APOYO!K:L,2,FALSE),A994)</f>
        <v>91405</v>
      </c>
      <c r="C994" t="s">
        <v>2112</v>
      </c>
      <c r="D994" t="str">
        <f>IFERROR(VLOOKUP(C994,APOYO!J:K,2,FALSE),C994)</f>
        <v>LA CHORRERA</v>
      </c>
      <c r="E994">
        <v>2014</v>
      </c>
      <c r="F994">
        <v>2010</v>
      </c>
      <c r="G994" t="s">
        <v>2189</v>
      </c>
      <c r="H994">
        <v>6</v>
      </c>
      <c r="I994" s="13" t="s">
        <v>2189</v>
      </c>
      <c r="J994" s="13" t="s">
        <v>2189</v>
      </c>
      <c r="K994" s="13" t="s">
        <v>2189</v>
      </c>
    </row>
    <row r="995" spans="1:11" hidden="1" x14ac:dyDescent="0.25">
      <c r="A995" t="str">
        <f>_xlfn.XLOOKUP(C995, 'Códigos DANE Municipios'!$B$2:$B$1123, 'Códigos DANE Municipios'!$A$2:$A$1123, "No encontrado")</f>
        <v>52378</v>
      </c>
      <c r="B995" t="str">
        <f>IFERROR(VLOOKUP(D995,APOYO!K:L,2,FALSE),A995)</f>
        <v>52378</v>
      </c>
      <c r="C995" t="s">
        <v>1464</v>
      </c>
      <c r="D995" t="str">
        <f>IFERROR(VLOOKUP(C995,APOYO!J:K,2,FALSE),C995)</f>
        <v>LA CRUZ</v>
      </c>
      <c r="E995">
        <v>2014</v>
      </c>
      <c r="F995" t="s">
        <v>2189</v>
      </c>
      <c r="G995" t="s">
        <v>2189</v>
      </c>
      <c r="H995">
        <v>7</v>
      </c>
      <c r="I995" s="13" t="s">
        <v>2189</v>
      </c>
      <c r="J995" s="13" t="s">
        <v>2189</v>
      </c>
      <c r="K995" s="13" t="s">
        <v>2189</v>
      </c>
    </row>
    <row r="996" spans="1:11" hidden="1" x14ac:dyDescent="0.25">
      <c r="A996" t="str">
        <f>_xlfn.XLOOKUP(C996, 'Códigos DANE Municipios'!$B$2:$B$1123, 'Códigos DANE Municipios'!$A$2:$A$1123, "No encontrado")</f>
        <v>76377</v>
      </c>
      <c r="B996" t="str">
        <f>IFERROR(VLOOKUP(D996,APOYO!K:L,2,FALSE),A996)</f>
        <v>76377</v>
      </c>
      <c r="C996" t="s">
        <v>1998</v>
      </c>
      <c r="D996" t="str">
        <f>IFERROR(VLOOKUP(C996,APOYO!J:K,2,FALSE),C996)</f>
        <v>LA CUMBRE</v>
      </c>
      <c r="E996">
        <v>2014</v>
      </c>
      <c r="F996" t="s">
        <v>2189</v>
      </c>
      <c r="G996" t="s">
        <v>2189</v>
      </c>
      <c r="H996">
        <v>11</v>
      </c>
      <c r="I996" s="13" t="s">
        <v>2189</v>
      </c>
      <c r="J996" s="13" t="s">
        <v>2189</v>
      </c>
      <c r="K996" s="13" t="s">
        <v>2189</v>
      </c>
    </row>
    <row r="997" spans="1:11" hidden="1" x14ac:dyDescent="0.25">
      <c r="A997" t="str">
        <f>_xlfn.XLOOKUP(C997, 'Códigos DANE Municipios'!$B$2:$B$1123, 'Códigos DANE Municipios'!$A$2:$A$1123, "No encontrado")</f>
        <v>17380</v>
      </c>
      <c r="B997" t="str">
        <f>IFERROR(VLOOKUP(D997,APOYO!K:L,2,FALSE),A997)</f>
        <v>17380</v>
      </c>
      <c r="C997" t="s">
        <v>658</v>
      </c>
      <c r="D997" t="str">
        <f>IFERROR(VLOOKUP(C997,APOYO!J:K,2,FALSE),C997)</f>
        <v>LA DORADA</v>
      </c>
      <c r="E997">
        <v>2014</v>
      </c>
      <c r="F997" t="s">
        <v>2189</v>
      </c>
      <c r="G997" t="s">
        <v>2189</v>
      </c>
      <c r="H997">
        <v>222</v>
      </c>
      <c r="I997" s="13" t="s">
        <v>2189</v>
      </c>
      <c r="J997" s="13" t="s">
        <v>2189</v>
      </c>
      <c r="K997" s="13" t="s">
        <v>2189</v>
      </c>
    </row>
    <row r="998" spans="1:11" hidden="1" x14ac:dyDescent="0.25">
      <c r="A998" t="str">
        <f>_xlfn.XLOOKUP(C998, 'Códigos DANE Municipios'!$B$2:$B$1123, 'Códigos DANE Municipios'!$A$2:$A$1123, "No encontrado")</f>
        <v>05380</v>
      </c>
      <c r="B998" t="str">
        <f>IFERROR(VLOOKUP(D998,APOYO!K:L,2,FALSE),A998)</f>
        <v>05380</v>
      </c>
      <c r="C998" t="s">
        <v>138</v>
      </c>
      <c r="D998" t="str">
        <f>IFERROR(VLOOKUP(C998,APOYO!J:K,2,FALSE),C998)</f>
        <v>LA ESTRELLA</v>
      </c>
      <c r="E998">
        <v>2014</v>
      </c>
      <c r="F998" t="s">
        <v>2189</v>
      </c>
      <c r="G998" t="s">
        <v>2189</v>
      </c>
      <c r="H998">
        <v>48</v>
      </c>
      <c r="I998" s="13" t="s">
        <v>2189</v>
      </c>
      <c r="J998" s="13" t="s">
        <v>2189</v>
      </c>
      <c r="K998" s="13" t="s">
        <v>2189</v>
      </c>
    </row>
    <row r="999" spans="1:11" hidden="1" x14ac:dyDescent="0.25">
      <c r="A999" t="str">
        <f>_xlfn.XLOOKUP(C999, 'Códigos DANE Municipios'!$B$2:$B$1123, 'Códigos DANE Municipios'!$A$2:$A$1123, "No encontrado")</f>
        <v>52381</v>
      </c>
      <c r="B999" t="str">
        <f>IFERROR(VLOOKUP(D999,APOYO!K:L,2,FALSE),A999)</f>
        <v>52381</v>
      </c>
      <c r="C999" t="s">
        <v>1466</v>
      </c>
      <c r="D999" t="str">
        <f>IFERROR(VLOOKUP(C999,APOYO!J:K,2,FALSE),C999)</f>
        <v>LA FLORIDA</v>
      </c>
      <c r="E999">
        <v>2014</v>
      </c>
      <c r="F999" t="s">
        <v>2189</v>
      </c>
      <c r="G999" t="s">
        <v>2189</v>
      </c>
      <c r="H999" t="s">
        <v>2189</v>
      </c>
      <c r="I999" t="s">
        <v>2189</v>
      </c>
      <c r="J999" s="13" t="s">
        <v>2189</v>
      </c>
      <c r="K999" s="13" t="s">
        <v>2189</v>
      </c>
    </row>
    <row r="1000" spans="1:11" hidden="1" x14ac:dyDescent="0.25">
      <c r="A1000" t="str">
        <f>_xlfn.XLOOKUP(C1000, 'Códigos DANE Municipios'!$B$2:$B$1123, 'Códigos DANE Municipios'!$A$2:$A$1123, "No encontrado")</f>
        <v>20383</v>
      </c>
      <c r="B1000" t="str">
        <f>IFERROR(VLOOKUP(D1000,APOYO!K:L,2,FALSE),A1000)</f>
        <v>20383</v>
      </c>
      <c r="C1000" t="s">
        <v>834</v>
      </c>
      <c r="D1000" t="str">
        <f>IFERROR(VLOOKUP(C1000,APOYO!J:K,2,FALSE),C1000)</f>
        <v>LA GLORIA</v>
      </c>
      <c r="E1000">
        <v>2014</v>
      </c>
      <c r="F1000" t="s">
        <v>2189</v>
      </c>
      <c r="G1000" t="s">
        <v>2189</v>
      </c>
      <c r="H1000">
        <v>8</v>
      </c>
      <c r="I1000" s="13" t="s">
        <v>2189</v>
      </c>
      <c r="J1000" s="13" t="s">
        <v>2189</v>
      </c>
      <c r="K1000" s="13" t="s">
        <v>2189</v>
      </c>
    </row>
    <row r="1001" spans="1:11" hidden="1" x14ac:dyDescent="0.25">
      <c r="A1001" t="str">
        <f>_xlfn.XLOOKUP(C1001, 'Códigos DANE Municipios'!$B$2:$B$1123, 'Códigos DANE Municipios'!$A$2:$A$1123, "No encontrado")</f>
        <v>20400</v>
      </c>
      <c r="B1001" t="str">
        <f>IFERROR(VLOOKUP(D1001,APOYO!K:L,2,FALSE),A1001)</f>
        <v>20400</v>
      </c>
      <c r="C1001" t="s">
        <v>836</v>
      </c>
      <c r="D1001" t="str">
        <f>IFERROR(VLOOKUP(C1001,APOYO!J:K,2,FALSE),C1001)</f>
        <v>LA JAGUA DE IBIRICO</v>
      </c>
      <c r="E1001">
        <v>2014</v>
      </c>
      <c r="F1001">
        <v>651</v>
      </c>
      <c r="G1001" t="s">
        <v>2189</v>
      </c>
      <c r="H1001">
        <v>4</v>
      </c>
      <c r="I1001" s="13" t="s">
        <v>2189</v>
      </c>
      <c r="J1001" s="13" t="s">
        <v>2189</v>
      </c>
      <c r="K1001" s="13" t="s">
        <v>2189</v>
      </c>
    </row>
    <row r="1002" spans="1:11" hidden="1" x14ac:dyDescent="0.25">
      <c r="A1002" t="str">
        <f>_xlfn.XLOOKUP(C1002, 'Códigos DANE Municipios'!$B$2:$B$1123, 'Códigos DANE Municipios'!$A$2:$A$1123, "No encontrado")</f>
        <v>50350</v>
      </c>
      <c r="B1002" t="str">
        <f>IFERROR(VLOOKUP(D1002,APOYO!K:L,2,FALSE),A1002)</f>
        <v>50350</v>
      </c>
      <c r="C1002" t="s">
        <v>1386</v>
      </c>
      <c r="D1002" t="str">
        <f>IFERROR(VLOOKUP(C1002,APOYO!J:K,2,FALSE),C1002)</f>
        <v>LA MACARENA</v>
      </c>
      <c r="E1002">
        <v>2014</v>
      </c>
      <c r="F1002">
        <v>13533</v>
      </c>
      <c r="G1002">
        <v>1</v>
      </c>
      <c r="H1002">
        <v>4</v>
      </c>
      <c r="I1002" s="13">
        <v>9460</v>
      </c>
      <c r="J1002" s="13" t="s">
        <v>2189</v>
      </c>
      <c r="K1002" s="13" t="s">
        <v>2189</v>
      </c>
    </row>
    <row r="1003" spans="1:11" hidden="1" x14ac:dyDescent="0.25">
      <c r="A1003" t="str">
        <f>_xlfn.XLOOKUP(C1003, 'Códigos DANE Municipios'!$B$2:$B$1123, 'Códigos DANE Municipios'!$A$2:$A$1123, "No encontrado")</f>
        <v>17388</v>
      </c>
      <c r="B1003" t="str">
        <f>IFERROR(VLOOKUP(D1003,APOYO!K:L,2,FALSE),A1003)</f>
        <v>17388</v>
      </c>
      <c r="C1003" t="s">
        <v>660</v>
      </c>
      <c r="D1003" t="str">
        <f>IFERROR(VLOOKUP(C1003,APOYO!J:K,2,FALSE),C1003)</f>
        <v>LA MERCED</v>
      </c>
      <c r="E1003">
        <v>2014</v>
      </c>
      <c r="F1003" t="s">
        <v>2189</v>
      </c>
      <c r="G1003" t="s">
        <v>2189</v>
      </c>
      <c r="H1003">
        <v>2</v>
      </c>
      <c r="I1003" s="13" t="s">
        <v>2189</v>
      </c>
      <c r="J1003" s="13" t="s">
        <v>2189</v>
      </c>
      <c r="K1003" s="13" t="s">
        <v>2189</v>
      </c>
    </row>
    <row r="1004" spans="1:11" hidden="1" x14ac:dyDescent="0.25">
      <c r="A1004" t="str">
        <f>_xlfn.XLOOKUP(C1004, 'Códigos DANE Municipios'!$B$2:$B$1123, 'Códigos DANE Municipios'!$A$2:$A$1123, "No encontrado")</f>
        <v>25386</v>
      </c>
      <c r="B1004" t="str">
        <f>IFERROR(VLOOKUP(D1004,APOYO!K:L,2,FALSE),A1004)</f>
        <v>25386</v>
      </c>
      <c r="C1004" t="s">
        <v>1010</v>
      </c>
      <c r="D1004" t="str">
        <f>IFERROR(VLOOKUP(C1004,APOYO!J:K,2,FALSE),C1004)</f>
        <v>LA MESA</v>
      </c>
      <c r="E1004">
        <v>2014</v>
      </c>
      <c r="F1004" t="s">
        <v>2189</v>
      </c>
      <c r="G1004" t="s">
        <v>2189</v>
      </c>
      <c r="H1004">
        <v>158</v>
      </c>
      <c r="I1004" s="13" t="s">
        <v>2189</v>
      </c>
      <c r="J1004" s="13" t="s">
        <v>2189</v>
      </c>
      <c r="K1004" s="13" t="s">
        <v>2189</v>
      </c>
    </row>
    <row r="1005" spans="1:11" hidden="1" x14ac:dyDescent="0.25">
      <c r="A1005" t="str">
        <f>_xlfn.XLOOKUP(C1005, 'Códigos DANE Municipios'!$B$2:$B$1123, 'Códigos DANE Municipios'!$A$2:$A$1123, "No encontrado")</f>
        <v>20621</v>
      </c>
      <c r="B1005" t="str">
        <f>IFERROR(VLOOKUP(D1005,APOYO!K:L,2,FALSE),A1005)</f>
        <v>20621</v>
      </c>
      <c r="C1005" t="s">
        <v>848</v>
      </c>
      <c r="D1005" t="str">
        <f>IFERROR(VLOOKUP(C1005,APOYO!J:K,2,FALSE),C1005)</f>
        <v>LA PAZ</v>
      </c>
      <c r="E1005">
        <v>2014</v>
      </c>
      <c r="F1005" t="s">
        <v>2189</v>
      </c>
      <c r="G1005" t="s">
        <v>2189</v>
      </c>
      <c r="H1005" t="s">
        <v>2189</v>
      </c>
      <c r="I1005" s="13" t="s">
        <v>2189</v>
      </c>
      <c r="J1005" s="13" t="s">
        <v>2189</v>
      </c>
      <c r="K1005" s="13" t="s">
        <v>2189</v>
      </c>
    </row>
    <row r="1006" spans="1:11" hidden="1" x14ac:dyDescent="0.25">
      <c r="A1006" t="str">
        <f>_xlfn.XLOOKUP(C1006, 'Códigos DANE Municipios'!$B$2:$B$1123, 'Códigos DANE Municipios'!$A$2:$A$1123, "No encontrado")</f>
        <v>91407</v>
      </c>
      <c r="B1006" t="str">
        <f>IFERROR(VLOOKUP(D1006,APOYO!K:L,2,FALSE),A1006)</f>
        <v>91407</v>
      </c>
      <c r="C1006" t="s">
        <v>2114</v>
      </c>
      <c r="D1006" t="str">
        <f>IFERROR(VLOOKUP(C1006,APOYO!J:K,2,FALSE),C1006)</f>
        <v>LA PEDRERA</v>
      </c>
      <c r="E1006">
        <v>2014</v>
      </c>
      <c r="F1006">
        <v>2071</v>
      </c>
      <c r="G1006" t="s">
        <v>2189</v>
      </c>
      <c r="H1006">
        <v>5</v>
      </c>
      <c r="I1006" s="13" t="s">
        <v>2189</v>
      </c>
      <c r="J1006" s="13" t="s">
        <v>2189</v>
      </c>
      <c r="K1006" s="13" t="s">
        <v>2189</v>
      </c>
    </row>
    <row r="1007" spans="1:11" hidden="1" x14ac:dyDescent="0.25">
      <c r="A1007" t="str">
        <f>_xlfn.XLOOKUP(C1007, 'Códigos DANE Municipios'!$B$2:$B$1123, 'Códigos DANE Municipios'!$A$2:$A$1123, "No encontrado")</f>
        <v>25398</v>
      </c>
      <c r="B1007" t="str">
        <f>IFERROR(VLOOKUP(D1007,APOYO!K:L,2,FALSE),A1007)</f>
        <v>25398</v>
      </c>
      <c r="C1007" t="s">
        <v>1014</v>
      </c>
      <c r="D1007" t="str">
        <f>IFERROR(VLOOKUP(C1007,APOYO!J:K,2,FALSE),C1007)</f>
        <v>LA PEÑA</v>
      </c>
      <c r="E1007">
        <v>2014</v>
      </c>
      <c r="F1007" t="s">
        <v>2189</v>
      </c>
      <c r="G1007" t="s">
        <v>2189</v>
      </c>
      <c r="H1007">
        <v>3</v>
      </c>
      <c r="I1007" t="s">
        <v>2189</v>
      </c>
      <c r="J1007" s="13" t="s">
        <v>2189</v>
      </c>
      <c r="K1007" s="13" t="s">
        <v>2189</v>
      </c>
    </row>
    <row r="1008" spans="1:11" hidden="1" x14ac:dyDescent="0.25">
      <c r="A1008" t="str">
        <f>_xlfn.XLOOKUP(C1008, 'Códigos DANE Municipios'!$B$2:$B$1123, 'Códigos DANE Municipios'!$A$2:$A$1123, "No encontrado")</f>
        <v>05390</v>
      </c>
      <c r="B1008" t="str">
        <f>IFERROR(VLOOKUP(D1008,APOYO!K:L,2,FALSE),A1008)</f>
        <v>05390</v>
      </c>
      <c r="C1008" t="s">
        <v>140</v>
      </c>
      <c r="D1008" t="str">
        <f>IFERROR(VLOOKUP(C1008,APOYO!J:K,2,FALSE),C1008)</f>
        <v>LA PINTADA</v>
      </c>
      <c r="E1008">
        <v>2014</v>
      </c>
      <c r="F1008" t="s">
        <v>2189</v>
      </c>
      <c r="G1008" t="s">
        <v>2189</v>
      </c>
      <c r="H1008">
        <v>5</v>
      </c>
      <c r="I1008" s="13" t="s">
        <v>2189</v>
      </c>
      <c r="J1008" s="13" t="s">
        <v>2189</v>
      </c>
      <c r="K1008" s="13" t="s">
        <v>2189</v>
      </c>
    </row>
    <row r="1009" spans="1:11" hidden="1" x14ac:dyDescent="0.25">
      <c r="A1009" t="str">
        <f>_xlfn.XLOOKUP(C1009, 'Códigos DANE Municipios'!$B$2:$B$1123, 'Códigos DANE Municipios'!$A$2:$A$1123, "No encontrado")</f>
        <v>41396</v>
      </c>
      <c r="B1009" t="str">
        <f>IFERROR(VLOOKUP(D1009,APOYO!K:L,2,FALSE),A1009)</f>
        <v>41396</v>
      </c>
      <c r="C1009" t="s">
        <v>1234</v>
      </c>
      <c r="D1009" t="str">
        <f>IFERROR(VLOOKUP(C1009,APOYO!J:K,2,FALSE),C1009)</f>
        <v>LA PLATA</v>
      </c>
      <c r="E1009">
        <v>2014</v>
      </c>
      <c r="F1009" t="s">
        <v>2189</v>
      </c>
      <c r="G1009" t="s">
        <v>2189</v>
      </c>
      <c r="H1009">
        <v>54</v>
      </c>
      <c r="I1009" s="13" t="s">
        <v>2189</v>
      </c>
      <c r="J1009" s="13" t="s">
        <v>2189</v>
      </c>
      <c r="K1009" s="13" t="s">
        <v>2189</v>
      </c>
    </row>
    <row r="1010" spans="1:11" hidden="1" x14ac:dyDescent="0.25">
      <c r="A1010" t="str">
        <f>_xlfn.XLOOKUP(C1010, 'Códigos DANE Municipios'!$B$2:$B$1123, 'Códigos DANE Municipios'!$A$2:$A$1123, "No encontrado")</f>
        <v>54398</v>
      </c>
      <c r="B1010" t="str">
        <f>IFERROR(VLOOKUP(D1010,APOYO!K:L,2,FALSE),A1010)</f>
        <v>54398</v>
      </c>
      <c r="C1010" t="s">
        <v>1569</v>
      </c>
      <c r="D1010" t="str">
        <f>IFERROR(VLOOKUP(C1010,APOYO!J:K,2,FALSE),C1010)</f>
        <v>LA PLAYA</v>
      </c>
      <c r="E1010">
        <v>2014</v>
      </c>
      <c r="F1010" t="s">
        <v>2189</v>
      </c>
      <c r="G1010" t="s">
        <v>2189</v>
      </c>
      <c r="H1010" t="s">
        <v>2189</v>
      </c>
      <c r="I1010" s="13">
        <v>0</v>
      </c>
      <c r="J1010" s="13" t="s">
        <v>2189</v>
      </c>
      <c r="K1010" s="13" t="s">
        <v>2189</v>
      </c>
    </row>
    <row r="1011" spans="1:11" hidden="1" x14ac:dyDescent="0.25">
      <c r="A1011" t="str">
        <f>_xlfn.XLOOKUP(C1011, 'Códigos DANE Municipios'!$B$2:$B$1123, 'Códigos DANE Municipios'!$A$2:$A$1123, "No encontrado")</f>
        <v>99524</v>
      </c>
      <c r="B1011" t="str">
        <f>IFERROR(VLOOKUP(D1011,APOYO!K:L,2,FALSE),A1011)</f>
        <v>99524</v>
      </c>
      <c r="C1011" t="s">
        <v>2165</v>
      </c>
      <c r="D1011" t="str">
        <f>IFERROR(VLOOKUP(C1011,APOYO!J:K,2,FALSE),C1011)</f>
        <v>LA PRIMAVERA</v>
      </c>
      <c r="E1011">
        <v>2014</v>
      </c>
      <c r="F1011">
        <v>2873</v>
      </c>
      <c r="G1011" t="s">
        <v>2189</v>
      </c>
      <c r="H1011">
        <v>3</v>
      </c>
      <c r="I1011" s="13" t="s">
        <v>2189</v>
      </c>
      <c r="J1011" s="13" t="s">
        <v>2189</v>
      </c>
      <c r="K1011" s="13" t="s">
        <v>2189</v>
      </c>
    </row>
    <row r="1012" spans="1:11" hidden="1" x14ac:dyDescent="0.25">
      <c r="A1012" t="str">
        <f>_xlfn.XLOOKUP(C1012, 'Códigos DANE Municipios'!$B$2:$B$1123, 'Códigos DANE Municipios'!$A$2:$A$1123, "No encontrado")</f>
        <v>19392</v>
      </c>
      <c r="B1012" t="str">
        <f>IFERROR(VLOOKUP(D1012,APOYO!K:L,2,FALSE),A1012)</f>
        <v>19392</v>
      </c>
      <c r="C1012" t="s">
        <v>759</v>
      </c>
      <c r="D1012" t="str">
        <f>IFERROR(VLOOKUP(C1012,APOYO!J:K,2,FALSE),C1012)</f>
        <v>LA SIERRA</v>
      </c>
      <c r="E1012">
        <v>2014</v>
      </c>
      <c r="F1012" t="s">
        <v>2189</v>
      </c>
      <c r="G1012" t="s">
        <v>2189</v>
      </c>
      <c r="H1012">
        <v>1</v>
      </c>
      <c r="I1012" s="13" t="s">
        <v>2189</v>
      </c>
      <c r="J1012" s="13" t="s">
        <v>2189</v>
      </c>
      <c r="K1012" s="13" t="s">
        <v>2189</v>
      </c>
    </row>
    <row r="1013" spans="1:11" hidden="1" x14ac:dyDescent="0.25">
      <c r="A1013" t="str">
        <f>_xlfn.XLOOKUP(C1013, 'Códigos DANE Municipios'!$B$2:$B$1123, 'Códigos DANE Municipios'!$A$2:$A$1123, "No encontrado")</f>
        <v>63401</v>
      </c>
      <c r="B1013" t="str">
        <f>IFERROR(VLOOKUP(D1013,APOYO!K:L,2,FALSE),A1013)</f>
        <v>63401</v>
      </c>
      <c r="C1013" t="s">
        <v>1618</v>
      </c>
      <c r="D1013" t="str">
        <f>IFERROR(VLOOKUP(C1013,APOYO!J:K,2,FALSE),C1013)</f>
        <v>LA TEBAIDA</v>
      </c>
      <c r="E1013">
        <v>2014</v>
      </c>
      <c r="F1013" t="s">
        <v>2189</v>
      </c>
      <c r="G1013" t="s">
        <v>2189</v>
      </c>
      <c r="H1013">
        <v>99</v>
      </c>
      <c r="I1013" s="13" t="s">
        <v>2189</v>
      </c>
      <c r="J1013" s="13" t="s">
        <v>2189</v>
      </c>
      <c r="K1013" s="13" t="s">
        <v>2189</v>
      </c>
    </row>
    <row r="1014" spans="1:11" hidden="1" x14ac:dyDescent="0.25">
      <c r="A1014" t="str">
        <f>_xlfn.XLOOKUP(C1014, 'Códigos DANE Municipios'!$B$2:$B$1123, 'Códigos DANE Municipios'!$A$2:$A$1123, "No encontrado")</f>
        <v>05400</v>
      </c>
      <c r="B1014" t="str">
        <f>IFERROR(VLOOKUP(D1014,APOYO!K:L,2,FALSE),A1014)</f>
        <v>05400</v>
      </c>
      <c r="C1014" t="s">
        <v>142</v>
      </c>
      <c r="D1014" t="str">
        <f>IFERROR(VLOOKUP(C1014,APOYO!J:K,2,FALSE),C1014)</f>
        <v>LA UNIÓN</v>
      </c>
      <c r="E1014">
        <v>2014</v>
      </c>
      <c r="F1014" t="s">
        <v>2189</v>
      </c>
      <c r="G1014" t="s">
        <v>2189</v>
      </c>
      <c r="H1014">
        <v>117</v>
      </c>
      <c r="I1014" s="13" t="s">
        <v>2189</v>
      </c>
      <c r="J1014" s="13" t="s">
        <v>2189</v>
      </c>
      <c r="K1014" s="13" t="s">
        <v>2189</v>
      </c>
    </row>
    <row r="1015" spans="1:11" hidden="1" x14ac:dyDescent="0.25">
      <c r="A1015" t="str">
        <f>_xlfn.XLOOKUP(C1015, 'Códigos DANE Municipios'!$B$2:$B$1123, 'Códigos DANE Municipios'!$A$2:$A$1123, "No encontrado")</f>
        <v>50370</v>
      </c>
      <c r="B1015" t="str">
        <f>IFERROR(VLOOKUP(D1015,APOYO!K:L,2,FALSE),A1015)</f>
        <v>50370</v>
      </c>
      <c r="C1015" t="s">
        <v>1388</v>
      </c>
      <c r="D1015" t="str">
        <f>IFERROR(VLOOKUP(C1015,APOYO!J:K,2,FALSE),C1015)</f>
        <v>URIBE</v>
      </c>
      <c r="E1015">
        <v>2014</v>
      </c>
      <c r="F1015">
        <v>1157</v>
      </c>
      <c r="G1015" t="s">
        <v>2189</v>
      </c>
      <c r="H1015">
        <v>2</v>
      </c>
      <c r="I1015" s="13" t="s">
        <v>2189</v>
      </c>
      <c r="J1015" s="13" t="s">
        <v>2189</v>
      </c>
      <c r="K1015" s="13" t="s">
        <v>2189</v>
      </c>
    </row>
    <row r="1016" spans="1:11" hidden="1" x14ac:dyDescent="0.25">
      <c r="A1016" t="str">
        <f>_xlfn.XLOOKUP(C1016, 'Códigos DANE Municipios'!$B$2:$B$1123, 'Códigos DANE Municipios'!$A$2:$A$1123, "No encontrado")</f>
        <v>19397</v>
      </c>
      <c r="B1016" t="str">
        <f>IFERROR(VLOOKUP(D1016,APOYO!K:L,2,FALSE),A1016)</f>
        <v>19397</v>
      </c>
      <c r="C1016" t="s">
        <v>761</v>
      </c>
      <c r="D1016" t="str">
        <f>IFERROR(VLOOKUP(C1016,APOYO!J:K,2,FALSE),C1016)</f>
        <v>LA VEGA</v>
      </c>
      <c r="E1016">
        <v>2014</v>
      </c>
      <c r="F1016" t="s">
        <v>2189</v>
      </c>
      <c r="G1016" t="s">
        <v>2189</v>
      </c>
      <c r="H1016">
        <v>48</v>
      </c>
      <c r="I1016" s="13" t="s">
        <v>2189</v>
      </c>
      <c r="J1016" s="13" t="s">
        <v>2189</v>
      </c>
      <c r="K1016" s="13" t="s">
        <v>2189</v>
      </c>
    </row>
    <row r="1017" spans="1:11" hidden="1" x14ac:dyDescent="0.25">
      <c r="A1017" t="str">
        <f>_xlfn.XLOOKUP(C1017, 'Códigos DANE Municipios'!$B$2:$B$1123, 'Códigos DANE Municipios'!$A$2:$A$1123, "No encontrado")</f>
        <v>15401</v>
      </c>
      <c r="B1017" t="str">
        <f>IFERROR(VLOOKUP(D1017,APOYO!K:L,2,FALSE),A1017)</f>
        <v>15401</v>
      </c>
      <c r="C1017" t="s">
        <v>494</v>
      </c>
      <c r="D1017" t="str">
        <f>IFERROR(VLOOKUP(C1017,APOYO!J:K,2,FALSE),C1017)</f>
        <v>LA VICTORIA</v>
      </c>
      <c r="E1017">
        <v>2014</v>
      </c>
      <c r="F1017" t="s">
        <v>2189</v>
      </c>
      <c r="G1017" t="s">
        <v>2189</v>
      </c>
      <c r="H1017">
        <v>50</v>
      </c>
      <c r="I1017" s="13" t="s">
        <v>2189</v>
      </c>
      <c r="J1017" s="13" t="s">
        <v>2189</v>
      </c>
      <c r="K1017" s="13" t="s">
        <v>2189</v>
      </c>
    </row>
    <row r="1018" spans="1:11" hidden="1" x14ac:dyDescent="0.25">
      <c r="A1018" t="str">
        <f>_xlfn.XLOOKUP(C1018, 'Códigos DANE Municipios'!$B$2:$B$1123, 'Códigos DANE Municipios'!$A$2:$A$1123, "No encontrado")</f>
        <v>66400</v>
      </c>
      <c r="B1018" t="str">
        <f>IFERROR(VLOOKUP(D1018,APOYO!K:L,2,FALSE),A1018)</f>
        <v>66400</v>
      </c>
      <c r="C1018" t="s">
        <v>1641</v>
      </c>
      <c r="D1018" t="str">
        <f>IFERROR(VLOOKUP(C1018,APOYO!J:K,2,FALSE),C1018)</f>
        <v>LA VIRGINIA</v>
      </c>
      <c r="E1018">
        <v>2014</v>
      </c>
      <c r="F1018" t="s">
        <v>2189</v>
      </c>
      <c r="G1018" t="s">
        <v>2189</v>
      </c>
      <c r="H1018">
        <v>97</v>
      </c>
      <c r="I1018" s="13" t="s">
        <v>2189</v>
      </c>
      <c r="J1018" s="13" t="s">
        <v>2189</v>
      </c>
      <c r="K1018" s="13" t="s">
        <v>2189</v>
      </c>
    </row>
    <row r="1019" spans="1:11" hidden="1" x14ac:dyDescent="0.25">
      <c r="A1019" t="str">
        <f>_xlfn.XLOOKUP(C1019, 'Códigos DANE Municipios'!$B$2:$B$1123, 'Códigos DANE Municipios'!$A$2:$A$1123, "No encontrado")</f>
        <v>68385</v>
      </c>
      <c r="B1019" t="str">
        <f>IFERROR(VLOOKUP(D1019,APOYO!K:L,2,FALSE),A1019)</f>
        <v>68385</v>
      </c>
      <c r="C1019" t="s">
        <v>1737</v>
      </c>
      <c r="D1019" t="str">
        <f>IFERROR(VLOOKUP(C1019,APOYO!J:K,2,FALSE),C1019)</f>
        <v>LANDÁZURI</v>
      </c>
      <c r="E1019">
        <v>2014</v>
      </c>
      <c r="F1019" t="s">
        <v>2189</v>
      </c>
      <c r="G1019" t="s">
        <v>2189</v>
      </c>
      <c r="H1019">
        <v>1</v>
      </c>
      <c r="I1019" s="13" t="s">
        <v>2189</v>
      </c>
      <c r="J1019" s="13" t="s">
        <v>2189</v>
      </c>
      <c r="K1019" s="13" t="s">
        <v>2189</v>
      </c>
    </row>
    <row r="1020" spans="1:11" hidden="1" x14ac:dyDescent="0.25">
      <c r="A1020" t="str">
        <f>_xlfn.XLOOKUP(C1020, 'Códigos DANE Municipios'!$B$2:$B$1123, 'Códigos DANE Municipios'!$A$2:$A$1123, "No encontrado")</f>
        <v>68406</v>
      </c>
      <c r="B1020" t="str">
        <f>IFERROR(VLOOKUP(D1020,APOYO!K:L,2,FALSE),A1020)</f>
        <v>68406</v>
      </c>
      <c r="C1020" t="s">
        <v>1740</v>
      </c>
      <c r="D1020" t="str">
        <f>IFERROR(VLOOKUP(C1020,APOYO!J:K,2,FALSE),C1020)</f>
        <v>LEBRIJA</v>
      </c>
      <c r="E1020">
        <v>2014</v>
      </c>
      <c r="F1020" t="s">
        <v>2189</v>
      </c>
      <c r="G1020" t="s">
        <v>2189</v>
      </c>
      <c r="H1020">
        <v>14</v>
      </c>
      <c r="I1020" s="13" t="s">
        <v>2189</v>
      </c>
      <c r="J1020" s="13" t="s">
        <v>2189</v>
      </c>
      <c r="K1020" s="13" t="s">
        <v>2189</v>
      </c>
    </row>
    <row r="1021" spans="1:11" hidden="1" x14ac:dyDescent="0.25">
      <c r="A1021" t="str">
        <f>_xlfn.XLOOKUP(C1021, 'Códigos DANE Municipios'!$B$2:$B$1123, 'Códigos DANE Municipios'!$A$2:$A$1123, "No encontrado")</f>
        <v>50400</v>
      </c>
      <c r="B1021" t="str">
        <f>IFERROR(VLOOKUP(D1021,APOYO!K:L,2,FALSE),A1021)</f>
        <v>50400</v>
      </c>
      <c r="C1021" t="s">
        <v>1390</v>
      </c>
      <c r="D1021" t="str">
        <f>IFERROR(VLOOKUP(C1021,APOYO!J:K,2,FALSE),C1021)</f>
        <v>LEJANÍAS</v>
      </c>
      <c r="E1021">
        <v>2014</v>
      </c>
      <c r="F1021" t="s">
        <v>2189</v>
      </c>
      <c r="G1021" t="s">
        <v>2189</v>
      </c>
      <c r="H1021">
        <v>7</v>
      </c>
      <c r="I1021" t="s">
        <v>2189</v>
      </c>
      <c r="J1021" s="13" t="s">
        <v>2189</v>
      </c>
      <c r="K1021" s="13" t="s">
        <v>2189</v>
      </c>
    </row>
    <row r="1022" spans="1:11" hidden="1" x14ac:dyDescent="0.25">
      <c r="A1022" t="str">
        <f>_xlfn.XLOOKUP(C1022, 'Códigos DANE Municipios'!$B$2:$B$1123, 'Códigos DANE Municipios'!$A$2:$A$1123, "No encontrado")</f>
        <v>25407</v>
      </c>
      <c r="B1022" t="str">
        <f>IFERROR(VLOOKUP(D1022,APOYO!K:L,2,FALSE),A1022)</f>
        <v>25407</v>
      </c>
      <c r="C1022" t="s">
        <v>1017</v>
      </c>
      <c r="D1022" t="str">
        <f>IFERROR(VLOOKUP(C1022,APOYO!J:K,2,FALSE),C1022)</f>
        <v>LENGUAZAQUE</v>
      </c>
      <c r="E1022">
        <v>2014</v>
      </c>
      <c r="F1022" t="s">
        <v>2189</v>
      </c>
      <c r="G1022" t="s">
        <v>2189</v>
      </c>
      <c r="H1022" t="s">
        <v>2189</v>
      </c>
      <c r="I1022" s="13" t="s">
        <v>2189</v>
      </c>
      <c r="J1022" s="13" t="s">
        <v>2189</v>
      </c>
      <c r="K1022" s="13" t="s">
        <v>2189</v>
      </c>
    </row>
    <row r="1023" spans="1:11" hidden="1" x14ac:dyDescent="0.25">
      <c r="A1023" t="str">
        <f>_xlfn.XLOOKUP(C1023, 'Códigos DANE Municipios'!$B$2:$B$1123, 'Códigos DANE Municipios'!$A$2:$A$1123, "No encontrado")</f>
        <v>73408</v>
      </c>
      <c r="B1023" t="str">
        <f>IFERROR(VLOOKUP(D1023,APOYO!K:L,2,FALSE),A1023)</f>
        <v>73408</v>
      </c>
      <c r="C1023" t="s">
        <v>1911</v>
      </c>
      <c r="D1023" t="str">
        <f>IFERROR(VLOOKUP(C1023,APOYO!J:K,2,FALSE),C1023)</f>
        <v>LÉRIDA</v>
      </c>
      <c r="E1023">
        <v>2014</v>
      </c>
      <c r="F1023" t="s">
        <v>2189</v>
      </c>
      <c r="G1023" t="s">
        <v>2189</v>
      </c>
      <c r="H1023">
        <v>7</v>
      </c>
      <c r="I1023" s="13" t="s">
        <v>2189</v>
      </c>
      <c r="J1023" s="13" t="s">
        <v>2189</v>
      </c>
      <c r="K1023" s="13" t="s">
        <v>2189</v>
      </c>
    </row>
    <row r="1024" spans="1:11" hidden="1" x14ac:dyDescent="0.25">
      <c r="A1024" t="str">
        <f>_xlfn.XLOOKUP(C1024, 'Códigos DANE Municipios'!$B$2:$B$1123, 'Códigos DANE Municipios'!$A$2:$A$1123, "No encontrado")</f>
        <v>91001</v>
      </c>
      <c r="B1024" t="str">
        <f>IFERROR(VLOOKUP(D1024,APOYO!K:L,2,FALSE),A1024)</f>
        <v>91001</v>
      </c>
      <c r="C1024" t="s">
        <v>2108</v>
      </c>
      <c r="D1024" t="str">
        <f>IFERROR(VLOOKUP(C1024,APOYO!J:K,2,FALSE),C1024)</f>
        <v>LETICIA</v>
      </c>
      <c r="E1024">
        <v>2014</v>
      </c>
      <c r="F1024">
        <v>108751</v>
      </c>
      <c r="G1024">
        <v>244</v>
      </c>
      <c r="H1024">
        <v>5430</v>
      </c>
      <c r="I1024" s="13">
        <v>0</v>
      </c>
      <c r="J1024" s="13" t="s">
        <v>2189</v>
      </c>
      <c r="K1024" s="13" t="s">
        <v>2189</v>
      </c>
    </row>
    <row r="1025" spans="1:11" hidden="1" x14ac:dyDescent="0.25">
      <c r="A1025" t="str">
        <f>_xlfn.XLOOKUP(C1025, 'Códigos DANE Municipios'!$B$2:$B$1123, 'Códigos DANE Municipios'!$A$2:$A$1123, "No encontrado")</f>
        <v>73411</v>
      </c>
      <c r="B1025" t="str">
        <f>IFERROR(VLOOKUP(D1025,APOYO!K:L,2,FALSE),A1025)</f>
        <v>73411</v>
      </c>
      <c r="C1025" t="s">
        <v>1913</v>
      </c>
      <c r="D1025" t="str">
        <f>IFERROR(VLOOKUP(C1025,APOYO!J:K,2,FALSE),C1025)</f>
        <v>LÍBANO</v>
      </c>
      <c r="E1025">
        <v>2014</v>
      </c>
      <c r="F1025" t="s">
        <v>2189</v>
      </c>
      <c r="G1025" t="s">
        <v>2189</v>
      </c>
      <c r="H1025">
        <v>37</v>
      </c>
      <c r="I1025" s="13" t="s">
        <v>2189</v>
      </c>
      <c r="J1025" s="13" t="s">
        <v>2189</v>
      </c>
      <c r="K1025" s="13" t="s">
        <v>2189</v>
      </c>
    </row>
    <row r="1026" spans="1:11" hidden="1" x14ac:dyDescent="0.25">
      <c r="A1026" t="str">
        <f>_xlfn.XLOOKUP(C1026, 'Códigos DANE Municipios'!$B$2:$B$1123, 'Códigos DANE Municipios'!$A$2:$A$1123, "No encontrado")</f>
        <v>52411</v>
      </c>
      <c r="B1026" t="str">
        <f>IFERROR(VLOOKUP(D1026,APOYO!K:L,2,FALSE),A1026)</f>
        <v>52411</v>
      </c>
      <c r="C1026" t="s">
        <v>1475</v>
      </c>
      <c r="D1026" t="str">
        <f>IFERROR(VLOOKUP(C1026,APOYO!J:K,2,FALSE),C1026)</f>
        <v>LINARES</v>
      </c>
      <c r="E1026">
        <v>2014</v>
      </c>
      <c r="F1026" t="s">
        <v>2189</v>
      </c>
      <c r="G1026" t="s">
        <v>2189</v>
      </c>
      <c r="H1026">
        <v>3</v>
      </c>
      <c r="I1026" s="13" t="s">
        <v>2189</v>
      </c>
      <c r="J1026" s="13" t="s">
        <v>2189</v>
      </c>
      <c r="K1026" s="13" t="s">
        <v>2189</v>
      </c>
    </row>
    <row r="1027" spans="1:11" hidden="1" x14ac:dyDescent="0.25">
      <c r="A1027" t="str">
        <f>_xlfn.XLOOKUP(C1027, 'Códigos DANE Municipios'!$B$2:$B$1123, 'Códigos DANE Municipios'!$A$2:$A$1123, "No encontrado")</f>
        <v>27413</v>
      </c>
      <c r="B1027" t="str">
        <f>IFERROR(VLOOKUP(D1027,APOYO!K:L,2,FALSE),A1027)</f>
        <v>27413</v>
      </c>
      <c r="C1027" t="s">
        <v>1174</v>
      </c>
      <c r="D1027" t="str">
        <f>IFERROR(VLOOKUP(C1027,APOYO!J:K,2,FALSE),C1027)</f>
        <v>LLORÓ</v>
      </c>
      <c r="E1027">
        <v>2014</v>
      </c>
      <c r="F1027" t="s">
        <v>2189</v>
      </c>
      <c r="G1027" t="s">
        <v>2189</v>
      </c>
      <c r="H1027">
        <v>1</v>
      </c>
      <c r="I1027" s="13" t="s">
        <v>2189</v>
      </c>
      <c r="J1027" s="13" t="s">
        <v>2189</v>
      </c>
      <c r="K1027" s="13" t="s">
        <v>2189</v>
      </c>
    </row>
    <row r="1028" spans="1:11" hidden="1" x14ac:dyDescent="0.25">
      <c r="A1028" t="str">
        <f>_xlfn.XLOOKUP(C1028, 'Códigos DANE Municipios'!$B$2:$B$1123, 'Códigos DANE Municipios'!$A$2:$A$1123, "No encontrado")</f>
        <v>05411</v>
      </c>
      <c r="B1028" t="str">
        <f>IFERROR(VLOOKUP(D1028,APOYO!K:L,2,FALSE),A1028)</f>
        <v>05411</v>
      </c>
      <c r="C1028" t="s">
        <v>144</v>
      </c>
      <c r="D1028" t="str">
        <f>IFERROR(VLOOKUP(C1028,APOYO!J:K,2,FALSE),C1028)</f>
        <v>LIBORINA</v>
      </c>
      <c r="E1028">
        <v>2014</v>
      </c>
      <c r="F1028" t="s">
        <v>2189</v>
      </c>
      <c r="G1028" t="s">
        <v>2189</v>
      </c>
      <c r="H1028" t="s">
        <v>2189</v>
      </c>
      <c r="I1028" s="13" t="s">
        <v>2189</v>
      </c>
      <c r="J1028" s="13" t="s">
        <v>2189</v>
      </c>
      <c r="K1028" s="13" t="s">
        <v>2189</v>
      </c>
    </row>
    <row r="1029" spans="1:11" hidden="1" x14ac:dyDescent="0.25">
      <c r="A1029" t="str">
        <f>_xlfn.XLOOKUP(C1029, 'Códigos DANE Municipios'!$B$2:$B$1123, 'Códigos DANE Municipios'!$A$2:$A$1123, "No encontrado")</f>
        <v>23417</v>
      </c>
      <c r="B1029" t="str">
        <f>IFERROR(VLOOKUP(D1029,APOYO!K:L,2,FALSE),A1029)</f>
        <v>23417</v>
      </c>
      <c r="C1029" t="s">
        <v>877</v>
      </c>
      <c r="D1029" t="str">
        <f>IFERROR(VLOOKUP(C1029,APOYO!J:K,2,FALSE),C1029)</f>
        <v>LORICA</v>
      </c>
      <c r="E1029">
        <v>2014</v>
      </c>
      <c r="F1029">
        <v>8</v>
      </c>
      <c r="G1029" t="s">
        <v>2189</v>
      </c>
      <c r="H1029">
        <v>9</v>
      </c>
      <c r="I1029" s="13" t="s">
        <v>2189</v>
      </c>
      <c r="J1029" s="13" t="s">
        <v>2189</v>
      </c>
      <c r="K1029" s="13" t="s">
        <v>2189</v>
      </c>
    </row>
    <row r="1030" spans="1:11" hidden="1" x14ac:dyDescent="0.25">
      <c r="A1030" t="str">
        <f>_xlfn.XLOOKUP(C1030, 'Códigos DANE Municipios'!$B$2:$B$1123, 'Códigos DANE Municipios'!$A$2:$A$1123, "No encontrado")</f>
        <v>52418</v>
      </c>
      <c r="B1030" t="str">
        <f>IFERROR(VLOOKUP(D1030,APOYO!K:L,2,FALSE),A1030)</f>
        <v>52418</v>
      </c>
      <c r="C1030" t="s">
        <v>1477</v>
      </c>
      <c r="D1030" t="str">
        <f>IFERROR(VLOOKUP(C1030,APOYO!J:K,2,FALSE),C1030)</f>
        <v>LOS ANDES</v>
      </c>
      <c r="E1030">
        <v>2014</v>
      </c>
      <c r="F1030" t="s">
        <v>2189</v>
      </c>
      <c r="G1030" t="s">
        <v>2189</v>
      </c>
      <c r="H1030">
        <v>1</v>
      </c>
      <c r="I1030" s="13" t="s">
        <v>2189</v>
      </c>
      <c r="J1030" s="13" t="s">
        <v>2189</v>
      </c>
      <c r="K1030" s="13" t="s">
        <v>2189</v>
      </c>
    </row>
    <row r="1031" spans="1:11" hidden="1" x14ac:dyDescent="0.25">
      <c r="A1031" t="str">
        <f>_xlfn.XLOOKUP(C1031, 'Códigos DANE Municipios'!$B$2:$B$1123, 'Códigos DANE Municipios'!$A$2:$A$1123, "No encontrado")</f>
        <v>70418</v>
      </c>
      <c r="B1031" t="str">
        <f>IFERROR(VLOOKUP(D1031,APOYO!K:L,2,FALSE),A1031)</f>
        <v>70418</v>
      </c>
      <c r="C1031" t="s">
        <v>1836</v>
      </c>
      <c r="D1031" t="str">
        <f>IFERROR(VLOOKUP(C1031,APOYO!J:K,2,FALSE),C1031)</f>
        <v>LOS PALMITOS</v>
      </c>
      <c r="E1031">
        <v>2014</v>
      </c>
      <c r="F1031" t="s">
        <v>2189</v>
      </c>
      <c r="G1031" t="s">
        <v>2189</v>
      </c>
      <c r="H1031" t="s">
        <v>2189</v>
      </c>
      <c r="I1031" s="13" t="s">
        <v>2189</v>
      </c>
      <c r="J1031" s="13" t="s">
        <v>2189</v>
      </c>
      <c r="K1031" s="13" t="s">
        <v>2189</v>
      </c>
    </row>
    <row r="1032" spans="1:11" hidden="1" x14ac:dyDescent="0.25">
      <c r="A1032" t="str">
        <f>_xlfn.XLOOKUP(C1032, 'Códigos DANE Municipios'!$B$2:$B$1123, 'Códigos DANE Municipios'!$A$2:$A$1123, "No encontrado")</f>
        <v>54405</v>
      </c>
      <c r="B1032" t="str">
        <f>IFERROR(VLOOKUP(D1032,APOYO!K:L,2,FALSE),A1032)</f>
        <v>54405</v>
      </c>
      <c r="C1032" t="s">
        <v>1571</v>
      </c>
      <c r="D1032" t="str">
        <f>IFERROR(VLOOKUP(C1032,APOYO!J:K,2,FALSE),C1032)</f>
        <v>LOS PATIOS</v>
      </c>
      <c r="E1032">
        <v>2014</v>
      </c>
      <c r="F1032" t="s">
        <v>2189</v>
      </c>
      <c r="G1032" t="s">
        <v>2189</v>
      </c>
      <c r="H1032">
        <v>4</v>
      </c>
      <c r="I1032" s="13" t="s">
        <v>2189</v>
      </c>
      <c r="J1032" s="13" t="s">
        <v>2189</v>
      </c>
      <c r="K1032" s="13" t="s">
        <v>2189</v>
      </c>
    </row>
    <row r="1033" spans="1:11" hidden="1" x14ac:dyDescent="0.25">
      <c r="A1033" t="str">
        <f>_xlfn.XLOOKUP(C1033, 'Códigos DANE Municipios'!$B$2:$B$1123, 'Códigos DANE Municipios'!$A$2:$A$1123, "No encontrado")</f>
        <v>68418</v>
      </c>
      <c r="B1033" t="str">
        <f>IFERROR(VLOOKUP(D1033,APOYO!K:L,2,FALSE),A1033)</f>
        <v>68418</v>
      </c>
      <c r="C1033" t="s">
        <v>1742</v>
      </c>
      <c r="D1033" t="str">
        <f>IFERROR(VLOOKUP(C1033,APOYO!J:K,2,FALSE),C1033)</f>
        <v>LOS SANTOS</v>
      </c>
      <c r="E1033">
        <v>2014</v>
      </c>
      <c r="F1033" t="s">
        <v>2189</v>
      </c>
      <c r="G1033" t="s">
        <v>2189</v>
      </c>
      <c r="H1033">
        <v>1</v>
      </c>
      <c r="I1033" s="13" t="s">
        <v>2189</v>
      </c>
      <c r="J1033" s="13" t="s">
        <v>2189</v>
      </c>
      <c r="K1033" s="13" t="s">
        <v>2189</v>
      </c>
    </row>
    <row r="1034" spans="1:11" hidden="1" x14ac:dyDescent="0.25">
      <c r="A1034" t="str">
        <f>_xlfn.XLOOKUP(C1034, 'Códigos DANE Municipios'!$B$2:$B$1123, 'Códigos DANE Municipios'!$A$2:$A$1123, "No encontrado")</f>
        <v>08421</v>
      </c>
      <c r="B1034" t="str">
        <f>IFERROR(VLOOKUP(D1034,APOYO!K:L,2,FALSE),A1034)</f>
        <v>08421</v>
      </c>
      <c r="C1034" t="s">
        <v>274</v>
      </c>
      <c r="D1034" t="str">
        <f>IFERROR(VLOOKUP(C1034,APOYO!J:K,2,FALSE),C1034)</f>
        <v>LURUACO</v>
      </c>
      <c r="E1034">
        <v>2014</v>
      </c>
      <c r="F1034" t="s">
        <v>2189</v>
      </c>
      <c r="G1034" t="s">
        <v>2189</v>
      </c>
      <c r="H1034">
        <v>1</v>
      </c>
      <c r="I1034" s="13" t="s">
        <v>2189</v>
      </c>
      <c r="J1034" s="13" t="s">
        <v>2189</v>
      </c>
      <c r="K1034" s="13" t="s">
        <v>2189</v>
      </c>
    </row>
    <row r="1035" spans="1:11" hidden="1" x14ac:dyDescent="0.25">
      <c r="A1035" t="str">
        <f>_xlfn.XLOOKUP(C1035, 'Códigos DANE Municipios'!$B$2:$B$1123, 'Códigos DANE Municipios'!$A$2:$A$1123, "No encontrado")</f>
        <v>05425</v>
      </c>
      <c r="B1035" t="str">
        <f>IFERROR(VLOOKUP(D1035,APOYO!K:L,2,FALSE),A1035)</f>
        <v>05425</v>
      </c>
      <c r="C1035" t="s">
        <v>146</v>
      </c>
      <c r="D1035" t="str">
        <f>IFERROR(VLOOKUP(C1035,APOYO!J:K,2,FALSE),C1035)</f>
        <v>MACEO</v>
      </c>
      <c r="E1035">
        <v>2014</v>
      </c>
      <c r="F1035" t="s">
        <v>2189</v>
      </c>
      <c r="G1035" t="s">
        <v>2189</v>
      </c>
      <c r="H1035">
        <v>6</v>
      </c>
      <c r="I1035" s="13" t="s">
        <v>2189</v>
      </c>
      <c r="J1035" s="13" t="s">
        <v>2189</v>
      </c>
      <c r="K1035" s="13" t="s">
        <v>2189</v>
      </c>
    </row>
    <row r="1036" spans="1:11" hidden="1" x14ac:dyDescent="0.25">
      <c r="A1036" t="str">
        <f>_xlfn.XLOOKUP(C1036, 'Códigos DANE Municipios'!$B$2:$B$1123, 'Códigos DANE Municipios'!$A$2:$A$1123, "No encontrado")</f>
        <v>25426</v>
      </c>
      <c r="B1036" t="str">
        <f>IFERROR(VLOOKUP(D1036,APOYO!K:L,2,FALSE),A1036)</f>
        <v>25426</v>
      </c>
      <c r="C1036" t="s">
        <v>1019</v>
      </c>
      <c r="D1036" t="str">
        <f>IFERROR(VLOOKUP(C1036,APOYO!J:K,2,FALSE),C1036)</f>
        <v>MACHETÁ</v>
      </c>
      <c r="E1036">
        <v>2014</v>
      </c>
      <c r="F1036" t="s">
        <v>2189</v>
      </c>
      <c r="G1036" t="s">
        <v>2189</v>
      </c>
      <c r="H1036">
        <v>3</v>
      </c>
      <c r="I1036" s="13" t="s">
        <v>2189</v>
      </c>
      <c r="J1036" s="13" t="s">
        <v>2189</v>
      </c>
      <c r="K1036" s="13" t="s">
        <v>2189</v>
      </c>
    </row>
    <row r="1037" spans="1:11" hidden="1" x14ac:dyDescent="0.25">
      <c r="A1037" t="str">
        <f>_xlfn.XLOOKUP(C1037, 'Códigos DANE Municipios'!$B$2:$B$1123, 'Códigos DANE Municipios'!$A$2:$A$1123, "No encontrado")</f>
        <v>25430</v>
      </c>
      <c r="B1037" t="str">
        <f>IFERROR(VLOOKUP(D1037,APOYO!K:L,2,FALSE),A1037)</f>
        <v>25430</v>
      </c>
      <c r="C1037" t="s">
        <v>1021</v>
      </c>
      <c r="D1037" t="str">
        <f>IFERROR(VLOOKUP(C1037,APOYO!J:K,2,FALSE),C1037)</f>
        <v>MADRID</v>
      </c>
      <c r="E1037">
        <v>2014</v>
      </c>
      <c r="F1037" t="s">
        <v>2189</v>
      </c>
      <c r="G1037" t="s">
        <v>2189</v>
      </c>
      <c r="H1037">
        <v>95</v>
      </c>
      <c r="I1037" s="13" t="s">
        <v>2189</v>
      </c>
      <c r="J1037" s="13" t="s">
        <v>2189</v>
      </c>
      <c r="K1037" s="13" t="s">
        <v>2189</v>
      </c>
    </row>
    <row r="1038" spans="1:11" hidden="1" x14ac:dyDescent="0.25">
      <c r="A1038" t="str">
        <f>_xlfn.XLOOKUP(C1038, 'Códigos DANE Municipios'!$B$2:$B$1123, 'Códigos DANE Municipios'!$A$2:$A$1123, "No encontrado")</f>
        <v>13430</v>
      </c>
      <c r="B1038" t="str">
        <f>IFERROR(VLOOKUP(D1038,APOYO!K:L,2,FALSE),A1038)</f>
        <v>13430</v>
      </c>
      <c r="C1038" t="s">
        <v>341</v>
      </c>
      <c r="D1038" t="str">
        <f>IFERROR(VLOOKUP(C1038,APOYO!J:K,2,FALSE),C1038)</f>
        <v>MAGANGUÉ</v>
      </c>
      <c r="E1038">
        <v>2014</v>
      </c>
      <c r="F1038">
        <v>52</v>
      </c>
      <c r="G1038" t="s">
        <v>2189</v>
      </c>
      <c r="H1038">
        <v>24</v>
      </c>
      <c r="I1038" s="13" t="s">
        <v>2189</v>
      </c>
      <c r="J1038" s="13" t="s">
        <v>2189</v>
      </c>
      <c r="K1038" s="13" t="s">
        <v>2189</v>
      </c>
    </row>
    <row r="1039" spans="1:11" hidden="1" x14ac:dyDescent="0.25">
      <c r="A1039" t="str">
        <f>_xlfn.XLOOKUP(C1039, 'Códigos DANE Municipios'!$B$2:$B$1123, 'Códigos DANE Municipios'!$A$2:$A$1123, "No encontrado")</f>
        <v>13433</v>
      </c>
      <c r="B1039" t="str">
        <f>IFERROR(VLOOKUP(D1039,APOYO!K:L,2,FALSE),A1039)</f>
        <v>13433</v>
      </c>
      <c r="C1039" t="s">
        <v>343</v>
      </c>
      <c r="D1039" t="str">
        <f>IFERROR(VLOOKUP(C1039,APOYO!J:K,2,FALSE),C1039)</f>
        <v>MAHATES</v>
      </c>
      <c r="E1039">
        <v>2014</v>
      </c>
      <c r="F1039" t="s">
        <v>2189</v>
      </c>
      <c r="G1039" t="s">
        <v>2189</v>
      </c>
      <c r="H1039">
        <v>3</v>
      </c>
      <c r="I1039" s="13" t="s">
        <v>2189</v>
      </c>
      <c r="J1039" s="13" t="s">
        <v>2189</v>
      </c>
      <c r="K1039" s="13" t="s">
        <v>2189</v>
      </c>
    </row>
    <row r="1040" spans="1:11" hidden="1" x14ac:dyDescent="0.25">
      <c r="A1040" t="str">
        <f>_xlfn.XLOOKUP(C1040, 'Códigos DANE Municipios'!$B$2:$B$1123, 'Códigos DANE Municipios'!$A$2:$A$1123, "No encontrado")</f>
        <v>44430</v>
      </c>
      <c r="B1040" t="str">
        <f>IFERROR(VLOOKUP(D1040,APOYO!K:L,2,FALSE),A1040)</f>
        <v>44430</v>
      </c>
      <c r="C1040" t="s">
        <v>1289</v>
      </c>
      <c r="D1040" t="str">
        <f>IFERROR(VLOOKUP(C1040,APOYO!J:K,2,FALSE),C1040)</f>
        <v>MAICAO</v>
      </c>
      <c r="E1040">
        <v>2014</v>
      </c>
      <c r="F1040">
        <v>26406</v>
      </c>
      <c r="G1040" t="s">
        <v>2189</v>
      </c>
      <c r="H1040">
        <v>600</v>
      </c>
      <c r="I1040" s="13" t="s">
        <v>2189</v>
      </c>
      <c r="J1040" s="13" t="s">
        <v>2189</v>
      </c>
      <c r="K1040" s="13" t="s">
        <v>2189</v>
      </c>
    </row>
    <row r="1041" spans="1:11" hidden="1" x14ac:dyDescent="0.25">
      <c r="A1041" t="str">
        <f>_xlfn.XLOOKUP(C1041, 'Códigos DANE Municipios'!$B$2:$B$1123, 'Códigos DANE Municipios'!$A$2:$A$1123, "No encontrado")</f>
        <v>68432</v>
      </c>
      <c r="B1041" t="str">
        <f>IFERROR(VLOOKUP(D1041,APOYO!K:L,2,FALSE),A1041)</f>
        <v>68432</v>
      </c>
      <c r="C1041" t="s">
        <v>1746</v>
      </c>
      <c r="D1041" t="str">
        <f>IFERROR(VLOOKUP(C1041,APOYO!J:K,2,FALSE),C1041)</f>
        <v>MÁLAGA</v>
      </c>
      <c r="E1041">
        <v>2014</v>
      </c>
      <c r="F1041">
        <v>6945</v>
      </c>
      <c r="G1041" t="s">
        <v>2189</v>
      </c>
      <c r="H1041">
        <v>7</v>
      </c>
      <c r="I1041" s="13" t="s">
        <v>2189</v>
      </c>
      <c r="J1041" s="13" t="s">
        <v>2189</v>
      </c>
      <c r="K1041" s="13" t="s">
        <v>2189</v>
      </c>
    </row>
    <row r="1042" spans="1:11" hidden="1" x14ac:dyDescent="0.25">
      <c r="A1042" t="str">
        <f>_xlfn.XLOOKUP(C1042, 'Códigos DANE Municipios'!$B$2:$B$1123, 'Códigos DANE Municipios'!$A$2:$A$1123, "No encontrado")</f>
        <v>08433</v>
      </c>
      <c r="B1042" t="str">
        <f>IFERROR(VLOOKUP(D1042,APOYO!K:L,2,FALSE),A1042)</f>
        <v>08433</v>
      </c>
      <c r="C1042" t="s">
        <v>276</v>
      </c>
      <c r="D1042" t="str">
        <f>IFERROR(VLOOKUP(C1042,APOYO!J:K,2,FALSE),C1042)</f>
        <v>MALAMBO</v>
      </c>
      <c r="E1042">
        <v>2014</v>
      </c>
      <c r="F1042" t="s">
        <v>2189</v>
      </c>
      <c r="G1042" t="s">
        <v>2189</v>
      </c>
      <c r="H1042">
        <v>10</v>
      </c>
      <c r="I1042" s="13" t="s">
        <v>2189</v>
      </c>
      <c r="J1042" s="13" t="s">
        <v>2189</v>
      </c>
      <c r="K1042" s="13" t="s">
        <v>2189</v>
      </c>
    </row>
    <row r="1043" spans="1:11" hidden="1" x14ac:dyDescent="0.25">
      <c r="A1043" t="str">
        <f>_xlfn.XLOOKUP(C1043, 'Códigos DANE Municipios'!$B$2:$B$1123, 'Códigos DANE Municipios'!$A$2:$A$1123, "No encontrado")</f>
        <v>44560</v>
      </c>
      <c r="B1043" t="str">
        <f>IFERROR(VLOOKUP(D1043,APOYO!K:L,2,FALSE),A1043)</f>
        <v>44560</v>
      </c>
      <c r="C1043" t="s">
        <v>1291</v>
      </c>
      <c r="D1043" t="str">
        <f>IFERROR(VLOOKUP(C1043,APOYO!J:K,2,FALSE),C1043)</f>
        <v>MANAURE</v>
      </c>
      <c r="E1043">
        <v>2014</v>
      </c>
      <c r="F1043" t="s">
        <v>2189</v>
      </c>
      <c r="G1043" t="s">
        <v>2189</v>
      </c>
      <c r="H1043">
        <v>6</v>
      </c>
      <c r="I1043" s="13" t="s">
        <v>2189</v>
      </c>
      <c r="J1043" s="13" t="s">
        <v>2189</v>
      </c>
      <c r="K1043" s="13" t="s">
        <v>2189</v>
      </c>
    </row>
    <row r="1044" spans="1:11" hidden="1" x14ac:dyDescent="0.25">
      <c r="A1044" t="str">
        <f>_xlfn.XLOOKUP(C1044, 'Códigos DANE Municipios'!$B$2:$B$1123, 'Códigos DANE Municipios'!$A$2:$A$1123, "No encontrado")</f>
        <v>20443</v>
      </c>
      <c r="B1044" t="str">
        <f>IFERROR(VLOOKUP(D1044,APOYO!K:L,2,FALSE),A1044)</f>
        <v>20443</v>
      </c>
      <c r="C1044" t="s">
        <v>838</v>
      </c>
      <c r="D1044" t="str">
        <f>IFERROR(VLOOKUP(C1044,APOYO!J:K,2,FALSE),C1044)</f>
        <v>MANAURE BALCÓN DEL CESAR</v>
      </c>
      <c r="E1044">
        <v>2014</v>
      </c>
      <c r="F1044" t="s">
        <v>2189</v>
      </c>
      <c r="G1044" t="s">
        <v>2189</v>
      </c>
      <c r="H1044" t="s">
        <v>2189</v>
      </c>
      <c r="I1044" s="13" t="s">
        <v>2189</v>
      </c>
      <c r="J1044" s="13" t="s">
        <v>2189</v>
      </c>
      <c r="K1044" s="13" t="s">
        <v>2189</v>
      </c>
    </row>
    <row r="1045" spans="1:11" hidden="1" x14ac:dyDescent="0.25">
      <c r="A1045" t="str">
        <f>_xlfn.XLOOKUP(C1045, 'Códigos DANE Municipios'!$B$2:$B$1123, 'Códigos DANE Municipios'!$A$2:$A$1123, "No encontrado")</f>
        <v>85139</v>
      </c>
      <c r="B1045" t="str">
        <f>IFERROR(VLOOKUP(D1045,APOYO!K:L,2,FALSE),A1045)</f>
        <v>85139</v>
      </c>
      <c r="C1045" t="s">
        <v>2058</v>
      </c>
      <c r="D1045" t="str">
        <f>IFERROR(VLOOKUP(C1045,APOYO!J:K,2,FALSE),C1045)</f>
        <v>MANÍ</v>
      </c>
      <c r="E1045">
        <v>2014</v>
      </c>
      <c r="F1045">
        <v>544</v>
      </c>
      <c r="G1045" t="s">
        <v>2189</v>
      </c>
      <c r="H1045">
        <v>1</v>
      </c>
      <c r="I1045" s="13" t="s">
        <v>2189</v>
      </c>
      <c r="J1045" s="13" t="s">
        <v>2189</v>
      </c>
      <c r="K1045" s="13" t="s">
        <v>2189</v>
      </c>
    </row>
    <row r="1046" spans="1:11" hidden="1" x14ac:dyDescent="0.25">
      <c r="A1046" t="str">
        <f>_xlfn.XLOOKUP(C1046, 'Códigos DANE Municipios'!$B$2:$B$1123, 'Códigos DANE Municipios'!$A$2:$A$1123, "No encontrado")</f>
        <v>17001</v>
      </c>
      <c r="B1046" t="str">
        <f>IFERROR(VLOOKUP(D1046,APOYO!K:L,2,FALSE),A1046)</f>
        <v>17001</v>
      </c>
      <c r="C1046" t="s">
        <v>644</v>
      </c>
      <c r="D1046" t="str">
        <f>IFERROR(VLOOKUP(C1046,APOYO!J:K,2,FALSE),C1046)</f>
        <v>MANIZALES</v>
      </c>
      <c r="E1046">
        <v>2014</v>
      </c>
      <c r="F1046">
        <v>96773</v>
      </c>
      <c r="G1046">
        <v>4685</v>
      </c>
      <c r="H1046">
        <v>5847</v>
      </c>
      <c r="I1046" s="13" t="s">
        <v>2189</v>
      </c>
      <c r="J1046" s="13" t="s">
        <v>2189</v>
      </c>
      <c r="K1046" s="13" t="s">
        <v>2189</v>
      </c>
    </row>
    <row r="1047" spans="1:11" hidden="1" x14ac:dyDescent="0.25">
      <c r="A1047" t="str">
        <f>_xlfn.XLOOKUP(C1047, 'Códigos DANE Municipios'!$B$2:$B$1123, 'Códigos DANE Municipios'!$A$2:$A$1123, "No encontrado")</f>
        <v>25436</v>
      </c>
      <c r="B1047" t="str">
        <f>IFERROR(VLOOKUP(D1047,APOYO!K:L,2,FALSE),A1047)</f>
        <v>25436</v>
      </c>
      <c r="C1047" t="s">
        <v>1023</v>
      </c>
      <c r="D1047" t="str">
        <f>IFERROR(VLOOKUP(C1047,APOYO!J:K,2,FALSE),C1047)</f>
        <v>MANTA</v>
      </c>
      <c r="E1047">
        <v>2014</v>
      </c>
      <c r="F1047" t="s">
        <v>2189</v>
      </c>
      <c r="G1047" t="s">
        <v>2189</v>
      </c>
      <c r="H1047">
        <v>2</v>
      </c>
      <c r="I1047" s="13" t="s">
        <v>2189</v>
      </c>
      <c r="J1047" s="13" t="s">
        <v>2189</v>
      </c>
      <c r="K1047" s="13" t="s">
        <v>2189</v>
      </c>
    </row>
    <row r="1048" spans="1:11" hidden="1" x14ac:dyDescent="0.25">
      <c r="A1048" t="str">
        <f>_xlfn.XLOOKUP(C1048, 'Códigos DANE Municipios'!$B$2:$B$1123, 'Códigos DANE Municipios'!$A$2:$A$1123, "No encontrado")</f>
        <v>17433</v>
      </c>
      <c r="B1048" t="str">
        <f>IFERROR(VLOOKUP(D1048,APOYO!K:L,2,FALSE),A1048)</f>
        <v>17433</v>
      </c>
      <c r="C1048" t="s">
        <v>662</v>
      </c>
      <c r="D1048" t="str">
        <f>IFERROR(VLOOKUP(C1048,APOYO!J:K,2,FALSE),C1048)</f>
        <v>MANZANARES</v>
      </c>
      <c r="E1048">
        <v>2014</v>
      </c>
      <c r="F1048" t="s">
        <v>2189</v>
      </c>
      <c r="G1048" t="s">
        <v>2189</v>
      </c>
      <c r="H1048">
        <v>28</v>
      </c>
      <c r="I1048" s="13" t="s">
        <v>2189</v>
      </c>
      <c r="J1048" s="13" t="s">
        <v>2189</v>
      </c>
      <c r="K1048" s="13" t="s">
        <v>2189</v>
      </c>
    </row>
    <row r="1049" spans="1:11" hidden="1" x14ac:dyDescent="0.25">
      <c r="A1049" t="str">
        <f>_xlfn.XLOOKUP(C1049, 'Códigos DANE Municipios'!$B$2:$B$1123, 'Códigos DANE Municipios'!$A$2:$A$1123, "No encontrado")</f>
        <v>50325</v>
      </c>
      <c r="B1049" t="str">
        <f>IFERROR(VLOOKUP(D1049,APOYO!K:L,2,FALSE),A1049)</f>
        <v>50325</v>
      </c>
      <c r="C1049" t="s">
        <v>1382</v>
      </c>
      <c r="D1049" t="str">
        <f>IFERROR(VLOOKUP(C1049,APOYO!J:K,2,FALSE),C1049)</f>
        <v>MAPIRIPÁN</v>
      </c>
      <c r="E1049">
        <v>2014</v>
      </c>
      <c r="F1049">
        <v>2238</v>
      </c>
      <c r="G1049" t="s">
        <v>2189</v>
      </c>
      <c r="H1049" t="s">
        <v>2189</v>
      </c>
      <c r="I1049" s="13" t="s">
        <v>2189</v>
      </c>
      <c r="J1049" s="13" t="s">
        <v>2189</v>
      </c>
      <c r="K1049" s="13" t="s">
        <v>2189</v>
      </c>
    </row>
    <row r="1050" spans="1:11" hidden="1" x14ac:dyDescent="0.25">
      <c r="A1050" t="str">
        <f>_xlfn.XLOOKUP(C1050, 'Códigos DANE Municipios'!$B$2:$B$1123, 'Códigos DANE Municipios'!$A$2:$A$1123, "No encontrado")</f>
        <v>05440</v>
      </c>
      <c r="B1050" t="str">
        <f>IFERROR(VLOOKUP(D1050,APOYO!K:L,2,FALSE),A1050)</f>
        <v>05440</v>
      </c>
      <c r="C1050" t="s">
        <v>148</v>
      </c>
      <c r="D1050" t="str">
        <f>IFERROR(VLOOKUP(C1050,APOYO!J:K,2,FALSE),C1050)</f>
        <v>MARINILLA</v>
      </c>
      <c r="E1050">
        <v>2014</v>
      </c>
      <c r="F1050" t="s">
        <v>2189</v>
      </c>
      <c r="G1050" t="s">
        <v>2189</v>
      </c>
      <c r="H1050">
        <v>76</v>
      </c>
      <c r="I1050" s="13" t="s">
        <v>2189</v>
      </c>
      <c r="J1050" s="13" t="s">
        <v>2189</v>
      </c>
      <c r="K1050" s="13" t="s">
        <v>2189</v>
      </c>
    </row>
    <row r="1051" spans="1:11" hidden="1" x14ac:dyDescent="0.25">
      <c r="A1051" t="str">
        <f>_xlfn.XLOOKUP(C1051, 'Códigos DANE Municipios'!$B$2:$B$1123, 'Códigos DANE Municipios'!$A$2:$A$1123, "No encontrado")</f>
        <v>73443</v>
      </c>
      <c r="B1051" t="str">
        <f>IFERROR(VLOOKUP(D1051,APOYO!K:L,2,FALSE),A1051)</f>
        <v>73443</v>
      </c>
      <c r="C1051" t="s">
        <v>1915</v>
      </c>
      <c r="D1051" t="str">
        <f>IFERROR(VLOOKUP(C1051,APOYO!J:K,2,FALSE),C1051)</f>
        <v>SAN SEBASTIÁN DE MARIQUITA</v>
      </c>
      <c r="E1051">
        <v>2014</v>
      </c>
      <c r="F1051">
        <v>288</v>
      </c>
      <c r="G1051" t="s">
        <v>2189</v>
      </c>
      <c r="H1051">
        <v>12</v>
      </c>
      <c r="I1051" s="13" t="s">
        <v>2189</v>
      </c>
      <c r="J1051" s="13" t="s">
        <v>2189</v>
      </c>
      <c r="K1051" s="13" t="s">
        <v>2189</v>
      </c>
    </row>
    <row r="1052" spans="1:11" hidden="1" x14ac:dyDescent="0.25">
      <c r="A1052" t="str">
        <f>_xlfn.XLOOKUP(C1052, 'Códigos DANE Municipios'!$B$2:$B$1123, 'Códigos DANE Municipios'!$A$2:$A$1123, "No encontrado")</f>
        <v>17442</v>
      </c>
      <c r="B1052" t="str">
        <f>IFERROR(VLOOKUP(D1052,APOYO!K:L,2,FALSE),A1052)</f>
        <v>17442</v>
      </c>
      <c r="C1052" t="s">
        <v>664</v>
      </c>
      <c r="D1052" t="str">
        <f>IFERROR(VLOOKUP(C1052,APOYO!J:K,2,FALSE),C1052)</f>
        <v>MARMATO</v>
      </c>
      <c r="E1052">
        <v>2014</v>
      </c>
      <c r="F1052" t="s">
        <v>2189</v>
      </c>
      <c r="G1052" t="s">
        <v>2189</v>
      </c>
      <c r="H1052">
        <v>1</v>
      </c>
      <c r="I1052" s="13" t="s">
        <v>2189</v>
      </c>
      <c r="J1052" s="13" t="s">
        <v>2189</v>
      </c>
      <c r="K1052" s="13" t="s">
        <v>2189</v>
      </c>
    </row>
    <row r="1053" spans="1:11" hidden="1" x14ac:dyDescent="0.25">
      <c r="A1053" t="str">
        <f>_xlfn.XLOOKUP(C1053, 'Códigos DANE Municipios'!$B$2:$B$1123, 'Códigos DANE Municipios'!$A$2:$A$1123, "No encontrado")</f>
        <v>17444</v>
      </c>
      <c r="B1053" t="str">
        <f>IFERROR(VLOOKUP(D1053,APOYO!K:L,2,FALSE),A1053)</f>
        <v>17444</v>
      </c>
      <c r="C1053" t="s">
        <v>666</v>
      </c>
      <c r="D1053" t="str">
        <f>IFERROR(VLOOKUP(C1053,APOYO!J:K,2,FALSE),C1053)</f>
        <v>MARQUETALIA</v>
      </c>
      <c r="E1053">
        <v>2014</v>
      </c>
      <c r="F1053" t="s">
        <v>2189</v>
      </c>
      <c r="G1053" t="s">
        <v>2189</v>
      </c>
      <c r="H1053">
        <v>10</v>
      </c>
      <c r="I1053" s="13" t="s">
        <v>2189</v>
      </c>
      <c r="J1053" s="13" t="s">
        <v>2189</v>
      </c>
      <c r="K1053" s="13" t="s">
        <v>2189</v>
      </c>
    </row>
    <row r="1054" spans="1:11" hidden="1" x14ac:dyDescent="0.25">
      <c r="A1054" t="str">
        <f>_xlfn.XLOOKUP(C1054, 'Códigos DANE Municipios'!$B$2:$B$1123, 'Códigos DANE Municipios'!$A$2:$A$1123, "No encontrado")</f>
        <v>66440</v>
      </c>
      <c r="B1054" t="str">
        <f>IFERROR(VLOOKUP(D1054,APOYO!K:L,2,FALSE),A1054)</f>
        <v>66440</v>
      </c>
      <c r="C1054" t="s">
        <v>1643</v>
      </c>
      <c r="D1054" t="str">
        <f>IFERROR(VLOOKUP(C1054,APOYO!J:K,2,FALSE),C1054)</f>
        <v>MARSELLA</v>
      </c>
      <c r="E1054">
        <v>2014</v>
      </c>
      <c r="F1054" t="s">
        <v>2189</v>
      </c>
      <c r="G1054" t="s">
        <v>2189</v>
      </c>
      <c r="H1054">
        <v>32</v>
      </c>
      <c r="I1054" s="13" t="s">
        <v>2189</v>
      </c>
      <c r="J1054" s="13" t="s">
        <v>2189</v>
      </c>
      <c r="K1054" s="13" t="s">
        <v>2189</v>
      </c>
    </row>
    <row r="1055" spans="1:11" hidden="1" x14ac:dyDescent="0.25">
      <c r="A1055" t="str">
        <f>_xlfn.XLOOKUP(C1055, 'Códigos DANE Municipios'!$B$2:$B$1123, 'Códigos DANE Municipios'!$A$2:$A$1123, "No encontrado")</f>
        <v>17446</v>
      </c>
      <c r="B1055" t="str">
        <f>IFERROR(VLOOKUP(D1055,APOYO!K:L,2,FALSE),A1055)</f>
        <v>17446</v>
      </c>
      <c r="C1055" t="s">
        <v>668</v>
      </c>
      <c r="D1055" t="str">
        <f>IFERROR(VLOOKUP(C1055,APOYO!J:K,2,FALSE),C1055)</f>
        <v>MARULANDA</v>
      </c>
      <c r="E1055">
        <v>2014</v>
      </c>
      <c r="F1055" t="s">
        <v>2189</v>
      </c>
      <c r="G1055" t="s">
        <v>2189</v>
      </c>
      <c r="H1055">
        <v>1</v>
      </c>
      <c r="I1055" s="13" t="s">
        <v>2189</v>
      </c>
      <c r="J1055" s="13" t="s">
        <v>2189</v>
      </c>
      <c r="K1055" s="13" t="s">
        <v>2189</v>
      </c>
    </row>
    <row r="1056" spans="1:11" hidden="1" x14ac:dyDescent="0.25">
      <c r="A1056" t="str">
        <f>_xlfn.XLOOKUP(C1056, 'Códigos DANE Municipios'!$B$2:$B$1123, 'Códigos DANE Municipios'!$A$2:$A$1123, "No encontrado")</f>
        <v>68444</v>
      </c>
      <c r="B1056" t="str">
        <f>IFERROR(VLOOKUP(D1056,APOYO!K:L,2,FALSE),A1056)</f>
        <v>68444</v>
      </c>
      <c r="C1056" t="s">
        <v>1748</v>
      </c>
      <c r="D1056" t="str">
        <f>IFERROR(VLOOKUP(C1056,APOYO!J:K,2,FALSE),C1056)</f>
        <v>MATANZA</v>
      </c>
      <c r="E1056">
        <v>2014</v>
      </c>
      <c r="F1056" t="s">
        <v>2189</v>
      </c>
      <c r="G1056" t="s">
        <v>2189</v>
      </c>
      <c r="H1056" t="s">
        <v>2189</v>
      </c>
      <c r="I1056" s="13" t="s">
        <v>2189</v>
      </c>
      <c r="J1056" s="13" t="s">
        <v>2189</v>
      </c>
      <c r="K1056" s="13" t="s">
        <v>2189</v>
      </c>
    </row>
    <row r="1057" spans="1:11" hidden="1" x14ac:dyDescent="0.25">
      <c r="A1057" t="str">
        <f>_xlfn.XLOOKUP(C1057, 'Códigos DANE Municipios'!$B$2:$B$1123, 'Códigos DANE Municipios'!$A$2:$A$1123, "No encontrado")</f>
        <v>05001</v>
      </c>
      <c r="B1057" t="str">
        <f>IFERROR(VLOOKUP(D1057,APOYO!K:L,2,FALSE),A1057)</f>
        <v>05001</v>
      </c>
      <c r="C1057" t="s">
        <v>12</v>
      </c>
      <c r="D1057" t="str">
        <f>IFERROR(VLOOKUP(C1057,APOYO!J:K,2,FALSE),C1057)</f>
        <v>MEDELLÍN</v>
      </c>
      <c r="E1057">
        <v>2014</v>
      </c>
      <c r="F1057">
        <v>493610</v>
      </c>
      <c r="G1057">
        <v>71</v>
      </c>
      <c r="H1057">
        <v>195561</v>
      </c>
      <c r="I1057" s="13" t="s">
        <v>2189</v>
      </c>
      <c r="J1057" s="13" t="s">
        <v>2189</v>
      </c>
      <c r="K1057" s="13" t="s">
        <v>2189</v>
      </c>
    </row>
    <row r="1058" spans="1:11" hidden="1" x14ac:dyDescent="0.25">
      <c r="A1058" t="str">
        <f>_xlfn.XLOOKUP(C1058, 'Códigos DANE Municipios'!$B$2:$B$1123, 'Códigos DANE Municipios'!$A$2:$A$1123, "No encontrado")</f>
        <v>25438</v>
      </c>
      <c r="B1058" t="str">
        <f>IFERROR(VLOOKUP(D1058,APOYO!K:L,2,FALSE),A1058)</f>
        <v>25438</v>
      </c>
      <c r="C1058" t="s">
        <v>1025</v>
      </c>
      <c r="D1058" t="str">
        <f>IFERROR(VLOOKUP(C1058,APOYO!J:K,2,FALSE),C1058)</f>
        <v>MEDINA</v>
      </c>
      <c r="E1058">
        <v>2014</v>
      </c>
      <c r="F1058" t="s">
        <v>2189</v>
      </c>
      <c r="G1058" t="s">
        <v>2189</v>
      </c>
      <c r="H1058" t="s">
        <v>2189</v>
      </c>
      <c r="I1058" s="13" t="s">
        <v>2189</v>
      </c>
      <c r="J1058" s="13" t="s">
        <v>2189</v>
      </c>
      <c r="K1058" s="13" t="s">
        <v>2189</v>
      </c>
    </row>
    <row r="1059" spans="1:11" hidden="1" x14ac:dyDescent="0.25">
      <c r="A1059" t="str">
        <f>_xlfn.XLOOKUP(C1059, 'Códigos DANE Municipios'!$B$2:$B$1123, 'Códigos DANE Municipios'!$A$2:$A$1123, "No encontrado")</f>
        <v>27430</v>
      </c>
      <c r="B1059" t="str">
        <f>IFERROR(VLOOKUP(D1059,APOYO!K:L,2,FALSE),A1059)</f>
        <v>27430</v>
      </c>
      <c r="C1059" t="s">
        <v>1178</v>
      </c>
      <c r="D1059" t="str">
        <f>IFERROR(VLOOKUP(C1059,APOYO!J:K,2,FALSE),C1059)</f>
        <v>MEDIO BAUDÓ</v>
      </c>
      <c r="E1059">
        <v>2014</v>
      </c>
      <c r="F1059" t="s">
        <v>2189</v>
      </c>
      <c r="G1059" t="s">
        <v>2189</v>
      </c>
      <c r="H1059">
        <v>3</v>
      </c>
      <c r="I1059" s="13" t="s">
        <v>2189</v>
      </c>
      <c r="J1059" s="13" t="s">
        <v>2189</v>
      </c>
      <c r="K1059" s="13" t="s">
        <v>2189</v>
      </c>
    </row>
    <row r="1060" spans="1:11" hidden="1" x14ac:dyDescent="0.25">
      <c r="A1060" t="str">
        <f>_xlfn.XLOOKUP(C1060, 'Códigos DANE Municipios'!$B$2:$B$1123, 'Códigos DANE Municipios'!$A$2:$A$1123, "No encontrado")</f>
        <v>73449</v>
      </c>
      <c r="B1060" t="str">
        <f>IFERROR(VLOOKUP(D1060,APOYO!K:L,2,FALSE),A1060)</f>
        <v>73449</v>
      </c>
      <c r="C1060" t="s">
        <v>1917</v>
      </c>
      <c r="D1060" t="str">
        <f>IFERROR(VLOOKUP(C1060,APOYO!J:K,2,FALSE),C1060)</f>
        <v>MELGAR</v>
      </c>
      <c r="E1060">
        <v>2014</v>
      </c>
      <c r="F1060">
        <v>401</v>
      </c>
      <c r="G1060" t="s">
        <v>2189</v>
      </c>
      <c r="H1060">
        <v>316</v>
      </c>
      <c r="I1060" s="13" t="s">
        <v>2189</v>
      </c>
      <c r="J1060" s="13" t="s">
        <v>2189</v>
      </c>
      <c r="K1060" s="13" t="s">
        <v>2189</v>
      </c>
    </row>
    <row r="1061" spans="1:11" hidden="1" x14ac:dyDescent="0.25">
      <c r="A1061" t="str">
        <f>_xlfn.XLOOKUP(C1061, 'Códigos DANE Municipios'!$B$2:$B$1123, 'Códigos DANE Municipios'!$A$2:$A$1123, "No encontrado")</f>
        <v>50330</v>
      </c>
      <c r="B1061" t="str">
        <f>IFERROR(VLOOKUP(D1061,APOYO!K:L,2,FALSE),A1061)</f>
        <v>50330</v>
      </c>
      <c r="C1061" t="s">
        <v>1384</v>
      </c>
      <c r="D1061" t="str">
        <f>IFERROR(VLOOKUP(C1061,APOYO!J:K,2,FALSE),C1061)</f>
        <v>MESETAS</v>
      </c>
      <c r="E1061">
        <v>2014</v>
      </c>
      <c r="F1061" t="s">
        <v>2189</v>
      </c>
      <c r="G1061" t="s">
        <v>2189</v>
      </c>
      <c r="H1061" t="s">
        <v>2189</v>
      </c>
      <c r="I1061" s="13" t="s">
        <v>2189</v>
      </c>
      <c r="J1061" s="13" t="s">
        <v>2189</v>
      </c>
      <c r="K1061" s="13" t="s">
        <v>2189</v>
      </c>
    </row>
    <row r="1062" spans="1:11" hidden="1" x14ac:dyDescent="0.25">
      <c r="A1062" t="str">
        <f>_xlfn.XLOOKUP(C1062, 'Códigos DANE Municipios'!$B$2:$B$1123, 'Códigos DANE Municipios'!$A$2:$A$1123, "No encontrado")</f>
        <v>15455</v>
      </c>
      <c r="B1062" t="str">
        <f>IFERROR(VLOOKUP(D1062,APOYO!K:L,2,FALSE),A1062)</f>
        <v>15455</v>
      </c>
      <c r="C1062" t="s">
        <v>504</v>
      </c>
      <c r="D1062" t="str">
        <f>IFERROR(VLOOKUP(C1062,APOYO!J:K,2,FALSE),C1062)</f>
        <v>MIRAFLORES</v>
      </c>
      <c r="E1062">
        <v>2014</v>
      </c>
      <c r="F1062" t="s">
        <v>2189</v>
      </c>
      <c r="G1062" t="s">
        <v>2189</v>
      </c>
      <c r="H1062" t="s">
        <v>2189</v>
      </c>
      <c r="I1062" s="13" t="s">
        <v>2189</v>
      </c>
      <c r="J1062" s="13" t="s">
        <v>2189</v>
      </c>
      <c r="K1062" s="13" t="s">
        <v>2189</v>
      </c>
    </row>
    <row r="1063" spans="1:11" hidden="1" x14ac:dyDescent="0.25">
      <c r="A1063" t="str">
        <f>_xlfn.XLOOKUP(C1063, 'Códigos DANE Municipios'!$B$2:$B$1123, 'Códigos DANE Municipios'!$A$2:$A$1123, "No encontrado")</f>
        <v>19455</v>
      </c>
      <c r="B1063" t="str">
        <f>IFERROR(VLOOKUP(D1063,APOYO!K:L,2,FALSE),A1063)</f>
        <v>19455</v>
      </c>
      <c r="C1063" t="s">
        <v>767</v>
      </c>
      <c r="D1063" t="str">
        <f>IFERROR(VLOOKUP(C1063,APOYO!J:K,2,FALSE),C1063)</f>
        <v>MIRANDA</v>
      </c>
      <c r="E1063">
        <v>2014</v>
      </c>
      <c r="F1063" t="s">
        <v>2189</v>
      </c>
      <c r="G1063" t="s">
        <v>2189</v>
      </c>
      <c r="H1063">
        <v>23</v>
      </c>
      <c r="I1063" s="13" t="s">
        <v>2189</v>
      </c>
      <c r="J1063" s="13" t="s">
        <v>2189</v>
      </c>
      <c r="K1063" s="13" t="s">
        <v>2189</v>
      </c>
    </row>
    <row r="1064" spans="1:11" hidden="1" x14ac:dyDescent="0.25">
      <c r="A1064" t="str">
        <f>_xlfn.XLOOKUP(C1064, 'Códigos DANE Municipios'!$B$2:$B$1123, 'Códigos DANE Municipios'!$A$2:$A$1123, "No encontrado")</f>
        <v>66456</v>
      </c>
      <c r="B1064" t="str">
        <f>IFERROR(VLOOKUP(D1064,APOYO!K:L,2,FALSE),A1064)</f>
        <v>66456</v>
      </c>
      <c r="C1064" t="s">
        <v>1645</v>
      </c>
      <c r="D1064" t="str">
        <f>IFERROR(VLOOKUP(C1064,APOYO!J:K,2,FALSE),C1064)</f>
        <v>MISTRATÓ</v>
      </c>
      <c r="E1064">
        <v>2014</v>
      </c>
      <c r="F1064" t="s">
        <v>2189</v>
      </c>
      <c r="G1064" t="s">
        <v>2189</v>
      </c>
      <c r="H1064">
        <v>2</v>
      </c>
      <c r="I1064" s="13" t="s">
        <v>2189</v>
      </c>
      <c r="J1064" s="13" t="s">
        <v>2189</v>
      </c>
      <c r="K1064" s="13" t="s">
        <v>2189</v>
      </c>
    </row>
    <row r="1065" spans="1:11" hidden="1" x14ac:dyDescent="0.25">
      <c r="A1065" t="str">
        <f>_xlfn.XLOOKUP(C1065, 'Códigos DANE Municipios'!$B$2:$B$1123, 'Códigos DANE Municipios'!$A$2:$A$1123, "No encontrado")</f>
        <v>97001</v>
      </c>
      <c r="B1065" t="str">
        <f>IFERROR(VLOOKUP(D1065,APOYO!K:L,2,FALSE),A1065)</f>
        <v>97001</v>
      </c>
      <c r="C1065" t="s">
        <v>2151</v>
      </c>
      <c r="D1065" t="str">
        <f>IFERROR(VLOOKUP(C1065,APOYO!J:K,2,FALSE),C1065)</f>
        <v>MITÚ</v>
      </c>
      <c r="E1065">
        <v>2014</v>
      </c>
      <c r="F1065">
        <v>20994</v>
      </c>
      <c r="G1065">
        <v>2</v>
      </c>
      <c r="H1065">
        <v>53</v>
      </c>
      <c r="I1065" s="13" t="s">
        <v>2189</v>
      </c>
      <c r="J1065" s="13" t="s">
        <v>2189</v>
      </c>
      <c r="K1065" s="13" t="s">
        <v>2189</v>
      </c>
    </row>
    <row r="1066" spans="1:11" hidden="1" x14ac:dyDescent="0.25">
      <c r="A1066" t="str">
        <f>_xlfn.XLOOKUP(C1066, 'Códigos DANE Municipios'!$B$2:$B$1123, 'Códigos DANE Municipios'!$A$2:$A$1123, "No encontrado")</f>
        <v>86001</v>
      </c>
      <c r="B1066" t="str">
        <f>IFERROR(VLOOKUP(D1066,APOYO!K:L,2,FALSE),A1066)</f>
        <v>86001</v>
      </c>
      <c r="C1066" t="s">
        <v>2084</v>
      </c>
      <c r="D1066" t="str">
        <f>IFERROR(VLOOKUP(C1066,APOYO!J:K,2,FALSE),C1066)</f>
        <v>MOCOA</v>
      </c>
      <c r="E1066">
        <v>2014</v>
      </c>
      <c r="F1066" t="s">
        <v>2189</v>
      </c>
      <c r="G1066" t="s">
        <v>2189</v>
      </c>
      <c r="H1066">
        <v>203</v>
      </c>
      <c r="I1066" s="13" t="s">
        <v>2189</v>
      </c>
      <c r="J1066" s="13" t="s">
        <v>2189</v>
      </c>
      <c r="K1066" s="13" t="s">
        <v>2189</v>
      </c>
    </row>
    <row r="1067" spans="1:11" hidden="1" x14ac:dyDescent="0.25">
      <c r="A1067" t="str">
        <f>_xlfn.XLOOKUP(C1067, 'Códigos DANE Municipios'!$B$2:$B$1123, 'Códigos DANE Municipios'!$A$2:$A$1123, "No encontrado")</f>
        <v>68464</v>
      </c>
      <c r="B1067" t="str">
        <f>IFERROR(VLOOKUP(D1067,APOYO!K:L,2,FALSE),A1067)</f>
        <v>68464</v>
      </c>
      <c r="C1067" t="s">
        <v>1750</v>
      </c>
      <c r="D1067" t="str">
        <f>IFERROR(VLOOKUP(C1067,APOYO!J:K,2,FALSE),C1067)</f>
        <v>MOGOTES</v>
      </c>
      <c r="E1067">
        <v>2014</v>
      </c>
      <c r="F1067" t="s">
        <v>2189</v>
      </c>
      <c r="G1067" t="s">
        <v>2189</v>
      </c>
      <c r="H1067">
        <v>4</v>
      </c>
      <c r="I1067" s="13" t="s">
        <v>2189</v>
      </c>
      <c r="J1067" s="13" t="s">
        <v>2189</v>
      </c>
      <c r="K1067" s="13" t="s">
        <v>2189</v>
      </c>
    </row>
    <row r="1068" spans="1:11" hidden="1" x14ac:dyDescent="0.25">
      <c r="A1068" t="str">
        <f>_xlfn.XLOOKUP(C1068, 'Códigos DANE Municipios'!$B$2:$B$1123, 'Códigos DANE Municipios'!$A$2:$A$1123, "No encontrado")</f>
        <v>13468</v>
      </c>
      <c r="B1068" t="str">
        <f>IFERROR(VLOOKUP(D1068,APOYO!K:L,2,FALSE),A1068)</f>
        <v>13468</v>
      </c>
      <c r="C1068" t="s">
        <v>351</v>
      </c>
      <c r="D1068" t="str">
        <f>IFERROR(VLOOKUP(C1068,APOYO!J:K,2,FALSE),C1068)</f>
        <v>MOMPÓS</v>
      </c>
      <c r="E1068">
        <v>2014</v>
      </c>
      <c r="F1068">
        <v>369</v>
      </c>
      <c r="G1068" t="s">
        <v>2189</v>
      </c>
      <c r="H1068">
        <v>12</v>
      </c>
      <c r="I1068" s="13" t="s">
        <v>2189</v>
      </c>
      <c r="J1068" s="13" t="s">
        <v>2189</v>
      </c>
      <c r="K1068" s="13" t="s">
        <v>2189</v>
      </c>
    </row>
    <row r="1069" spans="1:11" hidden="1" x14ac:dyDescent="0.25">
      <c r="A1069" t="str">
        <f>_xlfn.XLOOKUP(C1069, 'Códigos DANE Municipios'!$B$2:$B$1123, 'Códigos DANE Municipios'!$A$2:$A$1123, "No encontrado")</f>
        <v>15469</v>
      </c>
      <c r="B1069" t="str">
        <f>IFERROR(VLOOKUP(D1069,APOYO!K:L,2,FALSE),A1069)</f>
        <v>15469</v>
      </c>
      <c r="C1069" t="s">
        <v>510</v>
      </c>
      <c r="D1069" t="str">
        <f>IFERROR(VLOOKUP(C1069,APOYO!J:K,2,FALSE),C1069)</f>
        <v>MONIQUIRÁ</v>
      </c>
      <c r="E1069">
        <v>2014</v>
      </c>
      <c r="F1069" t="s">
        <v>2189</v>
      </c>
      <c r="G1069" t="s">
        <v>2189</v>
      </c>
      <c r="H1069">
        <v>28</v>
      </c>
      <c r="I1069" s="13" t="s">
        <v>2189</v>
      </c>
      <c r="J1069" s="13" t="s">
        <v>2189</v>
      </c>
      <c r="K1069" s="13" t="s">
        <v>2189</v>
      </c>
    </row>
    <row r="1070" spans="1:11" hidden="1" x14ac:dyDescent="0.25">
      <c r="A1070" t="str">
        <f>_xlfn.XLOOKUP(C1070, 'Códigos DANE Municipios'!$B$2:$B$1123, 'Códigos DANE Municipios'!$A$2:$A$1123, "No encontrado")</f>
        <v>23500</v>
      </c>
      <c r="B1070" t="str">
        <f>IFERROR(VLOOKUP(D1070,APOYO!K:L,2,FALSE),A1070)</f>
        <v>23500</v>
      </c>
      <c r="C1070" t="s">
        <v>885</v>
      </c>
      <c r="D1070" t="str">
        <f>IFERROR(VLOOKUP(C1070,APOYO!J:K,2,FALSE),C1070)</f>
        <v>MOÑITOS</v>
      </c>
      <c r="E1070">
        <v>2014</v>
      </c>
      <c r="F1070" t="s">
        <v>2189</v>
      </c>
      <c r="G1070" t="s">
        <v>2189</v>
      </c>
      <c r="H1070" t="s">
        <v>2189</v>
      </c>
      <c r="I1070" s="13" t="s">
        <v>2189</v>
      </c>
      <c r="J1070" s="13" t="s">
        <v>2189</v>
      </c>
      <c r="K1070" s="13" t="s">
        <v>2189</v>
      </c>
    </row>
    <row r="1071" spans="1:11" hidden="1" x14ac:dyDescent="0.25">
      <c r="A1071" t="str">
        <f>_xlfn.XLOOKUP(C1071, 'Códigos DANE Municipios'!$B$2:$B$1123, 'Códigos DANE Municipios'!$A$2:$A$1123, "No encontrado")</f>
        <v>05467</v>
      </c>
      <c r="B1071" t="str">
        <f>IFERROR(VLOOKUP(D1071,APOYO!K:L,2,FALSE),A1071)</f>
        <v>05467</v>
      </c>
      <c r="C1071" t="s">
        <v>150</v>
      </c>
      <c r="D1071" t="str">
        <f>IFERROR(VLOOKUP(C1071,APOYO!J:K,2,FALSE),C1071)</f>
        <v>MONTEBELLO</v>
      </c>
      <c r="E1071">
        <v>2014</v>
      </c>
      <c r="F1071" t="s">
        <v>2189</v>
      </c>
      <c r="G1071" t="s">
        <v>2189</v>
      </c>
      <c r="H1071">
        <v>20</v>
      </c>
      <c r="I1071" s="13" t="s">
        <v>2189</v>
      </c>
      <c r="J1071" s="13" t="s">
        <v>2189</v>
      </c>
      <c r="K1071" s="13" t="s">
        <v>2189</v>
      </c>
    </row>
    <row r="1072" spans="1:11" hidden="1" x14ac:dyDescent="0.25">
      <c r="A1072" t="str">
        <f>_xlfn.XLOOKUP(C1072, 'Códigos DANE Municipios'!$B$2:$B$1123, 'Códigos DANE Municipios'!$A$2:$A$1123, "No encontrado")</f>
        <v>23466</v>
      </c>
      <c r="B1072" t="str">
        <f>IFERROR(VLOOKUP(D1072,APOYO!K:L,2,FALSE),A1072)</f>
        <v>23466</v>
      </c>
      <c r="C1072" t="s">
        <v>883</v>
      </c>
      <c r="D1072" t="str">
        <f>IFERROR(VLOOKUP(C1072,APOYO!J:K,2,FALSE),C1072)</f>
        <v>MONTELÍBANO</v>
      </c>
      <c r="E1072">
        <v>2014</v>
      </c>
      <c r="F1072">
        <v>387</v>
      </c>
      <c r="G1072" t="s">
        <v>2189</v>
      </c>
      <c r="H1072">
        <v>130</v>
      </c>
      <c r="I1072" s="13" t="s">
        <v>2189</v>
      </c>
      <c r="J1072" s="13" t="s">
        <v>2189</v>
      </c>
      <c r="K1072" s="13" t="s">
        <v>2189</v>
      </c>
    </row>
    <row r="1073" spans="1:11" hidden="1" x14ac:dyDescent="0.25">
      <c r="A1073" t="str">
        <f>_xlfn.XLOOKUP(C1073, 'Códigos DANE Municipios'!$B$2:$B$1123, 'Códigos DANE Municipios'!$A$2:$A$1123, "No encontrado")</f>
        <v>63470</v>
      </c>
      <c r="B1073" t="str">
        <f>IFERROR(VLOOKUP(D1073,APOYO!K:L,2,FALSE),A1073)</f>
        <v>63470</v>
      </c>
      <c r="C1073" t="s">
        <v>1620</v>
      </c>
      <c r="D1073" t="str">
        <f>IFERROR(VLOOKUP(C1073,APOYO!J:K,2,FALSE),C1073)</f>
        <v>MONTENEGRO</v>
      </c>
      <c r="E1073">
        <v>2014</v>
      </c>
      <c r="F1073" t="s">
        <v>2189</v>
      </c>
      <c r="G1073" t="s">
        <v>2189</v>
      </c>
      <c r="H1073">
        <v>206</v>
      </c>
      <c r="I1073" s="13" t="s">
        <v>2189</v>
      </c>
      <c r="J1073" s="13" t="s">
        <v>2189</v>
      </c>
      <c r="K1073" s="13" t="s">
        <v>2189</v>
      </c>
    </row>
    <row r="1074" spans="1:11" hidden="1" x14ac:dyDescent="0.25">
      <c r="A1074" t="str">
        <f>_xlfn.XLOOKUP(C1074, 'Códigos DANE Municipios'!$B$2:$B$1123, 'Códigos DANE Municipios'!$A$2:$A$1123, "No encontrado")</f>
        <v>23001</v>
      </c>
      <c r="B1074" t="str">
        <f>IFERROR(VLOOKUP(D1074,APOYO!K:L,2,FALSE),A1074)</f>
        <v>23001</v>
      </c>
      <c r="C1074" t="s">
        <v>858</v>
      </c>
      <c r="D1074" t="str">
        <f>IFERROR(VLOOKUP(C1074,APOYO!J:K,2,FALSE),C1074)</f>
        <v>MONTERÍA</v>
      </c>
      <c r="E1074">
        <v>2014</v>
      </c>
      <c r="F1074">
        <v>394490</v>
      </c>
      <c r="G1074">
        <v>3660</v>
      </c>
      <c r="H1074">
        <v>1412</v>
      </c>
      <c r="I1074" s="13" t="s">
        <v>2189</v>
      </c>
      <c r="J1074" s="13" t="s">
        <v>2189</v>
      </c>
      <c r="K1074" s="13" t="s">
        <v>2189</v>
      </c>
    </row>
    <row r="1075" spans="1:11" hidden="1" x14ac:dyDescent="0.25">
      <c r="A1075" t="str">
        <f>_xlfn.XLOOKUP(C1075, 'Códigos DANE Municipios'!$B$2:$B$1123, 'Códigos DANE Municipios'!$A$2:$A$1123, "No encontrado")</f>
        <v>85162</v>
      </c>
      <c r="B1075" t="str">
        <f>IFERROR(VLOOKUP(D1075,APOYO!K:L,2,FALSE),A1075)</f>
        <v>85162</v>
      </c>
      <c r="C1075" t="s">
        <v>2060</v>
      </c>
      <c r="D1075" t="str">
        <f>IFERROR(VLOOKUP(C1075,APOYO!J:K,2,FALSE),C1075)</f>
        <v>MONTERREY</v>
      </c>
      <c r="E1075">
        <v>2014</v>
      </c>
      <c r="F1075" t="s">
        <v>2189</v>
      </c>
      <c r="G1075" t="s">
        <v>2189</v>
      </c>
      <c r="H1075">
        <v>5</v>
      </c>
      <c r="I1075" s="13" t="s">
        <v>2189</v>
      </c>
      <c r="J1075" s="13" t="s">
        <v>2189</v>
      </c>
      <c r="K1075" s="13" t="s">
        <v>2189</v>
      </c>
    </row>
    <row r="1076" spans="1:11" hidden="1" x14ac:dyDescent="0.25">
      <c r="A1076" t="str">
        <f>_xlfn.XLOOKUP(C1076, 'Códigos DANE Municipios'!$B$2:$B$1123, 'Códigos DANE Municipios'!$A$2:$A$1123, "No encontrado")</f>
        <v>13473</v>
      </c>
      <c r="B1076" t="str">
        <f>IFERROR(VLOOKUP(D1076,APOYO!K:L,2,FALSE),A1076)</f>
        <v>13473</v>
      </c>
      <c r="C1076" t="s">
        <v>353</v>
      </c>
      <c r="D1076" t="str">
        <f>IFERROR(VLOOKUP(C1076,APOYO!J:K,2,FALSE),C1076)</f>
        <v>MORALES</v>
      </c>
      <c r="E1076">
        <v>2014</v>
      </c>
      <c r="F1076" t="s">
        <v>2189</v>
      </c>
      <c r="G1076">
        <v>8</v>
      </c>
      <c r="H1076">
        <v>6</v>
      </c>
      <c r="I1076" s="13" t="s">
        <v>2189</v>
      </c>
      <c r="J1076" s="13" t="s">
        <v>2189</v>
      </c>
      <c r="K1076" s="13" t="s">
        <v>2189</v>
      </c>
    </row>
    <row r="1077" spans="1:11" hidden="1" x14ac:dyDescent="0.25">
      <c r="A1077" t="str">
        <f>_xlfn.XLOOKUP(C1077, 'Códigos DANE Municipios'!$B$2:$B$1123, 'Códigos DANE Municipios'!$A$2:$A$1123, "No encontrado")</f>
        <v>70473</v>
      </c>
      <c r="B1077" t="str">
        <f>IFERROR(VLOOKUP(D1077,APOYO!K:L,2,FALSE),A1077)</f>
        <v>70473</v>
      </c>
      <c r="C1077" t="s">
        <v>1840</v>
      </c>
      <c r="D1077" t="str">
        <f>IFERROR(VLOOKUP(C1077,APOYO!J:K,2,FALSE),C1077)</f>
        <v>MORROA</v>
      </c>
      <c r="E1077">
        <v>2014</v>
      </c>
      <c r="F1077" t="s">
        <v>2189</v>
      </c>
      <c r="G1077" t="s">
        <v>2189</v>
      </c>
      <c r="H1077">
        <v>1</v>
      </c>
      <c r="I1077" s="13" t="s">
        <v>2189</v>
      </c>
      <c r="J1077" s="13" t="s">
        <v>2189</v>
      </c>
      <c r="K1077" s="13" t="s">
        <v>2189</v>
      </c>
    </row>
    <row r="1078" spans="1:11" hidden="1" x14ac:dyDescent="0.25">
      <c r="A1078" t="str">
        <f>_xlfn.XLOOKUP(C1078, 'Códigos DANE Municipios'!$B$2:$B$1123, 'Códigos DANE Municipios'!$A$2:$A$1123, "No encontrado")</f>
        <v>18479</v>
      </c>
      <c r="B1078" t="str">
        <f>IFERROR(VLOOKUP(D1078,APOYO!K:L,2,FALSE),A1078)</f>
        <v>18479</v>
      </c>
      <c r="C1078" t="s">
        <v>716</v>
      </c>
      <c r="D1078" t="str">
        <f>IFERROR(VLOOKUP(C1078,APOYO!J:K,2,FALSE),C1078)</f>
        <v>MORELIA</v>
      </c>
      <c r="E1078">
        <v>2014</v>
      </c>
      <c r="F1078" t="s">
        <v>2189</v>
      </c>
      <c r="G1078" t="s">
        <v>2189</v>
      </c>
      <c r="H1078" t="s">
        <v>2189</v>
      </c>
      <c r="I1078" s="13" t="s">
        <v>2189</v>
      </c>
      <c r="J1078" s="13" t="s">
        <v>2189</v>
      </c>
      <c r="K1078" s="13" t="s">
        <v>2189</v>
      </c>
    </row>
    <row r="1079" spans="1:11" hidden="1" x14ac:dyDescent="0.25">
      <c r="A1079" t="str">
        <f>_xlfn.XLOOKUP(C1079, 'Códigos DANE Municipios'!$B$2:$B$1123, 'Códigos DANE Municipios'!$A$2:$A$1123, "No encontrado")</f>
        <v>25473</v>
      </c>
      <c r="B1079" t="str">
        <f>IFERROR(VLOOKUP(D1079,APOYO!K:L,2,FALSE),A1079)</f>
        <v>25473</v>
      </c>
      <c r="C1079" t="s">
        <v>1027</v>
      </c>
      <c r="D1079" t="str">
        <f>IFERROR(VLOOKUP(C1079,APOYO!J:K,2,FALSE),C1079)</f>
        <v>MOSQUERA</v>
      </c>
      <c r="E1079">
        <v>2014</v>
      </c>
      <c r="F1079" t="s">
        <v>2189</v>
      </c>
      <c r="G1079" t="s">
        <v>2189</v>
      </c>
      <c r="H1079">
        <v>199</v>
      </c>
      <c r="I1079" s="13" t="s">
        <v>2189</v>
      </c>
      <c r="J1079" s="13" t="s">
        <v>2189</v>
      </c>
      <c r="K1079" s="13" t="s">
        <v>2189</v>
      </c>
    </row>
    <row r="1080" spans="1:11" hidden="1" x14ac:dyDescent="0.25">
      <c r="A1080" t="str">
        <f>_xlfn.XLOOKUP(C1080, 'Códigos DANE Municipios'!$B$2:$B$1123, 'Códigos DANE Municipios'!$A$2:$A$1123, "No encontrado")</f>
        <v>73461</v>
      </c>
      <c r="B1080" t="str">
        <f>IFERROR(VLOOKUP(D1080,APOYO!K:L,2,FALSE),A1080)</f>
        <v>73461</v>
      </c>
      <c r="C1080" t="s">
        <v>1919</v>
      </c>
      <c r="D1080" t="str">
        <f>IFERROR(VLOOKUP(C1080,APOYO!J:K,2,FALSE),C1080)</f>
        <v>MURILLO</v>
      </c>
      <c r="E1080">
        <v>2014</v>
      </c>
      <c r="F1080" t="s">
        <v>2189</v>
      </c>
      <c r="G1080" t="s">
        <v>2189</v>
      </c>
      <c r="H1080">
        <v>5</v>
      </c>
      <c r="I1080" s="13" t="s">
        <v>2189</v>
      </c>
      <c r="J1080" s="13" t="s">
        <v>2189</v>
      </c>
      <c r="K1080" s="13" t="s">
        <v>2189</v>
      </c>
    </row>
    <row r="1081" spans="1:11" hidden="1" x14ac:dyDescent="0.25">
      <c r="A1081" t="str">
        <f>_xlfn.XLOOKUP(C1081, 'Códigos DANE Municipios'!$B$2:$B$1123, 'Códigos DANE Municipios'!$A$2:$A$1123, "No encontrado")</f>
        <v>05480</v>
      </c>
      <c r="B1081" t="str">
        <f>IFERROR(VLOOKUP(D1081,APOYO!K:L,2,FALSE),A1081)</f>
        <v>05480</v>
      </c>
      <c r="C1081" t="s">
        <v>154</v>
      </c>
      <c r="D1081" t="str">
        <f>IFERROR(VLOOKUP(C1081,APOYO!J:K,2,FALSE),C1081)</f>
        <v>MUTATÁ</v>
      </c>
      <c r="E1081">
        <v>2014</v>
      </c>
      <c r="F1081" t="s">
        <v>2189</v>
      </c>
      <c r="G1081" t="s">
        <v>2189</v>
      </c>
      <c r="H1081" t="s">
        <v>2189</v>
      </c>
      <c r="I1081" s="13" t="s">
        <v>2189</v>
      </c>
      <c r="J1081" s="13" t="s">
        <v>2189</v>
      </c>
      <c r="K1081" s="13" t="s">
        <v>2189</v>
      </c>
    </row>
    <row r="1082" spans="1:11" hidden="1" x14ac:dyDescent="0.25">
      <c r="A1082" t="str">
        <f>_xlfn.XLOOKUP(C1082, 'Códigos DANE Municipios'!$B$2:$B$1123, 'Códigos DANE Municipios'!$A$2:$A$1123, "No encontrado")</f>
        <v>15480</v>
      </c>
      <c r="B1082" t="str">
        <f>IFERROR(VLOOKUP(D1082,APOYO!K:L,2,FALSE),A1082)</f>
        <v>15480</v>
      </c>
      <c r="C1082" t="s">
        <v>514</v>
      </c>
      <c r="D1082" t="str">
        <f>IFERROR(VLOOKUP(C1082,APOYO!J:K,2,FALSE),C1082)</f>
        <v>MUZO</v>
      </c>
      <c r="E1082">
        <v>2014</v>
      </c>
      <c r="F1082" t="s">
        <v>2189</v>
      </c>
      <c r="G1082" t="s">
        <v>2189</v>
      </c>
      <c r="H1082">
        <v>23</v>
      </c>
      <c r="I1082" s="13" t="s">
        <v>2189</v>
      </c>
      <c r="J1082" s="13" t="s">
        <v>2189</v>
      </c>
      <c r="K1082" s="13" t="s">
        <v>2189</v>
      </c>
    </row>
    <row r="1083" spans="1:11" hidden="1" x14ac:dyDescent="0.25">
      <c r="A1083" t="str">
        <f>_xlfn.XLOOKUP(C1083, 'Códigos DANE Municipios'!$B$2:$B$1123, 'Códigos DANE Municipios'!$A$2:$A$1123, "No encontrado")</f>
        <v>05483</v>
      </c>
      <c r="B1083" t="str">
        <f>IFERROR(VLOOKUP(D1083,APOYO!K:L,2,FALSE),A1083)</f>
        <v>05483</v>
      </c>
      <c r="C1083" t="s">
        <v>156</v>
      </c>
      <c r="D1083" t="str">
        <f>IFERROR(VLOOKUP(C1083,APOYO!J:K,2,FALSE),C1083)</f>
        <v>NARIÑO</v>
      </c>
      <c r="E1083">
        <v>2014</v>
      </c>
      <c r="F1083" t="s">
        <v>2189</v>
      </c>
      <c r="G1083" t="s">
        <v>2189</v>
      </c>
      <c r="H1083">
        <v>44</v>
      </c>
      <c r="I1083" s="13" t="s">
        <v>2189</v>
      </c>
      <c r="J1083" s="13" t="s">
        <v>2189</v>
      </c>
      <c r="K1083" s="13" t="s">
        <v>2189</v>
      </c>
    </row>
    <row r="1084" spans="1:11" hidden="1" x14ac:dyDescent="0.25">
      <c r="A1084" t="str">
        <f>_xlfn.XLOOKUP(C1084, 'Códigos DANE Municipios'!$B$2:$B$1123, 'Códigos DANE Municipios'!$A$2:$A$1123, "No encontrado")</f>
        <v>41483</v>
      </c>
      <c r="B1084" t="str">
        <f>IFERROR(VLOOKUP(D1084,APOYO!K:L,2,FALSE),A1084)</f>
        <v>41483</v>
      </c>
      <c r="C1084" t="s">
        <v>1236</v>
      </c>
      <c r="D1084" t="str">
        <f>IFERROR(VLOOKUP(C1084,APOYO!J:K,2,FALSE),C1084)</f>
        <v>NÁTAGA</v>
      </c>
      <c r="E1084">
        <v>2014</v>
      </c>
      <c r="F1084" t="s">
        <v>2189</v>
      </c>
      <c r="G1084" t="s">
        <v>2189</v>
      </c>
      <c r="H1084">
        <v>2</v>
      </c>
      <c r="I1084" s="13" t="s">
        <v>2189</v>
      </c>
      <c r="J1084" s="13" t="s">
        <v>2189</v>
      </c>
      <c r="K1084" s="13" t="s">
        <v>2189</v>
      </c>
    </row>
    <row r="1085" spans="1:11" hidden="1" x14ac:dyDescent="0.25">
      <c r="A1085" t="str">
        <f>_xlfn.XLOOKUP(C1085, 'Códigos DANE Municipios'!$B$2:$B$1123, 'Códigos DANE Municipios'!$A$2:$A$1123, "No encontrado")</f>
        <v>73483</v>
      </c>
      <c r="B1085" t="str">
        <f>IFERROR(VLOOKUP(D1085,APOYO!K:L,2,FALSE),A1085)</f>
        <v>73483</v>
      </c>
      <c r="C1085" t="s">
        <v>1921</v>
      </c>
      <c r="D1085" t="str">
        <f>IFERROR(VLOOKUP(C1085,APOYO!J:K,2,FALSE),C1085)</f>
        <v>NATAGAIMA</v>
      </c>
      <c r="E1085">
        <v>2014</v>
      </c>
      <c r="F1085" t="s">
        <v>2189</v>
      </c>
      <c r="G1085" t="s">
        <v>2189</v>
      </c>
      <c r="H1085">
        <v>9</v>
      </c>
      <c r="I1085" s="13" t="s">
        <v>2189</v>
      </c>
      <c r="J1085" s="13" t="s">
        <v>2189</v>
      </c>
      <c r="K1085" s="13" t="s">
        <v>2189</v>
      </c>
    </row>
    <row r="1086" spans="1:11" hidden="1" x14ac:dyDescent="0.25">
      <c r="A1086" t="str">
        <f>_xlfn.XLOOKUP(C1086, 'Códigos DANE Municipios'!$B$2:$B$1123, 'Códigos DANE Municipios'!$A$2:$A$1123, "No encontrado")</f>
        <v>05490</v>
      </c>
      <c r="B1086" t="str">
        <f>IFERROR(VLOOKUP(D1086,APOYO!K:L,2,FALSE),A1086)</f>
        <v>05490</v>
      </c>
      <c r="C1086" t="s">
        <v>158</v>
      </c>
      <c r="D1086" t="str">
        <f>IFERROR(VLOOKUP(C1086,APOYO!J:K,2,FALSE),C1086)</f>
        <v>NECOCLÍ</v>
      </c>
      <c r="E1086">
        <v>2014</v>
      </c>
      <c r="F1086" t="s">
        <v>2189</v>
      </c>
      <c r="G1086" t="s">
        <v>2189</v>
      </c>
      <c r="H1086">
        <v>4</v>
      </c>
      <c r="I1086" s="13" t="s">
        <v>2189</v>
      </c>
      <c r="J1086" s="13" t="s">
        <v>2189</v>
      </c>
      <c r="K1086" s="13" t="s">
        <v>2189</v>
      </c>
    </row>
    <row r="1087" spans="1:11" hidden="1" x14ac:dyDescent="0.25">
      <c r="A1087" t="str">
        <f>_xlfn.XLOOKUP(C1087, 'Códigos DANE Municipios'!$B$2:$B$1123, 'Códigos DANE Municipios'!$A$2:$A$1123, "No encontrado")</f>
        <v>17486</v>
      </c>
      <c r="B1087" t="str">
        <f>IFERROR(VLOOKUP(D1087,APOYO!K:L,2,FALSE),A1087)</f>
        <v>17486</v>
      </c>
      <c r="C1087" t="s">
        <v>670</v>
      </c>
      <c r="D1087" t="str">
        <f>IFERROR(VLOOKUP(C1087,APOYO!J:K,2,FALSE),C1087)</f>
        <v>NEIRA</v>
      </c>
      <c r="E1087">
        <v>2014</v>
      </c>
      <c r="F1087" t="s">
        <v>2189</v>
      </c>
      <c r="G1087" t="s">
        <v>2189</v>
      </c>
      <c r="H1087">
        <v>11</v>
      </c>
      <c r="I1087" s="13" t="s">
        <v>2189</v>
      </c>
      <c r="J1087" s="13" t="s">
        <v>2189</v>
      </c>
      <c r="K1087" s="13" t="s">
        <v>2189</v>
      </c>
    </row>
    <row r="1088" spans="1:11" hidden="1" x14ac:dyDescent="0.25">
      <c r="A1088" t="str">
        <f>_xlfn.XLOOKUP(C1088, 'Códigos DANE Municipios'!$B$2:$B$1123, 'Códigos DANE Municipios'!$A$2:$A$1123, "No encontrado")</f>
        <v>41001</v>
      </c>
      <c r="B1088" t="str">
        <f>IFERROR(VLOOKUP(D1088,APOYO!K:L,2,FALSE),A1088)</f>
        <v>41001</v>
      </c>
      <c r="C1088" t="s">
        <v>1201</v>
      </c>
      <c r="D1088" t="str">
        <f>IFERROR(VLOOKUP(C1088,APOYO!J:K,2,FALSE),C1088)</f>
        <v>NEIVA</v>
      </c>
      <c r="E1088">
        <v>2014</v>
      </c>
      <c r="F1088">
        <v>152046</v>
      </c>
      <c r="G1088">
        <v>2400</v>
      </c>
      <c r="H1088">
        <v>2071</v>
      </c>
      <c r="I1088" s="13" t="s">
        <v>2189</v>
      </c>
      <c r="J1088" s="13" t="s">
        <v>2189</v>
      </c>
      <c r="K1088" s="13" t="s">
        <v>2189</v>
      </c>
    </row>
    <row r="1089" spans="1:11" hidden="1" x14ac:dyDescent="0.25">
      <c r="A1089" t="str">
        <f>_xlfn.XLOOKUP(C1089, 'Códigos DANE Municipios'!$B$2:$B$1123, 'Códigos DANE Municipios'!$A$2:$A$1123, "No encontrado")</f>
        <v>25486</v>
      </c>
      <c r="B1089" t="str">
        <f>IFERROR(VLOOKUP(D1089,APOYO!K:L,2,FALSE),A1089)</f>
        <v>25486</v>
      </c>
      <c r="C1089" t="s">
        <v>1030</v>
      </c>
      <c r="D1089" t="str">
        <f>IFERROR(VLOOKUP(C1089,APOYO!J:K,2,FALSE),C1089)</f>
        <v>NEMOCÓN</v>
      </c>
      <c r="E1089">
        <v>2014</v>
      </c>
      <c r="F1089" t="s">
        <v>2189</v>
      </c>
      <c r="G1089" t="s">
        <v>2189</v>
      </c>
      <c r="H1089">
        <v>10</v>
      </c>
      <c r="I1089" s="13" t="s">
        <v>2189</v>
      </c>
      <c r="J1089" s="13" t="s">
        <v>2189</v>
      </c>
      <c r="K1089" s="13" t="s">
        <v>2189</v>
      </c>
    </row>
    <row r="1090" spans="1:11" hidden="1" x14ac:dyDescent="0.25">
      <c r="A1090" t="str">
        <f>_xlfn.XLOOKUP(C1090, 'Códigos DANE Municipios'!$B$2:$B$1123, 'Códigos DANE Municipios'!$A$2:$A$1123, "No encontrado")</f>
        <v>25488</v>
      </c>
      <c r="B1090" t="str">
        <f>IFERROR(VLOOKUP(D1090,APOYO!K:L,2,FALSE),A1090)</f>
        <v>25488</v>
      </c>
      <c r="C1090" t="s">
        <v>1032</v>
      </c>
      <c r="D1090" t="str">
        <f>IFERROR(VLOOKUP(C1090,APOYO!J:K,2,FALSE),C1090)</f>
        <v>NILO</v>
      </c>
      <c r="E1090">
        <v>2014</v>
      </c>
      <c r="F1090" t="s">
        <v>2189</v>
      </c>
      <c r="G1090" t="s">
        <v>2189</v>
      </c>
      <c r="H1090">
        <v>12</v>
      </c>
      <c r="I1090" s="13" t="s">
        <v>2189</v>
      </c>
      <c r="J1090" s="13" t="s">
        <v>2189</v>
      </c>
      <c r="K1090" s="13" t="s">
        <v>2189</v>
      </c>
    </row>
    <row r="1091" spans="1:11" hidden="1" x14ac:dyDescent="0.25">
      <c r="A1091" t="str">
        <f>_xlfn.XLOOKUP(C1091, 'Códigos DANE Municipios'!$B$2:$B$1123, 'Códigos DANE Municipios'!$A$2:$A$1123, "No encontrado")</f>
        <v>25489</v>
      </c>
      <c r="B1091" t="str">
        <f>IFERROR(VLOOKUP(D1091,APOYO!K:L,2,FALSE),A1091)</f>
        <v>25489</v>
      </c>
      <c r="C1091" t="s">
        <v>1034</v>
      </c>
      <c r="D1091" t="str">
        <f>IFERROR(VLOOKUP(C1091,APOYO!J:K,2,FALSE),C1091)</f>
        <v>NIMAIMA</v>
      </c>
      <c r="E1091">
        <v>2014</v>
      </c>
      <c r="F1091" t="s">
        <v>2189</v>
      </c>
      <c r="G1091" t="s">
        <v>2189</v>
      </c>
      <c r="H1091">
        <v>40</v>
      </c>
      <c r="I1091" s="13" t="s">
        <v>2189</v>
      </c>
      <c r="J1091" s="13" t="s">
        <v>2189</v>
      </c>
      <c r="K1091" s="13" t="s">
        <v>2189</v>
      </c>
    </row>
    <row r="1092" spans="1:11" hidden="1" x14ac:dyDescent="0.25">
      <c r="A1092" t="str">
        <f>_xlfn.XLOOKUP(C1092, 'Códigos DANE Municipios'!$B$2:$B$1123, 'Códigos DANE Municipios'!$A$2:$A$1123, "No encontrado")</f>
        <v>15491</v>
      </c>
      <c r="B1092" t="str">
        <f>IFERROR(VLOOKUP(D1092,APOYO!K:L,2,FALSE),A1092)</f>
        <v>15491</v>
      </c>
      <c r="C1092" t="s">
        <v>516</v>
      </c>
      <c r="D1092" t="str">
        <f>IFERROR(VLOOKUP(C1092,APOYO!J:K,2,FALSE),C1092)</f>
        <v>NOBSA</v>
      </c>
      <c r="E1092">
        <v>2014</v>
      </c>
      <c r="F1092" t="s">
        <v>2189</v>
      </c>
      <c r="G1092" t="s">
        <v>2189</v>
      </c>
      <c r="H1092">
        <v>9</v>
      </c>
      <c r="I1092" s="13" t="s">
        <v>2189</v>
      </c>
      <c r="J1092" s="13" t="s">
        <v>2189</v>
      </c>
      <c r="K1092" s="13" t="s">
        <v>2189</v>
      </c>
    </row>
    <row r="1093" spans="1:11" hidden="1" x14ac:dyDescent="0.25">
      <c r="A1093" t="str">
        <f>_xlfn.XLOOKUP(C1093, 'Códigos DANE Municipios'!$B$2:$B$1123, 'Códigos DANE Municipios'!$A$2:$A$1123, "No encontrado")</f>
        <v>25491</v>
      </c>
      <c r="B1093" t="str">
        <f>IFERROR(VLOOKUP(D1093,APOYO!K:L,2,FALSE),A1093)</f>
        <v>25491</v>
      </c>
      <c r="C1093" t="s">
        <v>1036</v>
      </c>
      <c r="D1093" t="str">
        <f>IFERROR(VLOOKUP(C1093,APOYO!J:K,2,FALSE),C1093)</f>
        <v>NOCAIMA</v>
      </c>
      <c r="E1093">
        <v>2014</v>
      </c>
      <c r="F1093" t="s">
        <v>2189</v>
      </c>
      <c r="G1093" t="s">
        <v>2189</v>
      </c>
      <c r="H1093">
        <v>2</v>
      </c>
      <c r="I1093" t="s">
        <v>2189</v>
      </c>
      <c r="J1093" s="13" t="s">
        <v>2189</v>
      </c>
      <c r="K1093" s="13" t="s">
        <v>2189</v>
      </c>
    </row>
    <row r="1094" spans="1:11" hidden="1" x14ac:dyDescent="0.25">
      <c r="A1094" t="str">
        <f>_xlfn.XLOOKUP(C1094, 'Códigos DANE Municipios'!$B$2:$B$1123, 'Códigos DANE Municipios'!$A$2:$A$1123, "No encontrado")</f>
        <v>17495</v>
      </c>
      <c r="B1094" t="str">
        <f>IFERROR(VLOOKUP(D1094,APOYO!K:L,2,FALSE),A1094)</f>
        <v>17495</v>
      </c>
      <c r="C1094" t="s">
        <v>672</v>
      </c>
      <c r="D1094" t="str">
        <f>IFERROR(VLOOKUP(C1094,APOYO!J:K,2,FALSE),C1094)</f>
        <v>NORCASIA</v>
      </c>
      <c r="E1094">
        <v>2014</v>
      </c>
      <c r="F1094" t="s">
        <v>2189</v>
      </c>
      <c r="G1094" t="s">
        <v>2189</v>
      </c>
      <c r="H1094" t="s">
        <v>2189</v>
      </c>
      <c r="I1094" s="13" t="s">
        <v>2189</v>
      </c>
      <c r="J1094" s="13" t="s">
        <v>2189</v>
      </c>
      <c r="K1094" s="13" t="s">
        <v>2189</v>
      </c>
    </row>
    <row r="1095" spans="1:11" hidden="1" x14ac:dyDescent="0.25">
      <c r="A1095" t="str">
        <f>_xlfn.XLOOKUP(C1095, 'Códigos DANE Municipios'!$B$2:$B$1123, 'Códigos DANE Municipios'!$A$2:$A$1123, "No encontrado")</f>
        <v>15494</v>
      </c>
      <c r="B1095" t="str">
        <f>IFERROR(VLOOKUP(D1095,APOYO!K:L,2,FALSE),A1095)</f>
        <v>15494</v>
      </c>
      <c r="C1095" t="s">
        <v>518</v>
      </c>
      <c r="D1095" t="str">
        <f>IFERROR(VLOOKUP(C1095,APOYO!J:K,2,FALSE),C1095)</f>
        <v>NUEVO COLÓN</v>
      </c>
      <c r="E1095">
        <v>2014</v>
      </c>
      <c r="F1095" t="s">
        <v>2189</v>
      </c>
      <c r="G1095" t="s">
        <v>2189</v>
      </c>
      <c r="H1095">
        <v>2</v>
      </c>
      <c r="I1095" s="13" t="s">
        <v>2189</v>
      </c>
      <c r="J1095" s="13" t="s">
        <v>2189</v>
      </c>
      <c r="K1095" s="13" t="s">
        <v>2189</v>
      </c>
    </row>
    <row r="1096" spans="1:11" hidden="1" x14ac:dyDescent="0.25">
      <c r="A1096" t="str">
        <f>_xlfn.XLOOKUP(C1096, 'Códigos DANE Municipios'!$B$2:$B$1123, 'Códigos DANE Municipios'!$A$2:$A$1123, "No encontrado")</f>
        <v>85225</v>
      </c>
      <c r="B1096" t="str">
        <f>IFERROR(VLOOKUP(D1096,APOYO!K:L,2,FALSE),A1096)</f>
        <v>85225</v>
      </c>
      <c r="C1096" t="s">
        <v>2062</v>
      </c>
      <c r="D1096" t="str">
        <f>IFERROR(VLOOKUP(C1096,APOYO!J:K,2,FALSE),C1096)</f>
        <v>NUNCHÍA</v>
      </c>
      <c r="E1096">
        <v>2014</v>
      </c>
      <c r="F1096">
        <v>2</v>
      </c>
      <c r="G1096" t="s">
        <v>2189</v>
      </c>
      <c r="H1096" t="s">
        <v>2189</v>
      </c>
      <c r="I1096" s="13" t="s">
        <v>2189</v>
      </c>
      <c r="J1096" s="13" t="s">
        <v>2189</v>
      </c>
      <c r="K1096" s="13" t="s">
        <v>2189</v>
      </c>
    </row>
    <row r="1097" spans="1:11" hidden="1" x14ac:dyDescent="0.25">
      <c r="A1097" t="str">
        <f>_xlfn.XLOOKUP(C1097, 'Códigos DANE Municipios'!$B$2:$B$1123, 'Códigos DANE Municipios'!$A$2:$A$1123, "No encontrado")</f>
        <v>27495</v>
      </c>
      <c r="B1097" t="str">
        <f>IFERROR(VLOOKUP(D1097,APOYO!K:L,2,FALSE),A1097)</f>
        <v>27495</v>
      </c>
      <c r="C1097" t="s">
        <v>1184</v>
      </c>
      <c r="D1097" t="str">
        <f>IFERROR(VLOOKUP(C1097,APOYO!J:K,2,FALSE),C1097)</f>
        <v>NUQUÍ</v>
      </c>
      <c r="E1097">
        <v>2014</v>
      </c>
      <c r="F1097">
        <v>12261</v>
      </c>
      <c r="G1097" t="s">
        <v>2189</v>
      </c>
      <c r="H1097">
        <v>10</v>
      </c>
      <c r="I1097" s="13">
        <v>3073</v>
      </c>
      <c r="J1097" s="13" t="s">
        <v>2189</v>
      </c>
      <c r="K1097" s="13" t="s">
        <v>2189</v>
      </c>
    </row>
    <row r="1098" spans="1:11" hidden="1" x14ac:dyDescent="0.25">
      <c r="A1098" t="str">
        <f>_xlfn.XLOOKUP(C1098, 'Códigos DANE Municipios'!$B$2:$B$1123, 'Códigos DANE Municipios'!$A$2:$A$1123, "No encontrado")</f>
        <v>76497</v>
      </c>
      <c r="B1098" t="str">
        <f>IFERROR(VLOOKUP(D1098,APOYO!K:L,2,FALSE),A1098)</f>
        <v>76497</v>
      </c>
      <c r="C1098" t="s">
        <v>2002</v>
      </c>
      <c r="D1098" t="str">
        <f>IFERROR(VLOOKUP(C1098,APOYO!J:K,2,FALSE),C1098)</f>
        <v>OBANDO</v>
      </c>
      <c r="E1098">
        <v>2014</v>
      </c>
      <c r="F1098" t="s">
        <v>2189</v>
      </c>
      <c r="G1098" t="s">
        <v>2189</v>
      </c>
      <c r="H1098">
        <v>29</v>
      </c>
      <c r="I1098" s="13" t="s">
        <v>2189</v>
      </c>
      <c r="J1098" s="13" t="s">
        <v>2189</v>
      </c>
      <c r="K1098" s="13" t="s">
        <v>2189</v>
      </c>
    </row>
    <row r="1099" spans="1:11" hidden="1" x14ac:dyDescent="0.25">
      <c r="A1099" t="str">
        <f>_xlfn.XLOOKUP(C1099, 'Códigos DANE Municipios'!$B$2:$B$1123, 'Códigos DANE Municipios'!$A$2:$A$1123, "No encontrado")</f>
        <v>68498</v>
      </c>
      <c r="B1099" t="str">
        <f>IFERROR(VLOOKUP(D1099,APOYO!K:L,2,FALSE),A1099)</f>
        <v>68498</v>
      </c>
      <c r="C1099" t="s">
        <v>1754</v>
      </c>
      <c r="D1099" t="str">
        <f>IFERROR(VLOOKUP(C1099,APOYO!J:K,2,FALSE),C1099)</f>
        <v>OCAMONTE</v>
      </c>
      <c r="E1099">
        <v>2014</v>
      </c>
      <c r="F1099" t="s">
        <v>2189</v>
      </c>
      <c r="G1099" t="s">
        <v>2189</v>
      </c>
      <c r="H1099">
        <v>1</v>
      </c>
      <c r="I1099" s="13" t="s">
        <v>2189</v>
      </c>
      <c r="J1099" s="13" t="s">
        <v>2189</v>
      </c>
      <c r="K1099" s="13" t="s">
        <v>2189</v>
      </c>
    </row>
    <row r="1100" spans="1:11" hidden="1" x14ac:dyDescent="0.25">
      <c r="A1100" t="str">
        <f>_xlfn.XLOOKUP(C1100, 'Códigos DANE Municipios'!$B$2:$B$1123, 'Códigos DANE Municipios'!$A$2:$A$1123, "No encontrado")</f>
        <v>54498</v>
      </c>
      <c r="B1100" t="str">
        <f>IFERROR(VLOOKUP(D1100,APOYO!K:L,2,FALSE),A1100)</f>
        <v>54498</v>
      </c>
      <c r="C1100" t="s">
        <v>1577</v>
      </c>
      <c r="D1100" t="str">
        <f>IFERROR(VLOOKUP(C1100,APOYO!J:K,2,FALSE),C1100)</f>
        <v>OCAÑA</v>
      </c>
      <c r="E1100">
        <v>2014</v>
      </c>
      <c r="F1100">
        <v>259</v>
      </c>
      <c r="G1100" t="s">
        <v>2189</v>
      </c>
      <c r="H1100">
        <v>116</v>
      </c>
      <c r="I1100" s="13" t="s">
        <v>2189</v>
      </c>
      <c r="J1100" s="13" t="s">
        <v>2189</v>
      </c>
      <c r="K1100" s="13" t="s">
        <v>2189</v>
      </c>
    </row>
    <row r="1101" spans="1:11" hidden="1" x14ac:dyDescent="0.25">
      <c r="A1101" t="str">
        <f>_xlfn.XLOOKUP(C1101, 'Códigos DANE Municipios'!$B$2:$B$1123, 'Códigos DANE Municipios'!$A$2:$A$1123, "No encontrado")</f>
        <v>68500</v>
      </c>
      <c r="B1101" t="str">
        <f>IFERROR(VLOOKUP(D1101,APOYO!K:L,2,FALSE),A1101)</f>
        <v>68500</v>
      </c>
      <c r="C1101" t="s">
        <v>1756</v>
      </c>
      <c r="D1101" t="str">
        <f>IFERROR(VLOOKUP(C1101,APOYO!J:K,2,FALSE),C1101)</f>
        <v>OIBA</v>
      </c>
      <c r="E1101">
        <v>2014</v>
      </c>
      <c r="F1101" t="s">
        <v>2189</v>
      </c>
      <c r="G1101" t="s">
        <v>2189</v>
      </c>
      <c r="H1101">
        <v>11</v>
      </c>
      <c r="I1101" s="13" t="s">
        <v>2189</v>
      </c>
      <c r="J1101" s="13" t="s">
        <v>2189</v>
      </c>
      <c r="K1101" s="13" t="s">
        <v>2189</v>
      </c>
    </row>
    <row r="1102" spans="1:11" hidden="1" x14ac:dyDescent="0.25">
      <c r="A1102" t="str">
        <f>_xlfn.XLOOKUP(C1102, 'Códigos DANE Municipios'!$B$2:$B$1123, 'Códigos DANE Municipios'!$A$2:$A$1123, "No encontrado")</f>
        <v>05501</v>
      </c>
      <c r="B1102" t="str">
        <f>IFERROR(VLOOKUP(D1102,APOYO!K:L,2,FALSE),A1102)</f>
        <v>05501</v>
      </c>
      <c r="C1102" t="s">
        <v>162</v>
      </c>
      <c r="D1102" t="str">
        <f>IFERROR(VLOOKUP(C1102,APOYO!J:K,2,FALSE),C1102)</f>
        <v>OLAYA</v>
      </c>
      <c r="E1102">
        <v>2014</v>
      </c>
      <c r="F1102" t="s">
        <v>2189</v>
      </c>
      <c r="G1102" t="s">
        <v>2189</v>
      </c>
      <c r="H1102">
        <v>15</v>
      </c>
      <c r="I1102" s="13" t="s">
        <v>2189</v>
      </c>
      <c r="J1102" s="13" t="s">
        <v>2189</v>
      </c>
      <c r="K1102" s="13" t="s">
        <v>2189</v>
      </c>
    </row>
    <row r="1103" spans="1:11" hidden="1" x14ac:dyDescent="0.25">
      <c r="A1103" t="str">
        <f>_xlfn.XLOOKUP(C1103, 'Códigos DANE Municipios'!$B$2:$B$1123, 'Códigos DANE Municipios'!$A$2:$A$1123, "No encontrado")</f>
        <v>68502</v>
      </c>
      <c r="B1103" t="str">
        <f>IFERROR(VLOOKUP(D1103,APOYO!K:L,2,FALSE),A1103)</f>
        <v>68502</v>
      </c>
      <c r="C1103" t="s">
        <v>1758</v>
      </c>
      <c r="D1103" t="str">
        <f>IFERROR(VLOOKUP(C1103,APOYO!J:K,2,FALSE),C1103)</f>
        <v>ONZAGA</v>
      </c>
      <c r="E1103">
        <v>2014</v>
      </c>
      <c r="F1103" t="s">
        <v>2189</v>
      </c>
      <c r="G1103" t="s">
        <v>2189</v>
      </c>
      <c r="H1103" t="s">
        <v>2189</v>
      </c>
      <c r="I1103" s="13" t="s">
        <v>2189</v>
      </c>
      <c r="J1103" s="13" t="s">
        <v>2189</v>
      </c>
      <c r="K1103" s="13" t="s">
        <v>2189</v>
      </c>
    </row>
    <row r="1104" spans="1:11" hidden="1" x14ac:dyDescent="0.25">
      <c r="A1104" t="str">
        <f>_xlfn.XLOOKUP(C1104, 'Códigos DANE Municipios'!$B$2:$B$1123, 'Códigos DANE Municipios'!$A$2:$A$1123, "No encontrado")</f>
        <v>41503</v>
      </c>
      <c r="B1104" t="str">
        <f>IFERROR(VLOOKUP(D1104,APOYO!K:L,2,FALSE),A1104)</f>
        <v>41503</v>
      </c>
      <c r="C1104" t="s">
        <v>1238</v>
      </c>
      <c r="D1104" t="str">
        <f>IFERROR(VLOOKUP(C1104,APOYO!J:K,2,FALSE),C1104)</f>
        <v>OPORAPA</v>
      </c>
      <c r="E1104">
        <v>2014</v>
      </c>
      <c r="F1104" t="s">
        <v>2189</v>
      </c>
      <c r="G1104" t="s">
        <v>2189</v>
      </c>
      <c r="H1104">
        <v>4</v>
      </c>
      <c r="I1104" s="13" t="s">
        <v>2189</v>
      </c>
      <c r="J1104" s="13" t="s">
        <v>2189</v>
      </c>
      <c r="K1104" s="13" t="s">
        <v>2189</v>
      </c>
    </row>
    <row r="1105" spans="1:11" hidden="1" x14ac:dyDescent="0.25">
      <c r="A1105" t="str">
        <f>_xlfn.XLOOKUP(C1105, 'Códigos DANE Municipios'!$B$2:$B$1123, 'Códigos DANE Municipios'!$A$2:$A$1123, "No encontrado")</f>
        <v>86320</v>
      </c>
      <c r="B1105" t="str">
        <f>IFERROR(VLOOKUP(D1105,APOYO!K:L,2,FALSE),A1105)</f>
        <v>86320</v>
      </c>
      <c r="C1105" t="s">
        <v>2087</v>
      </c>
      <c r="D1105" t="str">
        <f>IFERROR(VLOOKUP(C1105,APOYO!J:K,2,FALSE),C1105)</f>
        <v>ORITO</v>
      </c>
      <c r="E1105">
        <v>2014</v>
      </c>
      <c r="F1105">
        <v>118</v>
      </c>
      <c r="G1105" t="s">
        <v>2189</v>
      </c>
      <c r="H1105">
        <v>7</v>
      </c>
      <c r="I1105" s="13" t="s">
        <v>2189</v>
      </c>
      <c r="J1105" s="13" t="s">
        <v>2189</v>
      </c>
      <c r="K1105" s="13" t="s">
        <v>2189</v>
      </c>
    </row>
    <row r="1106" spans="1:11" hidden="1" x14ac:dyDescent="0.25">
      <c r="A1106" t="str">
        <f>_xlfn.XLOOKUP(C1106, 'Códigos DANE Municipios'!$B$2:$B$1123, 'Códigos DANE Municipios'!$A$2:$A$1123, "No encontrado")</f>
        <v>85230</v>
      </c>
      <c r="B1106" t="str">
        <f>IFERROR(VLOOKUP(D1106,APOYO!K:L,2,FALSE),A1106)</f>
        <v>85230</v>
      </c>
      <c r="C1106" t="s">
        <v>2064</v>
      </c>
      <c r="D1106" t="str">
        <f>IFERROR(VLOOKUP(C1106,APOYO!J:K,2,FALSE),C1106)</f>
        <v>OROCUÉ</v>
      </c>
      <c r="E1106">
        <v>2014</v>
      </c>
      <c r="F1106">
        <v>2631</v>
      </c>
      <c r="G1106" t="s">
        <v>2189</v>
      </c>
      <c r="H1106">
        <v>1</v>
      </c>
      <c r="I1106" s="13" t="s">
        <v>2189</v>
      </c>
      <c r="J1106" s="13" t="s">
        <v>2189</v>
      </c>
      <c r="K1106" s="13" t="s">
        <v>2189</v>
      </c>
    </row>
    <row r="1107" spans="1:11" hidden="1" x14ac:dyDescent="0.25">
      <c r="A1107" t="str">
        <f>_xlfn.XLOOKUP(C1107, 'Códigos DANE Municipios'!$B$2:$B$1123, 'Códigos DANE Municipios'!$A$2:$A$1123, "No encontrado")</f>
        <v>73504</v>
      </c>
      <c r="B1107" t="str">
        <f>IFERROR(VLOOKUP(D1107,APOYO!K:L,2,FALSE),A1107)</f>
        <v>73504</v>
      </c>
      <c r="C1107" t="s">
        <v>1923</v>
      </c>
      <c r="D1107" t="str">
        <f>IFERROR(VLOOKUP(C1107,APOYO!J:K,2,FALSE),C1107)</f>
        <v>ORTEGA</v>
      </c>
      <c r="E1107">
        <v>2014</v>
      </c>
      <c r="F1107" t="s">
        <v>2189</v>
      </c>
      <c r="G1107" t="s">
        <v>2189</v>
      </c>
      <c r="H1107">
        <v>2</v>
      </c>
      <c r="I1107" s="13" t="s">
        <v>2189</v>
      </c>
      <c r="J1107" s="13" t="s">
        <v>2189</v>
      </c>
      <c r="K1107" s="13" t="s">
        <v>2189</v>
      </c>
    </row>
    <row r="1108" spans="1:11" hidden="1" x14ac:dyDescent="0.25">
      <c r="A1108" t="str">
        <f>_xlfn.XLOOKUP(C1108, 'Códigos DANE Municipios'!$B$2:$B$1123, 'Códigos DANE Municipios'!$A$2:$A$1123, "No encontrado")</f>
        <v>15507</v>
      </c>
      <c r="B1108" t="str">
        <f>IFERROR(VLOOKUP(D1108,APOYO!K:L,2,FALSE),A1108)</f>
        <v>15507</v>
      </c>
      <c r="C1108" t="s">
        <v>522</v>
      </c>
      <c r="D1108" t="str">
        <f>IFERROR(VLOOKUP(C1108,APOYO!J:K,2,FALSE),C1108)</f>
        <v>OTANCHE</v>
      </c>
      <c r="E1108">
        <v>2014</v>
      </c>
      <c r="F1108" t="s">
        <v>2189</v>
      </c>
      <c r="G1108" t="s">
        <v>2189</v>
      </c>
      <c r="H1108">
        <v>8</v>
      </c>
      <c r="I1108" s="13" t="s">
        <v>2189</v>
      </c>
      <c r="J1108" s="13" t="s">
        <v>2189</v>
      </c>
      <c r="K1108" s="13" t="s">
        <v>2189</v>
      </c>
    </row>
    <row r="1109" spans="1:11" hidden="1" x14ac:dyDescent="0.25">
      <c r="A1109" t="str">
        <f>_xlfn.XLOOKUP(C1109, 'Códigos DANE Municipios'!$B$2:$B$1123, 'Códigos DANE Municipios'!$A$2:$A$1123, "No encontrado")</f>
        <v>70508</v>
      </c>
      <c r="B1109" t="str">
        <f>IFERROR(VLOOKUP(D1109,APOYO!K:L,2,FALSE),A1109)</f>
        <v>70508</v>
      </c>
      <c r="C1109" t="s">
        <v>1842</v>
      </c>
      <c r="D1109" t="str">
        <f>IFERROR(VLOOKUP(C1109,APOYO!J:K,2,FALSE),C1109)</f>
        <v>OVEJAS</v>
      </c>
      <c r="E1109">
        <v>2014</v>
      </c>
      <c r="F1109" t="s">
        <v>2189</v>
      </c>
      <c r="G1109" t="s">
        <v>2189</v>
      </c>
      <c r="H1109">
        <v>3</v>
      </c>
      <c r="I1109" s="13" t="s">
        <v>2189</v>
      </c>
      <c r="J1109" s="13" t="s">
        <v>2189</v>
      </c>
      <c r="K1109" s="13" t="s">
        <v>2189</v>
      </c>
    </row>
    <row r="1110" spans="1:11" hidden="1" x14ac:dyDescent="0.25">
      <c r="A1110" t="str">
        <f>_xlfn.XLOOKUP(C1110, 'Códigos DANE Municipios'!$B$2:$B$1123, 'Códigos DANE Municipios'!$A$2:$A$1123, "No encontrado")</f>
        <v>25513</v>
      </c>
      <c r="B1110" t="str">
        <f>IFERROR(VLOOKUP(D1110,APOYO!K:L,2,FALSE),A1110)</f>
        <v>25513</v>
      </c>
      <c r="C1110" t="s">
        <v>1039</v>
      </c>
      <c r="D1110" t="str">
        <f>IFERROR(VLOOKUP(C1110,APOYO!J:K,2,FALSE),C1110)</f>
        <v>PACHO</v>
      </c>
      <c r="E1110">
        <v>2014</v>
      </c>
      <c r="F1110" t="s">
        <v>2189</v>
      </c>
      <c r="G1110" t="s">
        <v>2189</v>
      </c>
      <c r="H1110">
        <v>21</v>
      </c>
      <c r="I1110" s="13" t="s">
        <v>2189</v>
      </c>
      <c r="J1110" s="13" t="s">
        <v>2189</v>
      </c>
      <c r="K1110" s="13" t="s">
        <v>2189</v>
      </c>
    </row>
    <row r="1111" spans="1:11" hidden="1" x14ac:dyDescent="0.25">
      <c r="A1111" t="str">
        <f>_xlfn.XLOOKUP(C1111, 'Códigos DANE Municipios'!$B$2:$B$1123, 'Códigos DANE Municipios'!$A$2:$A$1123, "No encontrado")</f>
        <v>17513</v>
      </c>
      <c r="B1111" t="str">
        <f>IFERROR(VLOOKUP(D1111,APOYO!K:L,2,FALSE),A1111)</f>
        <v>17513</v>
      </c>
      <c r="C1111" t="s">
        <v>674</v>
      </c>
      <c r="D1111" t="str">
        <f>IFERROR(VLOOKUP(C1111,APOYO!J:K,2,FALSE),C1111)</f>
        <v>PÁCORA</v>
      </c>
      <c r="E1111">
        <v>2014</v>
      </c>
      <c r="F1111" t="s">
        <v>2189</v>
      </c>
      <c r="G1111" t="s">
        <v>2189</v>
      </c>
      <c r="H1111">
        <v>17</v>
      </c>
      <c r="I1111" s="13" t="s">
        <v>2189</v>
      </c>
      <c r="J1111" s="13" t="s">
        <v>2189</v>
      </c>
      <c r="K1111" s="13" t="s">
        <v>2189</v>
      </c>
    </row>
    <row r="1112" spans="1:11" hidden="1" x14ac:dyDescent="0.25">
      <c r="A1112" t="str">
        <f>_xlfn.XLOOKUP(C1112, 'Códigos DANE Municipios'!$B$2:$B$1123, 'Códigos DANE Municipios'!$A$2:$A$1123, "No encontrado")</f>
        <v>19513</v>
      </c>
      <c r="B1112" t="str">
        <f>IFERROR(VLOOKUP(D1112,APOYO!K:L,2,FALSE),A1112)</f>
        <v>19513</v>
      </c>
      <c r="C1112" t="s">
        <v>770</v>
      </c>
      <c r="D1112" t="str">
        <f>IFERROR(VLOOKUP(C1112,APOYO!J:K,2,FALSE),C1112)</f>
        <v>PADILLA</v>
      </c>
      <c r="E1112">
        <v>2014</v>
      </c>
      <c r="F1112" t="s">
        <v>2189</v>
      </c>
      <c r="G1112" t="s">
        <v>2189</v>
      </c>
      <c r="H1112">
        <v>1</v>
      </c>
      <c r="I1112" s="13" t="s">
        <v>2189</v>
      </c>
      <c r="J1112" s="13" t="s">
        <v>2189</v>
      </c>
      <c r="K1112" s="13" t="s">
        <v>2189</v>
      </c>
    </row>
    <row r="1113" spans="1:11" hidden="1" x14ac:dyDescent="0.25">
      <c r="A1113" t="str">
        <f>_xlfn.XLOOKUP(C1113, 'Códigos DANE Municipios'!$B$2:$B$1123, 'Códigos DANE Municipios'!$A$2:$A$1123, "No encontrado")</f>
        <v>20517</v>
      </c>
      <c r="B1113" t="str">
        <f>IFERROR(VLOOKUP(D1113,APOYO!K:L,2,FALSE),A1113)</f>
        <v>20517</v>
      </c>
      <c r="C1113" t="s">
        <v>840</v>
      </c>
      <c r="D1113" t="str">
        <f>IFERROR(VLOOKUP(C1113,APOYO!J:K,2,FALSE),C1113)</f>
        <v>PAILITAS</v>
      </c>
      <c r="E1113">
        <v>2014</v>
      </c>
      <c r="F1113" t="s">
        <v>2189</v>
      </c>
      <c r="G1113" t="s">
        <v>2189</v>
      </c>
      <c r="H1113">
        <v>1</v>
      </c>
      <c r="I1113" s="13" t="s">
        <v>2189</v>
      </c>
      <c r="J1113" s="13" t="s">
        <v>2189</v>
      </c>
      <c r="K1113" s="13" t="s">
        <v>2189</v>
      </c>
    </row>
    <row r="1114" spans="1:11" hidden="1" x14ac:dyDescent="0.25">
      <c r="A1114" t="str">
        <f>_xlfn.XLOOKUP(C1114, 'Códigos DANE Municipios'!$B$2:$B$1123, 'Códigos DANE Municipios'!$A$2:$A$1123, "No encontrado")</f>
        <v>15516</v>
      </c>
      <c r="B1114" t="str">
        <f>IFERROR(VLOOKUP(D1114,APOYO!K:L,2,FALSE),A1114)</f>
        <v>15516</v>
      </c>
      <c r="C1114" t="s">
        <v>528</v>
      </c>
      <c r="D1114" t="str">
        <f>IFERROR(VLOOKUP(C1114,APOYO!J:K,2,FALSE),C1114)</f>
        <v>PAIPA</v>
      </c>
      <c r="E1114">
        <v>2014</v>
      </c>
      <c r="F1114">
        <v>79</v>
      </c>
      <c r="G1114" t="s">
        <v>2189</v>
      </c>
      <c r="H1114">
        <v>306</v>
      </c>
      <c r="I1114" s="13" t="s">
        <v>2189</v>
      </c>
      <c r="J1114" s="13" t="s">
        <v>2189</v>
      </c>
      <c r="K1114" s="13" t="s">
        <v>2189</v>
      </c>
    </row>
    <row r="1115" spans="1:11" hidden="1" x14ac:dyDescent="0.25">
      <c r="A1115" t="str">
        <f>_xlfn.XLOOKUP(C1115, 'Códigos DANE Municipios'!$B$2:$B$1123, 'Códigos DANE Municipios'!$A$2:$A$1123, "No encontrado")</f>
        <v>41524</v>
      </c>
      <c r="B1115" t="str">
        <f>IFERROR(VLOOKUP(D1115,APOYO!K:L,2,FALSE),A1115)</f>
        <v>41524</v>
      </c>
      <c r="C1115" t="s">
        <v>1242</v>
      </c>
      <c r="D1115" t="str">
        <f>IFERROR(VLOOKUP(C1115,APOYO!J:K,2,FALSE),C1115)</f>
        <v>PALERMO</v>
      </c>
      <c r="E1115">
        <v>2014</v>
      </c>
      <c r="F1115" t="s">
        <v>2189</v>
      </c>
      <c r="G1115" t="s">
        <v>2189</v>
      </c>
      <c r="H1115">
        <v>2</v>
      </c>
      <c r="I1115" s="13" t="s">
        <v>2189</v>
      </c>
      <c r="J1115" s="13" t="s">
        <v>2189</v>
      </c>
      <c r="K1115" s="13" t="s">
        <v>2189</v>
      </c>
    </row>
    <row r="1116" spans="1:11" hidden="1" x14ac:dyDescent="0.25">
      <c r="A1116" t="str">
        <f>_xlfn.XLOOKUP(C1116, 'Códigos DANE Municipios'!$B$2:$B$1123, 'Códigos DANE Municipios'!$A$2:$A$1123, "No encontrado")</f>
        <v>17524</v>
      </c>
      <c r="B1116" t="str">
        <f>IFERROR(VLOOKUP(D1116,APOYO!K:L,2,FALSE),A1116)</f>
        <v>17524</v>
      </c>
      <c r="C1116" t="s">
        <v>676</v>
      </c>
      <c r="D1116" t="str">
        <f>IFERROR(VLOOKUP(C1116,APOYO!J:K,2,FALSE),C1116)</f>
        <v>PALESTINA</v>
      </c>
      <c r="E1116">
        <v>2014</v>
      </c>
      <c r="F1116" t="s">
        <v>2189</v>
      </c>
      <c r="G1116" t="s">
        <v>2189</v>
      </c>
      <c r="H1116">
        <v>18</v>
      </c>
      <c r="I1116" s="13" t="s">
        <v>2189</v>
      </c>
      <c r="J1116" s="13" t="s">
        <v>2189</v>
      </c>
      <c r="K1116" s="13" t="s">
        <v>2189</v>
      </c>
    </row>
    <row r="1117" spans="1:11" hidden="1" x14ac:dyDescent="0.25">
      <c r="A1117" t="str">
        <f>_xlfn.XLOOKUP(C1117, 'Códigos DANE Municipios'!$B$2:$B$1123, 'Códigos DANE Municipios'!$A$2:$A$1123, "No encontrado")</f>
        <v>08520</v>
      </c>
      <c r="B1117" t="str">
        <f>IFERROR(VLOOKUP(D1117,APOYO!K:L,2,FALSE),A1117)</f>
        <v>08520</v>
      </c>
      <c r="C1117" t="s">
        <v>280</v>
      </c>
      <c r="D1117" t="str">
        <f>IFERROR(VLOOKUP(C1117,APOYO!J:K,2,FALSE),C1117)</f>
        <v>PALMAR DE VARELA</v>
      </c>
      <c r="E1117">
        <v>2014</v>
      </c>
      <c r="F1117" t="s">
        <v>2189</v>
      </c>
      <c r="G1117" t="s">
        <v>2189</v>
      </c>
      <c r="H1117">
        <v>9</v>
      </c>
      <c r="I1117" s="13" t="s">
        <v>2189</v>
      </c>
      <c r="J1117" s="13" t="s">
        <v>2189</v>
      </c>
      <c r="K1117" s="13" t="s">
        <v>2189</v>
      </c>
    </row>
    <row r="1118" spans="1:11" hidden="1" x14ac:dyDescent="0.25">
      <c r="A1118" t="str">
        <f>_xlfn.XLOOKUP(C1118, 'Códigos DANE Municipios'!$B$2:$B$1123, 'Códigos DANE Municipios'!$A$2:$A$1123, "No encontrado")</f>
        <v>68524</v>
      </c>
      <c r="B1118" t="str">
        <f>IFERROR(VLOOKUP(D1118,APOYO!K:L,2,FALSE),A1118)</f>
        <v>68524</v>
      </c>
      <c r="C1118" t="s">
        <v>1762</v>
      </c>
      <c r="D1118" t="str">
        <f>IFERROR(VLOOKUP(C1118,APOYO!J:K,2,FALSE),C1118)</f>
        <v>PALMAS DEL SOCORRO</v>
      </c>
      <c r="E1118">
        <v>2014</v>
      </c>
      <c r="F1118">
        <v>49</v>
      </c>
      <c r="G1118" t="s">
        <v>2189</v>
      </c>
      <c r="H1118">
        <v>3</v>
      </c>
      <c r="I1118" s="13" t="s">
        <v>2189</v>
      </c>
      <c r="J1118" s="13" t="s">
        <v>2189</v>
      </c>
      <c r="K1118" s="13" t="s">
        <v>2189</v>
      </c>
    </row>
    <row r="1119" spans="1:11" hidden="1" x14ac:dyDescent="0.25">
      <c r="A1119" t="str">
        <f>_xlfn.XLOOKUP(C1119, 'Códigos DANE Municipios'!$B$2:$B$1123, 'Códigos DANE Municipios'!$A$2:$A$1123, "No encontrado")</f>
        <v>76520</v>
      </c>
      <c r="B1119" t="str">
        <f>IFERROR(VLOOKUP(D1119,APOYO!K:L,2,FALSE),A1119)</f>
        <v>76520</v>
      </c>
      <c r="C1119" t="s">
        <v>2004</v>
      </c>
      <c r="D1119" t="str">
        <f>IFERROR(VLOOKUP(C1119,APOYO!J:K,2,FALSE),C1119)</f>
        <v>PALMIRA</v>
      </c>
      <c r="E1119">
        <v>2014</v>
      </c>
      <c r="F1119" t="s">
        <v>2189</v>
      </c>
      <c r="G1119" t="s">
        <v>2189</v>
      </c>
      <c r="H1119">
        <v>2716</v>
      </c>
      <c r="I1119" s="13" t="s">
        <v>2189</v>
      </c>
      <c r="J1119" s="13" t="s">
        <v>2189</v>
      </c>
      <c r="K1119" s="13" t="s">
        <v>2189</v>
      </c>
    </row>
    <row r="1120" spans="1:11" hidden="1" x14ac:dyDescent="0.25">
      <c r="A1120" t="str">
        <f>_xlfn.XLOOKUP(C1120, 'Códigos DANE Municipios'!$B$2:$B$1123, 'Códigos DANE Municipios'!$A$2:$A$1123, "No encontrado")</f>
        <v>73520</v>
      </c>
      <c r="B1120" t="str">
        <f>IFERROR(VLOOKUP(D1120,APOYO!K:L,2,FALSE),A1120)</f>
        <v>73520</v>
      </c>
      <c r="C1120" t="s">
        <v>1925</v>
      </c>
      <c r="D1120" t="str">
        <f>IFERROR(VLOOKUP(C1120,APOYO!J:K,2,FALSE),C1120)</f>
        <v>PALOCABILDO</v>
      </c>
      <c r="E1120">
        <v>2014</v>
      </c>
      <c r="F1120" t="s">
        <v>2189</v>
      </c>
      <c r="G1120" t="s">
        <v>2189</v>
      </c>
      <c r="H1120">
        <v>1</v>
      </c>
      <c r="I1120" s="13" t="s">
        <v>2189</v>
      </c>
      <c r="J1120" s="13" t="s">
        <v>2189</v>
      </c>
      <c r="K1120" s="13" t="s">
        <v>2189</v>
      </c>
    </row>
    <row r="1121" spans="1:11" hidden="1" x14ac:dyDescent="0.25">
      <c r="A1121" t="str">
        <f>_xlfn.XLOOKUP(C1121, 'Códigos DANE Municipios'!$B$2:$B$1123, 'Códigos DANE Municipios'!$A$2:$A$1123, "No encontrado")</f>
        <v>54518</v>
      </c>
      <c r="B1121" t="str">
        <f>IFERROR(VLOOKUP(D1121,APOYO!K:L,2,FALSE),A1121)</f>
        <v>54518</v>
      </c>
      <c r="C1121" t="s">
        <v>1579</v>
      </c>
      <c r="D1121" t="str">
        <f>IFERROR(VLOOKUP(C1121,APOYO!J:K,2,FALSE),C1121)</f>
        <v>PAMPLONA</v>
      </c>
      <c r="E1121">
        <v>2014</v>
      </c>
      <c r="F1121" t="s">
        <v>2189</v>
      </c>
      <c r="G1121" t="s">
        <v>2189</v>
      </c>
      <c r="H1121">
        <v>104</v>
      </c>
      <c r="I1121" s="13" t="s">
        <v>2189</v>
      </c>
      <c r="J1121" s="13" t="s">
        <v>2189</v>
      </c>
      <c r="K1121" s="13" t="s">
        <v>2189</v>
      </c>
    </row>
    <row r="1122" spans="1:11" hidden="1" x14ac:dyDescent="0.25">
      <c r="A1122" t="str">
        <f>_xlfn.XLOOKUP(C1122, 'Códigos DANE Municipios'!$B$2:$B$1123, 'Códigos DANE Municipios'!$A$2:$A$1123, "No encontrado")</f>
        <v>54520</v>
      </c>
      <c r="B1122" t="str">
        <f>IFERROR(VLOOKUP(D1122,APOYO!K:L,2,FALSE),A1122)</f>
        <v>54520</v>
      </c>
      <c r="C1122" t="s">
        <v>1581</v>
      </c>
      <c r="D1122" t="str">
        <f>IFERROR(VLOOKUP(C1122,APOYO!J:K,2,FALSE),C1122)</f>
        <v>PAMPLONITA</v>
      </c>
      <c r="E1122">
        <v>2014</v>
      </c>
      <c r="F1122" t="s">
        <v>2189</v>
      </c>
      <c r="G1122" t="s">
        <v>2189</v>
      </c>
      <c r="H1122">
        <v>1</v>
      </c>
      <c r="I1122" t="s">
        <v>2189</v>
      </c>
      <c r="J1122" s="13" t="s">
        <v>2189</v>
      </c>
      <c r="K1122" s="13" t="s">
        <v>2189</v>
      </c>
    </row>
    <row r="1123" spans="1:11" hidden="1" x14ac:dyDescent="0.25">
      <c r="A1123" t="str">
        <f>_xlfn.XLOOKUP(C1123, 'Códigos DANE Municipios'!$B$2:$B$1123, 'Códigos DANE Municipios'!$A$2:$A$1123, "No encontrado")</f>
        <v>25524</v>
      </c>
      <c r="B1123" t="str">
        <f>IFERROR(VLOOKUP(D1123,APOYO!K:L,2,FALSE),A1123)</f>
        <v>25524</v>
      </c>
      <c r="C1123" t="s">
        <v>1043</v>
      </c>
      <c r="D1123" t="str">
        <f>IFERROR(VLOOKUP(C1123,APOYO!J:K,2,FALSE),C1123)</f>
        <v>PANDI</v>
      </c>
      <c r="E1123">
        <v>2014</v>
      </c>
      <c r="F1123" t="s">
        <v>2189</v>
      </c>
      <c r="G1123" t="s">
        <v>2189</v>
      </c>
      <c r="H1123">
        <v>3</v>
      </c>
      <c r="I1123" s="13" t="s">
        <v>2189</v>
      </c>
      <c r="J1123" s="13" t="s">
        <v>2189</v>
      </c>
      <c r="K1123" s="13" t="s">
        <v>2189</v>
      </c>
    </row>
    <row r="1124" spans="1:11" hidden="1" x14ac:dyDescent="0.25">
      <c r="A1124" t="str">
        <f>_xlfn.XLOOKUP(C1124, 'Códigos DANE Municipios'!$B$2:$B$1123, 'Códigos DANE Municipios'!$A$2:$A$1123, "No encontrado")</f>
        <v>25530</v>
      </c>
      <c r="B1124" t="str">
        <f>IFERROR(VLOOKUP(D1124,APOYO!K:L,2,FALSE),A1124)</f>
        <v>25530</v>
      </c>
      <c r="C1124" t="s">
        <v>1045</v>
      </c>
      <c r="D1124" t="str">
        <f>IFERROR(VLOOKUP(C1124,APOYO!J:K,2,FALSE),C1124)</f>
        <v>PARATEBUENO</v>
      </c>
      <c r="E1124">
        <v>2014</v>
      </c>
      <c r="F1124" t="s">
        <v>2189</v>
      </c>
      <c r="G1124" t="s">
        <v>2189</v>
      </c>
      <c r="H1124" t="s">
        <v>2189</v>
      </c>
      <c r="I1124" s="13" t="s">
        <v>2189</v>
      </c>
      <c r="J1124" s="13" t="s">
        <v>2189</v>
      </c>
      <c r="K1124" s="13" t="s">
        <v>2189</v>
      </c>
    </row>
    <row r="1125" spans="1:11" hidden="1" x14ac:dyDescent="0.25">
      <c r="A1125" t="str">
        <f>_xlfn.XLOOKUP(C1125, 'Códigos DANE Municipios'!$B$2:$B$1123, 'Códigos DANE Municipios'!$A$2:$A$1123, "No encontrado")</f>
        <v>25535</v>
      </c>
      <c r="B1125" t="str">
        <f>IFERROR(VLOOKUP(D1125,APOYO!K:L,2,FALSE),A1125)</f>
        <v>25535</v>
      </c>
      <c r="C1125" t="s">
        <v>1047</v>
      </c>
      <c r="D1125" t="str">
        <f>IFERROR(VLOOKUP(C1125,APOYO!J:K,2,FALSE),C1125)</f>
        <v>PASCA</v>
      </c>
      <c r="E1125">
        <v>2014</v>
      </c>
      <c r="F1125" t="s">
        <v>2189</v>
      </c>
      <c r="G1125" t="s">
        <v>2189</v>
      </c>
      <c r="H1125" t="s">
        <v>2189</v>
      </c>
      <c r="I1125" s="13" t="s">
        <v>2189</v>
      </c>
      <c r="J1125" s="13" t="s">
        <v>2189</v>
      </c>
      <c r="K1125" s="13" t="s">
        <v>2189</v>
      </c>
    </row>
    <row r="1126" spans="1:11" hidden="1" x14ac:dyDescent="0.25">
      <c r="A1126" t="str">
        <f>_xlfn.XLOOKUP(C1126, 'Códigos DANE Municipios'!$B$2:$B$1123, 'Códigos DANE Municipios'!$A$2:$A$1123, "No encontrado")</f>
        <v>52001</v>
      </c>
      <c r="B1126" t="str">
        <f>IFERROR(VLOOKUP(D1126,APOYO!K:L,2,FALSE),A1126)</f>
        <v>52001</v>
      </c>
      <c r="C1126" t="s">
        <v>1412</v>
      </c>
      <c r="D1126" t="str">
        <f>IFERROR(VLOOKUP(C1126,APOYO!J:K,2,FALSE),C1126)</f>
        <v>PASTO</v>
      </c>
      <c r="E1126">
        <v>2014</v>
      </c>
      <c r="F1126">
        <v>1252654</v>
      </c>
      <c r="G1126">
        <v>1751</v>
      </c>
      <c r="H1126">
        <v>6688</v>
      </c>
      <c r="I1126" s="13">
        <v>41080</v>
      </c>
      <c r="J1126" s="13" t="s">
        <v>2189</v>
      </c>
      <c r="K1126" s="13" t="s">
        <v>2189</v>
      </c>
    </row>
    <row r="1127" spans="1:11" hidden="1" x14ac:dyDescent="0.25">
      <c r="A1127" t="str">
        <f>_xlfn.XLOOKUP(C1127, 'Códigos DANE Municipios'!$B$2:$B$1123, 'Códigos DANE Municipios'!$A$2:$A$1123, "No encontrado")</f>
        <v>19532</v>
      </c>
      <c r="B1127" t="str">
        <f>IFERROR(VLOOKUP(D1127,APOYO!K:L,2,FALSE),A1127)</f>
        <v>19532</v>
      </c>
      <c r="C1127" t="s">
        <v>773</v>
      </c>
      <c r="D1127" t="str">
        <f>IFERROR(VLOOKUP(C1127,APOYO!J:K,2,FALSE),C1127)</f>
        <v>PATÍA</v>
      </c>
      <c r="E1127">
        <v>2014</v>
      </c>
      <c r="F1127" t="s">
        <v>2189</v>
      </c>
      <c r="G1127" t="s">
        <v>2189</v>
      </c>
      <c r="H1127">
        <v>3</v>
      </c>
      <c r="I1127" s="13" t="s">
        <v>2189</v>
      </c>
      <c r="J1127" s="13" t="s">
        <v>2189</v>
      </c>
      <c r="K1127" s="13" t="s">
        <v>2189</v>
      </c>
    </row>
    <row r="1128" spans="1:11" hidden="1" x14ac:dyDescent="0.25">
      <c r="A1128" t="str">
        <f>_xlfn.XLOOKUP(C1128, 'Códigos DANE Municipios'!$B$2:$B$1123, 'Códigos DANE Municipios'!$A$2:$A$1123, "No encontrado")</f>
        <v>15531</v>
      </c>
      <c r="B1128" t="str">
        <f>IFERROR(VLOOKUP(D1128,APOYO!K:L,2,FALSE),A1128)</f>
        <v>15531</v>
      </c>
      <c r="C1128" t="s">
        <v>534</v>
      </c>
      <c r="D1128" t="str">
        <f>IFERROR(VLOOKUP(C1128,APOYO!J:K,2,FALSE),C1128)</f>
        <v>PAUNA</v>
      </c>
      <c r="E1128">
        <v>2014</v>
      </c>
      <c r="F1128" t="s">
        <v>2189</v>
      </c>
      <c r="G1128" t="s">
        <v>2189</v>
      </c>
      <c r="H1128">
        <v>1</v>
      </c>
      <c r="I1128" s="13" t="s">
        <v>2189</v>
      </c>
      <c r="J1128" s="13" t="s">
        <v>2189</v>
      </c>
      <c r="K1128" s="13" t="s">
        <v>2189</v>
      </c>
    </row>
    <row r="1129" spans="1:11" hidden="1" x14ac:dyDescent="0.25">
      <c r="A1129" t="str">
        <f>_xlfn.XLOOKUP(C1129, 'Códigos DANE Municipios'!$B$2:$B$1123, 'Códigos DANE Municipios'!$A$2:$A$1123, "No encontrado")</f>
        <v>15533</v>
      </c>
      <c r="B1129" t="str">
        <f>IFERROR(VLOOKUP(D1129,APOYO!K:L,2,FALSE),A1129)</f>
        <v>15533</v>
      </c>
      <c r="C1129" t="s">
        <v>536</v>
      </c>
      <c r="D1129" t="str">
        <f>IFERROR(VLOOKUP(C1129,APOYO!J:K,2,FALSE),C1129)</f>
        <v>PAYA</v>
      </c>
      <c r="E1129">
        <v>2014</v>
      </c>
      <c r="F1129" t="s">
        <v>2189</v>
      </c>
      <c r="G1129" t="s">
        <v>2189</v>
      </c>
      <c r="H1129" t="s">
        <v>2189</v>
      </c>
      <c r="I1129" s="13" t="s">
        <v>2189</v>
      </c>
      <c r="J1129" s="13" t="s">
        <v>2189</v>
      </c>
      <c r="K1129" s="13" t="s">
        <v>2189</v>
      </c>
    </row>
    <row r="1130" spans="1:11" hidden="1" x14ac:dyDescent="0.25">
      <c r="A1130" t="str">
        <f>_xlfn.XLOOKUP(C1130, 'Códigos DANE Municipios'!$B$2:$B$1123, 'Códigos DANE Municipios'!$A$2:$A$1123, "No encontrado")</f>
        <v>85250</v>
      </c>
      <c r="B1130" t="str">
        <f>IFERROR(VLOOKUP(D1130,APOYO!K:L,2,FALSE),A1130)</f>
        <v>85250</v>
      </c>
      <c r="C1130" t="s">
        <v>2066</v>
      </c>
      <c r="D1130" t="str">
        <f>IFERROR(VLOOKUP(C1130,APOYO!J:K,2,FALSE),C1130)</f>
        <v>PAZ DE ARIPORO</v>
      </c>
      <c r="E1130">
        <v>2014</v>
      </c>
      <c r="F1130">
        <v>2465</v>
      </c>
      <c r="G1130" t="s">
        <v>2189</v>
      </c>
      <c r="H1130">
        <v>13</v>
      </c>
      <c r="I1130" s="13" t="s">
        <v>2189</v>
      </c>
      <c r="J1130" s="13" t="s">
        <v>2189</v>
      </c>
      <c r="K1130" s="13" t="s">
        <v>2189</v>
      </c>
    </row>
    <row r="1131" spans="1:11" hidden="1" x14ac:dyDescent="0.25">
      <c r="A1131" t="str">
        <f>_xlfn.XLOOKUP(C1131, 'Códigos DANE Municipios'!$B$2:$B$1123, 'Códigos DANE Municipios'!$A$2:$A$1123, "No encontrado")</f>
        <v>15537</v>
      </c>
      <c r="B1131" t="str">
        <f>IFERROR(VLOOKUP(D1131,APOYO!K:L,2,FALSE),A1131)</f>
        <v>15537</v>
      </c>
      <c r="C1131" t="s">
        <v>538</v>
      </c>
      <c r="D1131" t="str">
        <f>IFERROR(VLOOKUP(C1131,APOYO!J:K,2,FALSE),C1131)</f>
        <v>PAZ DE RÍO</v>
      </c>
      <c r="E1131">
        <v>2014</v>
      </c>
      <c r="F1131" t="s">
        <v>2189</v>
      </c>
      <c r="G1131" t="s">
        <v>2189</v>
      </c>
      <c r="H1131">
        <v>7</v>
      </c>
      <c r="I1131" s="13" t="s">
        <v>2189</v>
      </c>
      <c r="J1131" s="13" t="s">
        <v>2189</v>
      </c>
      <c r="K1131" s="13" t="s">
        <v>2189</v>
      </c>
    </row>
    <row r="1132" spans="1:11" hidden="1" x14ac:dyDescent="0.25">
      <c r="A1132" t="str">
        <f>_xlfn.XLOOKUP(C1132, 'Códigos DANE Municipios'!$B$2:$B$1123, 'Códigos DANE Municipios'!$A$2:$A$1123, "No encontrado")</f>
        <v>20550</v>
      </c>
      <c r="B1132" t="str">
        <f>IFERROR(VLOOKUP(D1132,APOYO!K:L,2,FALSE),A1132)</f>
        <v>20550</v>
      </c>
      <c r="C1132" t="s">
        <v>842</v>
      </c>
      <c r="D1132" t="str">
        <f>IFERROR(VLOOKUP(C1132,APOYO!J:K,2,FALSE),C1132)</f>
        <v>PELAYA</v>
      </c>
      <c r="E1132">
        <v>2014</v>
      </c>
      <c r="F1132">
        <v>0</v>
      </c>
      <c r="G1132" t="s">
        <v>2189</v>
      </c>
      <c r="H1132">
        <v>2</v>
      </c>
      <c r="I1132" s="13" t="s">
        <v>2189</v>
      </c>
      <c r="J1132" s="13" t="s">
        <v>2189</v>
      </c>
      <c r="K1132" s="13" t="s">
        <v>2189</v>
      </c>
    </row>
    <row r="1133" spans="1:11" hidden="1" x14ac:dyDescent="0.25">
      <c r="A1133" t="str">
        <f>_xlfn.XLOOKUP(C1133, 'Códigos DANE Municipios'!$B$2:$B$1123, 'Códigos DANE Municipios'!$A$2:$A$1123, "No encontrado")</f>
        <v>17541</v>
      </c>
      <c r="B1133" t="str">
        <f>IFERROR(VLOOKUP(D1133,APOYO!K:L,2,FALSE),A1133)</f>
        <v>17541</v>
      </c>
      <c r="C1133" t="s">
        <v>678</v>
      </c>
      <c r="D1133" t="str">
        <f>IFERROR(VLOOKUP(C1133,APOYO!J:K,2,FALSE),C1133)</f>
        <v>PENSILVANIA</v>
      </c>
      <c r="E1133">
        <v>2014</v>
      </c>
      <c r="F1133" t="s">
        <v>2189</v>
      </c>
      <c r="G1133" t="s">
        <v>2189</v>
      </c>
      <c r="H1133">
        <v>5</v>
      </c>
      <c r="I1133" s="13" t="s">
        <v>2189</v>
      </c>
      <c r="J1133" s="13" t="s">
        <v>2189</v>
      </c>
      <c r="K1133" s="13" t="s">
        <v>2189</v>
      </c>
    </row>
    <row r="1134" spans="1:11" hidden="1" x14ac:dyDescent="0.25">
      <c r="A1134" t="str">
        <f>_xlfn.XLOOKUP(C1134, 'Códigos DANE Municipios'!$B$2:$B$1123, 'Códigos DANE Municipios'!$A$2:$A$1123, "No encontrado")</f>
        <v>05541</v>
      </c>
      <c r="B1134" t="str">
        <f>IFERROR(VLOOKUP(D1134,APOYO!K:L,2,FALSE),A1134)</f>
        <v>05541</v>
      </c>
      <c r="C1134" t="s">
        <v>164</v>
      </c>
      <c r="D1134" t="str">
        <f>IFERROR(VLOOKUP(C1134,APOYO!J:K,2,FALSE),C1134)</f>
        <v>PEÑOL</v>
      </c>
      <c r="E1134">
        <v>2014</v>
      </c>
      <c r="F1134" t="s">
        <v>2189</v>
      </c>
      <c r="G1134" t="s">
        <v>2189</v>
      </c>
      <c r="H1134">
        <v>12</v>
      </c>
      <c r="I1134" s="13" t="s">
        <v>2189</v>
      </c>
      <c r="J1134" s="13" t="s">
        <v>2189</v>
      </c>
      <c r="K1134" s="13" t="s">
        <v>2189</v>
      </c>
    </row>
    <row r="1135" spans="1:11" hidden="1" x14ac:dyDescent="0.25">
      <c r="A1135" t="str">
        <f>_xlfn.XLOOKUP(C1135, 'Códigos DANE Municipios'!$B$2:$B$1123, 'Códigos DANE Municipios'!$A$2:$A$1123, "No encontrado")</f>
        <v>66001</v>
      </c>
      <c r="B1135" t="str">
        <f>IFERROR(VLOOKUP(D1135,APOYO!K:L,2,FALSE),A1135)</f>
        <v>66001</v>
      </c>
      <c r="C1135" t="s">
        <v>1628</v>
      </c>
      <c r="D1135" t="str">
        <f>IFERROR(VLOOKUP(C1135,APOYO!J:K,2,FALSE),C1135)</f>
        <v>PEREIRA</v>
      </c>
      <c r="E1135">
        <v>2014</v>
      </c>
      <c r="F1135">
        <v>597119</v>
      </c>
      <c r="G1135">
        <v>86957</v>
      </c>
      <c r="H1135">
        <v>17073</v>
      </c>
      <c r="I1135" s="13" t="s">
        <v>2189</v>
      </c>
      <c r="J1135" s="13" t="s">
        <v>2189</v>
      </c>
      <c r="K1135" s="13" t="s">
        <v>2189</v>
      </c>
    </row>
    <row r="1136" spans="1:11" hidden="1" x14ac:dyDescent="0.25">
      <c r="A1136" t="str">
        <f>_xlfn.XLOOKUP(C1136, 'Códigos DANE Municipios'!$B$2:$B$1123, 'Códigos DANE Municipios'!$A$2:$A$1123, "No encontrado")</f>
        <v>15542</v>
      </c>
      <c r="B1136" t="str">
        <f>IFERROR(VLOOKUP(D1136,APOYO!K:L,2,FALSE),A1136)</f>
        <v>15542</v>
      </c>
      <c r="C1136" t="s">
        <v>540</v>
      </c>
      <c r="D1136" t="str">
        <f>IFERROR(VLOOKUP(C1136,APOYO!J:K,2,FALSE),C1136)</f>
        <v>PESCA</v>
      </c>
      <c r="E1136">
        <v>2014</v>
      </c>
      <c r="F1136" t="s">
        <v>2189</v>
      </c>
      <c r="G1136" t="s">
        <v>2189</v>
      </c>
      <c r="H1136">
        <v>2</v>
      </c>
      <c r="I1136" s="13" t="s">
        <v>2189</v>
      </c>
      <c r="J1136" s="13" t="s">
        <v>2189</v>
      </c>
      <c r="K1136" s="13" t="s">
        <v>2189</v>
      </c>
    </row>
    <row r="1137" spans="1:11" hidden="1" x14ac:dyDescent="0.25">
      <c r="A1137" t="str">
        <f>_xlfn.XLOOKUP(C1137, 'Códigos DANE Municipios'!$B$2:$B$1123, 'Códigos DANE Municipios'!$A$2:$A$1123, "No encontrado")</f>
        <v>68547</v>
      </c>
      <c r="B1137" t="str">
        <f>IFERROR(VLOOKUP(D1137,APOYO!K:L,2,FALSE),A1137)</f>
        <v>68547</v>
      </c>
      <c r="C1137" t="s">
        <v>1766</v>
      </c>
      <c r="D1137" t="str">
        <f>IFERROR(VLOOKUP(C1137,APOYO!J:K,2,FALSE),C1137)</f>
        <v>PIEDECUESTA</v>
      </c>
      <c r="E1137">
        <v>2014</v>
      </c>
      <c r="F1137" t="s">
        <v>2189</v>
      </c>
      <c r="G1137" t="s">
        <v>2189</v>
      </c>
      <c r="H1137">
        <v>112</v>
      </c>
      <c r="I1137" s="13" t="s">
        <v>2189</v>
      </c>
      <c r="J1137" s="13" t="s">
        <v>2189</v>
      </c>
      <c r="K1137" s="13" t="s">
        <v>2189</v>
      </c>
    </row>
    <row r="1138" spans="1:11" hidden="1" x14ac:dyDescent="0.25">
      <c r="A1138" t="str">
        <f>_xlfn.XLOOKUP(C1138, 'Códigos DANE Municipios'!$B$2:$B$1123, 'Códigos DANE Municipios'!$A$2:$A$1123, "No encontrado")</f>
        <v>73547</v>
      </c>
      <c r="B1138" t="str">
        <f>IFERROR(VLOOKUP(D1138,APOYO!K:L,2,FALSE),A1138)</f>
        <v>73547</v>
      </c>
      <c r="C1138" t="s">
        <v>1927</v>
      </c>
      <c r="D1138" t="str">
        <f>IFERROR(VLOOKUP(C1138,APOYO!J:K,2,FALSE),C1138)</f>
        <v>PIEDRAS</v>
      </c>
      <c r="E1138">
        <v>2014</v>
      </c>
      <c r="F1138">
        <v>17</v>
      </c>
      <c r="G1138">
        <v>7</v>
      </c>
      <c r="H1138">
        <v>1</v>
      </c>
      <c r="I1138" s="13" t="s">
        <v>2189</v>
      </c>
      <c r="J1138" s="13" t="s">
        <v>2189</v>
      </c>
      <c r="K1138" s="13" t="s">
        <v>2189</v>
      </c>
    </row>
    <row r="1139" spans="1:11" hidden="1" x14ac:dyDescent="0.25">
      <c r="A1139" t="str">
        <f>_xlfn.XLOOKUP(C1139, 'Códigos DANE Municipios'!$B$2:$B$1123, 'Códigos DANE Municipios'!$A$2:$A$1123, "No encontrado")</f>
        <v>19548</v>
      </c>
      <c r="B1139" t="str">
        <f>IFERROR(VLOOKUP(D1139,APOYO!K:L,2,FALSE),A1139)</f>
        <v>19548</v>
      </c>
      <c r="C1139" t="s">
        <v>777</v>
      </c>
      <c r="D1139" t="str">
        <f>IFERROR(VLOOKUP(C1139,APOYO!J:K,2,FALSE),C1139)</f>
        <v>PIENDAMÓ</v>
      </c>
      <c r="E1139">
        <v>2014</v>
      </c>
      <c r="F1139" t="s">
        <v>2189</v>
      </c>
      <c r="G1139" t="s">
        <v>2189</v>
      </c>
      <c r="H1139">
        <v>25</v>
      </c>
      <c r="I1139" s="13" t="s">
        <v>2189</v>
      </c>
      <c r="J1139" s="13" t="s">
        <v>2189</v>
      </c>
      <c r="K1139" s="13" t="s">
        <v>2189</v>
      </c>
    </row>
    <row r="1140" spans="1:11" hidden="1" x14ac:dyDescent="0.25">
      <c r="A1140" t="str">
        <f>_xlfn.XLOOKUP(C1140, 'Códigos DANE Municipios'!$B$2:$B$1123, 'Códigos DANE Municipios'!$A$2:$A$1123, "No encontrado")</f>
        <v>63548</v>
      </c>
      <c r="B1140" t="str">
        <f>IFERROR(VLOOKUP(D1140,APOYO!K:L,2,FALSE),A1140)</f>
        <v>63548</v>
      </c>
      <c r="C1140" t="s">
        <v>1622</v>
      </c>
      <c r="D1140" t="str">
        <f>IFERROR(VLOOKUP(C1140,APOYO!J:K,2,FALSE),C1140)</f>
        <v>PIJAO</v>
      </c>
      <c r="E1140">
        <v>2014</v>
      </c>
      <c r="F1140" t="s">
        <v>2189</v>
      </c>
      <c r="G1140" t="s">
        <v>2189</v>
      </c>
      <c r="H1140">
        <v>17</v>
      </c>
      <c r="I1140" s="13" t="s">
        <v>2189</v>
      </c>
      <c r="J1140" s="13" t="s">
        <v>2189</v>
      </c>
      <c r="K1140" s="13" t="s">
        <v>2189</v>
      </c>
    </row>
    <row r="1141" spans="1:11" hidden="1" x14ac:dyDescent="0.25">
      <c r="A1141" t="str">
        <f>_xlfn.XLOOKUP(C1141, 'Códigos DANE Municipios'!$B$2:$B$1123, 'Códigos DANE Municipios'!$A$2:$A$1123, "No encontrado")</f>
        <v>68549</v>
      </c>
      <c r="B1141" t="str">
        <f>IFERROR(VLOOKUP(D1141,APOYO!K:L,2,FALSE),A1141)</f>
        <v>68549</v>
      </c>
      <c r="C1141" t="s">
        <v>1768</v>
      </c>
      <c r="D1141" t="str">
        <f>IFERROR(VLOOKUP(C1141,APOYO!J:K,2,FALSE),C1141)</f>
        <v>PINCHOTE</v>
      </c>
      <c r="E1141">
        <v>2014</v>
      </c>
      <c r="F1141" t="s">
        <v>2189</v>
      </c>
      <c r="G1141" t="s">
        <v>2189</v>
      </c>
      <c r="H1141">
        <v>1</v>
      </c>
      <c r="I1141" s="13" t="s">
        <v>2189</v>
      </c>
      <c r="J1141" s="13" t="s">
        <v>2189</v>
      </c>
      <c r="K1141" s="13" t="s">
        <v>2189</v>
      </c>
    </row>
    <row r="1142" spans="1:11" hidden="1" x14ac:dyDescent="0.25">
      <c r="A1142" t="str">
        <f>_xlfn.XLOOKUP(C1142, 'Códigos DANE Municipios'!$B$2:$B$1123, 'Códigos DANE Municipios'!$A$2:$A$1123, "No encontrado")</f>
        <v>08549</v>
      </c>
      <c r="B1142" t="str">
        <f>IFERROR(VLOOKUP(D1142,APOYO!K:L,2,FALSE),A1142)</f>
        <v>08549</v>
      </c>
      <c r="C1142" t="s">
        <v>282</v>
      </c>
      <c r="D1142" t="str">
        <f>IFERROR(VLOOKUP(C1142,APOYO!J:K,2,FALSE),C1142)</f>
        <v>PIOJÓ</v>
      </c>
      <c r="E1142">
        <v>2014</v>
      </c>
      <c r="F1142" t="s">
        <v>2189</v>
      </c>
      <c r="G1142" t="s">
        <v>2189</v>
      </c>
      <c r="H1142" t="s">
        <v>2189</v>
      </c>
      <c r="I1142" s="13" t="s">
        <v>2189</v>
      </c>
      <c r="J1142" s="13" t="s">
        <v>2189</v>
      </c>
      <c r="K1142" s="13" t="s">
        <v>2189</v>
      </c>
    </row>
    <row r="1143" spans="1:11" hidden="1" x14ac:dyDescent="0.25">
      <c r="A1143" t="str">
        <f>_xlfn.XLOOKUP(C1143, 'Códigos DANE Municipios'!$B$2:$B$1123, 'Códigos DANE Municipios'!$A$2:$A$1123, "No encontrado")</f>
        <v>41548</v>
      </c>
      <c r="B1143" t="str">
        <f>IFERROR(VLOOKUP(D1143,APOYO!K:L,2,FALSE),A1143)</f>
        <v>41548</v>
      </c>
      <c r="C1143" t="s">
        <v>1245</v>
      </c>
      <c r="D1143" t="str">
        <f>IFERROR(VLOOKUP(C1143,APOYO!J:K,2,FALSE),C1143)</f>
        <v>PITAL</v>
      </c>
      <c r="E1143">
        <v>2014</v>
      </c>
      <c r="F1143" t="s">
        <v>2189</v>
      </c>
      <c r="G1143" t="s">
        <v>2189</v>
      </c>
      <c r="H1143">
        <v>8</v>
      </c>
      <c r="I1143" s="13" t="s">
        <v>2189</v>
      </c>
      <c r="J1143" s="13" t="s">
        <v>2189</v>
      </c>
      <c r="K1143" s="13" t="s">
        <v>2189</v>
      </c>
    </row>
    <row r="1144" spans="1:11" hidden="1" x14ac:dyDescent="0.25">
      <c r="A1144" t="str">
        <f>_xlfn.XLOOKUP(C1144, 'Códigos DANE Municipios'!$B$2:$B$1123, 'Códigos DANE Municipios'!$A$2:$A$1123, "No encontrado")</f>
        <v>41551</v>
      </c>
      <c r="B1144" t="str">
        <f>IFERROR(VLOOKUP(D1144,APOYO!K:L,2,FALSE),A1144)</f>
        <v>41551</v>
      </c>
      <c r="C1144" t="s">
        <v>1247</v>
      </c>
      <c r="D1144" t="str">
        <f>IFERROR(VLOOKUP(C1144,APOYO!J:K,2,FALSE),C1144)</f>
        <v>PITALITO</v>
      </c>
      <c r="E1144">
        <v>2014</v>
      </c>
      <c r="F1144">
        <v>2011</v>
      </c>
      <c r="G1144" t="s">
        <v>2189</v>
      </c>
      <c r="H1144">
        <v>282</v>
      </c>
      <c r="I1144" s="13" t="s">
        <v>2189</v>
      </c>
      <c r="J1144" s="13" t="s">
        <v>2189</v>
      </c>
      <c r="K1144" s="13" t="s">
        <v>2189</v>
      </c>
    </row>
    <row r="1145" spans="1:11" hidden="1" x14ac:dyDescent="0.25">
      <c r="A1145" t="str">
        <f>_xlfn.XLOOKUP(C1145, 'Códigos DANE Municipios'!$B$2:$B$1123, 'Códigos DANE Municipios'!$A$2:$A$1123, "No encontrado")</f>
        <v>47551</v>
      </c>
      <c r="B1145" t="str">
        <f>IFERROR(VLOOKUP(D1145,APOYO!K:L,2,FALSE),A1145)</f>
        <v>47551</v>
      </c>
      <c r="C1145" t="s">
        <v>1331</v>
      </c>
      <c r="D1145" t="str">
        <f>IFERROR(VLOOKUP(C1145,APOYO!J:K,2,FALSE),C1145)</f>
        <v>PIVIJAY</v>
      </c>
      <c r="E1145">
        <v>2014</v>
      </c>
      <c r="F1145" t="s">
        <v>2189</v>
      </c>
      <c r="G1145" t="s">
        <v>2189</v>
      </c>
      <c r="H1145">
        <v>3</v>
      </c>
      <c r="I1145" s="13" t="s">
        <v>2189</v>
      </c>
      <c r="J1145" s="13" t="s">
        <v>2189</v>
      </c>
      <c r="K1145" s="13" t="s">
        <v>2189</v>
      </c>
    </row>
    <row r="1146" spans="1:11" hidden="1" x14ac:dyDescent="0.25">
      <c r="A1146" t="str">
        <f>_xlfn.XLOOKUP(C1146, 'Códigos DANE Municipios'!$B$2:$B$1123, 'Códigos DANE Municipios'!$A$2:$A$1123, "No encontrado")</f>
        <v>73555</v>
      </c>
      <c r="B1146" t="str">
        <f>IFERROR(VLOOKUP(D1146,APOYO!K:L,2,FALSE),A1146)</f>
        <v>73555</v>
      </c>
      <c r="C1146" t="s">
        <v>1929</v>
      </c>
      <c r="D1146" t="str">
        <f>IFERROR(VLOOKUP(C1146,APOYO!J:K,2,FALSE),C1146)</f>
        <v>PLANADAS</v>
      </c>
      <c r="E1146">
        <v>2014</v>
      </c>
      <c r="F1146" t="s">
        <v>2189</v>
      </c>
      <c r="G1146" t="s">
        <v>2189</v>
      </c>
      <c r="H1146" t="s">
        <v>2189</v>
      </c>
      <c r="I1146" s="13" t="s">
        <v>2189</v>
      </c>
      <c r="J1146" s="13" t="s">
        <v>2189</v>
      </c>
      <c r="K1146" s="13" t="s">
        <v>2189</v>
      </c>
    </row>
    <row r="1147" spans="1:11" hidden="1" x14ac:dyDescent="0.25">
      <c r="A1147" t="str">
        <f>_xlfn.XLOOKUP(C1147, 'Códigos DANE Municipios'!$B$2:$B$1123, 'Códigos DANE Municipios'!$A$2:$A$1123, "No encontrado")</f>
        <v>23555</v>
      </c>
      <c r="B1147" t="str">
        <f>IFERROR(VLOOKUP(D1147,APOYO!K:L,2,FALSE),A1147)</f>
        <v>23555</v>
      </c>
      <c r="C1147" t="s">
        <v>887</v>
      </c>
      <c r="D1147" t="str">
        <f>IFERROR(VLOOKUP(C1147,APOYO!J:K,2,FALSE),C1147)</f>
        <v>PLANETA RICA</v>
      </c>
      <c r="E1147">
        <v>2014</v>
      </c>
      <c r="F1147" t="s">
        <v>2189</v>
      </c>
      <c r="G1147" t="s">
        <v>2189</v>
      </c>
      <c r="H1147">
        <v>25</v>
      </c>
      <c r="I1147" s="13" t="s">
        <v>2189</v>
      </c>
      <c r="J1147" s="13" t="s">
        <v>2189</v>
      </c>
      <c r="K1147" s="13" t="s">
        <v>2189</v>
      </c>
    </row>
    <row r="1148" spans="1:11" hidden="1" x14ac:dyDescent="0.25">
      <c r="A1148" t="str">
        <f>_xlfn.XLOOKUP(C1148, 'Códigos DANE Municipios'!$B$2:$B$1123, 'Códigos DANE Municipios'!$A$2:$A$1123, "No encontrado")</f>
        <v>47555</v>
      </c>
      <c r="B1148" t="str">
        <f>IFERROR(VLOOKUP(D1148,APOYO!K:L,2,FALSE),A1148)</f>
        <v>47555</v>
      </c>
      <c r="C1148" t="s">
        <v>1333</v>
      </c>
      <c r="D1148" t="str">
        <f>IFERROR(VLOOKUP(C1148,APOYO!J:K,2,FALSE),C1148)</f>
        <v>PLATO</v>
      </c>
      <c r="E1148">
        <v>2014</v>
      </c>
      <c r="F1148">
        <v>64</v>
      </c>
      <c r="G1148" t="s">
        <v>2189</v>
      </c>
      <c r="H1148">
        <v>6</v>
      </c>
      <c r="I1148" s="13" t="s">
        <v>2189</v>
      </c>
      <c r="J1148" s="13" t="s">
        <v>2189</v>
      </c>
      <c r="K1148" s="13" t="s">
        <v>2189</v>
      </c>
    </row>
    <row r="1149" spans="1:11" hidden="1" x14ac:dyDescent="0.25">
      <c r="A1149" t="str">
        <f>_xlfn.XLOOKUP(C1149, 'Códigos DANE Municipios'!$B$2:$B$1123, 'Códigos DANE Municipios'!$A$2:$A$1123, "No encontrado")</f>
        <v>52540</v>
      </c>
      <c r="B1149" t="str">
        <f>IFERROR(VLOOKUP(D1149,APOYO!K:L,2,FALSE),A1149)</f>
        <v>52540</v>
      </c>
      <c r="C1149" t="s">
        <v>1491</v>
      </c>
      <c r="D1149" t="str">
        <f>IFERROR(VLOOKUP(C1149,APOYO!J:K,2,FALSE),C1149)</f>
        <v>POLICARPA</v>
      </c>
      <c r="E1149">
        <v>2014</v>
      </c>
      <c r="F1149" t="s">
        <v>2189</v>
      </c>
      <c r="G1149" t="s">
        <v>2189</v>
      </c>
      <c r="H1149">
        <v>1</v>
      </c>
      <c r="I1149" s="13" t="s">
        <v>2189</v>
      </c>
      <c r="J1149" s="13" t="s">
        <v>2189</v>
      </c>
      <c r="K1149" s="13" t="s">
        <v>2189</v>
      </c>
    </row>
    <row r="1150" spans="1:11" hidden="1" x14ac:dyDescent="0.25">
      <c r="A1150" t="str">
        <f>_xlfn.XLOOKUP(C1150, 'Códigos DANE Municipios'!$B$2:$B$1123, 'Códigos DANE Municipios'!$A$2:$A$1123, "No encontrado")</f>
        <v>08558</v>
      </c>
      <c r="B1150" t="str">
        <f>IFERROR(VLOOKUP(D1150,APOYO!K:L,2,FALSE),A1150)</f>
        <v>08558</v>
      </c>
      <c r="C1150" t="s">
        <v>284</v>
      </c>
      <c r="D1150" t="str">
        <f>IFERROR(VLOOKUP(C1150,APOYO!J:K,2,FALSE),C1150)</f>
        <v>POLONUEVO</v>
      </c>
      <c r="E1150">
        <v>2014</v>
      </c>
      <c r="F1150" t="s">
        <v>2189</v>
      </c>
      <c r="G1150" t="s">
        <v>2189</v>
      </c>
      <c r="H1150">
        <v>1</v>
      </c>
      <c r="I1150" s="13" t="s">
        <v>2189</v>
      </c>
      <c r="J1150" s="13" t="s">
        <v>2189</v>
      </c>
      <c r="K1150" s="13" t="s">
        <v>2189</v>
      </c>
    </row>
    <row r="1151" spans="1:11" hidden="1" x14ac:dyDescent="0.25">
      <c r="A1151" t="str">
        <f>_xlfn.XLOOKUP(C1151, 'Códigos DANE Municipios'!$B$2:$B$1123, 'Códigos DANE Municipios'!$A$2:$A$1123, "No encontrado")</f>
        <v>08560</v>
      </c>
      <c r="B1151" t="str">
        <f>IFERROR(VLOOKUP(D1151,APOYO!K:L,2,FALSE),A1151)</f>
        <v>08560</v>
      </c>
      <c r="C1151" t="s">
        <v>286</v>
      </c>
      <c r="D1151" t="str">
        <f>IFERROR(VLOOKUP(C1151,APOYO!J:K,2,FALSE),C1151)</f>
        <v>PONEDERA</v>
      </c>
      <c r="E1151">
        <v>2014</v>
      </c>
      <c r="F1151" t="s">
        <v>2189</v>
      </c>
      <c r="G1151" t="s">
        <v>2189</v>
      </c>
      <c r="H1151">
        <v>3</v>
      </c>
      <c r="I1151" s="13" t="s">
        <v>2189</v>
      </c>
      <c r="J1151" s="13" t="s">
        <v>2189</v>
      </c>
      <c r="K1151" s="13" t="s">
        <v>2189</v>
      </c>
    </row>
    <row r="1152" spans="1:11" hidden="1" x14ac:dyDescent="0.25">
      <c r="A1152" t="str">
        <f>_xlfn.XLOOKUP(C1152, 'Códigos DANE Municipios'!$B$2:$B$1123, 'Códigos DANE Municipios'!$A$2:$A$1123, "No encontrado")</f>
        <v>19001</v>
      </c>
      <c r="B1152" t="str">
        <f>IFERROR(VLOOKUP(D1152,APOYO!K:L,2,FALSE),A1152)</f>
        <v>19001</v>
      </c>
      <c r="C1152" t="s">
        <v>729</v>
      </c>
      <c r="D1152" t="str">
        <f>IFERROR(VLOOKUP(C1152,APOYO!J:K,2,FALSE),C1152)</f>
        <v>POPAYÁN</v>
      </c>
      <c r="E1152">
        <v>2014</v>
      </c>
      <c r="F1152">
        <v>47622</v>
      </c>
      <c r="G1152">
        <v>1037</v>
      </c>
      <c r="H1152">
        <v>3218</v>
      </c>
      <c r="I1152" s="13" t="s">
        <v>2189</v>
      </c>
      <c r="J1152" s="13" t="s">
        <v>2189</v>
      </c>
      <c r="K1152" s="13" t="s">
        <v>2189</v>
      </c>
    </row>
    <row r="1153" spans="1:11" hidden="1" x14ac:dyDescent="0.25">
      <c r="A1153" t="str">
        <f>_xlfn.XLOOKUP(C1153, 'Códigos DANE Municipios'!$B$2:$B$1123, 'Códigos DANE Municipios'!$A$2:$A$1123, "No encontrado")</f>
        <v>85263</v>
      </c>
      <c r="B1153" t="str">
        <f>IFERROR(VLOOKUP(D1153,APOYO!K:L,2,FALSE),A1153)</f>
        <v>85263</v>
      </c>
      <c r="C1153" t="s">
        <v>2068</v>
      </c>
      <c r="D1153" t="str">
        <f>IFERROR(VLOOKUP(C1153,APOYO!J:K,2,FALSE),C1153)</f>
        <v>PORE</v>
      </c>
      <c r="E1153">
        <v>2014</v>
      </c>
      <c r="F1153" t="s">
        <v>2189</v>
      </c>
      <c r="G1153" t="s">
        <v>2189</v>
      </c>
      <c r="H1153" t="s">
        <v>2189</v>
      </c>
      <c r="I1153" s="13" t="s">
        <v>2189</v>
      </c>
      <c r="J1153" s="13" t="s">
        <v>2189</v>
      </c>
      <c r="K1153" s="13" t="s">
        <v>2189</v>
      </c>
    </row>
    <row r="1154" spans="1:11" hidden="1" x14ac:dyDescent="0.25">
      <c r="A1154" t="str">
        <f>_xlfn.XLOOKUP(C1154, 'Códigos DANE Municipios'!$B$2:$B$1123, 'Códigos DANE Municipios'!$A$2:$A$1123, "No encontrado")</f>
        <v>76563</v>
      </c>
      <c r="B1154" t="str">
        <f>IFERROR(VLOOKUP(D1154,APOYO!K:L,2,FALSE),A1154)</f>
        <v>76563</v>
      </c>
      <c r="C1154" t="s">
        <v>2006</v>
      </c>
      <c r="D1154" t="str">
        <f>IFERROR(VLOOKUP(C1154,APOYO!J:K,2,FALSE),C1154)</f>
        <v>PRADERA</v>
      </c>
      <c r="E1154">
        <v>2014</v>
      </c>
      <c r="F1154" t="s">
        <v>2189</v>
      </c>
      <c r="G1154" t="s">
        <v>2189</v>
      </c>
      <c r="H1154">
        <v>70</v>
      </c>
      <c r="I1154" s="13" t="s">
        <v>2189</v>
      </c>
      <c r="J1154" s="13" t="s">
        <v>2189</v>
      </c>
      <c r="K1154" s="13" t="s">
        <v>2189</v>
      </c>
    </row>
    <row r="1155" spans="1:11" hidden="1" x14ac:dyDescent="0.25">
      <c r="A1155" t="str">
        <f>_xlfn.XLOOKUP(C1155, 'Códigos DANE Municipios'!$B$2:$B$1123, 'Códigos DANE Municipios'!$A$2:$A$1123, "No encontrado")</f>
        <v>73563</v>
      </c>
      <c r="B1155" t="str">
        <f>IFERROR(VLOOKUP(D1155,APOYO!K:L,2,FALSE),A1155)</f>
        <v>73563</v>
      </c>
      <c r="C1155" t="s">
        <v>1931</v>
      </c>
      <c r="D1155" t="str">
        <f>IFERROR(VLOOKUP(C1155,APOYO!J:K,2,FALSE),C1155)</f>
        <v>PRADO</v>
      </c>
      <c r="E1155">
        <v>2014</v>
      </c>
      <c r="F1155" t="s">
        <v>2189</v>
      </c>
      <c r="G1155" t="s">
        <v>2189</v>
      </c>
      <c r="H1155" t="s">
        <v>2189</v>
      </c>
      <c r="I1155" s="13" t="s">
        <v>2189</v>
      </c>
      <c r="J1155" s="13" t="s">
        <v>2189</v>
      </c>
      <c r="K1155" s="13" t="s">
        <v>2189</v>
      </c>
    </row>
    <row r="1156" spans="1:11" hidden="1" x14ac:dyDescent="0.25">
      <c r="A1156" t="str">
        <f>_xlfn.XLOOKUP(C1156, 'Códigos DANE Municipios'!$B$2:$B$1123, 'Códigos DANE Municipios'!$A$2:$A$1123, "No encontrado")</f>
        <v>52565</v>
      </c>
      <c r="B1156" t="str">
        <f>IFERROR(VLOOKUP(D1156,APOYO!K:L,2,FALSE),A1156)</f>
        <v>52565</v>
      </c>
      <c r="C1156" t="s">
        <v>1495</v>
      </c>
      <c r="D1156" t="str">
        <f>IFERROR(VLOOKUP(C1156,APOYO!J:K,2,FALSE),C1156)</f>
        <v>PROVIDENCIA</v>
      </c>
      <c r="E1156">
        <v>2014</v>
      </c>
      <c r="F1156">
        <v>35296</v>
      </c>
      <c r="G1156" t="s">
        <v>2189</v>
      </c>
      <c r="H1156">
        <v>2327</v>
      </c>
      <c r="I1156" s="13" t="s">
        <v>2189</v>
      </c>
      <c r="J1156" s="13" t="s">
        <v>2189</v>
      </c>
      <c r="K1156" s="13" t="s">
        <v>2189</v>
      </c>
    </row>
    <row r="1157" spans="1:11" hidden="1" x14ac:dyDescent="0.25">
      <c r="A1157" t="str">
        <f>_xlfn.XLOOKUP(C1157, 'Códigos DANE Municipios'!$B$2:$B$1123, 'Códigos DANE Municipios'!$A$2:$A$1123, "No encontrado")</f>
        <v>05585</v>
      </c>
      <c r="B1157" t="str">
        <f>IFERROR(VLOOKUP(D1157,APOYO!K:L,2,FALSE),A1157)</f>
        <v>05585</v>
      </c>
      <c r="C1157" t="s">
        <v>172</v>
      </c>
      <c r="D1157" t="str">
        <f>IFERROR(VLOOKUP(C1157,APOYO!J:K,2,FALSE),C1157)</f>
        <v>PUERTO NARE</v>
      </c>
      <c r="E1157">
        <v>2014</v>
      </c>
      <c r="F1157">
        <v>575</v>
      </c>
      <c r="G1157" t="s">
        <v>2189</v>
      </c>
      <c r="H1157">
        <v>1</v>
      </c>
      <c r="I1157" s="13" t="s">
        <v>2189</v>
      </c>
      <c r="J1157" s="13" t="s">
        <v>2189</v>
      </c>
      <c r="K1157" s="13" t="s">
        <v>2189</v>
      </c>
    </row>
    <row r="1158" spans="1:11" hidden="1" x14ac:dyDescent="0.25">
      <c r="A1158" t="str">
        <f>_xlfn.XLOOKUP(C1158, 'Códigos DANE Municipios'!$B$2:$B$1123, 'Códigos DANE Municipios'!$A$2:$A$1123, "No encontrado")</f>
        <v>66572</v>
      </c>
      <c r="B1158" t="str">
        <f>IFERROR(VLOOKUP(D1158,APOYO!K:L,2,FALSE),A1158)</f>
        <v>66572</v>
      </c>
      <c r="C1158" t="s">
        <v>1647</v>
      </c>
      <c r="D1158" t="str">
        <f>IFERROR(VLOOKUP(C1158,APOYO!J:K,2,FALSE),C1158)</f>
        <v>PUEBLO RICO</v>
      </c>
      <c r="E1158">
        <v>2014</v>
      </c>
      <c r="F1158" t="s">
        <v>2189</v>
      </c>
      <c r="G1158" t="s">
        <v>2189</v>
      </c>
      <c r="H1158">
        <v>14</v>
      </c>
      <c r="I1158" s="13" t="s">
        <v>2189</v>
      </c>
      <c r="J1158" s="13" t="s">
        <v>2189</v>
      </c>
      <c r="K1158" s="13" t="s">
        <v>2189</v>
      </c>
    </row>
    <row r="1159" spans="1:11" hidden="1" x14ac:dyDescent="0.25">
      <c r="A1159" t="str">
        <f>_xlfn.XLOOKUP(C1159, 'Códigos DANE Municipios'!$B$2:$B$1123, 'Códigos DANE Municipios'!$A$2:$A$1123, "No encontrado")</f>
        <v>05576</v>
      </c>
      <c r="B1159" t="str">
        <f>IFERROR(VLOOKUP(D1159,APOYO!K:L,2,FALSE),A1159)</f>
        <v>05576</v>
      </c>
      <c r="C1159" t="s">
        <v>168</v>
      </c>
      <c r="D1159" t="str">
        <f>IFERROR(VLOOKUP(C1159,APOYO!J:K,2,FALSE),C1159)</f>
        <v>PUEBLORRICO</v>
      </c>
      <c r="E1159">
        <v>2014</v>
      </c>
      <c r="F1159" t="s">
        <v>2189</v>
      </c>
      <c r="G1159" t="s">
        <v>2189</v>
      </c>
      <c r="H1159" t="s">
        <v>2189</v>
      </c>
      <c r="I1159" s="13" t="s">
        <v>2189</v>
      </c>
      <c r="J1159" s="13" t="s">
        <v>2189</v>
      </c>
      <c r="K1159" s="13" t="s">
        <v>2189</v>
      </c>
    </row>
    <row r="1160" spans="1:11" hidden="1" x14ac:dyDescent="0.25">
      <c r="A1160" t="str">
        <f>_xlfn.XLOOKUP(C1160, 'Códigos DANE Municipios'!$B$2:$B$1123, 'Códigos DANE Municipios'!$A$2:$A$1123, "No encontrado")</f>
        <v>47570</v>
      </c>
      <c r="B1160" t="str">
        <f>IFERROR(VLOOKUP(D1160,APOYO!K:L,2,FALSE),A1160)</f>
        <v>47570</v>
      </c>
      <c r="C1160" t="s">
        <v>1335</v>
      </c>
      <c r="D1160" t="str">
        <f>IFERROR(VLOOKUP(C1160,APOYO!J:K,2,FALSE),C1160)</f>
        <v>PUEBLOVIEJO</v>
      </c>
      <c r="E1160">
        <v>2014</v>
      </c>
      <c r="F1160" t="s">
        <v>2189</v>
      </c>
      <c r="G1160" t="s">
        <v>2189</v>
      </c>
      <c r="H1160">
        <v>1</v>
      </c>
      <c r="I1160" s="13" t="s">
        <v>2189</v>
      </c>
      <c r="J1160" s="13" t="s">
        <v>2189</v>
      </c>
      <c r="K1160" s="13" t="s">
        <v>2189</v>
      </c>
    </row>
    <row r="1161" spans="1:11" hidden="1" x14ac:dyDescent="0.25">
      <c r="A1161" t="str">
        <f>_xlfn.XLOOKUP(C1161, 'Códigos DANE Municipios'!$B$2:$B$1123, 'Códigos DANE Municipios'!$A$2:$A$1123, "No encontrado")</f>
        <v>68572</v>
      </c>
      <c r="B1161" t="str">
        <f>IFERROR(VLOOKUP(D1161,APOYO!K:L,2,FALSE),A1161)</f>
        <v>68572</v>
      </c>
      <c r="C1161" t="s">
        <v>1770</v>
      </c>
      <c r="D1161" t="str">
        <f>IFERROR(VLOOKUP(C1161,APOYO!J:K,2,FALSE),C1161)</f>
        <v>PUENTE NACIONAL</v>
      </c>
      <c r="E1161">
        <v>2014</v>
      </c>
      <c r="F1161" t="s">
        <v>2189</v>
      </c>
      <c r="G1161" t="s">
        <v>2189</v>
      </c>
      <c r="H1161">
        <v>10</v>
      </c>
      <c r="I1161" s="13" t="s">
        <v>2189</v>
      </c>
      <c r="J1161" s="13" t="s">
        <v>2189</v>
      </c>
      <c r="K1161" s="13" t="s">
        <v>2189</v>
      </c>
    </row>
    <row r="1162" spans="1:11" hidden="1" x14ac:dyDescent="0.25">
      <c r="A1162" t="str">
        <f>_xlfn.XLOOKUP(C1162, 'Códigos DANE Municipios'!$B$2:$B$1123, 'Códigos DANE Municipios'!$A$2:$A$1123, "No encontrado")</f>
        <v>52573</v>
      </c>
      <c r="B1162" t="str">
        <f>IFERROR(VLOOKUP(D1162,APOYO!K:L,2,FALSE),A1162)</f>
        <v>52573</v>
      </c>
      <c r="C1162" t="s">
        <v>1497</v>
      </c>
      <c r="D1162" t="str">
        <f>IFERROR(VLOOKUP(C1162,APOYO!J:K,2,FALSE),C1162)</f>
        <v>PUERRES</v>
      </c>
      <c r="E1162">
        <v>2014</v>
      </c>
      <c r="F1162" t="s">
        <v>2189</v>
      </c>
      <c r="G1162" t="s">
        <v>2189</v>
      </c>
      <c r="H1162">
        <v>4</v>
      </c>
      <c r="I1162" s="13" t="s">
        <v>2189</v>
      </c>
      <c r="J1162" s="13" t="s">
        <v>2189</v>
      </c>
      <c r="K1162" s="13" t="s">
        <v>2189</v>
      </c>
    </row>
    <row r="1163" spans="1:11" hidden="1" x14ac:dyDescent="0.25">
      <c r="A1163" t="str">
        <f>_xlfn.XLOOKUP(C1163, 'Códigos DANE Municipios'!$B$2:$B$1123, 'Códigos DANE Municipios'!$A$2:$A$1123, "No encontrado")</f>
        <v>86568</v>
      </c>
      <c r="B1163" t="str">
        <f>IFERROR(VLOOKUP(D1163,APOYO!K:L,2,FALSE),A1163)</f>
        <v>86568</v>
      </c>
      <c r="C1163" t="s">
        <v>2089</v>
      </c>
      <c r="D1163" t="str">
        <f>IFERROR(VLOOKUP(C1163,APOYO!J:K,2,FALSE),C1163)</f>
        <v>PUERTO ASÍS</v>
      </c>
      <c r="E1163">
        <v>2014</v>
      </c>
      <c r="F1163">
        <v>33420</v>
      </c>
      <c r="G1163">
        <v>19</v>
      </c>
      <c r="H1163">
        <v>50</v>
      </c>
      <c r="I1163" t="s">
        <v>2189</v>
      </c>
      <c r="J1163" s="13" t="s">
        <v>2189</v>
      </c>
      <c r="K1163" s="13" t="s">
        <v>2189</v>
      </c>
    </row>
    <row r="1164" spans="1:11" hidden="1" x14ac:dyDescent="0.25">
      <c r="A1164" t="str">
        <f>_xlfn.XLOOKUP(C1164, 'Códigos DANE Municipios'!$B$2:$B$1123, 'Códigos DANE Municipios'!$A$2:$A$1123, "No encontrado")</f>
        <v>05579</v>
      </c>
      <c r="B1164" t="str">
        <f>IFERROR(VLOOKUP(D1164,APOYO!K:L,2,FALSE),A1164)</f>
        <v>05579</v>
      </c>
      <c r="C1164" t="s">
        <v>170</v>
      </c>
      <c r="D1164" t="str">
        <f>IFERROR(VLOOKUP(C1164,APOYO!J:K,2,FALSE),C1164)</f>
        <v>PUERTO BERRÍO</v>
      </c>
      <c r="E1164">
        <v>2014</v>
      </c>
      <c r="F1164">
        <v>386</v>
      </c>
      <c r="G1164" t="s">
        <v>2189</v>
      </c>
      <c r="H1164">
        <v>31</v>
      </c>
      <c r="I1164" s="13" t="s">
        <v>2189</v>
      </c>
      <c r="J1164" s="13" t="s">
        <v>2189</v>
      </c>
      <c r="K1164" s="13" t="s">
        <v>2189</v>
      </c>
    </row>
    <row r="1165" spans="1:11" hidden="1" x14ac:dyDescent="0.25">
      <c r="A1165" t="str">
        <f>_xlfn.XLOOKUP(C1165, 'Códigos DANE Municipios'!$B$2:$B$1123, 'Códigos DANE Municipios'!$A$2:$A$1123, "No encontrado")</f>
        <v>15572</v>
      </c>
      <c r="B1165" t="str">
        <f>IFERROR(VLOOKUP(D1165,APOYO!K:L,2,FALSE),A1165)</f>
        <v>15572</v>
      </c>
      <c r="C1165" t="s">
        <v>544</v>
      </c>
      <c r="D1165" t="str">
        <f>IFERROR(VLOOKUP(C1165,APOYO!J:K,2,FALSE),C1165)</f>
        <v>PUERTO BOYACÁ</v>
      </c>
      <c r="E1165">
        <v>2014</v>
      </c>
      <c r="F1165">
        <v>5185</v>
      </c>
      <c r="G1165" t="s">
        <v>2189</v>
      </c>
      <c r="H1165">
        <v>24</v>
      </c>
      <c r="I1165" s="13" t="s">
        <v>2189</v>
      </c>
      <c r="J1165" s="13" t="s">
        <v>2189</v>
      </c>
      <c r="K1165" s="13" t="s">
        <v>2189</v>
      </c>
    </row>
    <row r="1166" spans="1:11" hidden="1" x14ac:dyDescent="0.25">
      <c r="A1166" t="str">
        <f>_xlfn.XLOOKUP(C1166, 'Códigos DANE Municipios'!$B$2:$B$1123, 'Códigos DANE Municipios'!$A$2:$A$1123, "No encontrado")</f>
        <v>86569</v>
      </c>
      <c r="B1166" t="str">
        <f>IFERROR(VLOOKUP(D1166,APOYO!K:L,2,FALSE),A1166)</f>
        <v>86569</v>
      </c>
      <c r="C1166" t="s">
        <v>2091</v>
      </c>
      <c r="D1166" t="str">
        <f>IFERROR(VLOOKUP(C1166,APOYO!J:K,2,FALSE),C1166)</f>
        <v>PUERTO CAICEDO</v>
      </c>
      <c r="E1166">
        <v>2014</v>
      </c>
      <c r="F1166" t="s">
        <v>2189</v>
      </c>
      <c r="G1166" t="s">
        <v>2189</v>
      </c>
      <c r="H1166" t="s">
        <v>2189</v>
      </c>
      <c r="I1166" s="13" t="s">
        <v>2189</v>
      </c>
      <c r="J1166" s="13" t="s">
        <v>2189</v>
      </c>
      <c r="K1166" s="13" t="s">
        <v>2189</v>
      </c>
    </row>
    <row r="1167" spans="1:11" hidden="1" x14ac:dyDescent="0.25">
      <c r="A1167" t="str">
        <f>_xlfn.XLOOKUP(C1167, 'Códigos DANE Municipios'!$B$2:$B$1123, 'Códigos DANE Municipios'!$A$2:$A$1123, "No encontrado")</f>
        <v>99001</v>
      </c>
      <c r="B1167" t="str">
        <f>IFERROR(VLOOKUP(D1167,APOYO!K:L,2,FALSE),A1167)</f>
        <v>99001</v>
      </c>
      <c r="C1167" t="s">
        <v>2163</v>
      </c>
      <c r="D1167" t="str">
        <f>IFERROR(VLOOKUP(C1167,APOYO!J:K,2,FALSE),C1167)</f>
        <v>PUERTO CARREÑO</v>
      </c>
      <c r="E1167">
        <v>2014</v>
      </c>
      <c r="F1167">
        <v>2662</v>
      </c>
      <c r="G1167" t="s">
        <v>2189</v>
      </c>
      <c r="H1167">
        <v>93</v>
      </c>
      <c r="I1167" s="13">
        <v>48</v>
      </c>
      <c r="J1167" s="13" t="s">
        <v>2189</v>
      </c>
      <c r="K1167" s="13" t="s">
        <v>2189</v>
      </c>
    </row>
    <row r="1168" spans="1:11" hidden="1" x14ac:dyDescent="0.25">
      <c r="A1168" t="str">
        <f>_xlfn.XLOOKUP(C1168, 'Códigos DANE Municipios'!$B$2:$B$1123, 'Códigos DANE Municipios'!$A$2:$A$1123, "No encontrado")</f>
        <v>08573</v>
      </c>
      <c r="B1168" t="str">
        <f>IFERROR(VLOOKUP(D1168,APOYO!K:L,2,FALSE),A1168)</f>
        <v>08573</v>
      </c>
      <c r="C1168" t="s">
        <v>288</v>
      </c>
      <c r="D1168" t="str">
        <f>IFERROR(VLOOKUP(C1168,APOYO!J:K,2,FALSE),C1168)</f>
        <v>PUERTO COLOMBIA</v>
      </c>
      <c r="E1168">
        <v>2014</v>
      </c>
      <c r="F1168" t="s">
        <v>2189</v>
      </c>
      <c r="G1168" t="s">
        <v>2189</v>
      </c>
      <c r="H1168">
        <v>48</v>
      </c>
      <c r="I1168" s="13" t="s">
        <v>2189</v>
      </c>
      <c r="J1168" s="13" t="s">
        <v>2189</v>
      </c>
      <c r="K1168" s="13" t="s">
        <v>2189</v>
      </c>
    </row>
    <row r="1169" spans="1:11" hidden="1" x14ac:dyDescent="0.25">
      <c r="A1169" t="str">
        <f>_xlfn.XLOOKUP(C1169, 'Códigos DANE Municipios'!$B$2:$B$1123, 'Códigos DANE Municipios'!$A$2:$A$1123, "No encontrado")</f>
        <v>50450</v>
      </c>
      <c r="B1169" t="str">
        <f>IFERROR(VLOOKUP(D1169,APOYO!K:L,2,FALSE),A1169)</f>
        <v>50450</v>
      </c>
      <c r="C1169" t="s">
        <v>1392</v>
      </c>
      <c r="D1169" t="str">
        <f>IFERROR(VLOOKUP(C1169,APOYO!J:K,2,FALSE),C1169)</f>
        <v>PUERTO CONCORDIA</v>
      </c>
      <c r="E1169">
        <v>2014</v>
      </c>
      <c r="F1169" t="s">
        <v>2189</v>
      </c>
      <c r="G1169" t="s">
        <v>2189</v>
      </c>
      <c r="H1169">
        <v>3</v>
      </c>
      <c r="I1169" s="13" t="s">
        <v>2189</v>
      </c>
      <c r="J1169" s="13" t="s">
        <v>2189</v>
      </c>
      <c r="K1169" s="13" t="s">
        <v>2189</v>
      </c>
    </row>
    <row r="1170" spans="1:11" hidden="1" x14ac:dyDescent="0.25">
      <c r="A1170" t="str">
        <f>_xlfn.XLOOKUP(C1170, 'Códigos DANE Municipios'!$B$2:$B$1123, 'Códigos DANE Municipios'!$A$2:$A$1123, "No encontrado")</f>
        <v>50568</v>
      </c>
      <c r="B1170" t="str">
        <f>IFERROR(VLOOKUP(D1170,APOYO!K:L,2,FALSE),A1170)</f>
        <v>50568</v>
      </c>
      <c r="C1170" t="s">
        <v>1394</v>
      </c>
      <c r="D1170" t="str">
        <f>IFERROR(VLOOKUP(C1170,APOYO!J:K,2,FALSE),C1170)</f>
        <v>PUERTO GAITÁN</v>
      </c>
      <c r="E1170">
        <v>2014</v>
      </c>
      <c r="F1170">
        <v>85206</v>
      </c>
      <c r="G1170" t="s">
        <v>2189</v>
      </c>
      <c r="H1170">
        <v>84</v>
      </c>
      <c r="I1170" s="13" t="s">
        <v>2189</v>
      </c>
      <c r="J1170" s="13" t="s">
        <v>2189</v>
      </c>
      <c r="K1170" s="13" t="s">
        <v>2189</v>
      </c>
    </row>
    <row r="1171" spans="1:11" hidden="1" x14ac:dyDescent="0.25">
      <c r="A1171" t="str">
        <f>_xlfn.XLOOKUP(C1171, 'Códigos DANE Municipios'!$B$2:$B$1123, 'Códigos DANE Municipios'!$A$2:$A$1123, "No encontrado")</f>
        <v>94001</v>
      </c>
      <c r="B1171" t="str">
        <f>IFERROR(VLOOKUP(D1171,APOYO!K:L,2,FALSE),A1171)</f>
        <v>94001</v>
      </c>
      <c r="C1171" t="s">
        <v>2128</v>
      </c>
      <c r="D1171" t="str">
        <f>IFERROR(VLOOKUP(C1171,APOYO!J:K,2,FALSE),C1171)</f>
        <v>INÍRIDA</v>
      </c>
      <c r="E1171">
        <v>2014</v>
      </c>
      <c r="F1171">
        <v>15434</v>
      </c>
      <c r="G1171" t="s">
        <v>2189</v>
      </c>
      <c r="H1171">
        <v>7</v>
      </c>
      <c r="I1171" s="13" t="s">
        <v>2189</v>
      </c>
      <c r="J1171" s="13" t="s">
        <v>2189</v>
      </c>
      <c r="K1171" s="13" t="s">
        <v>2189</v>
      </c>
    </row>
    <row r="1172" spans="1:11" hidden="1" x14ac:dyDescent="0.25">
      <c r="A1172" t="str">
        <f>_xlfn.XLOOKUP(C1172, 'Códigos DANE Municipios'!$B$2:$B$1123, 'Códigos DANE Municipios'!$A$2:$A$1123, "No encontrado")</f>
        <v>86573</v>
      </c>
      <c r="B1172" t="str">
        <f>IFERROR(VLOOKUP(D1172,APOYO!K:L,2,FALSE),A1172)</f>
        <v>86573</v>
      </c>
      <c r="C1172" t="s">
        <v>2095</v>
      </c>
      <c r="D1172" t="str">
        <f>IFERROR(VLOOKUP(C1172,APOYO!J:K,2,FALSE),C1172)</f>
        <v>PUERTO LEGUÍZAMO</v>
      </c>
      <c r="E1172">
        <v>2014</v>
      </c>
      <c r="F1172">
        <v>10225</v>
      </c>
      <c r="G1172" t="s">
        <v>2189</v>
      </c>
      <c r="H1172">
        <v>41</v>
      </c>
      <c r="I1172" s="13" t="s">
        <v>2189</v>
      </c>
      <c r="J1172" s="13" t="s">
        <v>2189</v>
      </c>
      <c r="K1172" s="13" t="s">
        <v>2189</v>
      </c>
    </row>
    <row r="1173" spans="1:11" hidden="1" x14ac:dyDescent="0.25">
      <c r="A1173" t="str">
        <f>_xlfn.XLOOKUP(C1173, 'Códigos DANE Municipios'!$B$2:$B$1123, 'Códigos DANE Municipios'!$A$2:$A$1123, "No encontrado")</f>
        <v>23580</v>
      </c>
      <c r="B1173" t="str">
        <f>IFERROR(VLOOKUP(D1173,APOYO!K:L,2,FALSE),A1173)</f>
        <v>23580</v>
      </c>
      <c r="C1173" t="s">
        <v>893</v>
      </c>
      <c r="D1173" t="str">
        <f>IFERROR(VLOOKUP(C1173,APOYO!J:K,2,FALSE),C1173)</f>
        <v>PUERTO LIBERTADOR</v>
      </c>
      <c r="E1173">
        <v>2014</v>
      </c>
      <c r="F1173" t="s">
        <v>2189</v>
      </c>
      <c r="G1173" t="s">
        <v>2189</v>
      </c>
      <c r="H1173">
        <v>25</v>
      </c>
      <c r="I1173" s="13" t="s">
        <v>2189</v>
      </c>
      <c r="J1173" s="13" t="s">
        <v>2189</v>
      </c>
      <c r="K1173" s="13" t="s">
        <v>2189</v>
      </c>
    </row>
    <row r="1174" spans="1:11" hidden="1" x14ac:dyDescent="0.25">
      <c r="A1174" t="str">
        <f>_xlfn.XLOOKUP(C1174, 'Códigos DANE Municipios'!$B$2:$B$1123, 'Códigos DANE Municipios'!$A$2:$A$1123, "No encontrado")</f>
        <v>50577</v>
      </c>
      <c r="B1174" t="str">
        <f>IFERROR(VLOOKUP(D1174,APOYO!K:L,2,FALSE),A1174)</f>
        <v>50577</v>
      </c>
      <c r="C1174" t="s">
        <v>1398</v>
      </c>
      <c r="D1174" t="str">
        <f>IFERROR(VLOOKUP(C1174,APOYO!J:K,2,FALSE),C1174)</f>
        <v>PUERTO LLERAS</v>
      </c>
      <c r="E1174">
        <v>2014</v>
      </c>
      <c r="F1174">
        <v>32</v>
      </c>
      <c r="G1174" t="s">
        <v>2189</v>
      </c>
      <c r="H1174" t="s">
        <v>2189</v>
      </c>
      <c r="I1174" s="13" t="s">
        <v>2189</v>
      </c>
      <c r="J1174" s="13" t="s">
        <v>2189</v>
      </c>
      <c r="K1174" s="13" t="s">
        <v>2189</v>
      </c>
    </row>
    <row r="1175" spans="1:11" hidden="1" x14ac:dyDescent="0.25">
      <c r="A1175" t="str">
        <f>_xlfn.XLOOKUP(C1175, 'Códigos DANE Municipios'!$B$2:$B$1123, 'Códigos DANE Municipios'!$A$2:$A$1123, "No encontrado")</f>
        <v>50573</v>
      </c>
      <c r="B1175" t="str">
        <f>IFERROR(VLOOKUP(D1175,APOYO!K:L,2,FALSE),A1175)</f>
        <v>50573</v>
      </c>
      <c r="C1175" t="s">
        <v>1396</v>
      </c>
      <c r="D1175" t="str">
        <f>IFERROR(VLOOKUP(C1175,APOYO!J:K,2,FALSE),C1175)</f>
        <v>PUERTO LÓPEZ</v>
      </c>
      <c r="E1175">
        <v>2014</v>
      </c>
      <c r="F1175">
        <v>704</v>
      </c>
      <c r="G1175" t="s">
        <v>2189</v>
      </c>
      <c r="H1175">
        <v>34</v>
      </c>
      <c r="I1175" s="13" t="s">
        <v>2189</v>
      </c>
      <c r="J1175" s="13" t="s">
        <v>2189</v>
      </c>
      <c r="K1175" s="13" t="s">
        <v>2189</v>
      </c>
    </row>
    <row r="1176" spans="1:11" hidden="1" x14ac:dyDescent="0.25">
      <c r="A1176" t="str">
        <f>_xlfn.XLOOKUP(C1176, 'Códigos DANE Municipios'!$B$2:$B$1123, 'Códigos DANE Municipios'!$A$2:$A$1123, "No encontrado")</f>
        <v>91540</v>
      </c>
      <c r="B1176" t="str">
        <f>IFERROR(VLOOKUP(D1176,APOYO!K:L,2,FALSE),A1176)</f>
        <v>91540</v>
      </c>
      <c r="C1176" t="s">
        <v>2123</v>
      </c>
      <c r="D1176" t="str">
        <f>IFERROR(VLOOKUP(C1176,APOYO!J:K,2,FALSE),C1176)</f>
        <v>PUERTO NARIÑO</v>
      </c>
      <c r="E1176">
        <v>2014</v>
      </c>
      <c r="F1176" t="s">
        <v>2189</v>
      </c>
      <c r="G1176" t="s">
        <v>2189</v>
      </c>
      <c r="H1176">
        <v>10</v>
      </c>
      <c r="I1176" s="13" t="s">
        <v>2189</v>
      </c>
      <c r="J1176" s="13" t="s">
        <v>2189</v>
      </c>
      <c r="K1176" s="13" t="s">
        <v>2189</v>
      </c>
    </row>
    <row r="1177" spans="1:11" hidden="1" x14ac:dyDescent="0.25">
      <c r="A1177" t="str">
        <f>_xlfn.XLOOKUP(C1177, 'Códigos DANE Municipios'!$B$2:$B$1123, 'Códigos DANE Municipios'!$A$2:$A$1123, "No encontrado")</f>
        <v>18592</v>
      </c>
      <c r="B1177" t="str">
        <f>IFERROR(VLOOKUP(D1177,APOYO!K:L,2,FALSE),A1177)</f>
        <v>18592</v>
      </c>
      <c r="C1177" t="s">
        <v>718</v>
      </c>
      <c r="D1177" t="str">
        <f>IFERROR(VLOOKUP(C1177,APOYO!J:K,2,FALSE),C1177)</f>
        <v>PUERTO RICO</v>
      </c>
      <c r="E1177">
        <v>2014</v>
      </c>
      <c r="F1177">
        <v>38</v>
      </c>
      <c r="G1177" t="s">
        <v>2189</v>
      </c>
      <c r="H1177">
        <v>4</v>
      </c>
      <c r="I1177" s="13" t="s">
        <v>2189</v>
      </c>
      <c r="J1177" s="13" t="s">
        <v>2189</v>
      </c>
      <c r="K1177" s="13" t="s">
        <v>2189</v>
      </c>
    </row>
    <row r="1178" spans="1:11" hidden="1" x14ac:dyDescent="0.25">
      <c r="A1178" t="str">
        <f>_xlfn.XLOOKUP(C1178, 'Códigos DANE Municipios'!$B$2:$B$1123, 'Códigos DANE Municipios'!$A$2:$A$1123, "No encontrado")</f>
        <v>25572</v>
      </c>
      <c r="B1178" t="str">
        <f>IFERROR(VLOOKUP(D1178,APOYO!K:L,2,FALSE),A1178)</f>
        <v>25572</v>
      </c>
      <c r="C1178" t="s">
        <v>1049</v>
      </c>
      <c r="D1178" t="str">
        <f>IFERROR(VLOOKUP(C1178,APOYO!J:K,2,FALSE),C1178)</f>
        <v>PUERTO SALGAR</v>
      </c>
      <c r="E1178">
        <v>2014</v>
      </c>
      <c r="F1178">
        <v>8</v>
      </c>
      <c r="G1178" t="s">
        <v>2189</v>
      </c>
      <c r="H1178">
        <v>14</v>
      </c>
      <c r="I1178" s="13" t="s">
        <v>2189</v>
      </c>
      <c r="J1178" s="13" t="s">
        <v>2189</v>
      </c>
      <c r="K1178" s="13" t="s">
        <v>2189</v>
      </c>
    </row>
    <row r="1179" spans="1:11" hidden="1" x14ac:dyDescent="0.25">
      <c r="A1179" t="str">
        <f>_xlfn.XLOOKUP(C1179, 'Códigos DANE Municipios'!$B$2:$B$1123, 'Códigos DANE Municipios'!$A$2:$A$1123, "No encontrado")</f>
        <v>54553</v>
      </c>
      <c r="B1179" t="str">
        <f>IFERROR(VLOOKUP(D1179,APOYO!K:L,2,FALSE),A1179)</f>
        <v>54553</v>
      </c>
      <c r="C1179" t="s">
        <v>1583</v>
      </c>
      <c r="D1179" t="str">
        <f>IFERROR(VLOOKUP(C1179,APOYO!J:K,2,FALSE),C1179)</f>
        <v>PUERTO SANTANDER</v>
      </c>
      <c r="E1179">
        <v>2014</v>
      </c>
      <c r="F1179" t="s">
        <v>2189</v>
      </c>
      <c r="G1179" t="s">
        <v>2189</v>
      </c>
      <c r="H1179">
        <v>3</v>
      </c>
      <c r="I1179" s="13" t="s">
        <v>2189</v>
      </c>
      <c r="J1179" s="13" t="s">
        <v>2189</v>
      </c>
      <c r="K1179" s="13" t="s">
        <v>2189</v>
      </c>
    </row>
    <row r="1180" spans="1:11" hidden="1" x14ac:dyDescent="0.25">
      <c r="A1180" t="str">
        <f>_xlfn.XLOOKUP(C1180, 'Códigos DANE Municipios'!$B$2:$B$1123, 'Códigos DANE Municipios'!$A$2:$A$1123, "No encontrado")</f>
        <v>19573</v>
      </c>
      <c r="B1180" t="str">
        <f>IFERROR(VLOOKUP(D1180,APOYO!K:L,2,FALSE),A1180)</f>
        <v>19573</v>
      </c>
      <c r="C1180" t="s">
        <v>779</v>
      </c>
      <c r="D1180" t="str">
        <f>IFERROR(VLOOKUP(C1180,APOYO!J:K,2,FALSE),C1180)</f>
        <v>PUERTO TEJADA</v>
      </c>
      <c r="E1180">
        <v>2014</v>
      </c>
      <c r="F1180" t="s">
        <v>2189</v>
      </c>
      <c r="G1180" t="s">
        <v>2189</v>
      </c>
      <c r="H1180">
        <v>18</v>
      </c>
      <c r="I1180" s="13" t="s">
        <v>2189</v>
      </c>
      <c r="J1180" s="13" t="s">
        <v>2189</v>
      </c>
      <c r="K1180" s="13" t="s">
        <v>2189</v>
      </c>
    </row>
    <row r="1181" spans="1:11" hidden="1" x14ac:dyDescent="0.25">
      <c r="A1181" t="str">
        <f>_xlfn.XLOOKUP(C1181, 'Códigos DANE Municipios'!$B$2:$B$1123, 'Códigos DANE Municipios'!$A$2:$A$1123, "No encontrado")</f>
        <v>05591</v>
      </c>
      <c r="B1181" t="str">
        <f>IFERROR(VLOOKUP(D1181,APOYO!K:L,2,FALSE),A1181)</f>
        <v>05591</v>
      </c>
      <c r="C1181" t="s">
        <v>174</v>
      </c>
      <c r="D1181" t="str">
        <f>IFERROR(VLOOKUP(C1181,APOYO!J:K,2,FALSE),C1181)</f>
        <v>PUERTO TRIUNFO</v>
      </c>
      <c r="E1181">
        <v>2014</v>
      </c>
      <c r="F1181">
        <v>14</v>
      </c>
      <c r="G1181" t="s">
        <v>2189</v>
      </c>
      <c r="H1181">
        <v>1</v>
      </c>
      <c r="I1181" s="13" t="s">
        <v>2189</v>
      </c>
      <c r="J1181" s="13" t="s">
        <v>2189</v>
      </c>
      <c r="K1181" s="13" t="s">
        <v>2189</v>
      </c>
    </row>
    <row r="1182" spans="1:11" hidden="1" x14ac:dyDescent="0.25">
      <c r="A1182" t="str">
        <f>_xlfn.XLOOKUP(C1182, 'Códigos DANE Municipios'!$B$2:$B$1123, 'Códigos DANE Municipios'!$A$2:$A$1123, "No encontrado")</f>
        <v>68575</v>
      </c>
      <c r="B1182" t="str">
        <f>IFERROR(VLOOKUP(D1182,APOYO!K:L,2,FALSE),A1182)</f>
        <v>68575</v>
      </c>
      <c r="C1182" t="s">
        <v>1774</v>
      </c>
      <c r="D1182" t="str">
        <f>IFERROR(VLOOKUP(C1182,APOYO!J:K,2,FALSE),C1182)</f>
        <v>PUERTO WILCHES</v>
      </c>
      <c r="E1182">
        <v>2014</v>
      </c>
      <c r="F1182">
        <v>0</v>
      </c>
      <c r="G1182" t="s">
        <v>2189</v>
      </c>
      <c r="H1182">
        <v>8</v>
      </c>
      <c r="I1182" s="13" t="s">
        <v>2189</v>
      </c>
      <c r="J1182" s="13" t="s">
        <v>2189</v>
      </c>
      <c r="K1182" s="13" t="s">
        <v>2189</v>
      </c>
    </row>
    <row r="1183" spans="1:11" hidden="1" x14ac:dyDescent="0.25">
      <c r="A1183" t="str">
        <f>_xlfn.XLOOKUP(C1183, 'Códigos DANE Municipios'!$B$2:$B$1123, 'Códigos DANE Municipios'!$A$2:$A$1123, "No encontrado")</f>
        <v>52585</v>
      </c>
      <c r="B1183" t="str">
        <f>IFERROR(VLOOKUP(D1183,APOYO!K:L,2,FALSE),A1183)</f>
        <v>52585</v>
      </c>
      <c r="C1183" t="s">
        <v>1499</v>
      </c>
      <c r="D1183" t="str">
        <f>IFERROR(VLOOKUP(C1183,APOYO!J:K,2,FALSE),C1183)</f>
        <v>PUPIALES</v>
      </c>
      <c r="E1183">
        <v>2014</v>
      </c>
      <c r="F1183" t="s">
        <v>2189</v>
      </c>
      <c r="G1183" t="s">
        <v>2189</v>
      </c>
      <c r="H1183">
        <v>4</v>
      </c>
      <c r="I1183" s="13" t="s">
        <v>2189</v>
      </c>
      <c r="J1183" s="13" t="s">
        <v>2189</v>
      </c>
      <c r="K1183" s="13" t="s">
        <v>2189</v>
      </c>
    </row>
    <row r="1184" spans="1:11" hidden="1" x14ac:dyDescent="0.25">
      <c r="A1184" t="str">
        <f>_xlfn.XLOOKUP(C1184, 'Códigos DANE Municipios'!$B$2:$B$1123, 'Códigos DANE Municipios'!$A$2:$A$1123, "No encontrado")</f>
        <v>19585</v>
      </c>
      <c r="B1184" t="str">
        <f>IFERROR(VLOOKUP(D1184,APOYO!K:L,2,FALSE),A1184)</f>
        <v>19585</v>
      </c>
      <c r="C1184" t="s">
        <v>781</v>
      </c>
      <c r="D1184" t="str">
        <f>IFERROR(VLOOKUP(C1184,APOYO!J:K,2,FALSE),C1184)</f>
        <v>PURACÉ</v>
      </c>
      <c r="E1184">
        <v>2014</v>
      </c>
      <c r="F1184" t="s">
        <v>2189</v>
      </c>
      <c r="G1184" t="s">
        <v>2189</v>
      </c>
      <c r="H1184">
        <v>1</v>
      </c>
      <c r="I1184" s="13" t="s">
        <v>2189</v>
      </c>
      <c r="J1184" s="13" t="s">
        <v>2189</v>
      </c>
      <c r="K1184" s="13" t="s">
        <v>2189</v>
      </c>
    </row>
    <row r="1185" spans="1:11" hidden="1" x14ac:dyDescent="0.25">
      <c r="A1185" t="str">
        <f>_xlfn.XLOOKUP(C1185, 'Códigos DANE Municipios'!$B$2:$B$1123, 'Códigos DANE Municipios'!$A$2:$A$1123, "No encontrado")</f>
        <v>73585</v>
      </c>
      <c r="B1185" t="str">
        <f>IFERROR(VLOOKUP(D1185,APOYO!K:L,2,FALSE),A1185)</f>
        <v>73585</v>
      </c>
      <c r="C1185" t="s">
        <v>1933</v>
      </c>
      <c r="D1185" t="str">
        <f>IFERROR(VLOOKUP(C1185,APOYO!J:K,2,FALSE),C1185)</f>
        <v>PURIFICACIÓN</v>
      </c>
      <c r="E1185">
        <v>2014</v>
      </c>
      <c r="F1185" t="s">
        <v>2189</v>
      </c>
      <c r="G1185" t="s">
        <v>2189</v>
      </c>
      <c r="H1185">
        <v>21</v>
      </c>
      <c r="I1185" s="13" t="s">
        <v>2189</v>
      </c>
      <c r="J1185" s="13" t="s">
        <v>2189</v>
      </c>
      <c r="K1185" s="13" t="s">
        <v>2189</v>
      </c>
    </row>
    <row r="1186" spans="1:11" hidden="1" x14ac:dyDescent="0.25">
      <c r="A1186" t="str">
        <f>_xlfn.XLOOKUP(C1186, 'Códigos DANE Municipios'!$B$2:$B$1123, 'Códigos DANE Municipios'!$A$2:$A$1123, "No encontrado")</f>
        <v>25592</v>
      </c>
      <c r="B1186" t="str">
        <f>IFERROR(VLOOKUP(D1186,APOYO!K:L,2,FALSE),A1186)</f>
        <v>25592</v>
      </c>
      <c r="C1186" t="s">
        <v>1053</v>
      </c>
      <c r="D1186" t="str">
        <f>IFERROR(VLOOKUP(C1186,APOYO!J:K,2,FALSE),C1186)</f>
        <v>QUEBRADANEGRA</v>
      </c>
      <c r="E1186">
        <v>2014</v>
      </c>
      <c r="F1186" t="s">
        <v>2189</v>
      </c>
      <c r="G1186" t="s">
        <v>2189</v>
      </c>
      <c r="H1186">
        <v>1</v>
      </c>
      <c r="I1186" s="13" t="s">
        <v>2189</v>
      </c>
      <c r="J1186" s="13" t="s">
        <v>2189</v>
      </c>
      <c r="K1186" s="13" t="s">
        <v>2189</v>
      </c>
    </row>
    <row r="1187" spans="1:11" hidden="1" x14ac:dyDescent="0.25">
      <c r="A1187" t="str">
        <f>_xlfn.XLOOKUP(C1187, 'Códigos DANE Municipios'!$B$2:$B$1123, 'Códigos DANE Municipios'!$A$2:$A$1123, "No encontrado")</f>
        <v>25594</v>
      </c>
      <c r="B1187" t="str">
        <f>IFERROR(VLOOKUP(D1187,APOYO!K:L,2,FALSE),A1187)</f>
        <v>25594</v>
      </c>
      <c r="C1187" t="s">
        <v>1055</v>
      </c>
      <c r="D1187" t="str">
        <f>IFERROR(VLOOKUP(C1187,APOYO!J:K,2,FALSE),C1187)</f>
        <v>QUETAME</v>
      </c>
      <c r="E1187">
        <v>2014</v>
      </c>
      <c r="F1187" t="s">
        <v>2189</v>
      </c>
      <c r="G1187" t="s">
        <v>2189</v>
      </c>
      <c r="H1187">
        <v>2</v>
      </c>
      <c r="I1187" s="13" t="s">
        <v>2189</v>
      </c>
      <c r="J1187" s="13" t="s">
        <v>2189</v>
      </c>
      <c r="K1187" s="13" t="s">
        <v>2189</v>
      </c>
    </row>
    <row r="1188" spans="1:11" hidden="1" x14ac:dyDescent="0.25">
      <c r="A1188" t="str">
        <f>_xlfn.XLOOKUP(C1188, 'Códigos DANE Municipios'!$B$2:$B$1123, 'Códigos DANE Municipios'!$A$2:$A$1123, "No encontrado")</f>
        <v>27001</v>
      </c>
      <c r="B1188" t="str">
        <f>IFERROR(VLOOKUP(D1188,APOYO!K:L,2,FALSE),A1188)</f>
        <v>27001</v>
      </c>
      <c r="C1188" t="s">
        <v>1142</v>
      </c>
      <c r="D1188" t="str">
        <f>IFERROR(VLOOKUP(C1188,APOYO!J:K,2,FALSE),C1188)</f>
        <v>QUIBDÓ</v>
      </c>
      <c r="E1188">
        <v>2014</v>
      </c>
      <c r="F1188">
        <v>174158</v>
      </c>
      <c r="G1188">
        <v>3</v>
      </c>
      <c r="H1188">
        <v>214</v>
      </c>
      <c r="I1188" s="13" t="s">
        <v>2189</v>
      </c>
      <c r="J1188" s="13" t="s">
        <v>2189</v>
      </c>
      <c r="K1188" s="13" t="s">
        <v>2189</v>
      </c>
    </row>
    <row r="1189" spans="1:11" hidden="1" x14ac:dyDescent="0.25">
      <c r="A1189" t="str">
        <f>_xlfn.XLOOKUP(C1189, 'Códigos DANE Municipios'!$B$2:$B$1123, 'Códigos DANE Municipios'!$A$2:$A$1123, "No encontrado")</f>
        <v>63594</v>
      </c>
      <c r="B1189" t="str">
        <f>IFERROR(VLOOKUP(D1189,APOYO!K:L,2,FALSE),A1189)</f>
        <v>63594</v>
      </c>
      <c r="C1189" t="s">
        <v>1624</v>
      </c>
      <c r="D1189" t="str">
        <f>IFERROR(VLOOKUP(C1189,APOYO!J:K,2,FALSE),C1189)</f>
        <v>QUIMBAYA</v>
      </c>
      <c r="E1189">
        <v>2014</v>
      </c>
      <c r="F1189" t="s">
        <v>2189</v>
      </c>
      <c r="G1189" t="s">
        <v>2189</v>
      </c>
      <c r="H1189">
        <v>245</v>
      </c>
      <c r="I1189" s="13" t="s">
        <v>2189</v>
      </c>
      <c r="J1189" s="13" t="s">
        <v>2189</v>
      </c>
      <c r="K1189" s="13" t="s">
        <v>2189</v>
      </c>
    </row>
    <row r="1190" spans="1:11" hidden="1" x14ac:dyDescent="0.25">
      <c r="A1190" t="str">
        <f>_xlfn.XLOOKUP(C1190, 'Códigos DANE Municipios'!$B$2:$B$1123, 'Códigos DANE Municipios'!$A$2:$A$1123, "No encontrado")</f>
        <v>66594</v>
      </c>
      <c r="B1190" t="str">
        <f>IFERROR(VLOOKUP(D1190,APOYO!K:L,2,FALSE),A1190)</f>
        <v>66594</v>
      </c>
      <c r="C1190" t="s">
        <v>1649</v>
      </c>
      <c r="D1190" t="str">
        <f>IFERROR(VLOOKUP(C1190,APOYO!J:K,2,FALSE),C1190)</f>
        <v>QUINCHÍA</v>
      </c>
      <c r="E1190">
        <v>2014</v>
      </c>
      <c r="F1190" t="s">
        <v>2189</v>
      </c>
      <c r="G1190" t="s">
        <v>2189</v>
      </c>
      <c r="H1190">
        <v>15</v>
      </c>
      <c r="I1190" s="13" t="s">
        <v>2189</v>
      </c>
      <c r="J1190" s="13" t="s">
        <v>2189</v>
      </c>
      <c r="K1190" s="13" t="s">
        <v>2189</v>
      </c>
    </row>
    <row r="1191" spans="1:11" hidden="1" x14ac:dyDescent="0.25">
      <c r="A1191" t="str">
        <f>_xlfn.XLOOKUP(C1191, 'Códigos DANE Municipios'!$B$2:$B$1123, 'Códigos DANE Municipios'!$A$2:$A$1123, "No encontrado")</f>
        <v>15580</v>
      </c>
      <c r="B1191" t="str">
        <f>IFERROR(VLOOKUP(D1191,APOYO!K:L,2,FALSE),A1191)</f>
        <v>15580</v>
      </c>
      <c r="C1191" t="s">
        <v>546</v>
      </c>
      <c r="D1191" t="str">
        <f>IFERROR(VLOOKUP(C1191,APOYO!J:K,2,FALSE),C1191)</f>
        <v>QUÍPAMA</v>
      </c>
      <c r="E1191">
        <v>2014</v>
      </c>
      <c r="F1191">
        <v>264</v>
      </c>
      <c r="G1191" t="s">
        <v>2189</v>
      </c>
      <c r="H1191" t="s">
        <v>2189</v>
      </c>
      <c r="I1191" s="13" t="s">
        <v>2189</v>
      </c>
      <c r="J1191" s="13" t="s">
        <v>2189</v>
      </c>
      <c r="K1191" s="13" t="s">
        <v>2189</v>
      </c>
    </row>
    <row r="1192" spans="1:11" hidden="1" x14ac:dyDescent="0.25">
      <c r="A1192" t="str">
        <f>_xlfn.XLOOKUP(C1192, 'Códigos DANE Municipios'!$B$2:$B$1123, 'Códigos DANE Municipios'!$A$2:$A$1123, "No encontrado")</f>
        <v>25596</v>
      </c>
      <c r="B1192" t="str">
        <f>IFERROR(VLOOKUP(D1192,APOYO!K:L,2,FALSE),A1192)</f>
        <v>25596</v>
      </c>
      <c r="C1192" t="s">
        <v>1057</v>
      </c>
      <c r="D1192" t="str">
        <f>IFERROR(VLOOKUP(C1192,APOYO!J:K,2,FALSE),C1192)</f>
        <v>QUIPILE</v>
      </c>
      <c r="E1192">
        <v>2014</v>
      </c>
      <c r="F1192" t="s">
        <v>2189</v>
      </c>
      <c r="G1192" t="s">
        <v>2189</v>
      </c>
      <c r="H1192">
        <v>2</v>
      </c>
      <c r="I1192" s="13" t="s">
        <v>2189</v>
      </c>
      <c r="J1192" s="13" t="s">
        <v>2189</v>
      </c>
      <c r="K1192" s="13" t="s">
        <v>2189</v>
      </c>
    </row>
    <row r="1193" spans="1:11" hidden="1" x14ac:dyDescent="0.25">
      <c r="A1193" t="str">
        <f>_xlfn.XLOOKUP(C1193, 'Códigos DANE Municipios'!$B$2:$B$1123, 'Códigos DANE Municipios'!$A$2:$A$1123, "No encontrado")</f>
        <v>81794</v>
      </c>
      <c r="B1193" t="str">
        <f>IFERROR(VLOOKUP(D1193,APOYO!K:L,2,FALSE),A1193)</f>
        <v>81794</v>
      </c>
      <c r="C1193" t="s">
        <v>2046</v>
      </c>
      <c r="D1193" t="str">
        <f>IFERROR(VLOOKUP(C1193,APOYO!J:K,2,FALSE),C1193)</f>
        <v>TAME</v>
      </c>
      <c r="E1193">
        <v>2014</v>
      </c>
      <c r="F1193" t="s">
        <v>2189</v>
      </c>
      <c r="G1193" t="s">
        <v>2189</v>
      </c>
      <c r="H1193">
        <v>3</v>
      </c>
      <c r="I1193" s="13" t="s">
        <v>2189</v>
      </c>
      <c r="J1193" s="13" t="s">
        <v>2189</v>
      </c>
      <c r="K1193" s="13" t="s">
        <v>2189</v>
      </c>
    </row>
    <row r="1194" spans="1:11" hidden="1" x14ac:dyDescent="0.25">
      <c r="A1194" t="str">
        <f>_xlfn.XLOOKUP(C1194, 'Códigos DANE Municipios'!$B$2:$B$1123, 'Códigos DANE Municipios'!$A$2:$A$1123, "No encontrado")</f>
        <v>15599</v>
      </c>
      <c r="B1194" t="str">
        <f>IFERROR(VLOOKUP(D1194,APOYO!K:L,2,FALSE),A1194)</f>
        <v>15599</v>
      </c>
      <c r="C1194" t="s">
        <v>548</v>
      </c>
      <c r="D1194" t="str">
        <f>IFERROR(VLOOKUP(C1194,APOYO!J:K,2,FALSE),C1194)</f>
        <v>RAMIRIQUÍ</v>
      </c>
      <c r="E1194">
        <v>2014</v>
      </c>
      <c r="F1194" t="s">
        <v>2189</v>
      </c>
      <c r="G1194" t="s">
        <v>2189</v>
      </c>
      <c r="H1194">
        <v>2</v>
      </c>
      <c r="I1194" s="13" t="s">
        <v>2189</v>
      </c>
      <c r="J1194" s="13" t="s">
        <v>2189</v>
      </c>
      <c r="K1194" s="13" t="s">
        <v>2189</v>
      </c>
    </row>
    <row r="1195" spans="1:11" hidden="1" x14ac:dyDescent="0.25">
      <c r="A1195" t="str">
        <f>_xlfn.XLOOKUP(C1195, 'Códigos DANE Municipios'!$B$2:$B$1123, 'Códigos DANE Municipios'!$A$2:$A$1123, "No encontrado")</f>
        <v>15600</v>
      </c>
      <c r="B1195" t="str">
        <f>IFERROR(VLOOKUP(D1195,APOYO!K:L,2,FALSE),A1195)</f>
        <v>15600</v>
      </c>
      <c r="C1195" t="s">
        <v>550</v>
      </c>
      <c r="D1195" t="str">
        <f>IFERROR(VLOOKUP(C1195,APOYO!J:K,2,FALSE),C1195)</f>
        <v>RÁQUIRA</v>
      </c>
      <c r="E1195">
        <v>2014</v>
      </c>
      <c r="F1195" t="s">
        <v>2189</v>
      </c>
      <c r="G1195" t="s">
        <v>2189</v>
      </c>
      <c r="H1195">
        <v>16</v>
      </c>
      <c r="I1195" s="13" t="s">
        <v>2189</v>
      </c>
      <c r="J1195" s="13" t="s">
        <v>2189</v>
      </c>
      <c r="K1195" s="13" t="s">
        <v>2189</v>
      </c>
    </row>
    <row r="1196" spans="1:11" hidden="1" x14ac:dyDescent="0.25">
      <c r="A1196" t="str">
        <f>_xlfn.XLOOKUP(C1196, 'Códigos DANE Municipios'!$B$2:$B$1123, 'Códigos DANE Municipios'!$A$2:$A$1123, "No encontrado")</f>
        <v>05604</v>
      </c>
      <c r="B1196" t="str">
        <f>IFERROR(VLOOKUP(D1196,APOYO!K:L,2,FALSE),A1196)</f>
        <v>05604</v>
      </c>
      <c r="C1196" t="s">
        <v>176</v>
      </c>
      <c r="D1196" t="str">
        <f>IFERROR(VLOOKUP(C1196,APOYO!J:K,2,FALSE),C1196)</f>
        <v>REMEDIOS</v>
      </c>
      <c r="E1196">
        <v>2014</v>
      </c>
      <c r="F1196">
        <v>478</v>
      </c>
      <c r="G1196" t="s">
        <v>2189</v>
      </c>
      <c r="H1196">
        <v>2</v>
      </c>
      <c r="I1196" s="13" t="s">
        <v>2189</v>
      </c>
      <c r="J1196" s="13" t="s">
        <v>2189</v>
      </c>
      <c r="K1196" s="13" t="s">
        <v>2189</v>
      </c>
    </row>
    <row r="1197" spans="1:11" hidden="1" x14ac:dyDescent="0.25">
      <c r="A1197" t="str">
        <f>_xlfn.XLOOKUP(C1197, 'Códigos DANE Municipios'!$B$2:$B$1123, 'Códigos DANE Municipios'!$A$2:$A$1123, "No encontrado")</f>
        <v>50606</v>
      </c>
      <c r="B1197" t="str">
        <f>IFERROR(VLOOKUP(D1197,APOYO!K:L,2,FALSE),A1197)</f>
        <v>50606</v>
      </c>
      <c r="C1197" t="s">
        <v>1401</v>
      </c>
      <c r="D1197" t="str">
        <f>IFERROR(VLOOKUP(C1197,APOYO!J:K,2,FALSE),C1197)</f>
        <v>RESTREPO</v>
      </c>
      <c r="E1197">
        <v>2014</v>
      </c>
      <c r="F1197" t="s">
        <v>2189</v>
      </c>
      <c r="G1197" t="s">
        <v>2189</v>
      </c>
      <c r="H1197">
        <v>26</v>
      </c>
      <c r="I1197" s="13" t="s">
        <v>2189</v>
      </c>
      <c r="J1197" s="13" t="s">
        <v>2189</v>
      </c>
      <c r="K1197" s="13" t="s">
        <v>2189</v>
      </c>
    </row>
    <row r="1198" spans="1:11" hidden="1" x14ac:dyDescent="0.25">
      <c r="A1198" t="str">
        <f>_xlfn.XLOOKUP(C1198, 'Códigos DANE Municipios'!$B$2:$B$1123, 'Códigos DANE Municipios'!$A$2:$A$1123, "No encontrado")</f>
        <v>05607</v>
      </c>
      <c r="B1198" t="str">
        <f>IFERROR(VLOOKUP(D1198,APOYO!K:L,2,FALSE),A1198)</f>
        <v>05607</v>
      </c>
      <c r="C1198" t="s">
        <v>178</v>
      </c>
      <c r="D1198" t="str">
        <f>IFERROR(VLOOKUP(C1198,APOYO!J:K,2,FALSE),C1198)</f>
        <v>RETIRO</v>
      </c>
      <c r="E1198">
        <v>2014</v>
      </c>
      <c r="F1198" t="s">
        <v>2189</v>
      </c>
      <c r="G1198" t="s">
        <v>2189</v>
      </c>
      <c r="H1198">
        <v>44</v>
      </c>
      <c r="I1198" t="s">
        <v>2189</v>
      </c>
      <c r="J1198" s="13" t="s">
        <v>2189</v>
      </c>
      <c r="K1198" s="13" t="s">
        <v>2189</v>
      </c>
    </row>
    <row r="1199" spans="1:11" hidden="1" x14ac:dyDescent="0.25">
      <c r="A1199" t="str">
        <f>_xlfn.XLOOKUP(C1199, 'Códigos DANE Municipios'!$B$2:$B$1123, 'Códigos DANE Municipios'!$A$2:$A$1123, "No encontrado")</f>
        <v>25612</v>
      </c>
      <c r="B1199" t="str">
        <f>IFERROR(VLOOKUP(D1199,APOYO!K:L,2,FALSE),A1199)</f>
        <v>25612</v>
      </c>
      <c r="C1199" t="s">
        <v>1061</v>
      </c>
      <c r="D1199" t="str">
        <f>IFERROR(VLOOKUP(C1199,APOYO!J:K,2,FALSE),C1199)</f>
        <v>RICAURTE</v>
      </c>
      <c r="E1199">
        <v>2014</v>
      </c>
      <c r="F1199" t="s">
        <v>2189</v>
      </c>
      <c r="G1199" t="s">
        <v>2189</v>
      </c>
      <c r="H1199">
        <v>15</v>
      </c>
      <c r="I1199" s="13" t="s">
        <v>2189</v>
      </c>
      <c r="J1199" s="13" t="s">
        <v>2189</v>
      </c>
      <c r="K1199" s="13" t="s">
        <v>2189</v>
      </c>
    </row>
    <row r="1200" spans="1:11" hidden="1" x14ac:dyDescent="0.25">
      <c r="A1200" t="str">
        <f>_xlfn.XLOOKUP(C1200, 'Códigos DANE Municipios'!$B$2:$B$1123, 'Códigos DANE Municipios'!$A$2:$A$1123, "No encontrado")</f>
        <v>20614</v>
      </c>
      <c r="B1200" t="str">
        <f>IFERROR(VLOOKUP(D1200,APOYO!K:L,2,FALSE),A1200)</f>
        <v>20614</v>
      </c>
      <c r="C1200" t="s">
        <v>846</v>
      </c>
      <c r="D1200" t="str">
        <f>IFERROR(VLOOKUP(C1200,APOYO!J:K,2,FALSE),C1200)</f>
        <v>RÍO DE ORO</v>
      </c>
      <c r="E1200">
        <v>2014</v>
      </c>
      <c r="F1200">
        <v>4</v>
      </c>
      <c r="G1200" t="s">
        <v>2189</v>
      </c>
      <c r="H1200">
        <v>4</v>
      </c>
      <c r="I1200" s="13" t="s">
        <v>2189</v>
      </c>
      <c r="J1200" s="13" t="s">
        <v>2189</v>
      </c>
      <c r="K1200" s="13" t="s">
        <v>2189</v>
      </c>
    </row>
    <row r="1201" spans="1:11" hidden="1" x14ac:dyDescent="0.25">
      <c r="A1201" t="str">
        <f>_xlfn.XLOOKUP(C1201, 'Códigos DANE Municipios'!$B$2:$B$1123, 'Códigos DANE Municipios'!$A$2:$A$1123, "No encontrado")</f>
        <v>76616</v>
      </c>
      <c r="B1201" t="str">
        <f>IFERROR(VLOOKUP(D1201,APOYO!K:L,2,FALSE),A1201)</f>
        <v>76616</v>
      </c>
      <c r="C1201" t="s">
        <v>2009</v>
      </c>
      <c r="D1201" t="str">
        <f>IFERROR(VLOOKUP(C1201,APOYO!J:K,2,FALSE),C1201)</f>
        <v>RIOFRÍO</v>
      </c>
      <c r="E1201">
        <v>2014</v>
      </c>
      <c r="F1201" t="s">
        <v>2189</v>
      </c>
      <c r="G1201" t="s">
        <v>2189</v>
      </c>
      <c r="H1201">
        <v>8</v>
      </c>
      <c r="I1201" s="13" t="s">
        <v>2189</v>
      </c>
      <c r="J1201" s="13" t="s">
        <v>2189</v>
      </c>
      <c r="K1201" s="13" t="s">
        <v>2189</v>
      </c>
    </row>
    <row r="1202" spans="1:11" hidden="1" x14ac:dyDescent="0.25">
      <c r="A1202" t="str">
        <f>_xlfn.XLOOKUP(C1202, 'Códigos DANE Municipios'!$B$2:$B$1123, 'Códigos DANE Municipios'!$A$2:$A$1123, "No encontrado")</f>
        <v>44001</v>
      </c>
      <c r="B1202" t="str">
        <f>IFERROR(VLOOKUP(D1202,APOYO!K:L,2,FALSE),A1202)</f>
        <v>44001</v>
      </c>
      <c r="C1202" t="s">
        <v>1272</v>
      </c>
      <c r="D1202" t="str">
        <f>IFERROR(VLOOKUP(C1202,APOYO!J:K,2,FALSE),C1202)</f>
        <v>RIOHACHA</v>
      </c>
      <c r="E1202">
        <v>2014</v>
      </c>
      <c r="F1202">
        <v>66541</v>
      </c>
      <c r="G1202">
        <v>839</v>
      </c>
      <c r="H1202">
        <v>811</v>
      </c>
      <c r="I1202" s="13">
        <v>7690</v>
      </c>
      <c r="J1202" s="13" t="s">
        <v>2189</v>
      </c>
      <c r="K1202" s="13" t="s">
        <v>2189</v>
      </c>
    </row>
    <row r="1203" spans="1:11" hidden="1" x14ac:dyDescent="0.25">
      <c r="A1203" t="str">
        <f>_xlfn.XLOOKUP(C1203, 'Códigos DANE Municipios'!$B$2:$B$1123, 'Códigos DANE Municipios'!$A$2:$A$1123, "No encontrado")</f>
        <v>05615</v>
      </c>
      <c r="B1203" t="str">
        <f>IFERROR(VLOOKUP(D1203,APOYO!K:L,2,FALSE),A1203)</f>
        <v>05615</v>
      </c>
      <c r="C1203" t="s">
        <v>180</v>
      </c>
      <c r="D1203" t="str">
        <f>IFERROR(VLOOKUP(C1203,APOYO!J:K,2,FALSE),C1203)</f>
        <v>RIONEGRO</v>
      </c>
      <c r="E1203">
        <v>2014</v>
      </c>
      <c r="F1203">
        <v>2512496</v>
      </c>
      <c r="G1203">
        <v>592878</v>
      </c>
      <c r="H1203">
        <v>929</v>
      </c>
      <c r="I1203" s="13" t="s">
        <v>2189</v>
      </c>
      <c r="J1203" s="13" t="s">
        <v>2189</v>
      </c>
      <c r="K1203" s="13" t="s">
        <v>2189</v>
      </c>
    </row>
    <row r="1204" spans="1:11" hidden="1" x14ac:dyDescent="0.25">
      <c r="A1204" t="str">
        <f>_xlfn.XLOOKUP(C1204, 'Códigos DANE Municipios'!$B$2:$B$1123, 'Códigos DANE Municipios'!$A$2:$A$1123, "No encontrado")</f>
        <v>17614</v>
      </c>
      <c r="B1204" t="str">
        <f>IFERROR(VLOOKUP(D1204,APOYO!K:L,2,FALSE),A1204)</f>
        <v>17614</v>
      </c>
      <c r="C1204" t="s">
        <v>680</v>
      </c>
      <c r="D1204" t="str">
        <f>IFERROR(VLOOKUP(C1204,APOYO!J:K,2,FALSE),C1204)</f>
        <v>RIOSUCIO</v>
      </c>
      <c r="E1204">
        <v>2014</v>
      </c>
      <c r="F1204">
        <v>7</v>
      </c>
      <c r="G1204" t="s">
        <v>2189</v>
      </c>
      <c r="H1204">
        <v>56</v>
      </c>
      <c r="I1204" s="13" t="s">
        <v>2189</v>
      </c>
      <c r="J1204" s="13" t="s">
        <v>2189</v>
      </c>
      <c r="K1204" s="13" t="s">
        <v>2189</v>
      </c>
    </row>
    <row r="1205" spans="1:11" hidden="1" x14ac:dyDescent="0.25">
      <c r="A1205" t="str">
        <f>_xlfn.XLOOKUP(C1205, 'Códigos DANE Municipios'!$B$2:$B$1123, 'Códigos DANE Municipios'!$A$2:$A$1123, "No encontrado")</f>
        <v>17616</v>
      </c>
      <c r="B1205" t="str">
        <f>IFERROR(VLOOKUP(D1205,APOYO!K:L,2,FALSE),A1205)</f>
        <v>17616</v>
      </c>
      <c r="C1205" t="s">
        <v>682</v>
      </c>
      <c r="D1205" t="str">
        <f>IFERROR(VLOOKUP(C1205,APOYO!J:K,2,FALSE),C1205)</f>
        <v>RISARALDA</v>
      </c>
      <c r="E1205">
        <v>2014</v>
      </c>
      <c r="F1205" t="s">
        <v>2189</v>
      </c>
      <c r="G1205" t="s">
        <v>2189</v>
      </c>
      <c r="H1205">
        <v>11</v>
      </c>
      <c r="I1205" s="13" t="s">
        <v>2189</v>
      </c>
      <c r="J1205" s="13" t="s">
        <v>2189</v>
      </c>
      <c r="K1205" s="13" t="s">
        <v>2189</v>
      </c>
    </row>
    <row r="1206" spans="1:11" hidden="1" x14ac:dyDescent="0.25">
      <c r="A1206" t="str">
        <f>_xlfn.XLOOKUP(C1206, 'Códigos DANE Municipios'!$B$2:$B$1123, 'Códigos DANE Municipios'!$A$2:$A$1123, "No encontrado")</f>
        <v>41615</v>
      </c>
      <c r="B1206" t="str">
        <f>IFERROR(VLOOKUP(D1206,APOYO!K:L,2,FALSE),A1206)</f>
        <v>41615</v>
      </c>
      <c r="C1206" t="s">
        <v>1249</v>
      </c>
      <c r="D1206" t="str">
        <f>IFERROR(VLOOKUP(C1206,APOYO!J:K,2,FALSE),C1206)</f>
        <v>RIVERA</v>
      </c>
      <c r="E1206">
        <v>2014</v>
      </c>
      <c r="F1206" t="s">
        <v>2189</v>
      </c>
      <c r="G1206" t="s">
        <v>2189</v>
      </c>
      <c r="H1206">
        <v>14</v>
      </c>
      <c r="I1206" s="13" t="s">
        <v>2189</v>
      </c>
      <c r="J1206" s="13" t="s">
        <v>2189</v>
      </c>
      <c r="K1206" s="13" t="s">
        <v>2189</v>
      </c>
    </row>
    <row r="1207" spans="1:11" hidden="1" x14ac:dyDescent="0.25">
      <c r="A1207" t="str">
        <f>_xlfn.XLOOKUP(C1207, 'Códigos DANE Municipios'!$B$2:$B$1123, 'Códigos DANE Municipios'!$A$2:$A$1123, "No encontrado")</f>
        <v>20621</v>
      </c>
      <c r="B1207" t="str">
        <f>IFERROR(VLOOKUP(D1207,APOYO!K:L,2,FALSE),A1207)</f>
        <v>20621</v>
      </c>
      <c r="C1207" t="s">
        <v>848</v>
      </c>
      <c r="D1207" t="str">
        <f>IFERROR(VLOOKUP(C1207,APOYO!J:K,2,FALSE),C1207)</f>
        <v>LA PAZ</v>
      </c>
      <c r="E1207">
        <v>2014</v>
      </c>
      <c r="F1207" t="s">
        <v>2189</v>
      </c>
      <c r="G1207" t="s">
        <v>2189</v>
      </c>
      <c r="H1207">
        <v>9</v>
      </c>
      <c r="I1207" s="13" t="s">
        <v>2189</v>
      </c>
      <c r="J1207" s="13" t="s">
        <v>2189</v>
      </c>
      <c r="K1207" s="13" t="s">
        <v>2189</v>
      </c>
    </row>
    <row r="1208" spans="1:11" hidden="1" x14ac:dyDescent="0.25">
      <c r="A1208" t="str">
        <f>_xlfn.XLOOKUP(C1208, 'Códigos DANE Municipios'!$B$2:$B$1123, 'Códigos DANE Municipios'!$A$2:$A$1123, "No encontrado")</f>
        <v>76622</v>
      </c>
      <c r="B1208" t="str">
        <f>IFERROR(VLOOKUP(D1208,APOYO!K:L,2,FALSE),A1208)</f>
        <v>76622</v>
      </c>
      <c r="C1208" t="s">
        <v>2011</v>
      </c>
      <c r="D1208" t="str">
        <f>IFERROR(VLOOKUP(C1208,APOYO!J:K,2,FALSE),C1208)</f>
        <v>ROLDANILLO</v>
      </c>
      <c r="E1208">
        <v>2014</v>
      </c>
      <c r="F1208">
        <v>63</v>
      </c>
      <c r="G1208" t="s">
        <v>2189</v>
      </c>
      <c r="H1208">
        <v>224</v>
      </c>
      <c r="I1208" s="13" t="s">
        <v>2189</v>
      </c>
      <c r="J1208" s="13" t="s">
        <v>2189</v>
      </c>
      <c r="K1208" s="13" t="s">
        <v>2189</v>
      </c>
    </row>
    <row r="1209" spans="1:11" hidden="1" x14ac:dyDescent="0.25">
      <c r="A1209" t="str">
        <f>_xlfn.XLOOKUP(C1209, 'Códigos DANE Municipios'!$B$2:$B$1123, 'Códigos DANE Municipios'!$A$2:$A$1123, "No encontrado")</f>
        <v>73622</v>
      </c>
      <c r="B1209" t="str">
        <f>IFERROR(VLOOKUP(D1209,APOYO!K:L,2,FALSE),A1209)</f>
        <v>73622</v>
      </c>
      <c r="C1209" t="s">
        <v>1937</v>
      </c>
      <c r="D1209" t="str">
        <f>IFERROR(VLOOKUP(C1209,APOYO!J:K,2,FALSE),C1209)</f>
        <v>RONCESVALLES</v>
      </c>
      <c r="E1209">
        <v>2014</v>
      </c>
      <c r="F1209" t="s">
        <v>2189</v>
      </c>
      <c r="G1209" t="s">
        <v>2189</v>
      </c>
      <c r="H1209">
        <v>1</v>
      </c>
      <c r="I1209" s="13" t="s">
        <v>2189</v>
      </c>
      <c r="J1209" s="13" t="s">
        <v>2189</v>
      </c>
      <c r="K1209" s="13" t="s">
        <v>2189</v>
      </c>
    </row>
    <row r="1210" spans="1:11" hidden="1" x14ac:dyDescent="0.25">
      <c r="A1210" t="str">
        <f>_xlfn.XLOOKUP(C1210, 'Códigos DANE Municipios'!$B$2:$B$1123, 'Códigos DANE Municipios'!$A$2:$A$1123, "No encontrado")</f>
        <v>73624</v>
      </c>
      <c r="B1210" t="str">
        <f>IFERROR(VLOOKUP(D1210,APOYO!K:L,2,FALSE),A1210)</f>
        <v>73624</v>
      </c>
      <c r="C1210" t="s">
        <v>1939</v>
      </c>
      <c r="D1210" t="str">
        <f>IFERROR(VLOOKUP(C1210,APOYO!J:K,2,FALSE),C1210)</f>
        <v>ROVIRA</v>
      </c>
      <c r="E1210">
        <v>2014</v>
      </c>
      <c r="F1210" t="s">
        <v>2189</v>
      </c>
      <c r="G1210" t="s">
        <v>2189</v>
      </c>
      <c r="H1210">
        <v>1</v>
      </c>
      <c r="I1210" s="13" t="s">
        <v>2189</v>
      </c>
      <c r="J1210" s="13" t="s">
        <v>2189</v>
      </c>
      <c r="K1210" s="13" t="s">
        <v>2189</v>
      </c>
    </row>
    <row r="1211" spans="1:11" hidden="1" x14ac:dyDescent="0.25">
      <c r="A1211" t="str">
        <f>_xlfn.XLOOKUP(C1211, 'Códigos DANE Municipios'!$B$2:$B$1123, 'Códigos DANE Municipios'!$A$2:$A$1123, "No encontrado")</f>
        <v>68655</v>
      </c>
      <c r="B1211" t="str">
        <f>IFERROR(VLOOKUP(D1211,APOYO!K:L,2,FALSE),A1211)</f>
        <v>68655</v>
      </c>
      <c r="C1211" t="s">
        <v>1777</v>
      </c>
      <c r="D1211" t="str">
        <f>IFERROR(VLOOKUP(C1211,APOYO!J:K,2,FALSE),C1211)</f>
        <v>SABANA DE TORRES</v>
      </c>
      <c r="E1211">
        <v>2014</v>
      </c>
      <c r="F1211" t="s">
        <v>2189</v>
      </c>
      <c r="G1211" t="s">
        <v>2189</v>
      </c>
      <c r="H1211">
        <v>5</v>
      </c>
      <c r="I1211" s="13" t="s">
        <v>2189</v>
      </c>
      <c r="J1211" s="13" t="s">
        <v>2189</v>
      </c>
      <c r="K1211" s="13" t="s">
        <v>2189</v>
      </c>
    </row>
    <row r="1212" spans="1:11" hidden="1" x14ac:dyDescent="0.25">
      <c r="A1212" t="str">
        <f>_xlfn.XLOOKUP(C1212, 'Códigos DANE Municipios'!$B$2:$B$1123, 'Códigos DANE Municipios'!$A$2:$A$1123, "No encontrado")</f>
        <v>08634</v>
      </c>
      <c r="B1212" t="str">
        <f>IFERROR(VLOOKUP(D1212,APOYO!K:L,2,FALSE),A1212)</f>
        <v>08634</v>
      </c>
      <c r="C1212" t="s">
        <v>292</v>
      </c>
      <c r="D1212" t="str">
        <f>IFERROR(VLOOKUP(C1212,APOYO!J:K,2,FALSE),C1212)</f>
        <v>SABANAGRANDE</v>
      </c>
      <c r="E1212">
        <v>2014</v>
      </c>
      <c r="F1212" t="s">
        <v>2189</v>
      </c>
      <c r="G1212" t="s">
        <v>2189</v>
      </c>
      <c r="H1212">
        <v>16</v>
      </c>
      <c r="I1212" s="13" t="s">
        <v>2189</v>
      </c>
      <c r="J1212" s="13" t="s">
        <v>2189</v>
      </c>
      <c r="K1212" s="13" t="s">
        <v>2189</v>
      </c>
    </row>
    <row r="1213" spans="1:11" hidden="1" x14ac:dyDescent="0.25">
      <c r="A1213" t="str">
        <f>_xlfn.XLOOKUP(C1213, 'Códigos DANE Municipios'!$B$2:$B$1123, 'Códigos DANE Municipios'!$A$2:$A$1123, "No encontrado")</f>
        <v>05628</v>
      </c>
      <c r="B1213" t="str">
        <f>IFERROR(VLOOKUP(D1213,APOYO!K:L,2,FALSE),A1213)</f>
        <v>05628</v>
      </c>
      <c r="C1213" t="s">
        <v>182</v>
      </c>
      <c r="D1213" t="str">
        <f>IFERROR(VLOOKUP(C1213,APOYO!J:K,2,FALSE),C1213)</f>
        <v>SABANALARGA</v>
      </c>
      <c r="E1213">
        <v>2014</v>
      </c>
      <c r="F1213">
        <v>7</v>
      </c>
      <c r="G1213" t="s">
        <v>2189</v>
      </c>
      <c r="H1213">
        <v>36</v>
      </c>
      <c r="I1213" s="13" t="s">
        <v>2189</v>
      </c>
      <c r="J1213" s="13" t="s">
        <v>2189</v>
      </c>
      <c r="K1213" s="13" t="s">
        <v>2189</v>
      </c>
    </row>
    <row r="1214" spans="1:11" hidden="1" x14ac:dyDescent="0.25">
      <c r="A1214" t="str">
        <f>_xlfn.XLOOKUP(C1214, 'Códigos DANE Municipios'!$B$2:$B$1123, 'Códigos DANE Municipios'!$A$2:$A$1123, "No encontrado")</f>
        <v>05631</v>
      </c>
      <c r="B1214" t="str">
        <f>IFERROR(VLOOKUP(D1214,APOYO!K:L,2,FALSE),A1214)</f>
        <v>05631</v>
      </c>
      <c r="C1214" t="s">
        <v>184</v>
      </c>
      <c r="D1214" t="str">
        <f>IFERROR(VLOOKUP(C1214,APOYO!J:K,2,FALSE),C1214)</f>
        <v>SABANETA</v>
      </c>
      <c r="E1214">
        <v>2014</v>
      </c>
      <c r="F1214" t="s">
        <v>2189</v>
      </c>
      <c r="G1214" t="s">
        <v>2189</v>
      </c>
      <c r="H1214">
        <v>223</v>
      </c>
      <c r="I1214" s="13" t="s">
        <v>2189</v>
      </c>
      <c r="J1214" s="13" t="s">
        <v>2189</v>
      </c>
      <c r="K1214" s="13" t="s">
        <v>2189</v>
      </c>
    </row>
    <row r="1215" spans="1:11" hidden="1" x14ac:dyDescent="0.25">
      <c r="A1215" t="str">
        <f>_xlfn.XLOOKUP(C1215, 'Códigos DANE Municipios'!$B$2:$B$1123, 'Códigos DANE Municipios'!$A$2:$A$1123, "No encontrado")</f>
        <v>15632</v>
      </c>
      <c r="B1215" t="str">
        <f>IFERROR(VLOOKUP(D1215,APOYO!K:L,2,FALSE),A1215)</f>
        <v>15632</v>
      </c>
      <c r="C1215" t="s">
        <v>554</v>
      </c>
      <c r="D1215" t="str">
        <f>IFERROR(VLOOKUP(C1215,APOYO!J:K,2,FALSE),C1215)</f>
        <v>SABOYÁ</v>
      </c>
      <c r="E1215">
        <v>2014</v>
      </c>
      <c r="F1215" t="s">
        <v>2189</v>
      </c>
      <c r="G1215" t="s">
        <v>2189</v>
      </c>
      <c r="H1215">
        <v>1</v>
      </c>
      <c r="I1215" s="13" t="s">
        <v>2189</v>
      </c>
      <c r="J1215" s="13" t="s">
        <v>2189</v>
      </c>
      <c r="K1215" s="13" t="s">
        <v>2189</v>
      </c>
    </row>
    <row r="1216" spans="1:11" hidden="1" x14ac:dyDescent="0.25">
      <c r="A1216" t="str">
        <f>_xlfn.XLOOKUP(C1216, 'Códigos DANE Municipios'!$B$2:$B$1123, 'Códigos DANE Municipios'!$A$2:$A$1123, "No encontrado")</f>
        <v>15638</v>
      </c>
      <c r="B1216" t="str">
        <f>IFERROR(VLOOKUP(D1216,APOYO!K:L,2,FALSE),A1216)</f>
        <v>15638</v>
      </c>
      <c r="C1216" t="s">
        <v>556</v>
      </c>
      <c r="D1216" t="str">
        <f>IFERROR(VLOOKUP(C1216,APOYO!J:K,2,FALSE),C1216)</f>
        <v>SÁCHICA</v>
      </c>
      <c r="E1216">
        <v>2014</v>
      </c>
      <c r="F1216" t="s">
        <v>2189</v>
      </c>
      <c r="G1216" t="s">
        <v>2189</v>
      </c>
      <c r="H1216">
        <v>2</v>
      </c>
      <c r="I1216" s="13" t="s">
        <v>2189</v>
      </c>
      <c r="J1216" s="13" t="s">
        <v>2189</v>
      </c>
      <c r="K1216" s="13" t="s">
        <v>2189</v>
      </c>
    </row>
    <row r="1217" spans="1:11" hidden="1" x14ac:dyDescent="0.25">
      <c r="A1217" t="str">
        <f>_xlfn.XLOOKUP(C1217, 'Códigos DANE Municipios'!$B$2:$B$1123, 'Códigos DANE Municipios'!$A$2:$A$1123, "No encontrado")</f>
        <v>23660</v>
      </c>
      <c r="B1217" t="str">
        <f>IFERROR(VLOOKUP(D1217,APOYO!K:L,2,FALSE),A1217)</f>
        <v>23660</v>
      </c>
      <c r="C1217" t="s">
        <v>897</v>
      </c>
      <c r="D1217" t="str">
        <f>IFERROR(VLOOKUP(C1217,APOYO!J:K,2,FALSE),C1217)</f>
        <v>SAHAGÚN</v>
      </c>
      <c r="E1217">
        <v>2014</v>
      </c>
      <c r="F1217" t="s">
        <v>2189</v>
      </c>
      <c r="G1217" t="s">
        <v>2189</v>
      </c>
      <c r="H1217">
        <v>33</v>
      </c>
      <c r="I1217" s="13" t="s">
        <v>2189</v>
      </c>
      <c r="J1217" s="13" t="s">
        <v>2189</v>
      </c>
      <c r="K1217" s="13" t="s">
        <v>2189</v>
      </c>
    </row>
    <row r="1218" spans="1:11" hidden="1" x14ac:dyDescent="0.25">
      <c r="A1218" t="str">
        <f>_xlfn.XLOOKUP(C1218, 'Códigos DANE Municipios'!$B$2:$B$1123, 'Códigos DANE Municipios'!$A$2:$A$1123, "No encontrado")</f>
        <v>41660</v>
      </c>
      <c r="B1218" t="str">
        <f>IFERROR(VLOOKUP(D1218,APOYO!K:L,2,FALSE),A1218)</f>
        <v>41660</v>
      </c>
      <c r="C1218" t="s">
        <v>1251</v>
      </c>
      <c r="D1218" t="str">
        <f>IFERROR(VLOOKUP(C1218,APOYO!J:K,2,FALSE),C1218)</f>
        <v>SALADOBLANCO</v>
      </c>
      <c r="E1218">
        <v>2014</v>
      </c>
      <c r="F1218" t="s">
        <v>2189</v>
      </c>
      <c r="G1218" t="s">
        <v>2189</v>
      </c>
      <c r="H1218">
        <v>2</v>
      </c>
      <c r="I1218" s="13" t="s">
        <v>2189</v>
      </c>
      <c r="J1218" s="13" t="s">
        <v>2189</v>
      </c>
      <c r="K1218" s="13" t="s">
        <v>2189</v>
      </c>
    </row>
    <row r="1219" spans="1:11" hidden="1" x14ac:dyDescent="0.25">
      <c r="A1219" t="str">
        <f>_xlfn.XLOOKUP(C1219, 'Códigos DANE Municipios'!$B$2:$B$1123, 'Códigos DANE Municipios'!$A$2:$A$1123, "No encontrado")</f>
        <v>17653</v>
      </c>
      <c r="B1219" t="str">
        <f>IFERROR(VLOOKUP(D1219,APOYO!K:L,2,FALSE),A1219)</f>
        <v>17653</v>
      </c>
      <c r="C1219" t="s">
        <v>684</v>
      </c>
      <c r="D1219" t="str">
        <f>IFERROR(VLOOKUP(C1219,APOYO!J:K,2,FALSE),C1219)</f>
        <v>SALAMINA</v>
      </c>
      <c r="E1219">
        <v>2014</v>
      </c>
      <c r="F1219" t="s">
        <v>2189</v>
      </c>
      <c r="G1219" t="s">
        <v>2189</v>
      </c>
      <c r="H1219">
        <v>10</v>
      </c>
      <c r="I1219" s="13" t="s">
        <v>2189</v>
      </c>
      <c r="J1219" s="13" t="s">
        <v>2189</v>
      </c>
      <c r="K1219" s="13" t="s">
        <v>2189</v>
      </c>
    </row>
    <row r="1220" spans="1:11" hidden="1" x14ac:dyDescent="0.25">
      <c r="A1220" t="str">
        <f>_xlfn.XLOOKUP(C1220, 'Códigos DANE Municipios'!$B$2:$B$1123, 'Códigos DANE Municipios'!$A$2:$A$1123, "No encontrado")</f>
        <v>54660</v>
      </c>
      <c r="B1220" t="str">
        <f>IFERROR(VLOOKUP(D1220,APOYO!K:L,2,FALSE),A1220)</f>
        <v>54660</v>
      </c>
      <c r="C1220" t="s">
        <v>1587</v>
      </c>
      <c r="D1220" t="str">
        <f>IFERROR(VLOOKUP(C1220,APOYO!J:K,2,FALSE),C1220)</f>
        <v>SALAZAR</v>
      </c>
      <c r="E1220">
        <v>2014</v>
      </c>
      <c r="F1220" t="s">
        <v>2189</v>
      </c>
      <c r="G1220" t="s">
        <v>2189</v>
      </c>
      <c r="H1220">
        <v>1</v>
      </c>
      <c r="I1220" s="13" t="s">
        <v>2189</v>
      </c>
      <c r="J1220" s="13" t="s">
        <v>2189</v>
      </c>
      <c r="K1220" s="13" t="s">
        <v>2189</v>
      </c>
    </row>
    <row r="1221" spans="1:11" hidden="1" x14ac:dyDescent="0.25">
      <c r="A1221" t="str">
        <f>_xlfn.XLOOKUP(C1221, 'Códigos DANE Municipios'!$B$2:$B$1123, 'Códigos DANE Municipios'!$A$2:$A$1123, "No encontrado")</f>
        <v>73671</v>
      </c>
      <c r="B1221" t="str">
        <f>IFERROR(VLOOKUP(D1221,APOYO!K:L,2,FALSE),A1221)</f>
        <v>73671</v>
      </c>
      <c r="C1221" t="s">
        <v>1941</v>
      </c>
      <c r="D1221" t="str">
        <f>IFERROR(VLOOKUP(C1221,APOYO!J:K,2,FALSE),C1221)</f>
        <v>SALDAÑA</v>
      </c>
      <c r="E1221">
        <v>2014</v>
      </c>
      <c r="F1221" t="s">
        <v>2189</v>
      </c>
      <c r="G1221" t="s">
        <v>2189</v>
      </c>
      <c r="H1221">
        <v>5</v>
      </c>
      <c r="I1221" s="13" t="s">
        <v>2189</v>
      </c>
      <c r="J1221" s="13" t="s">
        <v>2189</v>
      </c>
      <c r="K1221" s="13" t="s">
        <v>2189</v>
      </c>
    </row>
    <row r="1222" spans="1:11" hidden="1" x14ac:dyDescent="0.25">
      <c r="A1222" t="str">
        <f>_xlfn.XLOOKUP(C1222, 'Códigos DANE Municipios'!$B$2:$B$1123, 'Códigos DANE Municipios'!$A$2:$A$1123, "No encontrado")</f>
        <v>63690</v>
      </c>
      <c r="B1222" t="str">
        <f>IFERROR(VLOOKUP(D1222,APOYO!K:L,2,FALSE),A1222)</f>
        <v>63690</v>
      </c>
      <c r="C1222" t="s">
        <v>1626</v>
      </c>
      <c r="D1222" t="str">
        <f>IFERROR(VLOOKUP(C1222,APOYO!J:K,2,FALSE),C1222)</f>
        <v>SALENTO</v>
      </c>
      <c r="E1222">
        <v>2014</v>
      </c>
      <c r="F1222" t="s">
        <v>2189</v>
      </c>
      <c r="G1222" t="s">
        <v>2189</v>
      </c>
      <c r="H1222">
        <v>154</v>
      </c>
      <c r="I1222" s="13" t="s">
        <v>2189</v>
      </c>
      <c r="J1222" s="13" t="s">
        <v>2189</v>
      </c>
      <c r="K1222" s="13" t="s">
        <v>2189</v>
      </c>
    </row>
    <row r="1223" spans="1:11" hidden="1" x14ac:dyDescent="0.25">
      <c r="A1223" t="str">
        <f>_xlfn.XLOOKUP(C1223, 'Códigos DANE Municipios'!$B$2:$B$1123, 'Códigos DANE Municipios'!$A$2:$A$1123, "No encontrado")</f>
        <v>05642</v>
      </c>
      <c r="B1223" t="str">
        <f>IFERROR(VLOOKUP(D1223,APOYO!K:L,2,FALSE),A1223)</f>
        <v>05642</v>
      </c>
      <c r="C1223" t="s">
        <v>186</v>
      </c>
      <c r="D1223" t="str">
        <f>IFERROR(VLOOKUP(C1223,APOYO!J:K,2,FALSE),C1223)</f>
        <v>SALGAR</v>
      </c>
      <c r="E1223">
        <v>2014</v>
      </c>
      <c r="F1223" t="s">
        <v>2189</v>
      </c>
      <c r="G1223" t="s">
        <v>2189</v>
      </c>
      <c r="H1223">
        <v>1</v>
      </c>
      <c r="I1223" s="13" t="s">
        <v>2189</v>
      </c>
      <c r="J1223" s="13" t="s">
        <v>2189</v>
      </c>
      <c r="K1223" s="13" t="s">
        <v>2189</v>
      </c>
    </row>
    <row r="1224" spans="1:11" hidden="1" x14ac:dyDescent="0.25">
      <c r="A1224" t="str">
        <f>_xlfn.XLOOKUP(C1224, 'Códigos DANE Municipios'!$B$2:$B$1123, 'Códigos DANE Municipios'!$A$2:$A$1123, "No encontrado")</f>
        <v>15646</v>
      </c>
      <c r="B1224" t="str">
        <f>IFERROR(VLOOKUP(D1224,APOYO!K:L,2,FALSE),A1224)</f>
        <v>15646</v>
      </c>
      <c r="C1224" t="s">
        <v>558</v>
      </c>
      <c r="D1224" t="str">
        <f>IFERROR(VLOOKUP(C1224,APOYO!J:K,2,FALSE),C1224)</f>
        <v>SAMACÁ</v>
      </c>
      <c r="E1224">
        <v>2014</v>
      </c>
      <c r="F1224" t="s">
        <v>2189</v>
      </c>
      <c r="G1224" t="s">
        <v>2189</v>
      </c>
      <c r="H1224">
        <v>3</v>
      </c>
      <c r="I1224" s="13" t="s">
        <v>2189</v>
      </c>
      <c r="J1224" s="13" t="s">
        <v>2189</v>
      </c>
      <c r="K1224" s="13" t="s">
        <v>2189</v>
      </c>
    </row>
    <row r="1225" spans="1:11" hidden="1" x14ac:dyDescent="0.25">
      <c r="A1225" t="str">
        <f>_xlfn.XLOOKUP(C1225, 'Códigos DANE Municipios'!$B$2:$B$1123, 'Códigos DANE Municipios'!$A$2:$A$1123, "No encontrado")</f>
        <v>17662</v>
      </c>
      <c r="B1225" t="str">
        <f>IFERROR(VLOOKUP(D1225,APOYO!K:L,2,FALSE),A1225)</f>
        <v>17662</v>
      </c>
      <c r="C1225" t="s">
        <v>686</v>
      </c>
      <c r="D1225" t="str">
        <f>IFERROR(VLOOKUP(C1225,APOYO!J:K,2,FALSE),C1225)</f>
        <v>SAMANÁ</v>
      </c>
      <c r="E1225">
        <v>2014</v>
      </c>
      <c r="F1225" t="s">
        <v>2189</v>
      </c>
      <c r="G1225" t="s">
        <v>2189</v>
      </c>
      <c r="H1225">
        <v>3</v>
      </c>
      <c r="I1225" s="13" t="s">
        <v>2189</v>
      </c>
      <c r="J1225" s="13" t="s">
        <v>2189</v>
      </c>
      <c r="K1225" s="13" t="s">
        <v>2189</v>
      </c>
    </row>
    <row r="1226" spans="1:11" hidden="1" x14ac:dyDescent="0.25">
      <c r="A1226" t="str">
        <f>_xlfn.XLOOKUP(C1226, 'Códigos DANE Municipios'!$B$2:$B$1123, 'Códigos DANE Municipios'!$A$2:$A$1123, "No encontrado")</f>
        <v>52678</v>
      </c>
      <c r="B1226" t="str">
        <f>IFERROR(VLOOKUP(D1226,APOYO!K:L,2,FALSE),A1226)</f>
        <v>52678</v>
      </c>
      <c r="C1226" t="s">
        <v>1504</v>
      </c>
      <c r="D1226" t="str">
        <f>IFERROR(VLOOKUP(C1226,APOYO!J:K,2,FALSE),C1226)</f>
        <v>SAMANIEGO</v>
      </c>
      <c r="E1226">
        <v>2014</v>
      </c>
      <c r="F1226" t="s">
        <v>2189</v>
      </c>
      <c r="G1226" t="s">
        <v>2189</v>
      </c>
      <c r="H1226">
        <v>7</v>
      </c>
      <c r="I1226" s="13" t="s">
        <v>2189</v>
      </c>
      <c r="J1226" s="13" t="s">
        <v>2189</v>
      </c>
      <c r="K1226" s="13" t="s">
        <v>2189</v>
      </c>
    </row>
    <row r="1227" spans="1:11" hidden="1" x14ac:dyDescent="0.25">
      <c r="A1227" t="str">
        <f>_xlfn.XLOOKUP(C1227, 'Códigos DANE Municipios'!$B$2:$B$1123, 'Códigos DANE Municipios'!$A$2:$A$1123, "No encontrado")</f>
        <v>70670</v>
      </c>
      <c r="B1227" t="str">
        <f>IFERROR(VLOOKUP(D1227,APOYO!K:L,2,FALSE),A1227)</f>
        <v>70670</v>
      </c>
      <c r="C1227" t="s">
        <v>1846</v>
      </c>
      <c r="D1227" t="str">
        <f>IFERROR(VLOOKUP(C1227,APOYO!J:K,2,FALSE),C1227)</f>
        <v>SAMPUÉS</v>
      </c>
      <c r="E1227">
        <v>2014</v>
      </c>
      <c r="F1227" t="s">
        <v>2189</v>
      </c>
      <c r="G1227" t="s">
        <v>2189</v>
      </c>
      <c r="H1227">
        <v>5</v>
      </c>
      <c r="I1227" s="13" t="s">
        <v>2189</v>
      </c>
      <c r="J1227" s="13" t="s">
        <v>2189</v>
      </c>
      <c r="K1227" s="13" t="s">
        <v>2189</v>
      </c>
    </row>
    <row r="1228" spans="1:11" hidden="1" x14ac:dyDescent="0.25">
      <c r="A1228" t="str">
        <f>_xlfn.XLOOKUP(C1228, 'Códigos DANE Municipios'!$B$2:$B$1123, 'Códigos DANE Municipios'!$A$2:$A$1123, "No encontrado")</f>
        <v>41668</v>
      </c>
      <c r="B1228" t="str">
        <f>IFERROR(VLOOKUP(D1228,APOYO!K:L,2,FALSE),A1228)</f>
        <v>41668</v>
      </c>
      <c r="C1228" t="s">
        <v>1253</v>
      </c>
      <c r="D1228" t="str">
        <f>IFERROR(VLOOKUP(C1228,APOYO!J:K,2,FALSE),C1228)</f>
        <v>SAN AGUSTÍN</v>
      </c>
      <c r="E1228">
        <v>2014</v>
      </c>
      <c r="F1228" t="s">
        <v>2189</v>
      </c>
      <c r="G1228" t="s">
        <v>2189</v>
      </c>
      <c r="H1228">
        <v>233</v>
      </c>
      <c r="I1228" s="13" t="s">
        <v>2189</v>
      </c>
      <c r="J1228" s="13" t="s">
        <v>2189</v>
      </c>
      <c r="K1228" s="13" t="s">
        <v>2189</v>
      </c>
    </row>
    <row r="1229" spans="1:11" hidden="1" x14ac:dyDescent="0.25">
      <c r="A1229" t="str">
        <f>_xlfn.XLOOKUP(C1229, 'Códigos DANE Municipios'!$B$2:$B$1123, 'Códigos DANE Municipios'!$A$2:$A$1123, "No encontrado")</f>
        <v>20710</v>
      </c>
      <c r="B1229" t="str">
        <f>IFERROR(VLOOKUP(D1229,APOYO!K:L,2,FALSE),A1229)</f>
        <v>20710</v>
      </c>
      <c r="C1229" t="s">
        <v>850</v>
      </c>
      <c r="D1229" t="str">
        <f>IFERROR(VLOOKUP(C1229,APOYO!J:K,2,FALSE),C1229)</f>
        <v>SAN ALBERTO</v>
      </c>
      <c r="E1229">
        <v>2014</v>
      </c>
      <c r="F1229">
        <v>77</v>
      </c>
      <c r="G1229" t="s">
        <v>2189</v>
      </c>
      <c r="H1229">
        <v>6</v>
      </c>
      <c r="I1229" s="13" t="s">
        <v>2189</v>
      </c>
      <c r="J1229" s="13" t="s">
        <v>2189</v>
      </c>
      <c r="K1229" s="13" t="s">
        <v>2189</v>
      </c>
    </row>
    <row r="1230" spans="1:11" hidden="1" x14ac:dyDescent="0.25">
      <c r="A1230" t="str">
        <f>_xlfn.XLOOKUP(C1230, 'Códigos DANE Municipios'!$B$2:$B$1123, 'Códigos DANE Municipios'!$A$2:$A$1123, "No encontrado")</f>
        <v>68669</v>
      </c>
      <c r="B1230" t="str">
        <f>IFERROR(VLOOKUP(D1230,APOYO!K:L,2,FALSE),A1230)</f>
        <v>68669</v>
      </c>
      <c r="C1230" t="s">
        <v>1779</v>
      </c>
      <c r="D1230" t="str">
        <f>IFERROR(VLOOKUP(C1230,APOYO!J:K,2,FALSE),C1230)</f>
        <v>SAN ANDRÉS</v>
      </c>
      <c r="E1230">
        <v>2014</v>
      </c>
      <c r="F1230">
        <v>697468</v>
      </c>
      <c r="G1230">
        <v>50646</v>
      </c>
      <c r="H1230">
        <v>80502</v>
      </c>
      <c r="I1230" s="13" t="s">
        <v>2189</v>
      </c>
      <c r="J1230" s="13" t="s">
        <v>2189</v>
      </c>
      <c r="K1230" s="13" t="s">
        <v>2189</v>
      </c>
    </row>
    <row r="1231" spans="1:11" hidden="1" x14ac:dyDescent="0.25">
      <c r="A1231" t="str">
        <f>_xlfn.XLOOKUP(C1231, 'Códigos DANE Municipios'!$B$2:$B$1123, 'Códigos DANE Municipios'!$A$2:$A$1123, "No encontrado")</f>
        <v>23670</v>
      </c>
      <c r="B1231" t="str">
        <f>IFERROR(VLOOKUP(D1231,APOYO!K:L,2,FALSE),A1231)</f>
        <v>23670</v>
      </c>
      <c r="C1231" t="s">
        <v>899</v>
      </c>
      <c r="D1231" t="str">
        <f>IFERROR(VLOOKUP(C1231,APOYO!J:K,2,FALSE),C1231)</f>
        <v>SAN ANDRÉS DE SOTAVENTO</v>
      </c>
      <c r="E1231">
        <v>2014</v>
      </c>
      <c r="F1231" t="s">
        <v>2189</v>
      </c>
      <c r="G1231" t="s">
        <v>2189</v>
      </c>
      <c r="H1231">
        <v>3</v>
      </c>
      <c r="I1231" s="13" t="s">
        <v>2189</v>
      </c>
      <c r="J1231" s="13" t="s">
        <v>2189</v>
      </c>
      <c r="K1231" s="13" t="s">
        <v>2189</v>
      </c>
    </row>
    <row r="1232" spans="1:11" hidden="1" x14ac:dyDescent="0.25">
      <c r="A1232" t="str">
        <f>_xlfn.XLOOKUP(C1232, 'Códigos DANE Municipios'!$B$2:$B$1123, 'Códigos DANE Municipios'!$A$2:$A$1123, "No encontrado")</f>
        <v>23672</v>
      </c>
      <c r="B1232" t="str">
        <f>IFERROR(VLOOKUP(D1232,APOYO!K:L,2,FALSE),A1232)</f>
        <v>23672</v>
      </c>
      <c r="C1232" t="s">
        <v>901</v>
      </c>
      <c r="D1232" t="str">
        <f>IFERROR(VLOOKUP(C1232,APOYO!J:K,2,FALSE),C1232)</f>
        <v>SAN ANTERO</v>
      </c>
      <c r="E1232">
        <v>2014</v>
      </c>
      <c r="F1232" t="s">
        <v>2189</v>
      </c>
      <c r="G1232" t="s">
        <v>2189</v>
      </c>
      <c r="H1232">
        <v>10</v>
      </c>
      <c r="I1232" s="13" t="s">
        <v>2189</v>
      </c>
      <c r="J1232" s="13" t="s">
        <v>2189</v>
      </c>
      <c r="K1232" s="13" t="s">
        <v>2189</v>
      </c>
    </row>
    <row r="1233" spans="1:11" hidden="1" x14ac:dyDescent="0.25">
      <c r="A1233" t="str">
        <f>_xlfn.XLOOKUP(C1233, 'Códigos DANE Municipios'!$B$2:$B$1123, 'Códigos DANE Municipios'!$A$2:$A$1123, "No encontrado")</f>
        <v>73675</v>
      </c>
      <c r="B1233" t="str">
        <f>IFERROR(VLOOKUP(D1233,APOYO!K:L,2,FALSE),A1233)</f>
        <v>73675</v>
      </c>
      <c r="C1233" t="s">
        <v>1943</v>
      </c>
      <c r="D1233" t="str">
        <f>IFERROR(VLOOKUP(C1233,APOYO!J:K,2,FALSE),C1233)</f>
        <v>SAN ANTONIO</v>
      </c>
      <c r="E1233">
        <v>2014</v>
      </c>
      <c r="F1233" t="s">
        <v>2189</v>
      </c>
      <c r="G1233" t="s">
        <v>2189</v>
      </c>
      <c r="H1233">
        <v>3</v>
      </c>
      <c r="I1233" s="13" t="s">
        <v>2189</v>
      </c>
      <c r="J1233" s="13" t="s">
        <v>2189</v>
      </c>
      <c r="K1233" s="13" t="s">
        <v>2189</v>
      </c>
    </row>
    <row r="1234" spans="1:11" hidden="1" x14ac:dyDescent="0.25">
      <c r="A1234" t="str">
        <f>_xlfn.XLOOKUP(C1234, 'Códigos DANE Municipios'!$B$2:$B$1123, 'Códigos DANE Municipios'!$A$2:$A$1123, "No encontrado")</f>
        <v>25649</v>
      </c>
      <c r="B1234" t="str">
        <f>IFERROR(VLOOKUP(D1234,APOYO!K:L,2,FALSE),A1234)</f>
        <v>25649</v>
      </c>
      <c r="C1234" t="s">
        <v>1065</v>
      </c>
      <c r="D1234" t="str">
        <f>IFERROR(VLOOKUP(C1234,APOYO!J:K,2,FALSE),C1234)</f>
        <v>SAN BERNARDO</v>
      </c>
      <c r="E1234">
        <v>2014</v>
      </c>
      <c r="F1234" t="s">
        <v>2189</v>
      </c>
      <c r="G1234" t="s">
        <v>2189</v>
      </c>
      <c r="H1234">
        <v>3</v>
      </c>
      <c r="I1234" s="13" t="s">
        <v>2189</v>
      </c>
      <c r="J1234" s="13" t="s">
        <v>2189</v>
      </c>
      <c r="K1234" s="13" t="s">
        <v>2189</v>
      </c>
    </row>
    <row r="1235" spans="1:11" hidden="1" x14ac:dyDescent="0.25">
      <c r="A1235" t="str">
        <f>_xlfn.XLOOKUP(C1235, 'Códigos DANE Municipios'!$B$2:$B$1123, 'Códigos DANE Municipios'!$A$2:$A$1123, "No encontrado")</f>
        <v>25649</v>
      </c>
      <c r="B1235" t="str">
        <f>IFERROR(VLOOKUP(D1235,APOYO!K:L,2,FALSE),A1235)</f>
        <v>25649</v>
      </c>
      <c r="C1235" t="s">
        <v>1065</v>
      </c>
      <c r="D1235" t="str">
        <f>IFERROR(VLOOKUP(C1235,APOYO!J:K,2,FALSE),C1235)</f>
        <v>SAN BERNARDO</v>
      </c>
      <c r="E1235">
        <v>2014</v>
      </c>
      <c r="F1235" t="s">
        <v>2189</v>
      </c>
      <c r="G1235" t="s">
        <v>2189</v>
      </c>
      <c r="H1235">
        <v>2</v>
      </c>
      <c r="I1235" s="13" t="s">
        <v>2189</v>
      </c>
      <c r="J1235" s="13" t="s">
        <v>2189</v>
      </c>
      <c r="K1235" s="13" t="s">
        <v>2189</v>
      </c>
    </row>
    <row r="1236" spans="1:11" hidden="1" x14ac:dyDescent="0.25">
      <c r="A1236" t="str">
        <f>_xlfn.XLOOKUP(C1236, 'Códigos DANE Municipios'!$B$2:$B$1123, 'Códigos DANE Municipios'!$A$2:$A$1123, "No encontrado")</f>
        <v>05649</v>
      </c>
      <c r="B1236" t="str">
        <f>IFERROR(VLOOKUP(D1236,APOYO!K:L,2,FALSE),A1236)</f>
        <v>05649</v>
      </c>
      <c r="C1236" t="s">
        <v>190</v>
      </c>
      <c r="D1236" t="str">
        <f>IFERROR(VLOOKUP(C1236,APOYO!J:K,2,FALSE),C1236)</f>
        <v>SAN CARLOS</v>
      </c>
      <c r="E1236">
        <v>2014</v>
      </c>
      <c r="F1236">
        <v>21</v>
      </c>
      <c r="G1236" t="s">
        <v>2189</v>
      </c>
      <c r="H1236" t="s">
        <v>2189</v>
      </c>
      <c r="I1236" s="13" t="s">
        <v>2189</v>
      </c>
      <c r="J1236" s="13" t="s">
        <v>2189</v>
      </c>
      <c r="K1236" s="13" t="s">
        <v>2189</v>
      </c>
    </row>
    <row r="1237" spans="1:11" hidden="1" x14ac:dyDescent="0.25">
      <c r="A1237" t="str">
        <f>_xlfn.XLOOKUP(C1237, 'Códigos DANE Municipios'!$B$2:$B$1123, 'Códigos DANE Municipios'!$A$2:$A$1123, "No encontrado")</f>
        <v>05649</v>
      </c>
      <c r="B1237" t="str">
        <f>IFERROR(VLOOKUP(D1237,APOYO!K:L,2,FALSE),A1237)</f>
        <v>05649</v>
      </c>
      <c r="C1237" t="s">
        <v>190</v>
      </c>
      <c r="D1237" t="str">
        <f>IFERROR(VLOOKUP(C1237,APOYO!J:K,2,FALSE),C1237)</f>
        <v>SAN CARLOS</v>
      </c>
      <c r="E1237">
        <v>2014</v>
      </c>
      <c r="F1237" t="s">
        <v>2189</v>
      </c>
      <c r="G1237" t="s">
        <v>2189</v>
      </c>
      <c r="H1237" t="s">
        <v>2189</v>
      </c>
      <c r="I1237" s="13" t="s">
        <v>2189</v>
      </c>
      <c r="J1237" s="13" t="s">
        <v>2189</v>
      </c>
      <c r="K1237" s="13" t="s">
        <v>2189</v>
      </c>
    </row>
    <row r="1238" spans="1:11" hidden="1" x14ac:dyDescent="0.25">
      <c r="A1238" t="str">
        <f>_xlfn.XLOOKUP(C1238, 'Códigos DANE Municipios'!$B$2:$B$1123, 'Códigos DANE Municipios'!$A$2:$A$1123, "No encontrado")</f>
        <v>20750</v>
      </c>
      <c r="B1238" t="str">
        <f>IFERROR(VLOOKUP(D1238,APOYO!K:L,2,FALSE),A1238)</f>
        <v>20750</v>
      </c>
      <c r="C1238" t="s">
        <v>852</v>
      </c>
      <c r="D1238" t="str">
        <f>IFERROR(VLOOKUP(C1238,APOYO!J:K,2,FALSE),C1238)</f>
        <v>SAN DIEGO</v>
      </c>
      <c r="E1238">
        <v>2014</v>
      </c>
      <c r="F1238" t="s">
        <v>2189</v>
      </c>
      <c r="G1238" t="s">
        <v>2189</v>
      </c>
      <c r="H1238">
        <v>4</v>
      </c>
      <c r="I1238" s="13" t="s">
        <v>2189</v>
      </c>
      <c r="J1238" s="13" t="s">
        <v>2189</v>
      </c>
      <c r="K1238" s="13" t="s">
        <v>2189</v>
      </c>
    </row>
    <row r="1239" spans="1:11" hidden="1" x14ac:dyDescent="0.25">
      <c r="A1239" t="str">
        <f>_xlfn.XLOOKUP(C1239, 'Códigos DANE Municipios'!$B$2:$B$1123, 'Códigos DANE Municipios'!$A$2:$A$1123, "No encontrado")</f>
        <v>13647</v>
      </c>
      <c r="B1239" t="str">
        <f>IFERROR(VLOOKUP(D1239,APOYO!K:L,2,FALSE),A1239)</f>
        <v>13647</v>
      </c>
      <c r="C1239" t="s">
        <v>365</v>
      </c>
      <c r="D1239" t="str">
        <f>IFERROR(VLOOKUP(C1239,APOYO!J:K,2,FALSE),C1239)</f>
        <v>SAN ESTANISLAO</v>
      </c>
      <c r="E1239">
        <v>2014</v>
      </c>
      <c r="F1239" t="s">
        <v>2189</v>
      </c>
      <c r="G1239" t="s">
        <v>2189</v>
      </c>
      <c r="H1239">
        <v>2</v>
      </c>
      <c r="I1239" s="13" t="s">
        <v>2189</v>
      </c>
      <c r="J1239" s="13" t="s">
        <v>2189</v>
      </c>
      <c r="K1239" s="13" t="s">
        <v>2189</v>
      </c>
    </row>
    <row r="1240" spans="1:11" hidden="1" x14ac:dyDescent="0.25">
      <c r="A1240" t="str">
        <f>_xlfn.XLOOKUP(C1240, 'Códigos DANE Municipios'!$B$2:$B$1123, 'Códigos DANE Municipios'!$A$2:$A$1123, "No encontrado")</f>
        <v>05652</v>
      </c>
      <c r="B1240" t="str">
        <f>IFERROR(VLOOKUP(D1240,APOYO!K:L,2,FALSE),A1240)</f>
        <v>05652</v>
      </c>
      <c r="C1240" t="s">
        <v>192</v>
      </c>
      <c r="D1240" t="str">
        <f>IFERROR(VLOOKUP(C1240,APOYO!J:K,2,FALSE),C1240)</f>
        <v>SAN FRANCISCO</v>
      </c>
      <c r="E1240">
        <v>2014</v>
      </c>
      <c r="F1240" t="s">
        <v>2189</v>
      </c>
      <c r="G1240" t="s">
        <v>2189</v>
      </c>
      <c r="H1240">
        <v>17</v>
      </c>
      <c r="I1240" s="13" t="s">
        <v>2189</v>
      </c>
      <c r="J1240" s="13" t="s">
        <v>2189</v>
      </c>
      <c r="K1240" s="13" t="s">
        <v>2189</v>
      </c>
    </row>
    <row r="1241" spans="1:11" hidden="1" x14ac:dyDescent="0.25">
      <c r="A1241" t="str">
        <f>_xlfn.XLOOKUP(C1241, 'Códigos DANE Municipios'!$B$2:$B$1123, 'Códigos DANE Municipios'!$A$2:$A$1123, "No encontrado")</f>
        <v>68679</v>
      </c>
      <c r="B1241" t="str">
        <f>IFERROR(VLOOKUP(D1241,APOYO!K:L,2,FALSE),A1241)</f>
        <v>68679</v>
      </c>
      <c r="C1241" t="s">
        <v>1783</v>
      </c>
      <c r="D1241" t="str">
        <f>IFERROR(VLOOKUP(C1241,APOYO!J:K,2,FALSE),C1241)</f>
        <v>SAN GIL</v>
      </c>
      <c r="E1241">
        <v>2014</v>
      </c>
      <c r="F1241">
        <v>140</v>
      </c>
      <c r="G1241" t="s">
        <v>2189</v>
      </c>
      <c r="H1241">
        <v>207</v>
      </c>
      <c r="I1241" s="13" t="s">
        <v>2189</v>
      </c>
      <c r="J1241" s="13" t="s">
        <v>2189</v>
      </c>
      <c r="K1241" s="13" t="s">
        <v>2189</v>
      </c>
    </row>
    <row r="1242" spans="1:11" hidden="1" x14ac:dyDescent="0.25">
      <c r="A1242" t="str">
        <f>_xlfn.XLOOKUP(C1242, 'Códigos DANE Municipios'!$B$2:$B$1123, 'Códigos DANE Municipios'!$A$2:$A$1123, "No encontrado")</f>
        <v>13654</v>
      </c>
      <c r="B1242" t="str">
        <f>IFERROR(VLOOKUP(D1242,APOYO!K:L,2,FALSE),A1242)</f>
        <v>13654</v>
      </c>
      <c r="C1242" t="s">
        <v>369</v>
      </c>
      <c r="D1242" t="str">
        <f>IFERROR(VLOOKUP(C1242,APOYO!J:K,2,FALSE),C1242)</f>
        <v>SAN JACINTO</v>
      </c>
      <c r="E1242">
        <v>2014</v>
      </c>
      <c r="F1242">
        <v>6</v>
      </c>
      <c r="G1242" t="s">
        <v>2189</v>
      </c>
      <c r="H1242">
        <v>4</v>
      </c>
      <c r="I1242" s="13" t="s">
        <v>2189</v>
      </c>
      <c r="J1242" s="13" t="s">
        <v>2189</v>
      </c>
      <c r="K1242" s="13" t="s">
        <v>2189</v>
      </c>
    </row>
    <row r="1243" spans="1:11" hidden="1" x14ac:dyDescent="0.25">
      <c r="A1243" t="str">
        <f>_xlfn.XLOOKUP(C1243, 'Códigos DANE Municipios'!$B$2:$B$1123, 'Códigos DANE Municipios'!$A$2:$A$1123, "No encontrado")</f>
        <v>05656</v>
      </c>
      <c r="B1243" t="str">
        <f>IFERROR(VLOOKUP(D1243,APOYO!K:L,2,FALSE),A1243)</f>
        <v>05656</v>
      </c>
      <c r="C1243" t="s">
        <v>194</v>
      </c>
      <c r="D1243" t="str">
        <f>IFERROR(VLOOKUP(C1243,APOYO!J:K,2,FALSE),C1243)</f>
        <v>SAN JERÓNIMO</v>
      </c>
      <c r="E1243">
        <v>2014</v>
      </c>
      <c r="F1243" t="s">
        <v>2189</v>
      </c>
      <c r="G1243" t="s">
        <v>2189</v>
      </c>
      <c r="H1243">
        <v>7</v>
      </c>
      <c r="I1243" s="13" t="s">
        <v>2189</v>
      </c>
      <c r="J1243" s="13" t="s">
        <v>2189</v>
      </c>
      <c r="K1243" s="13" t="s">
        <v>2189</v>
      </c>
    </row>
    <row r="1244" spans="1:11" hidden="1" x14ac:dyDescent="0.25">
      <c r="A1244" t="str">
        <f>_xlfn.XLOOKUP(C1244, 'Códigos DANE Municipios'!$B$2:$B$1123, 'Códigos DANE Municipios'!$A$2:$A$1123, "No encontrado")</f>
        <v>17665</v>
      </c>
      <c r="B1244" t="str">
        <f>IFERROR(VLOOKUP(D1244,APOYO!K:L,2,FALSE),A1244)</f>
        <v>17748</v>
      </c>
      <c r="C1244" t="s">
        <v>688</v>
      </c>
      <c r="D1244" t="str">
        <f>IFERROR(VLOOKUP(C1244,APOYO!J:K,2,FALSE),C1244)</f>
        <v>SAN JOSÉ</v>
      </c>
      <c r="E1244">
        <v>2014</v>
      </c>
      <c r="F1244" t="s">
        <v>2189</v>
      </c>
      <c r="G1244" t="s">
        <v>2189</v>
      </c>
      <c r="H1244">
        <v>3</v>
      </c>
      <c r="I1244" s="13" t="s">
        <v>2189</v>
      </c>
      <c r="J1244" s="13" t="s">
        <v>2189</v>
      </c>
      <c r="K1244" s="13" t="s">
        <v>2189</v>
      </c>
    </row>
    <row r="1245" spans="1:11" hidden="1" x14ac:dyDescent="0.25">
      <c r="A1245" t="str">
        <f>_xlfn.XLOOKUP(C1245, 'Códigos DANE Municipios'!$B$2:$B$1123, 'Códigos DANE Municipios'!$A$2:$A$1123, "No encontrado")</f>
        <v>18610</v>
      </c>
      <c r="B1245" t="str">
        <f>IFERROR(VLOOKUP(D1245,APOYO!K:L,2,FALSE),A1245)</f>
        <v>18610</v>
      </c>
      <c r="C1245" t="s">
        <v>720</v>
      </c>
      <c r="D1245" t="str">
        <f>IFERROR(VLOOKUP(C1245,APOYO!J:K,2,FALSE),C1245)</f>
        <v>SAN JOSÉ DEL FRAGUA</v>
      </c>
      <c r="E1245">
        <v>2014</v>
      </c>
      <c r="F1245" t="s">
        <v>2189</v>
      </c>
      <c r="G1245" t="s">
        <v>2189</v>
      </c>
      <c r="H1245">
        <v>4</v>
      </c>
      <c r="I1245" s="13" t="s">
        <v>2189</v>
      </c>
      <c r="J1245" s="13" t="s">
        <v>2189</v>
      </c>
      <c r="K1245" s="13" t="s">
        <v>2189</v>
      </c>
    </row>
    <row r="1246" spans="1:11" hidden="1" x14ac:dyDescent="0.25">
      <c r="A1246" t="str">
        <f>_xlfn.XLOOKUP(C1246, 'Códigos DANE Municipios'!$B$2:$B$1123, 'Códigos DANE Municipios'!$A$2:$A$1123, "No encontrado")</f>
        <v>41359</v>
      </c>
      <c r="B1246" t="str">
        <f>IFERROR(VLOOKUP(D1246,APOYO!K:L,2,FALSE),A1246)</f>
        <v>41359</v>
      </c>
      <c r="C1246" t="s">
        <v>1230</v>
      </c>
      <c r="D1246" t="str">
        <f>IFERROR(VLOOKUP(C1246,APOYO!J:K,2,FALSE),C1246)</f>
        <v>ISNOS</v>
      </c>
      <c r="E1246">
        <v>2014</v>
      </c>
      <c r="F1246" t="s">
        <v>2189</v>
      </c>
      <c r="G1246" t="s">
        <v>2189</v>
      </c>
      <c r="H1246">
        <v>7</v>
      </c>
      <c r="I1246" s="13" t="s">
        <v>2189</v>
      </c>
      <c r="J1246" s="13" t="s">
        <v>2189</v>
      </c>
      <c r="K1246" s="13" t="s">
        <v>2189</v>
      </c>
    </row>
    <row r="1247" spans="1:11" hidden="1" x14ac:dyDescent="0.25">
      <c r="A1247" t="str">
        <f>_xlfn.XLOOKUP(C1247, 'Códigos DANE Municipios'!$B$2:$B$1123, 'Códigos DANE Municipios'!$A$2:$A$1123, "No encontrado")</f>
        <v>15664</v>
      </c>
      <c r="B1247" t="str">
        <f>IFERROR(VLOOKUP(D1247,APOYO!K:L,2,FALSE),A1247)</f>
        <v>15664</v>
      </c>
      <c r="C1247" t="s">
        <v>562</v>
      </c>
      <c r="D1247" t="str">
        <f>IFERROR(VLOOKUP(C1247,APOYO!J:K,2,FALSE),C1247)</f>
        <v>SAN JOSÉ DE PARE</v>
      </c>
      <c r="E1247">
        <v>2014</v>
      </c>
      <c r="F1247" t="s">
        <v>2189</v>
      </c>
      <c r="G1247" t="s">
        <v>2189</v>
      </c>
      <c r="H1247">
        <v>2</v>
      </c>
      <c r="I1247" s="13" t="s">
        <v>2189</v>
      </c>
      <c r="J1247" s="13" t="s">
        <v>2189</v>
      </c>
      <c r="K1247" s="13" t="s">
        <v>2189</v>
      </c>
    </row>
    <row r="1248" spans="1:11" hidden="1" x14ac:dyDescent="0.25">
      <c r="A1248" t="str">
        <f>_xlfn.XLOOKUP(C1248, 'Códigos DANE Municipios'!$B$2:$B$1123, 'Códigos DANE Municipios'!$A$2:$A$1123, "No encontrado")</f>
        <v>95001</v>
      </c>
      <c r="B1248" t="str">
        <f>IFERROR(VLOOKUP(D1248,APOYO!K:L,2,FALSE),A1248)</f>
        <v>95001</v>
      </c>
      <c r="C1248" t="s">
        <v>2145</v>
      </c>
      <c r="D1248" t="str">
        <f>IFERROR(VLOOKUP(C1248,APOYO!J:K,2,FALSE),C1248)</f>
        <v>SAN JOSÉ DEL GUAVIARE</v>
      </c>
      <c r="E1248">
        <v>2014</v>
      </c>
      <c r="F1248">
        <v>11644</v>
      </c>
      <c r="G1248">
        <v>3</v>
      </c>
      <c r="H1248">
        <v>43</v>
      </c>
      <c r="I1248" s="13" t="s">
        <v>2189</v>
      </c>
      <c r="J1248" s="13" t="s">
        <v>2189</v>
      </c>
      <c r="K1248" s="13" t="s">
        <v>2189</v>
      </c>
    </row>
    <row r="1249" spans="1:11" hidden="1" x14ac:dyDescent="0.25">
      <c r="A1249" t="str">
        <f>_xlfn.XLOOKUP(C1249, 'Códigos DANE Municipios'!$B$2:$B$1123, 'Códigos DANE Municipios'!$A$2:$A$1123, "No encontrado")</f>
        <v>No encontrado</v>
      </c>
      <c r="B1249" t="str">
        <f>IFERROR(VLOOKUP(D1249,APOYO!K:L,2,FALSE),A1249)</f>
        <v>NA</v>
      </c>
      <c r="C1249" t="s">
        <v>2534</v>
      </c>
      <c r="D1249" t="str">
        <f>IFERROR(VLOOKUP(C1249,APOYO!J:K,2,FALSE),C1249)</f>
        <v>SAN JOSÉ DE RÍO</v>
      </c>
      <c r="E1249">
        <v>2014</v>
      </c>
      <c r="F1249" t="s">
        <v>2189</v>
      </c>
      <c r="G1249" t="s">
        <v>2189</v>
      </c>
      <c r="H1249">
        <v>6</v>
      </c>
      <c r="I1249" s="13" t="s">
        <v>2189</v>
      </c>
      <c r="J1249" s="13" t="s">
        <v>2189</v>
      </c>
      <c r="K1249" s="13" t="s">
        <v>2189</v>
      </c>
    </row>
    <row r="1250" spans="1:11" hidden="1" x14ac:dyDescent="0.25">
      <c r="A1250" t="str">
        <f>_xlfn.XLOOKUP(C1250, 'Códigos DANE Municipios'!$B$2:$B$1123, 'Códigos DANE Municipios'!$A$2:$A$1123, "No encontrado")</f>
        <v>23682</v>
      </c>
      <c r="B1250" t="str">
        <f>IFERROR(VLOOKUP(D1250,APOYO!K:L,2,FALSE),A1250)</f>
        <v>23682</v>
      </c>
      <c r="C1250" t="s">
        <v>906</v>
      </c>
      <c r="D1250" t="str">
        <f>IFERROR(VLOOKUP(C1250,APOYO!J:K,2,FALSE),C1250)</f>
        <v>SAN JOSÉ DE URÉ</v>
      </c>
      <c r="E1250">
        <v>2014</v>
      </c>
      <c r="F1250" t="s">
        <v>2189</v>
      </c>
      <c r="G1250" t="s">
        <v>2189</v>
      </c>
      <c r="H1250">
        <v>4</v>
      </c>
      <c r="I1250" s="13" t="s">
        <v>2189</v>
      </c>
      <c r="J1250" s="13" t="s">
        <v>2189</v>
      </c>
      <c r="K1250" s="13" t="s">
        <v>2189</v>
      </c>
    </row>
    <row r="1251" spans="1:11" hidden="1" x14ac:dyDescent="0.25">
      <c r="A1251" t="str">
        <f>_xlfn.XLOOKUP(C1251, 'Códigos DANE Municipios'!$B$2:$B$1123, 'Códigos DANE Municipios'!$A$2:$A$1123, "No encontrado")</f>
        <v>44650</v>
      </c>
      <c r="B1251" t="str">
        <f>IFERROR(VLOOKUP(D1251,APOYO!K:L,2,FALSE),A1251)</f>
        <v>44650</v>
      </c>
      <c r="C1251" t="s">
        <v>1293</v>
      </c>
      <c r="D1251" t="str">
        <f>IFERROR(VLOOKUP(C1251,APOYO!J:K,2,FALSE),C1251)</f>
        <v>SAN JUAN DEL CESAR</v>
      </c>
      <c r="E1251">
        <v>2014</v>
      </c>
      <c r="F1251" t="s">
        <v>2189</v>
      </c>
      <c r="G1251" t="s">
        <v>2189</v>
      </c>
      <c r="H1251">
        <v>18</v>
      </c>
      <c r="I1251" s="13" t="s">
        <v>2189</v>
      </c>
      <c r="J1251" s="13" t="s">
        <v>2189</v>
      </c>
      <c r="K1251" s="13" t="s">
        <v>2189</v>
      </c>
    </row>
    <row r="1252" spans="1:11" hidden="1" x14ac:dyDescent="0.25">
      <c r="A1252" t="str">
        <f>_xlfn.XLOOKUP(C1252, 'Códigos DANE Municipios'!$B$2:$B$1123, 'Códigos DANE Municipios'!$A$2:$A$1123, "No encontrado")</f>
        <v>13657</v>
      </c>
      <c r="B1252" t="str">
        <f>IFERROR(VLOOKUP(D1252,APOYO!K:L,2,FALSE),A1252)</f>
        <v>13657</v>
      </c>
      <c r="C1252" t="s">
        <v>373</v>
      </c>
      <c r="D1252" t="str">
        <f>IFERROR(VLOOKUP(C1252,APOYO!J:K,2,FALSE),C1252)</f>
        <v>SAN JUAN NEPOMUCENO</v>
      </c>
      <c r="E1252">
        <v>2014</v>
      </c>
      <c r="F1252" t="s">
        <v>2189</v>
      </c>
      <c r="G1252" t="s">
        <v>2189</v>
      </c>
      <c r="H1252">
        <v>2</v>
      </c>
      <c r="I1252" s="13">
        <v>724</v>
      </c>
      <c r="J1252" s="13" t="s">
        <v>2189</v>
      </c>
      <c r="K1252" s="13" t="s">
        <v>2189</v>
      </c>
    </row>
    <row r="1253" spans="1:11" hidden="1" x14ac:dyDescent="0.25">
      <c r="A1253" t="str">
        <f>_xlfn.XLOOKUP(C1253, 'Códigos DANE Municipios'!$B$2:$B$1123, 'Códigos DANE Municipios'!$A$2:$A$1123, "No encontrado")</f>
        <v>05660</v>
      </c>
      <c r="B1253" t="str">
        <f>IFERROR(VLOOKUP(D1253,APOYO!K:L,2,FALSE),A1253)</f>
        <v>05660</v>
      </c>
      <c r="C1253" t="s">
        <v>200</v>
      </c>
      <c r="D1253" t="str">
        <f>IFERROR(VLOOKUP(C1253,APOYO!J:K,2,FALSE),C1253)</f>
        <v>SAN LUIS</v>
      </c>
      <c r="E1253">
        <v>2014</v>
      </c>
      <c r="F1253" t="s">
        <v>2189</v>
      </c>
      <c r="G1253" t="s">
        <v>2189</v>
      </c>
      <c r="H1253">
        <v>11</v>
      </c>
      <c r="I1253" s="13" t="s">
        <v>2189</v>
      </c>
      <c r="J1253" s="13" t="s">
        <v>2189</v>
      </c>
      <c r="K1253" s="13" t="s">
        <v>2189</v>
      </c>
    </row>
    <row r="1254" spans="1:11" hidden="1" x14ac:dyDescent="0.25">
      <c r="A1254" t="str">
        <f>_xlfn.XLOOKUP(C1254, 'Códigos DANE Municipios'!$B$2:$B$1123, 'Códigos DANE Municipios'!$A$2:$A$1123, "No encontrado")</f>
        <v>15667</v>
      </c>
      <c r="B1254" t="str">
        <f>IFERROR(VLOOKUP(D1254,APOYO!K:L,2,FALSE),A1254)</f>
        <v>15667</v>
      </c>
      <c r="C1254" t="s">
        <v>564</v>
      </c>
      <c r="D1254" t="str">
        <f>IFERROR(VLOOKUP(C1254,APOYO!J:K,2,FALSE),C1254)</f>
        <v>SAN LUIS DE GACENO</v>
      </c>
      <c r="E1254">
        <v>2014</v>
      </c>
      <c r="F1254" t="s">
        <v>2189</v>
      </c>
      <c r="G1254" t="s">
        <v>2189</v>
      </c>
      <c r="H1254">
        <v>1</v>
      </c>
      <c r="I1254" s="13" t="s">
        <v>2189</v>
      </c>
      <c r="J1254" s="13" t="s">
        <v>2189</v>
      </c>
      <c r="K1254" s="13" t="s">
        <v>2189</v>
      </c>
    </row>
    <row r="1255" spans="1:11" hidden="1" x14ac:dyDescent="0.25">
      <c r="A1255" t="str">
        <f>_xlfn.XLOOKUP(C1255, 'Códigos DANE Municipios'!$B$2:$B$1123, 'Códigos DANE Municipios'!$A$2:$A$1123, "No encontrado")</f>
        <v>85325</v>
      </c>
      <c r="B1255" t="str">
        <f>IFERROR(VLOOKUP(D1255,APOYO!K:L,2,FALSE),A1255)</f>
        <v>85325</v>
      </c>
      <c r="C1255" t="s">
        <v>2075</v>
      </c>
      <c r="D1255" t="str">
        <f>IFERROR(VLOOKUP(C1255,APOYO!J:K,2,FALSE),C1255)</f>
        <v>SAN LUIS DE PALENQUE</v>
      </c>
      <c r="E1255">
        <v>2014</v>
      </c>
      <c r="F1255">
        <v>1686</v>
      </c>
      <c r="G1255" t="s">
        <v>2189</v>
      </c>
      <c r="H1255" t="s">
        <v>2189</v>
      </c>
      <c r="I1255" s="13" t="s">
        <v>2189</v>
      </c>
      <c r="J1255" s="13" t="s">
        <v>2189</v>
      </c>
      <c r="K1255" s="13" t="s">
        <v>2189</v>
      </c>
    </row>
    <row r="1256" spans="1:11" hidden="1" x14ac:dyDescent="0.25">
      <c r="A1256" t="str">
        <f>_xlfn.XLOOKUP(C1256, 'Códigos DANE Municipios'!$B$2:$B$1123, 'Códigos DANE Municipios'!$A$2:$A$1123, "No encontrado")</f>
        <v>70708</v>
      </c>
      <c r="B1256" t="str">
        <f>IFERROR(VLOOKUP(D1256,APOYO!K:L,2,FALSE),A1256)</f>
        <v>70708</v>
      </c>
      <c r="C1256" t="s">
        <v>1852</v>
      </c>
      <c r="D1256" t="str">
        <f>IFERROR(VLOOKUP(C1256,APOYO!J:K,2,FALSE),C1256)</f>
        <v>SAN MARCOS</v>
      </c>
      <c r="E1256">
        <v>2014</v>
      </c>
      <c r="F1256">
        <v>14</v>
      </c>
      <c r="G1256" t="s">
        <v>2189</v>
      </c>
      <c r="H1256">
        <v>5</v>
      </c>
      <c r="I1256" s="13" t="s">
        <v>2189</v>
      </c>
      <c r="J1256" s="13" t="s">
        <v>2189</v>
      </c>
      <c r="K1256" s="13" t="s">
        <v>2189</v>
      </c>
    </row>
    <row r="1257" spans="1:11" hidden="1" x14ac:dyDescent="0.25">
      <c r="A1257" t="str">
        <f>_xlfn.XLOOKUP(C1257, 'Códigos DANE Municipios'!$B$2:$B$1123, 'Códigos DANE Municipios'!$A$2:$A$1123, "No encontrado")</f>
        <v>20770</v>
      </c>
      <c r="B1257" t="str">
        <f>IFERROR(VLOOKUP(D1257,APOYO!K:L,2,FALSE),A1257)</f>
        <v>20770</v>
      </c>
      <c r="C1257" t="s">
        <v>854</v>
      </c>
      <c r="D1257" t="str">
        <f>IFERROR(VLOOKUP(C1257,APOYO!J:K,2,FALSE),C1257)</f>
        <v>SAN MARTÍN</v>
      </c>
      <c r="E1257">
        <v>2014</v>
      </c>
      <c r="F1257">
        <v>288</v>
      </c>
      <c r="G1257" t="s">
        <v>2189</v>
      </c>
      <c r="H1257">
        <v>13</v>
      </c>
      <c r="I1257" s="13" t="s">
        <v>2189</v>
      </c>
      <c r="J1257" s="13" t="s">
        <v>2189</v>
      </c>
      <c r="K1257" s="13" t="s">
        <v>2189</v>
      </c>
    </row>
    <row r="1258" spans="1:11" hidden="1" x14ac:dyDescent="0.25">
      <c r="A1258" t="str">
        <f>_xlfn.XLOOKUP(C1258, 'Códigos DANE Municipios'!$B$2:$B$1123, 'Códigos DANE Municipios'!$A$2:$A$1123, "No encontrado")</f>
        <v>68686</v>
      </c>
      <c r="B1258" t="str">
        <f>IFERROR(VLOOKUP(D1258,APOYO!K:L,2,FALSE),A1258)</f>
        <v>68686</v>
      </c>
      <c r="C1258" t="s">
        <v>1789</v>
      </c>
      <c r="D1258" t="str">
        <f>IFERROR(VLOOKUP(C1258,APOYO!J:K,2,FALSE),C1258)</f>
        <v>SAN MIGUEL</v>
      </c>
      <c r="E1258">
        <v>2014</v>
      </c>
      <c r="F1258" t="s">
        <v>2189</v>
      </c>
      <c r="G1258" t="s">
        <v>2189</v>
      </c>
      <c r="H1258">
        <v>10</v>
      </c>
      <c r="I1258" s="13" t="s">
        <v>2189</v>
      </c>
      <c r="J1258" s="13" t="s">
        <v>2189</v>
      </c>
      <c r="K1258" s="13" t="s">
        <v>2189</v>
      </c>
    </row>
    <row r="1259" spans="1:11" hidden="1" x14ac:dyDescent="0.25">
      <c r="A1259" t="str">
        <f>_xlfn.XLOOKUP(C1259, 'Códigos DANE Municipios'!$B$2:$B$1123, 'Códigos DANE Municipios'!$A$2:$A$1123, "No encontrado")</f>
        <v>70713</v>
      </c>
      <c r="B1259" t="str">
        <f>IFERROR(VLOOKUP(D1259,APOYO!K:L,2,FALSE),A1259)</f>
        <v>70713</v>
      </c>
      <c r="C1259" t="s">
        <v>1854</v>
      </c>
      <c r="D1259" t="str">
        <f>IFERROR(VLOOKUP(C1259,APOYO!J:K,2,FALSE),C1259)</f>
        <v>SAN ONOFRE</v>
      </c>
      <c r="E1259">
        <v>2014</v>
      </c>
      <c r="F1259" t="s">
        <v>2189</v>
      </c>
      <c r="G1259" t="s">
        <v>2189</v>
      </c>
      <c r="H1259">
        <v>16</v>
      </c>
      <c r="I1259" s="13" t="s">
        <v>2189</v>
      </c>
      <c r="J1259" s="13" t="s">
        <v>2189</v>
      </c>
      <c r="K1259" s="13" t="s">
        <v>2189</v>
      </c>
    </row>
    <row r="1260" spans="1:11" hidden="1" x14ac:dyDescent="0.25">
      <c r="A1260" t="str">
        <f>_xlfn.XLOOKUP(C1260, 'Códigos DANE Municipios'!$B$2:$B$1123, 'Códigos DANE Municipios'!$A$2:$A$1123, "No encontrado")</f>
        <v>13670</v>
      </c>
      <c r="B1260" t="str">
        <f>IFERROR(VLOOKUP(D1260,APOYO!K:L,2,FALSE),A1260)</f>
        <v>13670</v>
      </c>
      <c r="C1260" t="s">
        <v>377</v>
      </c>
      <c r="D1260" t="str">
        <f>IFERROR(VLOOKUP(C1260,APOYO!J:K,2,FALSE),C1260)</f>
        <v>SAN PABLO</v>
      </c>
      <c r="E1260">
        <v>2014</v>
      </c>
      <c r="F1260" t="s">
        <v>2189</v>
      </c>
      <c r="G1260" t="s">
        <v>2189</v>
      </c>
      <c r="H1260">
        <v>4</v>
      </c>
      <c r="I1260" s="13" t="s">
        <v>2189</v>
      </c>
      <c r="J1260" s="13" t="s">
        <v>2189</v>
      </c>
      <c r="K1260" s="13" t="s">
        <v>2189</v>
      </c>
    </row>
    <row r="1261" spans="1:11" hidden="1" x14ac:dyDescent="0.25">
      <c r="A1261" t="str">
        <f>_xlfn.XLOOKUP(C1261, 'Códigos DANE Municipios'!$B$2:$B$1123, 'Códigos DANE Municipios'!$A$2:$A$1123, "No encontrado")</f>
        <v>70717</v>
      </c>
      <c r="B1261" t="str">
        <f>IFERROR(VLOOKUP(D1261,APOYO!K:L,2,FALSE),A1261)</f>
        <v>70717</v>
      </c>
      <c r="C1261" t="s">
        <v>1856</v>
      </c>
      <c r="D1261" t="str">
        <f>IFERROR(VLOOKUP(C1261,APOYO!J:K,2,FALSE),C1261)</f>
        <v>SAN PEDRO</v>
      </c>
      <c r="E1261">
        <v>2014</v>
      </c>
      <c r="F1261" t="s">
        <v>2189</v>
      </c>
      <c r="G1261" t="s">
        <v>2189</v>
      </c>
      <c r="H1261">
        <v>27</v>
      </c>
      <c r="I1261" s="13" t="s">
        <v>2189</v>
      </c>
      <c r="J1261" s="13" t="s">
        <v>2189</v>
      </c>
      <c r="K1261" s="13" t="s">
        <v>2189</v>
      </c>
    </row>
    <row r="1262" spans="1:11" hidden="1" x14ac:dyDescent="0.25">
      <c r="A1262" t="str">
        <f>_xlfn.XLOOKUP(C1262, 'Códigos DANE Municipios'!$B$2:$B$1123, 'Códigos DANE Municipios'!$A$2:$A$1123, "No encontrado")</f>
        <v>05665</v>
      </c>
      <c r="B1262" t="str">
        <f>IFERROR(VLOOKUP(D1262,APOYO!K:L,2,FALSE),A1262)</f>
        <v>05665</v>
      </c>
      <c r="C1262" t="s">
        <v>204</v>
      </c>
      <c r="D1262" t="str">
        <f>IFERROR(VLOOKUP(C1262,APOYO!J:K,2,FALSE),C1262)</f>
        <v>SAN PEDRO DE URABÁ</v>
      </c>
      <c r="E1262">
        <v>2014</v>
      </c>
      <c r="F1262" t="s">
        <v>2189</v>
      </c>
      <c r="G1262" t="s">
        <v>2189</v>
      </c>
      <c r="H1262">
        <v>5</v>
      </c>
      <c r="I1262" s="13" t="s">
        <v>2189</v>
      </c>
      <c r="J1262" s="13" t="s">
        <v>2189</v>
      </c>
      <c r="K1262" s="13" t="s">
        <v>2189</v>
      </c>
    </row>
    <row r="1263" spans="1:11" hidden="1" x14ac:dyDescent="0.25">
      <c r="A1263" t="str">
        <f>_xlfn.XLOOKUP(C1263, 'Códigos DANE Municipios'!$B$2:$B$1123, 'Códigos DANE Municipios'!$A$2:$A$1123, "No encontrado")</f>
        <v>05667</v>
      </c>
      <c r="B1263" t="str">
        <f>IFERROR(VLOOKUP(D1263,APOYO!K:L,2,FALSE),A1263)</f>
        <v>05667</v>
      </c>
      <c r="C1263" t="s">
        <v>206</v>
      </c>
      <c r="D1263" t="str">
        <f>IFERROR(VLOOKUP(C1263,APOYO!J:K,2,FALSE),C1263)</f>
        <v>SAN RAFAEL</v>
      </c>
      <c r="E1263">
        <v>2014</v>
      </c>
      <c r="F1263" t="s">
        <v>2189</v>
      </c>
      <c r="G1263" t="s">
        <v>2189</v>
      </c>
      <c r="H1263">
        <v>10</v>
      </c>
      <c r="I1263" s="13" t="s">
        <v>2189</v>
      </c>
      <c r="J1263" s="13" t="s">
        <v>2189</v>
      </c>
      <c r="K1263" s="13" t="s">
        <v>2189</v>
      </c>
    </row>
    <row r="1264" spans="1:11" hidden="1" x14ac:dyDescent="0.25">
      <c r="A1264" t="str">
        <f>_xlfn.XLOOKUP(C1264, 'Códigos DANE Municipios'!$B$2:$B$1123, 'Códigos DANE Municipios'!$A$2:$A$1123, "No encontrado")</f>
        <v>05670</v>
      </c>
      <c r="B1264" t="str">
        <f>IFERROR(VLOOKUP(D1264,APOYO!K:L,2,FALSE),A1264)</f>
        <v>05670</v>
      </c>
      <c r="C1264" t="s">
        <v>208</v>
      </c>
      <c r="D1264" t="str">
        <f>IFERROR(VLOOKUP(C1264,APOYO!J:K,2,FALSE),C1264)</f>
        <v>SAN ROQUE</v>
      </c>
      <c r="E1264">
        <v>2014</v>
      </c>
      <c r="F1264" t="s">
        <v>2189</v>
      </c>
      <c r="G1264" t="s">
        <v>2189</v>
      </c>
      <c r="H1264">
        <v>4</v>
      </c>
      <c r="I1264" s="13" t="s">
        <v>2189</v>
      </c>
      <c r="J1264" s="13" t="s">
        <v>2189</v>
      </c>
      <c r="K1264" s="13" t="s">
        <v>2189</v>
      </c>
    </row>
    <row r="1265" spans="1:11" hidden="1" x14ac:dyDescent="0.25">
      <c r="A1265" t="str">
        <f>_xlfn.XLOOKUP(C1265, 'Códigos DANE Municipios'!$B$2:$B$1123, 'Códigos DANE Municipios'!$A$2:$A$1123, "No encontrado")</f>
        <v>19693</v>
      </c>
      <c r="B1265" t="str">
        <f>IFERROR(VLOOKUP(D1265,APOYO!K:L,2,FALSE),A1265)</f>
        <v>19693</v>
      </c>
      <c r="C1265" t="s">
        <v>785</v>
      </c>
      <c r="D1265" t="str">
        <f>IFERROR(VLOOKUP(C1265,APOYO!J:K,2,FALSE),C1265)</f>
        <v>SAN SEBASTIÁN</v>
      </c>
      <c r="E1265">
        <v>2014</v>
      </c>
      <c r="F1265" t="s">
        <v>2189</v>
      </c>
      <c r="G1265" t="s">
        <v>2189</v>
      </c>
      <c r="H1265" t="s">
        <v>2189</v>
      </c>
      <c r="I1265" s="13" t="s">
        <v>2189</v>
      </c>
      <c r="J1265" s="13" t="s">
        <v>2189</v>
      </c>
      <c r="K1265" s="13" t="s">
        <v>2189</v>
      </c>
    </row>
    <row r="1266" spans="1:11" hidden="1" x14ac:dyDescent="0.25">
      <c r="A1266" t="str">
        <f>_xlfn.XLOOKUP(C1266, 'Códigos DANE Municipios'!$B$2:$B$1123, 'Códigos DANE Municipios'!$A$2:$A$1123, "No encontrado")</f>
        <v>47692</v>
      </c>
      <c r="B1266" t="str">
        <f>IFERROR(VLOOKUP(D1266,APOYO!K:L,2,FALSE),A1266)</f>
        <v>47692</v>
      </c>
      <c r="C1266" t="s">
        <v>1342</v>
      </c>
      <c r="D1266" t="str">
        <f>IFERROR(VLOOKUP(C1266,APOYO!J:K,2,FALSE),C1266)</f>
        <v>SAN SEBASTIÁN DE BUENAVISTA</v>
      </c>
      <c r="E1266">
        <v>2014</v>
      </c>
      <c r="F1266" t="s">
        <v>2189</v>
      </c>
      <c r="G1266" t="s">
        <v>2189</v>
      </c>
      <c r="H1266">
        <v>25</v>
      </c>
      <c r="I1266" s="13" t="s">
        <v>2189</v>
      </c>
      <c r="J1266" s="13" t="s">
        <v>2189</v>
      </c>
      <c r="K1266" s="13" t="s">
        <v>2189</v>
      </c>
    </row>
    <row r="1267" spans="1:11" hidden="1" x14ac:dyDescent="0.25">
      <c r="A1267" t="str">
        <f>_xlfn.XLOOKUP(C1267, 'Códigos DANE Municipios'!$B$2:$B$1123, 'Códigos DANE Municipios'!$A$2:$A$1123, "No encontrado")</f>
        <v>05674</v>
      </c>
      <c r="B1267" t="str">
        <f>IFERROR(VLOOKUP(D1267,APOYO!K:L,2,FALSE),A1267)</f>
        <v>05674</v>
      </c>
      <c r="C1267" t="s">
        <v>210</v>
      </c>
      <c r="D1267" t="str">
        <f>IFERROR(VLOOKUP(C1267,APOYO!J:K,2,FALSE),C1267)</f>
        <v>SAN VICENTE FERRER</v>
      </c>
      <c r="E1267">
        <v>2014</v>
      </c>
      <c r="F1267" t="s">
        <v>2189</v>
      </c>
      <c r="G1267" t="s">
        <v>2189</v>
      </c>
      <c r="H1267">
        <v>1</v>
      </c>
      <c r="I1267" s="13" t="s">
        <v>2189</v>
      </c>
      <c r="J1267" s="13" t="s">
        <v>2189</v>
      </c>
      <c r="K1267" s="13" t="s">
        <v>2189</v>
      </c>
    </row>
    <row r="1268" spans="1:11" hidden="1" x14ac:dyDescent="0.25">
      <c r="A1268" t="str">
        <f>_xlfn.XLOOKUP(C1268, 'Códigos DANE Municipios'!$B$2:$B$1123, 'Códigos DANE Municipios'!$A$2:$A$1123, "No encontrado")</f>
        <v>68689</v>
      </c>
      <c r="B1268" t="str">
        <f>IFERROR(VLOOKUP(D1268,APOYO!K:L,2,FALSE),A1268)</f>
        <v>68689</v>
      </c>
      <c r="C1268" t="s">
        <v>1791</v>
      </c>
      <c r="D1268" t="str">
        <f>IFERROR(VLOOKUP(C1268,APOYO!J:K,2,FALSE),C1268)</f>
        <v>SAN VICENTE DE CHUCURÍ</v>
      </c>
      <c r="E1268">
        <v>2014</v>
      </c>
      <c r="F1268">
        <v>88</v>
      </c>
      <c r="G1268" t="s">
        <v>2189</v>
      </c>
      <c r="H1268">
        <v>6</v>
      </c>
      <c r="I1268" t="s">
        <v>2189</v>
      </c>
      <c r="J1268" s="13" t="s">
        <v>2189</v>
      </c>
      <c r="K1268" s="13" t="s">
        <v>2189</v>
      </c>
    </row>
    <row r="1269" spans="1:11" hidden="1" x14ac:dyDescent="0.25">
      <c r="A1269" t="str">
        <f>_xlfn.XLOOKUP(C1269, 'Códigos DANE Municipios'!$B$2:$B$1123, 'Códigos DANE Municipios'!$A$2:$A$1123, "No encontrado")</f>
        <v>18753</v>
      </c>
      <c r="B1269" t="str">
        <f>IFERROR(VLOOKUP(D1269,APOYO!K:L,2,FALSE),A1269)</f>
        <v>18753</v>
      </c>
      <c r="C1269" t="s">
        <v>722</v>
      </c>
      <c r="D1269" t="str">
        <f>IFERROR(VLOOKUP(C1269,APOYO!J:K,2,FALSE),C1269)</f>
        <v>SAN VICENTE DEL CAGUÁN</v>
      </c>
      <c r="E1269">
        <v>2014</v>
      </c>
      <c r="F1269">
        <v>4920</v>
      </c>
      <c r="G1269" t="s">
        <v>2189</v>
      </c>
      <c r="H1269">
        <v>3</v>
      </c>
      <c r="I1269" s="13" t="s">
        <v>2189</v>
      </c>
      <c r="J1269" s="13" t="s">
        <v>2189</v>
      </c>
      <c r="K1269" s="13" t="s">
        <v>2189</v>
      </c>
    </row>
    <row r="1270" spans="1:11" hidden="1" x14ac:dyDescent="0.25">
      <c r="A1270" t="str">
        <f>_xlfn.XLOOKUP(C1270, 'Códigos DANE Municipios'!$B$2:$B$1123, 'Códigos DANE Municipios'!$A$2:$A$1123, "No encontrado")</f>
        <v>52683</v>
      </c>
      <c r="B1270" t="str">
        <f>IFERROR(VLOOKUP(D1270,APOYO!K:L,2,FALSE),A1270)</f>
        <v>52683</v>
      </c>
      <c r="C1270" t="s">
        <v>1506</v>
      </c>
      <c r="D1270" t="str">
        <f>IFERROR(VLOOKUP(C1270,APOYO!J:K,2,FALSE),C1270)</f>
        <v>SANDONÁ</v>
      </c>
      <c r="E1270">
        <v>2014</v>
      </c>
      <c r="F1270" t="s">
        <v>2189</v>
      </c>
      <c r="G1270" t="s">
        <v>2189</v>
      </c>
      <c r="H1270">
        <v>5</v>
      </c>
      <c r="I1270" s="13" t="s">
        <v>2189</v>
      </c>
      <c r="J1270" s="13" t="s">
        <v>2189</v>
      </c>
      <c r="K1270" s="13" t="s">
        <v>2189</v>
      </c>
    </row>
    <row r="1271" spans="1:11" hidden="1" x14ac:dyDescent="0.25">
      <c r="A1271" t="str">
        <f>_xlfn.XLOOKUP(C1271, 'Códigos DANE Municipios'!$B$2:$B$1123, 'Códigos DANE Municipios'!$A$2:$A$1123, "No encontrado")</f>
        <v>47707</v>
      </c>
      <c r="B1271" t="str">
        <f>IFERROR(VLOOKUP(D1271,APOYO!K:L,2,FALSE),A1271)</f>
        <v>47707</v>
      </c>
      <c r="C1271" t="s">
        <v>1346</v>
      </c>
      <c r="D1271" t="str">
        <f>IFERROR(VLOOKUP(C1271,APOYO!J:K,2,FALSE),C1271)</f>
        <v>SANTA ANA</v>
      </c>
      <c r="E1271">
        <v>2014</v>
      </c>
      <c r="F1271" t="s">
        <v>2189</v>
      </c>
      <c r="G1271" t="s">
        <v>2189</v>
      </c>
      <c r="H1271">
        <v>173</v>
      </c>
      <c r="I1271" s="13" t="s">
        <v>2189</v>
      </c>
      <c r="J1271" s="13" t="s">
        <v>2189</v>
      </c>
      <c r="K1271" s="13" t="s">
        <v>2189</v>
      </c>
    </row>
    <row r="1272" spans="1:11" hidden="1" x14ac:dyDescent="0.25">
      <c r="A1272" t="str">
        <f>_xlfn.XLOOKUP(C1272, 'Códigos DANE Municipios'!$B$2:$B$1123, 'Códigos DANE Municipios'!$A$2:$A$1123, "No encontrado")</f>
        <v>05679</v>
      </c>
      <c r="B1272" t="str">
        <f>IFERROR(VLOOKUP(D1272,APOYO!K:L,2,FALSE),A1272)</f>
        <v>05679</v>
      </c>
      <c r="C1272" t="s">
        <v>212</v>
      </c>
      <c r="D1272" t="str">
        <f>IFERROR(VLOOKUP(C1272,APOYO!J:K,2,FALSE),C1272)</f>
        <v>SANTA BÁRBARA</v>
      </c>
      <c r="E1272">
        <v>2014</v>
      </c>
      <c r="F1272" t="s">
        <v>2189</v>
      </c>
      <c r="G1272" t="s">
        <v>2189</v>
      </c>
      <c r="H1272">
        <v>6</v>
      </c>
      <c r="I1272" s="13" t="s">
        <v>2189</v>
      </c>
      <c r="J1272" s="13" t="s">
        <v>2189</v>
      </c>
      <c r="K1272" s="13" t="s">
        <v>2189</v>
      </c>
    </row>
    <row r="1273" spans="1:11" hidden="1" x14ac:dyDescent="0.25">
      <c r="A1273" t="str">
        <f>_xlfn.XLOOKUP(C1273, 'Códigos DANE Municipios'!$B$2:$B$1123, 'Códigos DANE Municipios'!$A$2:$A$1123, "No encontrado")</f>
        <v>13673</v>
      </c>
      <c r="B1273" t="str">
        <f>IFERROR(VLOOKUP(D1273,APOYO!K:L,2,FALSE),A1273)</f>
        <v>13673</v>
      </c>
      <c r="C1273" t="s">
        <v>379</v>
      </c>
      <c r="D1273" t="str">
        <f>IFERROR(VLOOKUP(C1273,APOYO!J:K,2,FALSE),C1273)</f>
        <v>SANTA CATALINA</v>
      </c>
      <c r="E1273">
        <v>2014</v>
      </c>
      <c r="F1273" t="s">
        <v>2189</v>
      </c>
      <c r="G1273" t="s">
        <v>2189</v>
      </c>
      <c r="H1273">
        <v>7</v>
      </c>
      <c r="I1273" s="13" t="s">
        <v>2189</v>
      </c>
      <c r="J1273" s="13" t="s">
        <v>2189</v>
      </c>
      <c r="K1273" s="13" t="s">
        <v>2189</v>
      </c>
    </row>
    <row r="1274" spans="1:11" hidden="1" x14ac:dyDescent="0.25">
      <c r="A1274" t="str">
        <f>_xlfn.XLOOKUP(C1274, 'Códigos DANE Municipios'!$B$2:$B$1123, 'Códigos DANE Municipios'!$A$2:$A$1123, "No encontrado")</f>
        <v>73686</v>
      </c>
      <c r="B1274" t="str">
        <f>IFERROR(VLOOKUP(D1274,APOYO!K:L,2,FALSE),A1274)</f>
        <v>73686</v>
      </c>
      <c r="C1274" t="s">
        <v>1946</v>
      </c>
      <c r="D1274" t="str">
        <f>IFERROR(VLOOKUP(C1274,APOYO!J:K,2,FALSE),C1274)</f>
        <v>SANTA ISABEL</v>
      </c>
      <c r="E1274">
        <v>2014</v>
      </c>
      <c r="F1274" t="s">
        <v>2189</v>
      </c>
      <c r="G1274" t="s">
        <v>2189</v>
      </c>
      <c r="H1274" t="s">
        <v>2189</v>
      </c>
      <c r="I1274" s="13" t="s">
        <v>2189</v>
      </c>
      <c r="J1274" s="13" t="s">
        <v>2189</v>
      </c>
      <c r="K1274" s="13" t="s">
        <v>2189</v>
      </c>
    </row>
    <row r="1275" spans="1:11" hidden="1" x14ac:dyDescent="0.25">
      <c r="A1275" t="str">
        <f>_xlfn.XLOOKUP(C1275, 'Códigos DANE Municipios'!$B$2:$B$1123, 'Códigos DANE Municipios'!$A$2:$A$1123, "No encontrado")</f>
        <v>15690</v>
      </c>
      <c r="B1275" t="str">
        <f>IFERROR(VLOOKUP(D1275,APOYO!K:L,2,FALSE),A1275)</f>
        <v>15690</v>
      </c>
      <c r="C1275" t="s">
        <v>574</v>
      </c>
      <c r="D1275" t="str">
        <f>IFERROR(VLOOKUP(C1275,APOYO!J:K,2,FALSE),C1275)</f>
        <v>SANTA MARÍA</v>
      </c>
      <c r="E1275">
        <v>2014</v>
      </c>
      <c r="F1275" t="s">
        <v>2189</v>
      </c>
      <c r="G1275" t="s">
        <v>2189</v>
      </c>
      <c r="H1275">
        <v>1</v>
      </c>
      <c r="I1275" s="13" t="s">
        <v>2189</v>
      </c>
      <c r="J1275" s="13" t="s">
        <v>2189</v>
      </c>
      <c r="K1275" s="13" t="s">
        <v>2189</v>
      </c>
    </row>
    <row r="1276" spans="1:11" hidden="1" x14ac:dyDescent="0.25">
      <c r="A1276" t="str">
        <f>_xlfn.XLOOKUP(C1276, 'Códigos DANE Municipios'!$B$2:$B$1123, 'Códigos DANE Municipios'!$A$2:$A$1123, "No encontrado")</f>
        <v>47001</v>
      </c>
      <c r="B1276" t="str">
        <f>IFERROR(VLOOKUP(D1276,APOYO!K:L,2,FALSE),A1276)</f>
        <v>47001</v>
      </c>
      <c r="C1276" t="s">
        <v>1300</v>
      </c>
      <c r="D1276" t="str">
        <f>IFERROR(VLOOKUP(C1276,APOYO!J:K,2,FALSE),C1276)</f>
        <v>SANTA MARTA</v>
      </c>
      <c r="E1276">
        <v>2014</v>
      </c>
      <c r="F1276">
        <v>602377</v>
      </c>
      <c r="G1276">
        <v>6310</v>
      </c>
      <c r="H1276">
        <v>18239</v>
      </c>
      <c r="I1276" s="13">
        <v>325623</v>
      </c>
      <c r="J1276" s="13" t="s">
        <v>2189</v>
      </c>
      <c r="K1276" s="13" t="s">
        <v>2189</v>
      </c>
    </row>
    <row r="1277" spans="1:11" hidden="1" x14ac:dyDescent="0.25">
      <c r="A1277" t="str">
        <f>_xlfn.XLOOKUP(C1277, 'Códigos DANE Municipios'!$B$2:$B$1123, 'Códigos DANE Municipios'!$A$2:$A$1123, "No encontrado")</f>
        <v>13683</v>
      </c>
      <c r="B1277" t="str">
        <f>IFERROR(VLOOKUP(D1277,APOYO!K:L,2,FALSE),A1277)</f>
        <v>13683</v>
      </c>
      <c r="C1277" t="s">
        <v>381</v>
      </c>
      <c r="D1277" t="str">
        <f>IFERROR(VLOOKUP(C1277,APOYO!J:K,2,FALSE),C1277)</f>
        <v>SANTA ROSA</v>
      </c>
      <c r="E1277">
        <v>2014</v>
      </c>
      <c r="F1277" t="s">
        <v>2189</v>
      </c>
      <c r="G1277" t="s">
        <v>2189</v>
      </c>
      <c r="H1277">
        <v>6</v>
      </c>
      <c r="I1277" s="13" t="s">
        <v>2189</v>
      </c>
      <c r="J1277" s="13" t="s">
        <v>2189</v>
      </c>
      <c r="K1277" s="13" t="s">
        <v>2189</v>
      </c>
    </row>
    <row r="1278" spans="1:11" hidden="1" x14ac:dyDescent="0.25">
      <c r="A1278" t="str">
        <f>_xlfn.XLOOKUP(C1278, 'Códigos DANE Municipios'!$B$2:$B$1123, 'Códigos DANE Municipios'!$A$2:$A$1123, "No encontrado")</f>
        <v>66682</v>
      </c>
      <c r="B1278" t="str">
        <f>IFERROR(VLOOKUP(D1278,APOYO!K:L,2,FALSE),A1278)</f>
        <v>66682</v>
      </c>
      <c r="C1278" t="s">
        <v>1651</v>
      </c>
      <c r="D1278" t="str">
        <f>IFERROR(VLOOKUP(C1278,APOYO!J:K,2,FALSE),C1278)</f>
        <v>SANTA ROSA DE CABAL</v>
      </c>
      <c r="E1278">
        <v>2014</v>
      </c>
      <c r="F1278" t="s">
        <v>2189</v>
      </c>
      <c r="G1278" t="s">
        <v>2189</v>
      </c>
      <c r="H1278">
        <v>458</v>
      </c>
      <c r="I1278" s="13" t="s">
        <v>2189</v>
      </c>
      <c r="J1278" s="13" t="s">
        <v>2189</v>
      </c>
      <c r="K1278" s="13" t="s">
        <v>2189</v>
      </c>
    </row>
    <row r="1279" spans="1:11" hidden="1" x14ac:dyDescent="0.25">
      <c r="A1279" t="str">
        <f>_xlfn.XLOOKUP(C1279, 'Códigos DANE Municipios'!$B$2:$B$1123, 'Códigos DANE Municipios'!$A$2:$A$1123, "No encontrado")</f>
        <v>15693</v>
      </c>
      <c r="B1279" t="str">
        <f>IFERROR(VLOOKUP(D1279,APOYO!K:L,2,FALSE),A1279)</f>
        <v>15693</v>
      </c>
      <c r="C1279" t="s">
        <v>576</v>
      </c>
      <c r="D1279" t="str">
        <f>IFERROR(VLOOKUP(C1279,APOYO!J:K,2,FALSE),C1279)</f>
        <v>SANTA ROSA DE VITERBO</v>
      </c>
      <c r="E1279">
        <v>2014</v>
      </c>
      <c r="F1279" t="s">
        <v>2189</v>
      </c>
      <c r="G1279" t="s">
        <v>2189</v>
      </c>
      <c r="H1279">
        <v>4</v>
      </c>
      <c r="I1279" s="13" t="s">
        <v>2189</v>
      </c>
      <c r="J1279" s="13" t="s">
        <v>2189</v>
      </c>
      <c r="K1279" s="13" t="s">
        <v>2189</v>
      </c>
    </row>
    <row r="1280" spans="1:11" hidden="1" x14ac:dyDescent="0.25">
      <c r="A1280" t="str">
        <f>_xlfn.XLOOKUP(C1280, 'Códigos DANE Municipios'!$B$2:$B$1123, 'Códigos DANE Municipios'!$A$2:$A$1123, "No encontrado")</f>
        <v>13688</v>
      </c>
      <c r="B1280" t="str">
        <f>IFERROR(VLOOKUP(D1280,APOYO!K:L,2,FALSE),A1280)</f>
        <v>13688</v>
      </c>
      <c r="C1280" t="s">
        <v>383</v>
      </c>
      <c r="D1280" t="str">
        <f>IFERROR(VLOOKUP(C1280,APOYO!J:K,2,FALSE),C1280)</f>
        <v>SANTA ROSA DEL SUR</v>
      </c>
      <c r="E1280">
        <v>2014</v>
      </c>
      <c r="F1280">
        <v>253</v>
      </c>
      <c r="G1280" t="s">
        <v>2189</v>
      </c>
      <c r="H1280">
        <v>1</v>
      </c>
      <c r="I1280" s="13" t="s">
        <v>2189</v>
      </c>
      <c r="J1280" s="13" t="s">
        <v>2189</v>
      </c>
      <c r="K1280" s="13" t="s">
        <v>2189</v>
      </c>
    </row>
    <row r="1281" spans="1:11" hidden="1" x14ac:dyDescent="0.25">
      <c r="A1281" t="str">
        <f>_xlfn.XLOOKUP(C1281, 'Códigos DANE Municipios'!$B$2:$B$1123, 'Códigos DANE Municipios'!$A$2:$A$1123, "No encontrado")</f>
        <v>15696</v>
      </c>
      <c r="B1281" t="str">
        <f>IFERROR(VLOOKUP(D1281,APOYO!K:L,2,FALSE),A1281)</f>
        <v>15696</v>
      </c>
      <c r="C1281" t="s">
        <v>578</v>
      </c>
      <c r="D1281" t="str">
        <f>IFERROR(VLOOKUP(C1281,APOYO!J:K,2,FALSE),C1281)</f>
        <v>SANTA SOFÍA</v>
      </c>
      <c r="E1281">
        <v>2014</v>
      </c>
      <c r="F1281" t="s">
        <v>2189</v>
      </c>
      <c r="G1281" t="s">
        <v>2189</v>
      </c>
      <c r="H1281">
        <v>6</v>
      </c>
      <c r="I1281" s="13" t="s">
        <v>2189</v>
      </c>
      <c r="J1281" s="13" t="s">
        <v>2189</v>
      </c>
      <c r="K1281" s="13" t="s">
        <v>2189</v>
      </c>
    </row>
    <row r="1282" spans="1:11" hidden="1" x14ac:dyDescent="0.25">
      <c r="A1282" t="str">
        <f>_xlfn.XLOOKUP(C1282, 'Códigos DANE Municipios'!$B$2:$B$1123, 'Códigos DANE Municipios'!$A$2:$A$1123, "No encontrado")</f>
        <v>15686</v>
      </c>
      <c r="B1282" t="str">
        <f>IFERROR(VLOOKUP(D1282,APOYO!K:L,2,FALSE),A1282)</f>
        <v>15686</v>
      </c>
      <c r="C1282" t="s">
        <v>572</v>
      </c>
      <c r="D1282" t="str">
        <f>IFERROR(VLOOKUP(C1282,APOYO!J:K,2,FALSE),C1282)</f>
        <v>SANTANA</v>
      </c>
      <c r="E1282">
        <v>2014</v>
      </c>
      <c r="F1282" t="s">
        <v>2189</v>
      </c>
      <c r="G1282" t="s">
        <v>2189</v>
      </c>
      <c r="H1282">
        <v>2</v>
      </c>
      <c r="I1282" s="13" t="s">
        <v>2189</v>
      </c>
      <c r="J1282" s="13" t="s">
        <v>2189</v>
      </c>
      <c r="K1282" s="13" t="s">
        <v>2189</v>
      </c>
    </row>
    <row r="1283" spans="1:11" hidden="1" x14ac:dyDescent="0.25">
      <c r="A1283" t="str">
        <f>_xlfn.XLOOKUP(C1283, 'Códigos DANE Municipios'!$B$2:$B$1123, 'Códigos DANE Municipios'!$A$2:$A$1123, "No encontrado")</f>
        <v>19698</v>
      </c>
      <c r="B1283" t="str">
        <f>IFERROR(VLOOKUP(D1283,APOYO!K:L,2,FALSE),A1283)</f>
        <v>19698</v>
      </c>
      <c r="C1283" t="s">
        <v>787</v>
      </c>
      <c r="D1283" t="str">
        <f>IFERROR(VLOOKUP(C1283,APOYO!J:K,2,FALSE),C1283)</f>
        <v>SANTANDER DE QUILICHAO</v>
      </c>
      <c r="E1283">
        <v>2014</v>
      </c>
      <c r="F1283" t="s">
        <v>2189</v>
      </c>
      <c r="G1283" t="s">
        <v>2189</v>
      </c>
      <c r="H1283">
        <v>94</v>
      </c>
      <c r="I1283" s="13" t="s">
        <v>2189</v>
      </c>
      <c r="J1283" s="13" t="s">
        <v>2189</v>
      </c>
      <c r="K1283" s="13" t="s">
        <v>2189</v>
      </c>
    </row>
    <row r="1284" spans="1:11" hidden="1" x14ac:dyDescent="0.25">
      <c r="A1284" t="str">
        <f>_xlfn.XLOOKUP(C1284, 'Códigos DANE Municipios'!$B$2:$B$1123, 'Códigos DANE Municipios'!$A$2:$A$1123, "No encontrado")</f>
        <v>08685</v>
      </c>
      <c r="B1284" t="str">
        <f>IFERROR(VLOOKUP(D1284,APOYO!K:L,2,FALSE),A1284)</f>
        <v>08685</v>
      </c>
      <c r="C1284" t="s">
        <v>297</v>
      </c>
      <c r="D1284" t="str">
        <f>IFERROR(VLOOKUP(C1284,APOYO!J:K,2,FALSE),C1284)</f>
        <v>SANTO TOMÁS</v>
      </c>
      <c r="E1284">
        <v>2014</v>
      </c>
      <c r="F1284" t="s">
        <v>2189</v>
      </c>
      <c r="G1284" t="s">
        <v>2189</v>
      </c>
      <c r="H1284">
        <v>18</v>
      </c>
      <c r="I1284" s="13" t="s">
        <v>2189</v>
      </c>
      <c r="J1284" s="13" t="s">
        <v>2189</v>
      </c>
      <c r="K1284" s="13" t="s">
        <v>2189</v>
      </c>
    </row>
    <row r="1285" spans="1:11" hidden="1" x14ac:dyDescent="0.25">
      <c r="A1285" t="str">
        <f>_xlfn.XLOOKUP(C1285, 'Códigos DANE Municipios'!$B$2:$B$1123, 'Códigos DANE Municipios'!$A$2:$A$1123, "No encontrado")</f>
        <v>66687</v>
      </c>
      <c r="B1285" t="str">
        <f>IFERROR(VLOOKUP(D1285,APOYO!K:L,2,FALSE),A1285)</f>
        <v>66687</v>
      </c>
      <c r="C1285" t="s">
        <v>1653</v>
      </c>
      <c r="D1285" t="str">
        <f>IFERROR(VLOOKUP(C1285,APOYO!J:K,2,FALSE),C1285)</f>
        <v>SANTUARIO</v>
      </c>
      <c r="E1285">
        <v>2014</v>
      </c>
      <c r="F1285" t="s">
        <v>2189</v>
      </c>
      <c r="G1285" t="s">
        <v>2189</v>
      </c>
      <c r="H1285">
        <v>56</v>
      </c>
      <c r="I1285" s="13" t="s">
        <v>2189</v>
      </c>
      <c r="J1285" s="13" t="s">
        <v>2189</v>
      </c>
      <c r="K1285" s="13" t="s">
        <v>2189</v>
      </c>
    </row>
    <row r="1286" spans="1:11" hidden="1" x14ac:dyDescent="0.25">
      <c r="A1286" t="str">
        <f>_xlfn.XLOOKUP(C1286, 'Códigos DANE Municipios'!$B$2:$B$1123, 'Códigos DANE Municipios'!$A$2:$A$1123, "No encontrado")</f>
        <v>52720</v>
      </c>
      <c r="B1286" t="str">
        <f>IFERROR(VLOOKUP(D1286,APOYO!K:L,2,FALSE),A1286)</f>
        <v>52720</v>
      </c>
      <c r="C1286" t="s">
        <v>1517</v>
      </c>
      <c r="D1286" t="str">
        <f>IFERROR(VLOOKUP(C1286,APOYO!J:K,2,FALSE),C1286)</f>
        <v>SAPUYES</v>
      </c>
      <c r="E1286">
        <v>2014</v>
      </c>
      <c r="F1286" t="s">
        <v>2189</v>
      </c>
      <c r="G1286" t="s">
        <v>2189</v>
      </c>
      <c r="H1286">
        <v>3</v>
      </c>
      <c r="I1286" s="13" t="s">
        <v>2189</v>
      </c>
      <c r="J1286" s="13" t="s">
        <v>2189</v>
      </c>
      <c r="K1286" s="13" t="s">
        <v>2189</v>
      </c>
    </row>
    <row r="1287" spans="1:11" hidden="1" x14ac:dyDescent="0.25">
      <c r="A1287" t="str">
        <f>_xlfn.XLOOKUP(C1287, 'Códigos DANE Municipios'!$B$2:$B$1123, 'Códigos DANE Municipios'!$A$2:$A$1123, "No encontrado")</f>
        <v>81736</v>
      </c>
      <c r="B1287" t="str">
        <f>IFERROR(VLOOKUP(D1287,APOYO!K:L,2,FALSE),A1287)</f>
        <v>81736</v>
      </c>
      <c r="C1287" t="s">
        <v>2044</v>
      </c>
      <c r="D1287" t="str">
        <f>IFERROR(VLOOKUP(C1287,APOYO!J:K,2,FALSE),C1287)</f>
        <v>SARAVENA</v>
      </c>
      <c r="E1287">
        <v>2014</v>
      </c>
      <c r="F1287">
        <v>5832</v>
      </c>
      <c r="G1287" t="s">
        <v>2189</v>
      </c>
      <c r="H1287">
        <v>16</v>
      </c>
      <c r="I1287" s="13" t="s">
        <v>2189</v>
      </c>
      <c r="J1287" s="13" t="s">
        <v>2189</v>
      </c>
      <c r="K1287" s="13" t="s">
        <v>2189</v>
      </c>
    </row>
    <row r="1288" spans="1:11" hidden="1" x14ac:dyDescent="0.25">
      <c r="A1288" t="str">
        <f>_xlfn.XLOOKUP(C1288, 'Códigos DANE Municipios'!$B$2:$B$1123, 'Códigos DANE Municipios'!$A$2:$A$1123, "No encontrado")</f>
        <v>54720</v>
      </c>
      <c r="B1288" t="str">
        <f>IFERROR(VLOOKUP(D1288,APOYO!K:L,2,FALSE),A1288)</f>
        <v>54720</v>
      </c>
      <c r="C1288" t="s">
        <v>1594</v>
      </c>
      <c r="D1288" t="str">
        <f>IFERROR(VLOOKUP(C1288,APOYO!J:K,2,FALSE),C1288)</f>
        <v>SARDINATA</v>
      </c>
      <c r="E1288">
        <v>2014</v>
      </c>
      <c r="F1288" t="s">
        <v>2189</v>
      </c>
      <c r="G1288" t="s">
        <v>2189</v>
      </c>
      <c r="H1288" t="s">
        <v>2189</v>
      </c>
      <c r="I1288" s="13" t="s">
        <v>2189</v>
      </c>
      <c r="J1288" s="13" t="s">
        <v>2189</v>
      </c>
      <c r="K1288" s="13" t="s">
        <v>2189</v>
      </c>
    </row>
    <row r="1289" spans="1:11" hidden="1" x14ac:dyDescent="0.25">
      <c r="A1289" t="str">
        <f>_xlfn.XLOOKUP(C1289, 'Códigos DANE Municipios'!$B$2:$B$1123, 'Códigos DANE Municipios'!$A$2:$A$1123, "No encontrado")</f>
        <v>25718</v>
      </c>
      <c r="B1289" t="str">
        <f>IFERROR(VLOOKUP(D1289,APOYO!K:L,2,FALSE),A1289)</f>
        <v>25718</v>
      </c>
      <c r="C1289" t="s">
        <v>1072</v>
      </c>
      <c r="D1289" t="str">
        <f>IFERROR(VLOOKUP(C1289,APOYO!J:K,2,FALSE),C1289)</f>
        <v>SASAIMA</v>
      </c>
      <c r="E1289">
        <v>2014</v>
      </c>
      <c r="F1289" t="s">
        <v>2189</v>
      </c>
      <c r="G1289" t="s">
        <v>2189</v>
      </c>
      <c r="H1289">
        <v>34</v>
      </c>
      <c r="I1289" s="13" t="s">
        <v>2189</v>
      </c>
      <c r="J1289" s="13" t="s">
        <v>2189</v>
      </c>
      <c r="K1289" s="13" t="s">
        <v>2189</v>
      </c>
    </row>
    <row r="1290" spans="1:11" hidden="1" x14ac:dyDescent="0.25">
      <c r="A1290" t="str">
        <f>_xlfn.XLOOKUP(C1290, 'Códigos DANE Municipios'!$B$2:$B$1123, 'Códigos DANE Municipios'!$A$2:$A$1123, "No encontrado")</f>
        <v>05736</v>
      </c>
      <c r="B1290" t="str">
        <f>IFERROR(VLOOKUP(D1290,APOYO!K:L,2,FALSE),A1290)</f>
        <v>05736</v>
      </c>
      <c r="C1290" t="s">
        <v>220</v>
      </c>
      <c r="D1290" t="str">
        <f>IFERROR(VLOOKUP(C1290,APOYO!J:K,2,FALSE),C1290)</f>
        <v>SEGOVIA</v>
      </c>
      <c r="E1290">
        <v>2014</v>
      </c>
      <c r="F1290" t="s">
        <v>2189</v>
      </c>
      <c r="G1290" t="s">
        <v>2189</v>
      </c>
      <c r="H1290">
        <v>8</v>
      </c>
      <c r="I1290" s="13" t="s">
        <v>2189</v>
      </c>
      <c r="J1290" s="13" t="s">
        <v>2189</v>
      </c>
      <c r="K1290" s="13" t="s">
        <v>2189</v>
      </c>
    </row>
    <row r="1291" spans="1:11" hidden="1" x14ac:dyDescent="0.25">
      <c r="A1291" t="str">
        <f>_xlfn.XLOOKUP(C1291, 'Códigos DANE Municipios'!$B$2:$B$1123, 'Códigos DANE Municipios'!$A$2:$A$1123, "No encontrado")</f>
        <v>25736</v>
      </c>
      <c r="B1291" t="str">
        <f>IFERROR(VLOOKUP(D1291,APOYO!K:L,2,FALSE),A1291)</f>
        <v>25736</v>
      </c>
      <c r="C1291" t="s">
        <v>1074</v>
      </c>
      <c r="D1291" t="str">
        <f>IFERROR(VLOOKUP(C1291,APOYO!J:K,2,FALSE),C1291)</f>
        <v>SESQUILÉ</v>
      </c>
      <c r="E1291">
        <v>2014</v>
      </c>
      <c r="F1291" t="s">
        <v>2189</v>
      </c>
      <c r="G1291" t="s">
        <v>2189</v>
      </c>
      <c r="H1291">
        <v>10</v>
      </c>
      <c r="I1291" s="13" t="s">
        <v>2189</v>
      </c>
      <c r="J1291" s="13" t="s">
        <v>2189</v>
      </c>
      <c r="K1291" s="13" t="s">
        <v>2189</v>
      </c>
    </row>
    <row r="1292" spans="1:11" hidden="1" x14ac:dyDescent="0.25">
      <c r="A1292" t="str">
        <f>_xlfn.XLOOKUP(C1292, 'Códigos DANE Municipios'!$B$2:$B$1123, 'Códigos DANE Municipios'!$A$2:$A$1123, "No encontrado")</f>
        <v>76736</v>
      </c>
      <c r="B1292" t="str">
        <f>IFERROR(VLOOKUP(D1292,APOYO!K:L,2,FALSE),A1292)</f>
        <v>76736</v>
      </c>
      <c r="C1292" t="s">
        <v>2014</v>
      </c>
      <c r="D1292" t="str">
        <f>IFERROR(VLOOKUP(C1292,APOYO!J:K,2,FALSE),C1292)</f>
        <v>SEVILLA</v>
      </c>
      <c r="E1292">
        <v>2014</v>
      </c>
      <c r="F1292" t="s">
        <v>2189</v>
      </c>
      <c r="G1292" t="s">
        <v>2189</v>
      </c>
      <c r="H1292">
        <v>122</v>
      </c>
      <c r="I1292" t="s">
        <v>2189</v>
      </c>
      <c r="J1292" s="13" t="s">
        <v>2189</v>
      </c>
      <c r="K1292" s="13" t="s">
        <v>2189</v>
      </c>
    </row>
    <row r="1293" spans="1:11" hidden="1" x14ac:dyDescent="0.25">
      <c r="A1293" t="str">
        <f>_xlfn.XLOOKUP(C1293, 'Códigos DANE Municipios'!$B$2:$B$1123, 'Códigos DANE Municipios'!$A$2:$A$1123, "No encontrado")</f>
        <v>25740</v>
      </c>
      <c r="B1293" t="str">
        <f>IFERROR(VLOOKUP(D1293,APOYO!K:L,2,FALSE),A1293)</f>
        <v>25740</v>
      </c>
      <c r="C1293" t="s">
        <v>1076</v>
      </c>
      <c r="D1293" t="str">
        <f>IFERROR(VLOOKUP(C1293,APOYO!J:K,2,FALSE),C1293)</f>
        <v>SIBATÉ</v>
      </c>
      <c r="E1293">
        <v>2014</v>
      </c>
      <c r="F1293" t="s">
        <v>2189</v>
      </c>
      <c r="G1293" t="s">
        <v>2189</v>
      </c>
      <c r="H1293">
        <v>63</v>
      </c>
      <c r="I1293" s="13" t="s">
        <v>2189</v>
      </c>
      <c r="J1293" s="13" t="s">
        <v>2189</v>
      </c>
      <c r="K1293" s="13" t="s">
        <v>2189</v>
      </c>
    </row>
    <row r="1294" spans="1:11" hidden="1" x14ac:dyDescent="0.25">
      <c r="A1294" t="str">
        <f>_xlfn.XLOOKUP(C1294, 'Códigos DANE Municipios'!$B$2:$B$1123, 'Códigos DANE Municipios'!$A$2:$A$1123, "No encontrado")</f>
        <v>86749</v>
      </c>
      <c r="B1294" t="str">
        <f>IFERROR(VLOOKUP(D1294,APOYO!K:L,2,FALSE),A1294)</f>
        <v>86749</v>
      </c>
      <c r="C1294" t="s">
        <v>2097</v>
      </c>
      <c r="D1294" t="str">
        <f>IFERROR(VLOOKUP(C1294,APOYO!J:K,2,FALSE),C1294)</f>
        <v>SIBUNDOY</v>
      </c>
      <c r="E1294">
        <v>2014</v>
      </c>
      <c r="F1294" t="s">
        <v>2189</v>
      </c>
      <c r="G1294" t="s">
        <v>2189</v>
      </c>
      <c r="H1294">
        <v>23</v>
      </c>
      <c r="I1294" s="13" t="s">
        <v>2189</v>
      </c>
      <c r="J1294" s="13" t="s">
        <v>2189</v>
      </c>
      <c r="K1294" s="13" t="s">
        <v>2189</v>
      </c>
    </row>
    <row r="1295" spans="1:11" hidden="1" x14ac:dyDescent="0.25">
      <c r="A1295" t="str">
        <f>_xlfn.XLOOKUP(C1295, 'Códigos DANE Municipios'!$B$2:$B$1123, 'Códigos DANE Municipios'!$A$2:$A$1123, "No encontrado")</f>
        <v>25743</v>
      </c>
      <c r="B1295" t="str">
        <f>IFERROR(VLOOKUP(D1295,APOYO!K:L,2,FALSE),A1295)</f>
        <v>25743</v>
      </c>
      <c r="C1295" t="s">
        <v>1078</v>
      </c>
      <c r="D1295" t="str">
        <f>IFERROR(VLOOKUP(C1295,APOYO!J:K,2,FALSE),C1295)</f>
        <v>SILVANIA</v>
      </c>
      <c r="E1295">
        <v>2014</v>
      </c>
      <c r="F1295" t="s">
        <v>2189</v>
      </c>
      <c r="G1295" t="s">
        <v>2189</v>
      </c>
      <c r="H1295">
        <v>23</v>
      </c>
      <c r="I1295" s="13" t="s">
        <v>2189</v>
      </c>
      <c r="J1295" s="13" t="s">
        <v>2189</v>
      </c>
      <c r="K1295" s="13" t="s">
        <v>2189</v>
      </c>
    </row>
    <row r="1296" spans="1:11" hidden="1" x14ac:dyDescent="0.25">
      <c r="A1296" t="str">
        <f>_xlfn.XLOOKUP(C1296, 'Códigos DANE Municipios'!$B$2:$B$1123, 'Códigos DANE Municipios'!$A$2:$A$1123, "No encontrado")</f>
        <v>19743</v>
      </c>
      <c r="B1296" t="str">
        <f>IFERROR(VLOOKUP(D1296,APOYO!K:L,2,FALSE),A1296)</f>
        <v>19743</v>
      </c>
      <c r="C1296" t="s">
        <v>790</v>
      </c>
      <c r="D1296" t="str">
        <f>IFERROR(VLOOKUP(C1296,APOYO!J:K,2,FALSE),C1296)</f>
        <v>SILVIA</v>
      </c>
      <c r="E1296">
        <v>2014</v>
      </c>
      <c r="F1296" t="s">
        <v>2189</v>
      </c>
      <c r="G1296" t="s">
        <v>2189</v>
      </c>
      <c r="H1296">
        <v>7</v>
      </c>
      <c r="I1296" s="13" t="s">
        <v>2189</v>
      </c>
      <c r="J1296" s="13" t="s">
        <v>2189</v>
      </c>
      <c r="K1296" s="13" t="s">
        <v>2189</v>
      </c>
    </row>
    <row r="1297" spans="1:11" hidden="1" x14ac:dyDescent="0.25">
      <c r="A1297" t="str">
        <f>_xlfn.XLOOKUP(C1297, 'Códigos DANE Municipios'!$B$2:$B$1123, 'Códigos DANE Municipios'!$A$2:$A$1123, "No encontrado")</f>
        <v>25745</v>
      </c>
      <c r="B1297" t="str">
        <f>IFERROR(VLOOKUP(D1297,APOYO!K:L,2,FALSE),A1297)</f>
        <v>25745</v>
      </c>
      <c r="C1297" t="s">
        <v>1080</v>
      </c>
      <c r="D1297" t="str">
        <f>IFERROR(VLOOKUP(C1297,APOYO!J:K,2,FALSE),C1297)</f>
        <v>SIMIJACA</v>
      </c>
      <c r="E1297">
        <v>2014</v>
      </c>
      <c r="F1297" t="s">
        <v>2189</v>
      </c>
      <c r="G1297" t="s">
        <v>2189</v>
      </c>
      <c r="H1297">
        <v>6</v>
      </c>
      <c r="I1297" s="13" t="s">
        <v>2189</v>
      </c>
      <c r="J1297" s="13" t="s">
        <v>2189</v>
      </c>
      <c r="K1297" s="13" t="s">
        <v>2189</v>
      </c>
    </row>
    <row r="1298" spans="1:11" hidden="1" x14ac:dyDescent="0.25">
      <c r="A1298" t="str">
        <f>_xlfn.XLOOKUP(C1298, 'Códigos DANE Municipios'!$B$2:$B$1123, 'Códigos DANE Municipios'!$A$2:$A$1123, "No encontrado")</f>
        <v>13744</v>
      </c>
      <c r="B1298" t="str">
        <f>IFERROR(VLOOKUP(D1298,APOYO!K:L,2,FALSE),A1298)</f>
        <v>13744</v>
      </c>
      <c r="C1298" t="s">
        <v>385</v>
      </c>
      <c r="D1298" t="str">
        <f>IFERROR(VLOOKUP(C1298,APOYO!J:K,2,FALSE),C1298)</f>
        <v>SIMITÍ</v>
      </c>
      <c r="E1298">
        <v>2014</v>
      </c>
      <c r="F1298" t="s">
        <v>2189</v>
      </c>
      <c r="G1298" t="s">
        <v>2189</v>
      </c>
      <c r="H1298">
        <v>1</v>
      </c>
      <c r="I1298" s="13" t="s">
        <v>2189</v>
      </c>
      <c r="J1298" s="13" t="s">
        <v>2189</v>
      </c>
      <c r="K1298" s="13" t="s">
        <v>2189</v>
      </c>
    </row>
    <row r="1299" spans="1:11" hidden="1" x14ac:dyDescent="0.25">
      <c r="A1299" t="str">
        <f>_xlfn.XLOOKUP(C1299, 'Códigos DANE Municipios'!$B$2:$B$1123, 'Códigos DANE Municipios'!$A$2:$A$1123, "No encontrado")</f>
        <v>70742</v>
      </c>
      <c r="B1299" t="str">
        <f>IFERROR(VLOOKUP(D1299,APOYO!K:L,2,FALSE),A1299)</f>
        <v>70742</v>
      </c>
      <c r="C1299" t="s">
        <v>1858</v>
      </c>
      <c r="D1299" t="str">
        <f>IFERROR(VLOOKUP(C1299,APOYO!J:K,2,FALSE),C1299)</f>
        <v>SAN LUIS DE SINCÉ</v>
      </c>
      <c r="E1299">
        <v>2014</v>
      </c>
      <c r="F1299" t="s">
        <v>2189</v>
      </c>
      <c r="G1299" t="s">
        <v>2189</v>
      </c>
      <c r="H1299" t="s">
        <v>2189</v>
      </c>
      <c r="I1299" s="13" t="s">
        <v>2189</v>
      </c>
      <c r="J1299" s="13" t="s">
        <v>2189</v>
      </c>
      <c r="K1299" s="13" t="s">
        <v>2189</v>
      </c>
    </row>
    <row r="1300" spans="1:11" hidden="1" x14ac:dyDescent="0.25">
      <c r="A1300" t="str">
        <f>_xlfn.XLOOKUP(C1300, 'Códigos DANE Municipios'!$B$2:$B$1123, 'Códigos DANE Municipios'!$A$2:$A$1123, "No encontrado")</f>
        <v>70001</v>
      </c>
      <c r="B1300" t="str">
        <f>IFERROR(VLOOKUP(D1300,APOYO!K:L,2,FALSE),A1300)</f>
        <v>70001</v>
      </c>
      <c r="C1300" t="s">
        <v>1816</v>
      </c>
      <c r="D1300" t="str">
        <f>IFERROR(VLOOKUP(C1300,APOYO!J:K,2,FALSE),C1300)</f>
        <v>SINCELEJO</v>
      </c>
      <c r="E1300">
        <v>2014</v>
      </c>
      <c r="F1300" t="s">
        <v>2189</v>
      </c>
      <c r="G1300" t="s">
        <v>2189</v>
      </c>
      <c r="H1300">
        <v>475</v>
      </c>
      <c r="I1300" s="13" t="s">
        <v>2189</v>
      </c>
      <c r="J1300" s="13" t="s">
        <v>2189</v>
      </c>
      <c r="K1300" s="13" t="s">
        <v>2189</v>
      </c>
    </row>
    <row r="1301" spans="1:11" hidden="1" x14ac:dyDescent="0.25">
      <c r="A1301" t="str">
        <f>_xlfn.XLOOKUP(C1301, 'Códigos DANE Municipios'!$B$2:$B$1123, 'Códigos DANE Municipios'!$A$2:$A$1123, "No encontrado")</f>
        <v>47745</v>
      </c>
      <c r="B1301" t="str">
        <f>IFERROR(VLOOKUP(D1301,APOYO!K:L,2,FALSE),A1301)</f>
        <v>47745</v>
      </c>
      <c r="C1301" t="s">
        <v>1350</v>
      </c>
      <c r="D1301" t="str">
        <f>IFERROR(VLOOKUP(C1301,APOYO!J:K,2,FALSE),C1301)</f>
        <v>SITIONUEVO</v>
      </c>
      <c r="E1301">
        <v>2014</v>
      </c>
      <c r="F1301" t="s">
        <v>2189</v>
      </c>
      <c r="G1301" t="s">
        <v>2189</v>
      </c>
      <c r="H1301">
        <v>12</v>
      </c>
      <c r="I1301" s="13" t="s">
        <v>2189</v>
      </c>
      <c r="J1301" s="13" t="s">
        <v>2189</v>
      </c>
      <c r="K1301" s="13" t="s">
        <v>2189</v>
      </c>
    </row>
    <row r="1302" spans="1:11" hidden="1" x14ac:dyDescent="0.25">
      <c r="A1302" t="str">
        <f>_xlfn.XLOOKUP(C1302, 'Códigos DANE Municipios'!$B$2:$B$1123, 'Códigos DANE Municipios'!$A$2:$A$1123, "No encontrado")</f>
        <v>25754</v>
      </c>
      <c r="B1302" t="str">
        <f>IFERROR(VLOOKUP(D1302,APOYO!K:L,2,FALSE),A1302)</f>
        <v>25754</v>
      </c>
      <c r="C1302" t="s">
        <v>1082</v>
      </c>
      <c r="D1302" t="str">
        <f>IFERROR(VLOOKUP(C1302,APOYO!J:K,2,FALSE),C1302)</f>
        <v>SOACHA</v>
      </c>
      <c r="E1302">
        <v>2014</v>
      </c>
      <c r="F1302" t="s">
        <v>2189</v>
      </c>
      <c r="G1302" t="s">
        <v>2189</v>
      </c>
      <c r="H1302">
        <v>111</v>
      </c>
      <c r="I1302" s="13" t="s">
        <v>2189</v>
      </c>
      <c r="J1302" s="13" t="s">
        <v>2189</v>
      </c>
      <c r="K1302" s="13" t="s">
        <v>2189</v>
      </c>
    </row>
    <row r="1303" spans="1:11" hidden="1" x14ac:dyDescent="0.25">
      <c r="A1303" t="str">
        <f>_xlfn.XLOOKUP(C1303, 'Códigos DANE Municipios'!$B$2:$B$1123, 'Códigos DANE Municipios'!$A$2:$A$1123, "No encontrado")</f>
        <v>15753</v>
      </c>
      <c r="B1303" t="str">
        <f>IFERROR(VLOOKUP(D1303,APOYO!K:L,2,FALSE),A1303)</f>
        <v>15753</v>
      </c>
      <c r="C1303" t="s">
        <v>586</v>
      </c>
      <c r="D1303" t="str">
        <f>IFERROR(VLOOKUP(C1303,APOYO!J:K,2,FALSE),C1303)</f>
        <v>SOATÁ</v>
      </c>
      <c r="E1303">
        <v>2014</v>
      </c>
      <c r="F1303" t="s">
        <v>2189</v>
      </c>
      <c r="G1303" t="s">
        <v>2189</v>
      </c>
      <c r="H1303">
        <v>4</v>
      </c>
      <c r="I1303" s="13" t="s">
        <v>2189</v>
      </c>
      <c r="J1303" s="13" t="s">
        <v>2189</v>
      </c>
      <c r="K1303" s="13" t="s">
        <v>2189</v>
      </c>
    </row>
    <row r="1304" spans="1:11" hidden="1" x14ac:dyDescent="0.25">
      <c r="A1304" t="str">
        <f>_xlfn.XLOOKUP(C1304, 'Códigos DANE Municipios'!$B$2:$B$1123, 'Códigos DANE Municipios'!$A$2:$A$1123, "No encontrado")</f>
        <v>15757</v>
      </c>
      <c r="B1304" t="str">
        <f>IFERROR(VLOOKUP(D1304,APOYO!K:L,2,FALSE),A1304)</f>
        <v>15757</v>
      </c>
      <c r="C1304" t="s">
        <v>590</v>
      </c>
      <c r="D1304" t="str">
        <f>IFERROR(VLOOKUP(C1304,APOYO!J:K,2,FALSE),C1304)</f>
        <v>SOCHA</v>
      </c>
      <c r="E1304">
        <v>2014</v>
      </c>
      <c r="F1304" t="s">
        <v>2189</v>
      </c>
      <c r="G1304" t="s">
        <v>2189</v>
      </c>
      <c r="H1304">
        <v>5</v>
      </c>
      <c r="I1304" s="13">
        <v>0</v>
      </c>
      <c r="J1304" s="13" t="s">
        <v>2189</v>
      </c>
      <c r="K1304" s="13" t="s">
        <v>2189</v>
      </c>
    </row>
    <row r="1305" spans="1:11" hidden="1" x14ac:dyDescent="0.25">
      <c r="A1305" t="str">
        <f>_xlfn.XLOOKUP(C1305, 'Códigos DANE Municipios'!$B$2:$B$1123, 'Códigos DANE Municipios'!$A$2:$A$1123, "No encontrado")</f>
        <v>68755</v>
      </c>
      <c r="B1305" t="str">
        <f>IFERROR(VLOOKUP(D1305,APOYO!K:L,2,FALSE),A1305)</f>
        <v>68755</v>
      </c>
      <c r="C1305" t="s">
        <v>1798</v>
      </c>
      <c r="D1305" t="str">
        <f>IFERROR(VLOOKUP(C1305,APOYO!J:K,2,FALSE),C1305)</f>
        <v>SOCORRO</v>
      </c>
      <c r="E1305">
        <v>2014</v>
      </c>
      <c r="F1305" t="s">
        <v>2189</v>
      </c>
      <c r="G1305" t="s">
        <v>2189</v>
      </c>
      <c r="H1305">
        <v>60</v>
      </c>
      <c r="I1305" s="13" t="s">
        <v>2189</v>
      </c>
      <c r="J1305" s="13" t="s">
        <v>2189</v>
      </c>
      <c r="K1305" s="13" t="s">
        <v>2189</v>
      </c>
    </row>
    <row r="1306" spans="1:11" hidden="1" x14ac:dyDescent="0.25">
      <c r="A1306" t="str">
        <f>_xlfn.XLOOKUP(C1306, 'Códigos DANE Municipios'!$B$2:$B$1123, 'Códigos DANE Municipios'!$A$2:$A$1123, "No encontrado")</f>
        <v>15759</v>
      </c>
      <c r="B1306" t="str">
        <f>IFERROR(VLOOKUP(D1306,APOYO!K:L,2,FALSE),A1306)</f>
        <v>15759</v>
      </c>
      <c r="C1306" t="s">
        <v>592</v>
      </c>
      <c r="D1306" t="str">
        <f>IFERROR(VLOOKUP(C1306,APOYO!J:K,2,FALSE),C1306)</f>
        <v>SOGAMOSO</v>
      </c>
      <c r="E1306">
        <v>2014</v>
      </c>
      <c r="F1306" t="s">
        <v>2189</v>
      </c>
      <c r="G1306" t="s">
        <v>2189</v>
      </c>
      <c r="H1306">
        <v>366</v>
      </c>
      <c r="I1306" s="13" t="s">
        <v>2189</v>
      </c>
      <c r="J1306" s="13" t="s">
        <v>2189</v>
      </c>
      <c r="K1306" s="13" t="s">
        <v>2189</v>
      </c>
    </row>
    <row r="1307" spans="1:11" hidden="1" x14ac:dyDescent="0.25">
      <c r="A1307" t="str">
        <f>_xlfn.XLOOKUP(C1307, 'Códigos DANE Municipios'!$B$2:$B$1123, 'Códigos DANE Municipios'!$A$2:$A$1123, "No encontrado")</f>
        <v>18756</v>
      </c>
      <c r="B1307" t="str">
        <f>IFERROR(VLOOKUP(D1307,APOYO!K:L,2,FALSE),A1307)</f>
        <v>18756</v>
      </c>
      <c r="C1307" t="s">
        <v>724</v>
      </c>
      <c r="D1307" t="str">
        <f>IFERROR(VLOOKUP(C1307,APOYO!J:K,2,FALSE),C1307)</f>
        <v>SOLANO</v>
      </c>
      <c r="E1307">
        <v>2014</v>
      </c>
      <c r="F1307">
        <v>1512</v>
      </c>
      <c r="G1307" t="s">
        <v>2189</v>
      </c>
      <c r="H1307" t="s">
        <v>2189</v>
      </c>
      <c r="I1307" s="13" t="s">
        <v>2189</v>
      </c>
      <c r="J1307" s="13" t="s">
        <v>2189</v>
      </c>
      <c r="K1307" s="13" t="s">
        <v>2189</v>
      </c>
    </row>
    <row r="1308" spans="1:11" hidden="1" x14ac:dyDescent="0.25">
      <c r="A1308" t="str">
        <f>_xlfn.XLOOKUP(C1308, 'Códigos DANE Municipios'!$B$2:$B$1123, 'Códigos DANE Municipios'!$A$2:$A$1123, "No encontrado")</f>
        <v>08758</v>
      </c>
      <c r="B1308" t="str">
        <f>IFERROR(VLOOKUP(D1308,APOYO!K:L,2,FALSE),A1308)</f>
        <v>08758</v>
      </c>
      <c r="C1308" t="s">
        <v>299</v>
      </c>
      <c r="D1308" t="str">
        <f>IFERROR(VLOOKUP(C1308,APOYO!J:K,2,FALSE),C1308)</f>
        <v>SOLEDAD</v>
      </c>
      <c r="E1308">
        <v>2014</v>
      </c>
      <c r="F1308" t="s">
        <v>2189</v>
      </c>
      <c r="G1308" t="s">
        <v>2189</v>
      </c>
      <c r="H1308">
        <v>118</v>
      </c>
      <c r="I1308" s="13" t="s">
        <v>2189</v>
      </c>
      <c r="J1308" s="13" t="s">
        <v>2189</v>
      </c>
      <c r="K1308" s="13" t="s">
        <v>2189</v>
      </c>
    </row>
    <row r="1309" spans="1:11" hidden="1" x14ac:dyDescent="0.25">
      <c r="A1309" t="str">
        <f>_xlfn.XLOOKUP(C1309, 'Códigos DANE Municipios'!$B$2:$B$1123, 'Códigos DANE Municipios'!$A$2:$A$1123, "No encontrado")</f>
        <v>15761</v>
      </c>
      <c r="B1309" t="str">
        <f>IFERROR(VLOOKUP(D1309,APOYO!K:L,2,FALSE),A1309)</f>
        <v>15761</v>
      </c>
      <c r="C1309" t="s">
        <v>594</v>
      </c>
      <c r="D1309" t="str">
        <f>IFERROR(VLOOKUP(C1309,APOYO!J:K,2,FALSE),C1309)</f>
        <v>SOMONDOCO</v>
      </c>
      <c r="E1309">
        <v>2014</v>
      </c>
      <c r="F1309" t="s">
        <v>2189</v>
      </c>
      <c r="G1309" t="s">
        <v>2189</v>
      </c>
      <c r="H1309">
        <v>1</v>
      </c>
      <c r="I1309" s="13" t="s">
        <v>2189</v>
      </c>
      <c r="J1309" s="13" t="s">
        <v>2189</v>
      </c>
      <c r="K1309" s="13" t="s">
        <v>2189</v>
      </c>
    </row>
    <row r="1310" spans="1:11" hidden="1" x14ac:dyDescent="0.25">
      <c r="A1310" t="str">
        <f>_xlfn.XLOOKUP(C1310, 'Códigos DANE Municipios'!$B$2:$B$1123, 'Códigos DANE Municipios'!$A$2:$A$1123, "No encontrado")</f>
        <v>05756</v>
      </c>
      <c r="B1310" t="str">
        <f>IFERROR(VLOOKUP(D1310,APOYO!K:L,2,FALSE),A1310)</f>
        <v>05756</v>
      </c>
      <c r="C1310" t="s">
        <v>222</v>
      </c>
      <c r="D1310" t="str">
        <f>IFERROR(VLOOKUP(C1310,APOYO!J:K,2,FALSE),C1310)</f>
        <v>SONSÓN</v>
      </c>
      <c r="E1310">
        <v>2014</v>
      </c>
      <c r="F1310" t="s">
        <v>2189</v>
      </c>
      <c r="G1310" t="s">
        <v>2189</v>
      </c>
      <c r="H1310">
        <v>4</v>
      </c>
      <c r="I1310" s="13" t="s">
        <v>2189</v>
      </c>
      <c r="J1310" s="13" t="s">
        <v>2189</v>
      </c>
      <c r="K1310" s="13" t="s">
        <v>2189</v>
      </c>
    </row>
    <row r="1311" spans="1:11" hidden="1" x14ac:dyDescent="0.25">
      <c r="A1311" t="str">
        <f>_xlfn.XLOOKUP(C1311, 'Códigos DANE Municipios'!$B$2:$B$1123, 'Códigos DANE Municipios'!$A$2:$A$1123, "No encontrado")</f>
        <v>05761</v>
      </c>
      <c r="B1311" t="str">
        <f>IFERROR(VLOOKUP(D1311,APOYO!K:L,2,FALSE),A1311)</f>
        <v>05761</v>
      </c>
      <c r="C1311" t="s">
        <v>224</v>
      </c>
      <c r="D1311" t="str">
        <f>IFERROR(VLOOKUP(C1311,APOYO!J:K,2,FALSE),C1311)</f>
        <v>SOPETRÁN</v>
      </c>
      <c r="E1311">
        <v>2014</v>
      </c>
      <c r="F1311" t="s">
        <v>2189</v>
      </c>
      <c r="G1311" t="s">
        <v>2189</v>
      </c>
      <c r="H1311" t="s">
        <v>2189</v>
      </c>
      <c r="I1311" s="13" t="s">
        <v>2189</v>
      </c>
      <c r="J1311" s="13" t="s">
        <v>2189</v>
      </c>
      <c r="K1311" s="13" t="s">
        <v>2189</v>
      </c>
    </row>
    <row r="1312" spans="1:11" hidden="1" x14ac:dyDescent="0.25">
      <c r="A1312" t="str">
        <f>_xlfn.XLOOKUP(C1312, 'Códigos DANE Municipios'!$B$2:$B$1123, 'Códigos DANE Municipios'!$A$2:$A$1123, "No encontrado")</f>
        <v>25758</v>
      </c>
      <c r="B1312" t="str">
        <f>IFERROR(VLOOKUP(D1312,APOYO!K:L,2,FALSE),A1312)</f>
        <v>25758</v>
      </c>
      <c r="C1312" t="s">
        <v>1084</v>
      </c>
      <c r="D1312" t="str">
        <f>IFERROR(VLOOKUP(C1312,APOYO!J:K,2,FALSE),C1312)</f>
        <v>SOPÓ</v>
      </c>
      <c r="E1312">
        <v>2014</v>
      </c>
      <c r="F1312" t="s">
        <v>2189</v>
      </c>
      <c r="G1312" t="s">
        <v>2189</v>
      </c>
      <c r="H1312">
        <v>116</v>
      </c>
      <c r="I1312" s="13" t="s">
        <v>2189</v>
      </c>
      <c r="J1312" s="13" t="s">
        <v>2189</v>
      </c>
      <c r="K1312" s="13" t="s">
        <v>2189</v>
      </c>
    </row>
    <row r="1313" spans="1:11" hidden="1" x14ac:dyDescent="0.25">
      <c r="A1313" t="str">
        <f>_xlfn.XLOOKUP(C1313, 'Códigos DANE Municipios'!$B$2:$B$1123, 'Códigos DANE Municipios'!$A$2:$A$1123, "No encontrado")</f>
        <v>15762</v>
      </c>
      <c r="B1313" t="str">
        <f>IFERROR(VLOOKUP(D1313,APOYO!K:L,2,FALSE),A1313)</f>
        <v>15762</v>
      </c>
      <c r="C1313" t="s">
        <v>596</v>
      </c>
      <c r="D1313" t="str">
        <f>IFERROR(VLOOKUP(C1313,APOYO!J:K,2,FALSE),C1313)</f>
        <v>SORA</v>
      </c>
      <c r="E1313">
        <v>2014</v>
      </c>
      <c r="F1313" t="s">
        <v>2189</v>
      </c>
      <c r="G1313" t="s">
        <v>2189</v>
      </c>
      <c r="H1313" t="s">
        <v>2189</v>
      </c>
      <c r="I1313" s="13" t="s">
        <v>2189</v>
      </c>
      <c r="J1313" s="13" t="s">
        <v>2189</v>
      </c>
      <c r="K1313" s="13" t="s">
        <v>2189</v>
      </c>
    </row>
    <row r="1314" spans="1:11" hidden="1" x14ac:dyDescent="0.25">
      <c r="A1314" t="str">
        <f>_xlfn.XLOOKUP(C1314, 'Códigos DANE Municipios'!$B$2:$B$1123, 'Códigos DANE Municipios'!$A$2:$A$1123, "No encontrado")</f>
        <v>15764</v>
      </c>
      <c r="B1314" t="str">
        <f>IFERROR(VLOOKUP(D1314,APOYO!K:L,2,FALSE),A1314)</f>
        <v>15764</v>
      </c>
      <c r="C1314" t="s">
        <v>600</v>
      </c>
      <c r="D1314" t="str">
        <f>IFERROR(VLOOKUP(C1314,APOYO!J:K,2,FALSE),C1314)</f>
        <v>SORACÁ</v>
      </c>
      <c r="E1314">
        <v>2014</v>
      </c>
      <c r="F1314" t="s">
        <v>2189</v>
      </c>
      <c r="G1314" t="s">
        <v>2189</v>
      </c>
      <c r="H1314">
        <v>5</v>
      </c>
      <c r="I1314" s="13" t="s">
        <v>2189</v>
      </c>
      <c r="J1314" s="13" t="s">
        <v>2189</v>
      </c>
      <c r="K1314" s="13" t="s">
        <v>2189</v>
      </c>
    </row>
    <row r="1315" spans="1:11" hidden="1" x14ac:dyDescent="0.25">
      <c r="A1315" t="str">
        <f>_xlfn.XLOOKUP(C1315, 'Códigos DANE Municipios'!$B$2:$B$1123, 'Códigos DANE Municipios'!$A$2:$A$1123, "No encontrado")</f>
        <v>15763</v>
      </c>
      <c r="B1315" t="str">
        <f>IFERROR(VLOOKUP(D1315,APOYO!K:L,2,FALSE),A1315)</f>
        <v>15763</v>
      </c>
      <c r="C1315" t="s">
        <v>598</v>
      </c>
      <c r="D1315" t="str">
        <f>IFERROR(VLOOKUP(C1315,APOYO!J:K,2,FALSE),C1315)</f>
        <v>SOTAQUIRÁ</v>
      </c>
      <c r="E1315">
        <v>2014</v>
      </c>
      <c r="F1315" t="s">
        <v>2189</v>
      </c>
      <c r="G1315" t="s">
        <v>2189</v>
      </c>
      <c r="H1315">
        <v>1</v>
      </c>
      <c r="I1315" s="13" t="s">
        <v>2189</v>
      </c>
      <c r="J1315" s="13" t="s">
        <v>2189</v>
      </c>
      <c r="K1315" s="13" t="s">
        <v>2189</v>
      </c>
    </row>
    <row r="1316" spans="1:11" hidden="1" x14ac:dyDescent="0.25">
      <c r="A1316" t="str">
        <f>_xlfn.XLOOKUP(C1316, 'Códigos DANE Municipios'!$B$2:$B$1123, 'Códigos DANE Municipios'!$A$2:$A$1123, "No encontrado")</f>
        <v>05686</v>
      </c>
      <c r="B1316" t="str">
        <f>IFERROR(VLOOKUP(D1316,APOYO!K:L,2,FALSE),A1316)</f>
        <v>05686</v>
      </c>
      <c r="C1316" t="s">
        <v>214</v>
      </c>
      <c r="D1316" t="str">
        <f>IFERROR(VLOOKUP(C1316,APOYO!J:K,2,FALSE),C1316)</f>
        <v>SANTA ROSA DE OSOS</v>
      </c>
      <c r="E1316">
        <v>2014</v>
      </c>
      <c r="F1316" t="s">
        <v>2189</v>
      </c>
      <c r="G1316" t="s">
        <v>2189</v>
      </c>
      <c r="H1316">
        <v>24</v>
      </c>
      <c r="I1316" s="13" t="s">
        <v>2189</v>
      </c>
      <c r="J1316" s="13" t="s">
        <v>2189</v>
      </c>
      <c r="K1316" s="13" t="s">
        <v>2189</v>
      </c>
    </row>
    <row r="1317" spans="1:11" hidden="1" x14ac:dyDescent="0.25">
      <c r="A1317" t="str">
        <f>_xlfn.XLOOKUP(C1317, 'Códigos DANE Municipios'!$B$2:$B$1123, 'Códigos DANE Municipios'!$A$2:$A$1123, "No encontrado")</f>
        <v>68770</v>
      </c>
      <c r="B1317" t="str">
        <f>IFERROR(VLOOKUP(D1317,APOYO!K:L,2,FALSE),A1317)</f>
        <v>68770</v>
      </c>
      <c r="C1317" t="s">
        <v>1800</v>
      </c>
      <c r="D1317" t="str">
        <f>IFERROR(VLOOKUP(C1317,APOYO!J:K,2,FALSE),C1317)</f>
        <v>SUAITA</v>
      </c>
      <c r="E1317">
        <v>2014</v>
      </c>
      <c r="F1317" t="s">
        <v>2189</v>
      </c>
      <c r="G1317" t="s">
        <v>2189</v>
      </c>
      <c r="H1317">
        <v>6</v>
      </c>
      <c r="I1317" s="13" t="s">
        <v>2189</v>
      </c>
      <c r="J1317" s="13" t="s">
        <v>2189</v>
      </c>
      <c r="K1317" s="13" t="s">
        <v>2189</v>
      </c>
    </row>
    <row r="1318" spans="1:11" hidden="1" x14ac:dyDescent="0.25">
      <c r="A1318" t="str">
        <f>_xlfn.XLOOKUP(C1318, 'Códigos DANE Municipios'!$B$2:$B$1123, 'Códigos DANE Municipios'!$A$2:$A$1123, "No encontrado")</f>
        <v>08770</v>
      </c>
      <c r="B1318" t="str">
        <f>IFERROR(VLOOKUP(D1318,APOYO!K:L,2,FALSE),A1318)</f>
        <v>08770</v>
      </c>
      <c r="C1318" t="s">
        <v>301</v>
      </c>
      <c r="D1318" t="str">
        <f>IFERROR(VLOOKUP(C1318,APOYO!J:K,2,FALSE),C1318)</f>
        <v>SUAN</v>
      </c>
      <c r="E1318">
        <v>2014</v>
      </c>
      <c r="F1318" t="s">
        <v>2189</v>
      </c>
      <c r="G1318" t="s">
        <v>2189</v>
      </c>
      <c r="H1318">
        <v>3</v>
      </c>
      <c r="I1318" s="13" t="s">
        <v>2189</v>
      </c>
      <c r="J1318" s="13" t="s">
        <v>2189</v>
      </c>
      <c r="K1318" s="13" t="s">
        <v>2189</v>
      </c>
    </row>
    <row r="1319" spans="1:11" hidden="1" x14ac:dyDescent="0.25">
      <c r="A1319" t="str">
        <f>_xlfn.XLOOKUP(C1319, 'Códigos DANE Municipios'!$B$2:$B$1123, 'Códigos DANE Municipios'!$A$2:$A$1123, "No encontrado")</f>
        <v>19780</v>
      </c>
      <c r="B1319" t="str">
        <f>IFERROR(VLOOKUP(D1319,APOYO!K:L,2,FALSE),A1319)</f>
        <v>19780</v>
      </c>
      <c r="C1319" t="s">
        <v>794</v>
      </c>
      <c r="D1319" t="str">
        <f>IFERROR(VLOOKUP(C1319,APOYO!J:K,2,FALSE),C1319)</f>
        <v>SUÁREZ</v>
      </c>
      <c r="E1319">
        <v>2014</v>
      </c>
      <c r="F1319" t="s">
        <v>2189</v>
      </c>
      <c r="G1319" t="s">
        <v>2189</v>
      </c>
      <c r="H1319">
        <v>1</v>
      </c>
      <c r="I1319" s="13" t="s">
        <v>2189</v>
      </c>
      <c r="J1319" s="13" t="s">
        <v>2189</v>
      </c>
      <c r="K1319" s="13" t="s">
        <v>2189</v>
      </c>
    </row>
    <row r="1320" spans="1:11" hidden="1" x14ac:dyDescent="0.25">
      <c r="A1320" t="str">
        <f>_xlfn.XLOOKUP(C1320, 'Códigos DANE Municipios'!$B$2:$B$1123, 'Códigos DANE Municipios'!$A$2:$A$1123, "No encontrado")</f>
        <v>41770</v>
      </c>
      <c r="B1320" t="str">
        <f>IFERROR(VLOOKUP(D1320,APOYO!K:L,2,FALSE),A1320)</f>
        <v>41770</v>
      </c>
      <c r="C1320" t="s">
        <v>1256</v>
      </c>
      <c r="D1320" t="str">
        <f>IFERROR(VLOOKUP(C1320,APOYO!J:K,2,FALSE),C1320)</f>
        <v>SUAZA</v>
      </c>
      <c r="E1320">
        <v>2014</v>
      </c>
      <c r="F1320" t="s">
        <v>2189</v>
      </c>
      <c r="G1320" t="s">
        <v>2189</v>
      </c>
      <c r="H1320">
        <v>1</v>
      </c>
      <c r="I1320" s="13" t="s">
        <v>2189</v>
      </c>
      <c r="J1320" s="13" t="s">
        <v>2189</v>
      </c>
      <c r="K1320" s="13" t="s">
        <v>2189</v>
      </c>
    </row>
    <row r="1321" spans="1:11" hidden="1" x14ac:dyDescent="0.25">
      <c r="A1321" t="str">
        <f>_xlfn.XLOOKUP(C1321, 'Códigos DANE Municipios'!$B$2:$B$1123, 'Códigos DANE Municipios'!$A$2:$A$1123, "No encontrado")</f>
        <v>25769</v>
      </c>
      <c r="B1321" t="str">
        <f>IFERROR(VLOOKUP(D1321,APOYO!K:L,2,FALSE),A1321)</f>
        <v>25769</v>
      </c>
      <c r="C1321" t="s">
        <v>1086</v>
      </c>
      <c r="D1321" t="str">
        <f>IFERROR(VLOOKUP(C1321,APOYO!J:K,2,FALSE),C1321)</f>
        <v>SUBACHOQUE</v>
      </c>
      <c r="E1321">
        <v>2014</v>
      </c>
      <c r="F1321" t="s">
        <v>2189</v>
      </c>
      <c r="G1321" t="s">
        <v>2189</v>
      </c>
      <c r="H1321">
        <v>35</v>
      </c>
      <c r="I1321" s="13" t="s">
        <v>2189</v>
      </c>
      <c r="J1321" s="13" t="s">
        <v>2189</v>
      </c>
      <c r="K1321" s="13" t="s">
        <v>2189</v>
      </c>
    </row>
    <row r="1322" spans="1:11" hidden="1" x14ac:dyDescent="0.25">
      <c r="A1322" t="str">
        <f>_xlfn.XLOOKUP(C1322, 'Códigos DANE Municipios'!$B$2:$B$1123, 'Códigos DANE Municipios'!$A$2:$A$1123, "No encontrado")</f>
        <v>19785</v>
      </c>
      <c r="B1322" t="str">
        <f>IFERROR(VLOOKUP(D1322,APOYO!K:L,2,FALSE),A1322)</f>
        <v>19785</v>
      </c>
      <c r="C1322" t="s">
        <v>796</v>
      </c>
      <c r="D1322" t="str">
        <f>IFERROR(VLOOKUP(C1322,APOYO!J:K,2,FALSE),C1322)</f>
        <v>SUCRE</v>
      </c>
      <c r="E1322">
        <v>2014</v>
      </c>
      <c r="F1322" t="s">
        <v>2189</v>
      </c>
      <c r="G1322" t="s">
        <v>2189</v>
      </c>
      <c r="H1322">
        <v>6</v>
      </c>
      <c r="I1322" s="13" t="s">
        <v>2189</v>
      </c>
      <c r="J1322" s="13" t="s">
        <v>2189</v>
      </c>
      <c r="K1322" s="13" t="s">
        <v>2189</v>
      </c>
    </row>
    <row r="1323" spans="1:11" hidden="1" x14ac:dyDescent="0.25">
      <c r="A1323" t="str">
        <f>_xlfn.XLOOKUP(C1323, 'Códigos DANE Municipios'!$B$2:$B$1123, 'Códigos DANE Municipios'!$A$2:$A$1123, "No encontrado")</f>
        <v>25772</v>
      </c>
      <c r="B1323" t="str">
        <f>IFERROR(VLOOKUP(D1323,APOYO!K:L,2,FALSE),A1323)</f>
        <v>25772</v>
      </c>
      <c r="C1323" t="s">
        <v>1088</v>
      </c>
      <c r="D1323" t="str">
        <f>IFERROR(VLOOKUP(C1323,APOYO!J:K,2,FALSE),C1323)</f>
        <v>SUESCA</v>
      </c>
      <c r="E1323">
        <v>2014</v>
      </c>
      <c r="F1323" t="s">
        <v>2189</v>
      </c>
      <c r="G1323" t="s">
        <v>2189</v>
      </c>
      <c r="H1323">
        <v>24</v>
      </c>
      <c r="I1323" s="13" t="s">
        <v>2189</v>
      </c>
      <c r="J1323" s="13" t="s">
        <v>2189</v>
      </c>
      <c r="K1323" s="13" t="s">
        <v>2189</v>
      </c>
    </row>
    <row r="1324" spans="1:11" hidden="1" x14ac:dyDescent="0.25">
      <c r="A1324" t="str">
        <f>_xlfn.XLOOKUP(C1324, 'Códigos DANE Municipios'!$B$2:$B$1123, 'Códigos DANE Municipios'!$A$2:$A$1123, "No encontrado")</f>
        <v>17777</v>
      </c>
      <c r="B1324" t="str">
        <f>IFERROR(VLOOKUP(D1324,APOYO!K:L,2,FALSE),A1324)</f>
        <v>17777</v>
      </c>
      <c r="C1324" t="s">
        <v>690</v>
      </c>
      <c r="D1324" t="str">
        <f>IFERROR(VLOOKUP(C1324,APOYO!J:K,2,FALSE),C1324)</f>
        <v>SUPÍA</v>
      </c>
      <c r="E1324">
        <v>2014</v>
      </c>
      <c r="F1324" t="s">
        <v>2189</v>
      </c>
      <c r="G1324" t="s">
        <v>2189</v>
      </c>
      <c r="H1324">
        <v>18</v>
      </c>
      <c r="I1324" s="13" t="s">
        <v>2189</v>
      </c>
      <c r="J1324" s="13" t="s">
        <v>2189</v>
      </c>
      <c r="K1324" s="13" t="s">
        <v>2189</v>
      </c>
    </row>
    <row r="1325" spans="1:11" hidden="1" x14ac:dyDescent="0.25">
      <c r="A1325" t="str">
        <f>_xlfn.XLOOKUP(C1325, 'Códigos DANE Municipios'!$B$2:$B$1123, 'Códigos DANE Municipios'!$A$2:$A$1123, "No encontrado")</f>
        <v>25779</v>
      </c>
      <c r="B1325" t="str">
        <f>IFERROR(VLOOKUP(D1325,APOYO!K:L,2,FALSE),A1325)</f>
        <v>25779</v>
      </c>
      <c r="C1325" t="s">
        <v>1092</v>
      </c>
      <c r="D1325" t="str">
        <f>IFERROR(VLOOKUP(C1325,APOYO!J:K,2,FALSE),C1325)</f>
        <v>SUSA</v>
      </c>
      <c r="E1325">
        <v>2014</v>
      </c>
      <c r="F1325" t="s">
        <v>2189</v>
      </c>
      <c r="G1325" t="s">
        <v>2189</v>
      </c>
      <c r="H1325" t="s">
        <v>2189</v>
      </c>
      <c r="I1325" s="13" t="s">
        <v>2189</v>
      </c>
      <c r="J1325" s="13" t="s">
        <v>2189</v>
      </c>
      <c r="K1325" s="13" t="s">
        <v>2189</v>
      </c>
    </row>
    <row r="1326" spans="1:11" hidden="1" x14ac:dyDescent="0.25">
      <c r="A1326" t="str">
        <f>_xlfn.XLOOKUP(C1326, 'Códigos DANE Municipios'!$B$2:$B$1123, 'Códigos DANE Municipios'!$A$2:$A$1123, "No encontrado")</f>
        <v>15776</v>
      </c>
      <c r="B1326" t="str">
        <f>IFERROR(VLOOKUP(D1326,APOYO!K:L,2,FALSE),A1326)</f>
        <v>15776</v>
      </c>
      <c r="C1326" t="s">
        <v>604</v>
      </c>
      <c r="D1326" t="str">
        <f>IFERROR(VLOOKUP(C1326,APOYO!J:K,2,FALSE),C1326)</f>
        <v>SUTAMARCHÁN</v>
      </c>
      <c r="E1326">
        <v>2014</v>
      </c>
      <c r="F1326" t="s">
        <v>2189</v>
      </c>
      <c r="G1326" t="s">
        <v>2189</v>
      </c>
      <c r="H1326" t="s">
        <v>2189</v>
      </c>
      <c r="I1326" s="13" t="s">
        <v>2189</v>
      </c>
      <c r="J1326" s="13" t="s">
        <v>2189</v>
      </c>
      <c r="K1326" s="13" t="s">
        <v>2189</v>
      </c>
    </row>
    <row r="1327" spans="1:11" hidden="1" x14ac:dyDescent="0.25">
      <c r="A1327" t="str">
        <f>_xlfn.XLOOKUP(C1327, 'Códigos DANE Municipios'!$B$2:$B$1123, 'Códigos DANE Municipios'!$A$2:$A$1123, "No encontrado")</f>
        <v>15778</v>
      </c>
      <c r="B1327" t="str">
        <f>IFERROR(VLOOKUP(D1327,APOYO!K:L,2,FALSE),A1327)</f>
        <v>15778</v>
      </c>
      <c r="C1327" t="s">
        <v>606</v>
      </c>
      <c r="D1327" t="str">
        <f>IFERROR(VLOOKUP(C1327,APOYO!J:K,2,FALSE),C1327)</f>
        <v>SUTATENZA</v>
      </c>
      <c r="E1327">
        <v>2014</v>
      </c>
      <c r="F1327" t="s">
        <v>2189</v>
      </c>
      <c r="G1327" t="s">
        <v>2189</v>
      </c>
      <c r="H1327" t="s">
        <v>2189</v>
      </c>
      <c r="I1327" s="13" t="s">
        <v>2189</v>
      </c>
      <c r="J1327" s="13" t="s">
        <v>2189</v>
      </c>
      <c r="K1327" s="13" t="s">
        <v>2189</v>
      </c>
    </row>
    <row r="1328" spans="1:11" hidden="1" x14ac:dyDescent="0.25">
      <c r="A1328" t="str">
        <f>_xlfn.XLOOKUP(C1328, 'Códigos DANE Municipios'!$B$2:$B$1123, 'Códigos DANE Municipios'!$A$2:$A$1123, "No encontrado")</f>
        <v>25785</v>
      </c>
      <c r="B1328" t="str">
        <f>IFERROR(VLOOKUP(D1328,APOYO!K:L,2,FALSE),A1328)</f>
        <v>25785</v>
      </c>
      <c r="C1328" t="s">
        <v>1096</v>
      </c>
      <c r="D1328" t="str">
        <f>IFERROR(VLOOKUP(C1328,APOYO!J:K,2,FALSE),C1328)</f>
        <v>TABIO</v>
      </c>
      <c r="E1328">
        <v>2014</v>
      </c>
      <c r="F1328" t="s">
        <v>2189</v>
      </c>
      <c r="G1328" t="s">
        <v>2189</v>
      </c>
      <c r="H1328">
        <v>207</v>
      </c>
      <c r="I1328" s="13" t="s">
        <v>2189</v>
      </c>
      <c r="J1328" s="13" t="s">
        <v>2189</v>
      </c>
      <c r="K1328" s="13" t="s">
        <v>2189</v>
      </c>
    </row>
    <row r="1329" spans="1:11" hidden="1" x14ac:dyDescent="0.25">
      <c r="A1329" t="str">
        <f>_xlfn.XLOOKUP(C1329, 'Códigos DANE Municipios'!$B$2:$B$1123, 'Códigos DANE Municipios'!$A$2:$A$1123, "No encontrado")</f>
        <v>13780</v>
      </c>
      <c r="B1329" t="str">
        <f>IFERROR(VLOOKUP(D1329,APOYO!K:L,2,FALSE),A1329)</f>
        <v>13780</v>
      </c>
      <c r="C1329" t="s">
        <v>389</v>
      </c>
      <c r="D1329" t="str">
        <f>IFERROR(VLOOKUP(C1329,APOYO!J:K,2,FALSE),C1329)</f>
        <v>TALAIGUA NUEVO</v>
      </c>
      <c r="E1329">
        <v>2014</v>
      </c>
      <c r="F1329" t="s">
        <v>2189</v>
      </c>
      <c r="G1329" t="s">
        <v>2189</v>
      </c>
      <c r="H1329">
        <v>1</v>
      </c>
      <c r="I1329" s="13" t="s">
        <v>2189</v>
      </c>
      <c r="J1329" s="13" t="s">
        <v>2189</v>
      </c>
      <c r="K1329" s="13" t="s">
        <v>2189</v>
      </c>
    </row>
    <row r="1330" spans="1:11" hidden="1" x14ac:dyDescent="0.25">
      <c r="A1330" t="str">
        <f>_xlfn.XLOOKUP(C1330, 'Códigos DANE Municipios'!$B$2:$B$1123, 'Códigos DANE Municipios'!$A$2:$A$1123, "No encontrado")</f>
        <v>85400</v>
      </c>
      <c r="B1330" t="str">
        <f>IFERROR(VLOOKUP(D1330,APOYO!K:L,2,FALSE),A1330)</f>
        <v>85400</v>
      </c>
      <c r="C1330" t="s">
        <v>2077</v>
      </c>
      <c r="D1330" t="str">
        <f>IFERROR(VLOOKUP(C1330,APOYO!J:K,2,FALSE),C1330)</f>
        <v>TÁMARA</v>
      </c>
      <c r="E1330">
        <v>2014</v>
      </c>
      <c r="F1330" t="s">
        <v>2189</v>
      </c>
      <c r="G1330" t="s">
        <v>2189</v>
      </c>
      <c r="H1330" t="s">
        <v>2189</v>
      </c>
      <c r="I1330" s="13" t="s">
        <v>2189</v>
      </c>
      <c r="J1330" s="13" t="s">
        <v>2189</v>
      </c>
      <c r="K1330" s="13" t="s">
        <v>2189</v>
      </c>
    </row>
    <row r="1331" spans="1:11" hidden="1" x14ac:dyDescent="0.25">
      <c r="A1331" t="str">
        <f>_xlfn.XLOOKUP(C1331, 'Códigos DANE Municipios'!$B$2:$B$1123, 'Códigos DANE Municipios'!$A$2:$A$1123, "No encontrado")</f>
        <v>81794</v>
      </c>
      <c r="B1331" t="str">
        <f>IFERROR(VLOOKUP(D1331,APOYO!K:L,2,FALSE),A1331)</f>
        <v>81794</v>
      </c>
      <c r="C1331" t="s">
        <v>2046</v>
      </c>
      <c r="D1331" t="str">
        <f>IFERROR(VLOOKUP(C1331,APOYO!J:K,2,FALSE),C1331)</f>
        <v>TAME</v>
      </c>
      <c r="E1331">
        <v>2014</v>
      </c>
      <c r="F1331">
        <v>3726</v>
      </c>
      <c r="G1331" t="s">
        <v>2189</v>
      </c>
      <c r="H1331">
        <v>19</v>
      </c>
      <c r="I1331" s="13" t="s">
        <v>2189</v>
      </c>
      <c r="J1331" s="13" t="s">
        <v>2189</v>
      </c>
      <c r="K1331" s="13" t="s">
        <v>2189</v>
      </c>
    </row>
    <row r="1332" spans="1:11" hidden="1" x14ac:dyDescent="0.25">
      <c r="A1332" t="str">
        <f>_xlfn.XLOOKUP(C1332, 'Códigos DANE Municipios'!$B$2:$B$1123, 'Códigos DANE Municipios'!$A$2:$A$1123, "No encontrado")</f>
        <v>52786</v>
      </c>
      <c r="B1332" t="str">
        <f>IFERROR(VLOOKUP(D1332,APOYO!K:L,2,FALSE),A1332)</f>
        <v>52786</v>
      </c>
      <c r="C1332" t="s">
        <v>1519</v>
      </c>
      <c r="D1332" t="str">
        <f>IFERROR(VLOOKUP(C1332,APOYO!J:K,2,FALSE),C1332)</f>
        <v>TAMINANGO</v>
      </c>
      <c r="E1332">
        <v>2014</v>
      </c>
      <c r="F1332" t="s">
        <v>2189</v>
      </c>
      <c r="G1332" t="s">
        <v>2189</v>
      </c>
      <c r="H1332">
        <v>4</v>
      </c>
      <c r="I1332" s="13" t="s">
        <v>2189</v>
      </c>
      <c r="J1332" s="13" t="s">
        <v>2189</v>
      </c>
      <c r="K1332" s="13" t="s">
        <v>2189</v>
      </c>
    </row>
    <row r="1333" spans="1:11" hidden="1" x14ac:dyDescent="0.25">
      <c r="A1333" t="str">
        <f>_xlfn.XLOOKUP(C1333, 'Códigos DANE Municipios'!$B$2:$B$1123, 'Códigos DANE Municipios'!$A$2:$A$1123, "No encontrado")</f>
        <v>41791</v>
      </c>
      <c r="B1333" t="str">
        <f>IFERROR(VLOOKUP(D1333,APOYO!K:L,2,FALSE),A1333)</f>
        <v>41791</v>
      </c>
      <c r="C1333" t="s">
        <v>1258</v>
      </c>
      <c r="D1333" t="str">
        <f>IFERROR(VLOOKUP(C1333,APOYO!J:K,2,FALSE),C1333)</f>
        <v>TARQUI</v>
      </c>
      <c r="E1333">
        <v>2014</v>
      </c>
      <c r="F1333" t="s">
        <v>2189</v>
      </c>
      <c r="G1333" t="s">
        <v>2189</v>
      </c>
      <c r="H1333">
        <v>9</v>
      </c>
      <c r="I1333" s="13" t="s">
        <v>2189</v>
      </c>
      <c r="J1333" s="13" t="s">
        <v>2189</v>
      </c>
      <c r="K1333" s="13" t="s">
        <v>2189</v>
      </c>
    </row>
    <row r="1334" spans="1:11" hidden="1" x14ac:dyDescent="0.25">
      <c r="A1334" t="str">
        <f>_xlfn.XLOOKUP(C1334, 'Códigos DANE Municipios'!$B$2:$B$1123, 'Códigos DANE Municipios'!$A$2:$A$1123, "No encontrado")</f>
        <v>85410</v>
      </c>
      <c r="B1334" t="str">
        <f>IFERROR(VLOOKUP(D1334,APOYO!K:L,2,FALSE),A1334)</f>
        <v>85410</v>
      </c>
      <c r="C1334" t="s">
        <v>2079</v>
      </c>
      <c r="D1334" t="str">
        <f>IFERROR(VLOOKUP(C1334,APOYO!J:K,2,FALSE),C1334)</f>
        <v>TAURAMENA</v>
      </c>
      <c r="E1334">
        <v>2014</v>
      </c>
      <c r="F1334">
        <v>1</v>
      </c>
      <c r="G1334" t="s">
        <v>2189</v>
      </c>
      <c r="H1334">
        <v>14</v>
      </c>
      <c r="I1334" s="13" t="s">
        <v>2189</v>
      </c>
      <c r="J1334" s="13" t="s">
        <v>2189</v>
      </c>
      <c r="K1334" s="13" t="s">
        <v>2189</v>
      </c>
    </row>
    <row r="1335" spans="1:11" hidden="1" x14ac:dyDescent="0.25">
      <c r="A1335" t="str">
        <f>_xlfn.XLOOKUP(C1335, 'Códigos DANE Municipios'!$B$2:$B$1123, 'Códigos DANE Municipios'!$A$2:$A$1123, "No encontrado")</f>
        <v>41799</v>
      </c>
      <c r="B1335" t="str">
        <f>IFERROR(VLOOKUP(D1335,APOYO!K:L,2,FALSE),A1335)</f>
        <v>41799</v>
      </c>
      <c r="C1335" t="s">
        <v>1262</v>
      </c>
      <c r="D1335" t="str">
        <f>IFERROR(VLOOKUP(C1335,APOYO!J:K,2,FALSE),C1335)</f>
        <v>TELLO</v>
      </c>
      <c r="E1335">
        <v>2014</v>
      </c>
      <c r="F1335" t="s">
        <v>2189</v>
      </c>
      <c r="G1335" t="s">
        <v>2189</v>
      </c>
      <c r="H1335">
        <v>1</v>
      </c>
      <c r="I1335" s="13" t="s">
        <v>2189</v>
      </c>
      <c r="J1335" s="13" t="s">
        <v>2189</v>
      </c>
      <c r="K1335" s="13" t="s">
        <v>2189</v>
      </c>
    </row>
    <row r="1336" spans="1:11" hidden="1" x14ac:dyDescent="0.25">
      <c r="A1336" t="str">
        <f>_xlfn.XLOOKUP(C1336, 'Códigos DANE Municipios'!$B$2:$B$1123, 'Códigos DANE Municipios'!$A$2:$A$1123, "No encontrado")</f>
        <v>25797</v>
      </c>
      <c r="B1336" t="str">
        <f>IFERROR(VLOOKUP(D1336,APOYO!K:L,2,FALSE),A1336)</f>
        <v>25797</v>
      </c>
      <c r="C1336" t="s">
        <v>1100</v>
      </c>
      <c r="D1336" t="str">
        <f>IFERROR(VLOOKUP(C1336,APOYO!J:K,2,FALSE),C1336)</f>
        <v>TENA</v>
      </c>
      <c r="E1336">
        <v>2014</v>
      </c>
      <c r="F1336" t="s">
        <v>2189</v>
      </c>
      <c r="G1336" t="s">
        <v>2189</v>
      </c>
      <c r="H1336">
        <v>2</v>
      </c>
      <c r="I1336" s="13" t="s">
        <v>2189</v>
      </c>
      <c r="J1336" s="13" t="s">
        <v>2189</v>
      </c>
      <c r="K1336" s="13" t="s">
        <v>2189</v>
      </c>
    </row>
    <row r="1337" spans="1:11" hidden="1" x14ac:dyDescent="0.25">
      <c r="A1337" t="str">
        <f>_xlfn.XLOOKUP(C1337, 'Códigos DANE Municipios'!$B$2:$B$1123, 'Códigos DANE Municipios'!$A$2:$A$1123, "No encontrado")</f>
        <v>25799</v>
      </c>
      <c r="B1337" t="str">
        <f>IFERROR(VLOOKUP(D1337,APOYO!K:L,2,FALSE),A1337)</f>
        <v>25799</v>
      </c>
      <c r="C1337" t="s">
        <v>1102</v>
      </c>
      <c r="D1337" t="str">
        <f>IFERROR(VLOOKUP(C1337,APOYO!J:K,2,FALSE),C1337)</f>
        <v>TENJO</v>
      </c>
      <c r="E1337">
        <v>2014</v>
      </c>
      <c r="F1337" t="s">
        <v>2189</v>
      </c>
      <c r="G1337" t="s">
        <v>2189</v>
      </c>
      <c r="H1337">
        <v>90</v>
      </c>
      <c r="I1337" s="13" t="s">
        <v>2189</v>
      </c>
      <c r="J1337" s="13" t="s">
        <v>2189</v>
      </c>
      <c r="K1337" s="13" t="s">
        <v>2189</v>
      </c>
    </row>
    <row r="1338" spans="1:11" hidden="1" x14ac:dyDescent="0.25">
      <c r="A1338" t="str">
        <f>_xlfn.XLOOKUP(C1338, 'Códigos DANE Municipios'!$B$2:$B$1123, 'Códigos DANE Municipios'!$A$2:$A$1123, "No encontrado")</f>
        <v>15798</v>
      </c>
      <c r="B1338" t="str">
        <f>IFERROR(VLOOKUP(D1338,APOYO!K:L,2,FALSE),A1338)</f>
        <v>15798</v>
      </c>
      <c r="C1338" t="s">
        <v>610</v>
      </c>
      <c r="D1338" t="str">
        <f>IFERROR(VLOOKUP(C1338,APOYO!J:K,2,FALSE),C1338)</f>
        <v>TENZA</v>
      </c>
      <c r="E1338">
        <v>2014</v>
      </c>
      <c r="F1338" t="s">
        <v>2189</v>
      </c>
      <c r="G1338" t="s">
        <v>2189</v>
      </c>
      <c r="H1338" t="s">
        <v>2189</v>
      </c>
      <c r="I1338" s="13" t="s">
        <v>2189</v>
      </c>
      <c r="J1338" s="13" t="s">
        <v>2189</v>
      </c>
      <c r="K1338" s="13" t="s">
        <v>2189</v>
      </c>
    </row>
    <row r="1339" spans="1:11" hidden="1" x14ac:dyDescent="0.25">
      <c r="A1339" t="str">
        <f>_xlfn.XLOOKUP(C1339, 'Códigos DANE Municipios'!$B$2:$B$1123, 'Códigos DANE Municipios'!$A$2:$A$1123, "No encontrado")</f>
        <v>41801</v>
      </c>
      <c r="B1339" t="str">
        <f>IFERROR(VLOOKUP(D1339,APOYO!K:L,2,FALSE),A1339)</f>
        <v>41801</v>
      </c>
      <c r="C1339" t="s">
        <v>1264</v>
      </c>
      <c r="D1339" t="str">
        <f>IFERROR(VLOOKUP(C1339,APOYO!J:K,2,FALSE),C1339)</f>
        <v>TERUEL</v>
      </c>
      <c r="E1339">
        <v>2014</v>
      </c>
      <c r="F1339" t="s">
        <v>2189</v>
      </c>
      <c r="G1339" t="s">
        <v>2189</v>
      </c>
      <c r="H1339" t="s">
        <v>2189</v>
      </c>
      <c r="I1339" s="13" t="s">
        <v>2189</v>
      </c>
      <c r="J1339" s="13" t="s">
        <v>2189</v>
      </c>
      <c r="K1339" s="13" t="s">
        <v>2189</v>
      </c>
    </row>
    <row r="1340" spans="1:11" hidden="1" x14ac:dyDescent="0.25">
      <c r="A1340" t="str">
        <f>_xlfn.XLOOKUP(C1340, 'Códigos DANE Municipios'!$B$2:$B$1123, 'Códigos DANE Municipios'!$A$2:$A$1123, "No encontrado")</f>
        <v>41797</v>
      </c>
      <c r="B1340" t="str">
        <f>IFERROR(VLOOKUP(D1340,APOYO!K:L,2,FALSE),A1340)</f>
        <v>41797</v>
      </c>
      <c r="C1340" t="s">
        <v>1260</v>
      </c>
      <c r="D1340" t="str">
        <f>IFERROR(VLOOKUP(C1340,APOYO!J:K,2,FALSE),C1340)</f>
        <v>TESALIA</v>
      </c>
      <c r="E1340">
        <v>2014</v>
      </c>
      <c r="F1340" t="s">
        <v>2189</v>
      </c>
      <c r="G1340" t="s">
        <v>2189</v>
      </c>
      <c r="H1340">
        <v>1</v>
      </c>
      <c r="I1340" t="s">
        <v>2189</v>
      </c>
      <c r="J1340" s="13" t="s">
        <v>2189</v>
      </c>
      <c r="K1340" s="13" t="s">
        <v>2189</v>
      </c>
    </row>
    <row r="1341" spans="1:11" hidden="1" x14ac:dyDescent="0.25">
      <c r="A1341" t="str">
        <f>_xlfn.XLOOKUP(C1341, 'Códigos DANE Municipios'!$B$2:$B$1123, 'Códigos DANE Municipios'!$A$2:$A$1123, "No encontrado")</f>
        <v>25805</v>
      </c>
      <c r="B1341" t="str">
        <f>IFERROR(VLOOKUP(D1341,APOYO!K:L,2,FALSE),A1341)</f>
        <v>25805</v>
      </c>
      <c r="C1341" t="s">
        <v>1104</v>
      </c>
      <c r="D1341" t="str">
        <f>IFERROR(VLOOKUP(C1341,APOYO!J:K,2,FALSE),C1341)</f>
        <v>TIBACUY</v>
      </c>
      <c r="E1341">
        <v>2014</v>
      </c>
      <c r="F1341" t="s">
        <v>2189</v>
      </c>
      <c r="G1341" t="s">
        <v>2189</v>
      </c>
      <c r="H1341">
        <v>2</v>
      </c>
      <c r="I1341" s="13" t="s">
        <v>2189</v>
      </c>
      <c r="J1341" s="13" t="s">
        <v>2189</v>
      </c>
      <c r="K1341" s="13" t="s">
        <v>2189</v>
      </c>
    </row>
    <row r="1342" spans="1:11" hidden="1" x14ac:dyDescent="0.25">
      <c r="A1342" t="str">
        <f>_xlfn.XLOOKUP(C1342, 'Códigos DANE Municipios'!$B$2:$B$1123, 'Códigos DANE Municipios'!$A$2:$A$1123, "No encontrado")</f>
        <v>15804</v>
      </c>
      <c r="B1342" t="str">
        <f>IFERROR(VLOOKUP(D1342,APOYO!K:L,2,FALSE),A1342)</f>
        <v>15804</v>
      </c>
      <c r="C1342" t="s">
        <v>612</v>
      </c>
      <c r="D1342" t="str">
        <f>IFERROR(VLOOKUP(C1342,APOYO!J:K,2,FALSE),C1342)</f>
        <v>TIBANÁ</v>
      </c>
      <c r="E1342">
        <v>2014</v>
      </c>
      <c r="F1342" t="s">
        <v>2189</v>
      </c>
      <c r="G1342" t="s">
        <v>2189</v>
      </c>
      <c r="H1342" t="s">
        <v>2189</v>
      </c>
      <c r="I1342" s="13" t="s">
        <v>2189</v>
      </c>
      <c r="J1342" s="13" t="s">
        <v>2189</v>
      </c>
      <c r="K1342" s="13" t="s">
        <v>2189</v>
      </c>
    </row>
    <row r="1343" spans="1:11" hidden="1" x14ac:dyDescent="0.25">
      <c r="A1343" t="str">
        <f>_xlfn.XLOOKUP(C1343, 'Códigos DANE Municipios'!$B$2:$B$1123, 'Códigos DANE Municipios'!$A$2:$A$1123, "No encontrado")</f>
        <v>15806</v>
      </c>
      <c r="B1343" t="str">
        <f>IFERROR(VLOOKUP(D1343,APOYO!K:L,2,FALSE),A1343)</f>
        <v>15806</v>
      </c>
      <c r="C1343" t="s">
        <v>614</v>
      </c>
      <c r="D1343" t="str">
        <f>IFERROR(VLOOKUP(C1343,APOYO!J:K,2,FALSE),C1343)</f>
        <v>TIBASOSA</v>
      </c>
      <c r="E1343">
        <v>2014</v>
      </c>
      <c r="F1343" t="s">
        <v>2189</v>
      </c>
      <c r="G1343" t="s">
        <v>2189</v>
      </c>
      <c r="H1343">
        <v>6</v>
      </c>
      <c r="I1343" s="13" t="s">
        <v>2189</v>
      </c>
      <c r="J1343" s="13" t="s">
        <v>2189</v>
      </c>
      <c r="K1343" s="13" t="s">
        <v>2189</v>
      </c>
    </row>
    <row r="1344" spans="1:11" hidden="1" x14ac:dyDescent="0.25">
      <c r="A1344" t="str">
        <f>_xlfn.XLOOKUP(C1344, 'Códigos DANE Municipios'!$B$2:$B$1123, 'Códigos DANE Municipios'!$A$2:$A$1123, "No encontrado")</f>
        <v>25807</v>
      </c>
      <c r="B1344" t="str">
        <f>IFERROR(VLOOKUP(D1344,APOYO!K:L,2,FALSE),A1344)</f>
        <v>25807</v>
      </c>
      <c r="C1344" t="s">
        <v>1106</v>
      </c>
      <c r="D1344" t="str">
        <f>IFERROR(VLOOKUP(C1344,APOYO!J:K,2,FALSE),C1344)</f>
        <v>TIBIRITA</v>
      </c>
      <c r="E1344">
        <v>2014</v>
      </c>
      <c r="F1344" t="s">
        <v>2189</v>
      </c>
      <c r="G1344" t="s">
        <v>2189</v>
      </c>
      <c r="H1344" t="s">
        <v>2189</v>
      </c>
      <c r="I1344" s="13" t="s">
        <v>2189</v>
      </c>
      <c r="J1344" s="13" t="s">
        <v>2189</v>
      </c>
      <c r="K1344" s="13" t="s">
        <v>2189</v>
      </c>
    </row>
    <row r="1345" spans="1:11" hidden="1" x14ac:dyDescent="0.25">
      <c r="A1345" t="str">
        <f>_xlfn.XLOOKUP(C1345, 'Códigos DANE Municipios'!$B$2:$B$1123, 'Códigos DANE Municipios'!$A$2:$A$1123, "No encontrado")</f>
        <v>54810</v>
      </c>
      <c r="B1345" t="str">
        <f>IFERROR(VLOOKUP(D1345,APOYO!K:L,2,FALSE),A1345)</f>
        <v>54810</v>
      </c>
      <c r="C1345" t="s">
        <v>1600</v>
      </c>
      <c r="D1345" t="str">
        <f>IFERROR(VLOOKUP(C1345,APOYO!J:K,2,FALSE),C1345)</f>
        <v>TIBÚ</v>
      </c>
      <c r="E1345">
        <v>2014</v>
      </c>
      <c r="F1345">
        <v>4733</v>
      </c>
      <c r="G1345" t="s">
        <v>2189</v>
      </c>
      <c r="H1345">
        <v>3</v>
      </c>
      <c r="I1345" s="13" t="s">
        <v>2189</v>
      </c>
      <c r="J1345" s="13" t="s">
        <v>2189</v>
      </c>
      <c r="K1345" s="13" t="s">
        <v>2189</v>
      </c>
    </row>
    <row r="1346" spans="1:11" hidden="1" x14ac:dyDescent="0.25">
      <c r="A1346" t="str">
        <f>_xlfn.XLOOKUP(C1346, 'Códigos DANE Municipios'!$B$2:$B$1123, 'Códigos DANE Municipios'!$A$2:$A$1123, "No encontrado")</f>
        <v>23807</v>
      </c>
      <c r="B1346" t="str">
        <f>IFERROR(VLOOKUP(D1346,APOYO!K:L,2,FALSE),A1346)</f>
        <v>23807</v>
      </c>
      <c r="C1346" t="s">
        <v>910</v>
      </c>
      <c r="D1346" t="str">
        <f>IFERROR(VLOOKUP(C1346,APOYO!J:K,2,FALSE),C1346)</f>
        <v>TIERRALTA</v>
      </c>
      <c r="E1346">
        <v>2014</v>
      </c>
      <c r="F1346" t="s">
        <v>2189</v>
      </c>
      <c r="G1346" t="s">
        <v>2189</v>
      </c>
      <c r="H1346">
        <v>5</v>
      </c>
      <c r="I1346" s="13" t="s">
        <v>2189</v>
      </c>
      <c r="J1346" s="13" t="s">
        <v>2189</v>
      </c>
      <c r="K1346" s="13" t="s">
        <v>2189</v>
      </c>
    </row>
    <row r="1347" spans="1:11" hidden="1" x14ac:dyDescent="0.25">
      <c r="A1347" t="str">
        <f>_xlfn.XLOOKUP(C1347, 'Códigos DANE Municipios'!$B$2:$B$1123, 'Códigos DANE Municipios'!$A$2:$A$1123, "No encontrado")</f>
        <v>41807</v>
      </c>
      <c r="B1347" t="str">
        <f>IFERROR(VLOOKUP(D1347,APOYO!K:L,2,FALSE),A1347)</f>
        <v>41807</v>
      </c>
      <c r="C1347" t="s">
        <v>1266</v>
      </c>
      <c r="D1347" t="str">
        <f>IFERROR(VLOOKUP(C1347,APOYO!J:K,2,FALSE),C1347)</f>
        <v>TIMANÁ</v>
      </c>
      <c r="E1347">
        <v>2014</v>
      </c>
      <c r="F1347" t="s">
        <v>2189</v>
      </c>
      <c r="G1347" t="s">
        <v>2189</v>
      </c>
      <c r="H1347">
        <v>9</v>
      </c>
      <c r="I1347" s="13" t="s">
        <v>2189</v>
      </c>
      <c r="J1347" s="13" t="s">
        <v>2189</v>
      </c>
      <c r="K1347" s="13" t="s">
        <v>2189</v>
      </c>
    </row>
    <row r="1348" spans="1:11" hidden="1" x14ac:dyDescent="0.25">
      <c r="A1348" t="str">
        <f>_xlfn.XLOOKUP(C1348, 'Códigos DANE Municipios'!$B$2:$B$1123, 'Códigos DANE Municipios'!$A$2:$A$1123, "No encontrado")</f>
        <v>19807</v>
      </c>
      <c r="B1348" t="str">
        <f>IFERROR(VLOOKUP(D1348,APOYO!K:L,2,FALSE),A1348)</f>
        <v>19807</v>
      </c>
      <c r="C1348" t="s">
        <v>798</v>
      </c>
      <c r="D1348" t="str">
        <f>IFERROR(VLOOKUP(C1348,APOYO!J:K,2,FALSE),C1348)</f>
        <v>TIMBÍO</v>
      </c>
      <c r="E1348">
        <v>2014</v>
      </c>
      <c r="F1348" t="s">
        <v>2189</v>
      </c>
      <c r="G1348" t="s">
        <v>2189</v>
      </c>
      <c r="H1348">
        <v>12</v>
      </c>
      <c r="I1348" s="13" t="s">
        <v>2189</v>
      </c>
      <c r="J1348" s="13" t="s">
        <v>2189</v>
      </c>
      <c r="K1348" s="13" t="s">
        <v>2189</v>
      </c>
    </row>
    <row r="1349" spans="1:11" hidden="1" x14ac:dyDescent="0.25">
      <c r="A1349" t="str">
        <f>_xlfn.XLOOKUP(C1349, 'Códigos DANE Municipios'!$B$2:$B$1123, 'Códigos DANE Municipios'!$A$2:$A$1123, "No encontrado")</f>
        <v>19809</v>
      </c>
      <c r="B1349" t="str">
        <f>IFERROR(VLOOKUP(D1349,APOYO!K:L,2,FALSE),A1349)</f>
        <v>19809</v>
      </c>
      <c r="C1349" t="s">
        <v>800</v>
      </c>
      <c r="D1349" t="str">
        <f>IFERROR(VLOOKUP(C1349,APOYO!J:K,2,FALSE),C1349)</f>
        <v>TIMBIQUÍ</v>
      </c>
      <c r="E1349">
        <v>2014</v>
      </c>
      <c r="F1349">
        <v>5006</v>
      </c>
      <c r="G1349" t="s">
        <v>2189</v>
      </c>
      <c r="H1349">
        <v>1</v>
      </c>
      <c r="I1349" s="13" t="s">
        <v>2189</v>
      </c>
      <c r="J1349" s="13" t="s">
        <v>2189</v>
      </c>
      <c r="K1349" s="13" t="s">
        <v>2189</v>
      </c>
    </row>
    <row r="1350" spans="1:11" hidden="1" x14ac:dyDescent="0.25">
      <c r="A1350" t="str">
        <f>_xlfn.XLOOKUP(C1350, 'Códigos DANE Municipios'!$B$2:$B$1123, 'Códigos DANE Municipios'!$A$2:$A$1123, "No encontrado")</f>
        <v>15808</v>
      </c>
      <c r="B1350" t="str">
        <f>IFERROR(VLOOKUP(D1350,APOYO!K:L,2,FALSE),A1350)</f>
        <v>15808</v>
      </c>
      <c r="C1350" t="s">
        <v>616</v>
      </c>
      <c r="D1350" t="str">
        <f>IFERROR(VLOOKUP(C1350,APOYO!J:K,2,FALSE),C1350)</f>
        <v>TINJACÁ</v>
      </c>
      <c r="E1350">
        <v>2014</v>
      </c>
      <c r="F1350" t="s">
        <v>2189</v>
      </c>
      <c r="G1350" t="s">
        <v>2189</v>
      </c>
      <c r="H1350" t="s">
        <v>2189</v>
      </c>
      <c r="I1350" s="13" t="s">
        <v>2189</v>
      </c>
      <c r="J1350" s="13" t="s">
        <v>2189</v>
      </c>
      <c r="K1350" s="13" t="s">
        <v>2189</v>
      </c>
    </row>
    <row r="1351" spans="1:11" hidden="1" x14ac:dyDescent="0.25">
      <c r="A1351" t="str">
        <f>_xlfn.XLOOKUP(C1351, 'Códigos DANE Municipios'!$B$2:$B$1123, 'Códigos DANE Municipios'!$A$2:$A$1123, "No encontrado")</f>
        <v>05809</v>
      </c>
      <c r="B1351" t="str">
        <f>IFERROR(VLOOKUP(D1351,APOYO!K:L,2,FALSE),A1351)</f>
        <v>05809</v>
      </c>
      <c r="C1351" t="s">
        <v>232</v>
      </c>
      <c r="D1351" t="str">
        <f>IFERROR(VLOOKUP(C1351,APOYO!J:K,2,FALSE),C1351)</f>
        <v>TITIRIBÍ</v>
      </c>
      <c r="E1351">
        <v>2014</v>
      </c>
      <c r="F1351" t="s">
        <v>2189</v>
      </c>
      <c r="G1351" t="s">
        <v>2189</v>
      </c>
      <c r="H1351">
        <v>5</v>
      </c>
      <c r="I1351" s="13" t="s">
        <v>2189</v>
      </c>
      <c r="J1351" s="13" t="s">
        <v>2189</v>
      </c>
      <c r="K1351" s="13" t="s">
        <v>2189</v>
      </c>
    </row>
    <row r="1352" spans="1:11" hidden="1" x14ac:dyDescent="0.25">
      <c r="A1352" t="str">
        <f>_xlfn.XLOOKUP(C1352, 'Códigos DANE Municipios'!$B$2:$B$1123, 'Códigos DANE Municipios'!$A$2:$A$1123, "No encontrado")</f>
        <v>15814</v>
      </c>
      <c r="B1352" t="str">
        <f>IFERROR(VLOOKUP(D1352,APOYO!K:L,2,FALSE),A1352)</f>
        <v>15814</v>
      </c>
      <c r="C1352" t="s">
        <v>620</v>
      </c>
      <c r="D1352" t="str">
        <f>IFERROR(VLOOKUP(C1352,APOYO!J:K,2,FALSE),C1352)</f>
        <v>TOCA</v>
      </c>
      <c r="E1352">
        <v>2014</v>
      </c>
      <c r="F1352" t="s">
        <v>2189</v>
      </c>
      <c r="G1352" t="s">
        <v>2189</v>
      </c>
      <c r="H1352">
        <v>6</v>
      </c>
      <c r="I1352" s="13" t="s">
        <v>2189</v>
      </c>
      <c r="J1352" s="13" t="s">
        <v>2189</v>
      </c>
      <c r="K1352" s="13" t="s">
        <v>2189</v>
      </c>
    </row>
    <row r="1353" spans="1:11" hidden="1" x14ac:dyDescent="0.25">
      <c r="A1353" t="str">
        <f>_xlfn.XLOOKUP(C1353, 'Códigos DANE Municipios'!$B$2:$B$1123, 'Códigos DANE Municipios'!$A$2:$A$1123, "No encontrado")</f>
        <v>25815</v>
      </c>
      <c r="B1353" t="str">
        <f>IFERROR(VLOOKUP(D1353,APOYO!K:L,2,FALSE),A1353)</f>
        <v>25815</v>
      </c>
      <c r="C1353" t="s">
        <v>1108</v>
      </c>
      <c r="D1353" t="str">
        <f>IFERROR(VLOOKUP(C1353,APOYO!J:K,2,FALSE),C1353)</f>
        <v>TOCAIMA</v>
      </c>
      <c r="E1353">
        <v>2014</v>
      </c>
      <c r="F1353" t="s">
        <v>2189</v>
      </c>
      <c r="G1353" t="s">
        <v>2189</v>
      </c>
      <c r="H1353">
        <v>10</v>
      </c>
      <c r="I1353" s="13" t="s">
        <v>2189</v>
      </c>
      <c r="J1353" s="13" t="s">
        <v>2189</v>
      </c>
      <c r="K1353" s="13" t="s">
        <v>2189</v>
      </c>
    </row>
    <row r="1354" spans="1:11" hidden="1" x14ac:dyDescent="0.25">
      <c r="A1354" t="str">
        <f>_xlfn.XLOOKUP(C1354, 'Códigos DANE Municipios'!$B$2:$B$1123, 'Códigos DANE Municipios'!$A$2:$A$1123, "No encontrado")</f>
        <v>25817</v>
      </c>
      <c r="B1354" t="str">
        <f>IFERROR(VLOOKUP(D1354,APOYO!K:L,2,FALSE),A1354)</f>
        <v>25817</v>
      </c>
      <c r="C1354" t="s">
        <v>1110</v>
      </c>
      <c r="D1354" t="str">
        <f>IFERROR(VLOOKUP(C1354,APOYO!J:K,2,FALSE),C1354)</f>
        <v>TOCANCIPÁ</v>
      </c>
      <c r="E1354">
        <v>2014</v>
      </c>
      <c r="F1354" t="s">
        <v>2189</v>
      </c>
      <c r="G1354" t="s">
        <v>2189</v>
      </c>
      <c r="H1354">
        <v>116</v>
      </c>
      <c r="I1354" s="13" t="s">
        <v>2189</v>
      </c>
      <c r="J1354" s="13" t="s">
        <v>2189</v>
      </c>
      <c r="K1354" s="13" t="s">
        <v>2189</v>
      </c>
    </row>
    <row r="1355" spans="1:11" hidden="1" x14ac:dyDescent="0.25">
      <c r="A1355" t="str">
        <f>_xlfn.XLOOKUP(C1355, 'Códigos DANE Municipios'!$B$2:$B$1123, 'Códigos DANE Municipios'!$A$2:$A$1123, "No encontrado")</f>
        <v>05819</v>
      </c>
      <c r="B1355" t="str">
        <f>IFERROR(VLOOKUP(D1355,APOYO!K:L,2,FALSE),A1355)</f>
        <v>05819</v>
      </c>
      <c r="C1355" t="s">
        <v>234</v>
      </c>
      <c r="D1355" t="str">
        <f>IFERROR(VLOOKUP(C1355,APOYO!J:K,2,FALSE),C1355)</f>
        <v>TOLEDO</v>
      </c>
      <c r="E1355">
        <v>2014</v>
      </c>
      <c r="F1355" t="s">
        <v>2189</v>
      </c>
      <c r="G1355" t="s">
        <v>2189</v>
      </c>
      <c r="H1355">
        <v>6</v>
      </c>
      <c r="I1355" s="13">
        <v>0</v>
      </c>
      <c r="J1355" s="13" t="s">
        <v>2189</v>
      </c>
      <c r="K1355" s="13" t="s">
        <v>2189</v>
      </c>
    </row>
    <row r="1356" spans="1:11" hidden="1" x14ac:dyDescent="0.25">
      <c r="A1356" t="str">
        <f>_xlfn.XLOOKUP(C1356, 'Códigos DANE Municipios'!$B$2:$B$1123, 'Códigos DANE Municipios'!$A$2:$A$1123, "No encontrado")</f>
        <v>70820</v>
      </c>
      <c r="B1356" t="str">
        <f>IFERROR(VLOOKUP(D1356,APOYO!K:L,2,FALSE),A1356)</f>
        <v>70820</v>
      </c>
      <c r="C1356" t="s">
        <v>1861</v>
      </c>
      <c r="D1356" t="str">
        <f>IFERROR(VLOOKUP(C1356,APOYO!J:K,2,FALSE),C1356)</f>
        <v>SANTIAGO DE TOLÚ</v>
      </c>
      <c r="E1356">
        <v>2014</v>
      </c>
      <c r="F1356" t="s">
        <v>2189</v>
      </c>
      <c r="G1356" t="s">
        <v>2189</v>
      </c>
      <c r="H1356">
        <v>5</v>
      </c>
      <c r="I1356" s="13" t="s">
        <v>2189</v>
      </c>
      <c r="J1356" s="13" t="s">
        <v>2189</v>
      </c>
      <c r="K1356" s="13" t="s">
        <v>2189</v>
      </c>
    </row>
    <row r="1357" spans="1:11" hidden="1" x14ac:dyDescent="0.25">
      <c r="A1357" t="str">
        <f>_xlfn.XLOOKUP(C1357, 'Códigos DANE Municipios'!$B$2:$B$1123, 'Códigos DANE Municipios'!$A$2:$A$1123, "No encontrado")</f>
        <v>70823</v>
      </c>
      <c r="B1357" t="str">
        <f>IFERROR(VLOOKUP(D1357,APOYO!K:L,2,FALSE),A1357)</f>
        <v>70823</v>
      </c>
      <c r="C1357" t="s">
        <v>1863</v>
      </c>
      <c r="D1357" t="str">
        <f>IFERROR(VLOOKUP(C1357,APOYO!J:K,2,FALSE),C1357)</f>
        <v>TOLÚ VIEJO</v>
      </c>
      <c r="E1357">
        <v>2014</v>
      </c>
      <c r="F1357">
        <v>5904</v>
      </c>
      <c r="G1357" t="s">
        <v>2189</v>
      </c>
      <c r="H1357">
        <v>32</v>
      </c>
      <c r="I1357" s="13" t="s">
        <v>2189</v>
      </c>
      <c r="J1357" s="13" t="s">
        <v>2189</v>
      </c>
      <c r="K1357" s="13" t="s">
        <v>2189</v>
      </c>
    </row>
    <row r="1358" spans="1:11" hidden="1" x14ac:dyDescent="0.25">
      <c r="A1358" t="str">
        <f>_xlfn.XLOOKUP(C1358, 'Códigos DANE Municipios'!$B$2:$B$1123, 'Códigos DANE Municipios'!$A$2:$A$1123, "No encontrado")</f>
        <v>68820</v>
      </c>
      <c r="B1358" t="str">
        <f>IFERROR(VLOOKUP(D1358,APOYO!K:L,2,FALSE),A1358)</f>
        <v>68820</v>
      </c>
      <c r="C1358" t="s">
        <v>1805</v>
      </c>
      <c r="D1358" t="str">
        <f>IFERROR(VLOOKUP(C1358,APOYO!J:K,2,FALSE),C1358)</f>
        <v>TONA</v>
      </c>
      <c r="E1358">
        <v>2014</v>
      </c>
      <c r="F1358" t="s">
        <v>2189</v>
      </c>
      <c r="G1358" t="s">
        <v>2189</v>
      </c>
      <c r="H1358" t="s">
        <v>2189</v>
      </c>
      <c r="I1358" s="13" t="s">
        <v>2189</v>
      </c>
      <c r="J1358" s="13" t="s">
        <v>2189</v>
      </c>
      <c r="K1358" s="13" t="s">
        <v>2189</v>
      </c>
    </row>
    <row r="1359" spans="1:11" hidden="1" x14ac:dyDescent="0.25">
      <c r="A1359" t="str">
        <f>_xlfn.XLOOKUP(C1359, 'Códigos DANE Municipios'!$B$2:$B$1123, 'Códigos DANE Municipios'!$A$2:$A$1123, "No encontrado")</f>
        <v>76823</v>
      </c>
      <c r="B1359" t="str">
        <f>IFERROR(VLOOKUP(D1359,APOYO!K:L,2,FALSE),A1359)</f>
        <v>76823</v>
      </c>
      <c r="C1359" t="s">
        <v>2016</v>
      </c>
      <c r="D1359" t="str">
        <f>IFERROR(VLOOKUP(C1359,APOYO!J:K,2,FALSE),C1359)</f>
        <v>TORO</v>
      </c>
      <c r="E1359">
        <v>2014</v>
      </c>
      <c r="F1359" t="s">
        <v>2189</v>
      </c>
      <c r="G1359" t="s">
        <v>2189</v>
      </c>
      <c r="H1359">
        <v>17</v>
      </c>
      <c r="I1359" s="13" t="s">
        <v>2189</v>
      </c>
      <c r="J1359" s="13" t="s">
        <v>2189</v>
      </c>
      <c r="K1359" s="13" t="s">
        <v>2189</v>
      </c>
    </row>
    <row r="1360" spans="1:11" hidden="1" x14ac:dyDescent="0.25">
      <c r="A1360" t="str">
        <f>_xlfn.XLOOKUP(C1360, 'Códigos DANE Municipios'!$B$2:$B$1123, 'Códigos DANE Municipios'!$A$2:$A$1123, "No encontrado")</f>
        <v>15822</v>
      </c>
      <c r="B1360" t="str">
        <f>IFERROR(VLOOKUP(D1360,APOYO!K:L,2,FALSE),A1360)</f>
        <v>15822</v>
      </c>
      <c r="C1360" t="s">
        <v>626</v>
      </c>
      <c r="D1360" t="str">
        <f>IFERROR(VLOOKUP(C1360,APOYO!J:K,2,FALSE),C1360)</f>
        <v>TOTA</v>
      </c>
      <c r="E1360">
        <v>2014</v>
      </c>
      <c r="F1360" t="s">
        <v>2189</v>
      </c>
      <c r="G1360" t="s">
        <v>2189</v>
      </c>
      <c r="H1360">
        <v>15</v>
      </c>
      <c r="I1360" s="13" t="s">
        <v>2189</v>
      </c>
      <c r="J1360" s="13" t="s">
        <v>2189</v>
      </c>
      <c r="K1360" s="13" t="s">
        <v>2189</v>
      </c>
    </row>
    <row r="1361" spans="1:11" hidden="1" x14ac:dyDescent="0.25">
      <c r="A1361" t="str">
        <f>_xlfn.XLOOKUP(C1361, 'Códigos DANE Municipios'!$B$2:$B$1123, 'Códigos DANE Municipios'!$A$2:$A$1123, "No encontrado")</f>
        <v>19824</v>
      </c>
      <c r="B1361" t="str">
        <f>IFERROR(VLOOKUP(D1361,APOYO!K:L,2,FALSE),A1361)</f>
        <v>19824</v>
      </c>
      <c r="C1361" t="s">
        <v>804</v>
      </c>
      <c r="D1361" t="str">
        <f>IFERROR(VLOOKUP(C1361,APOYO!J:K,2,FALSE),C1361)</f>
        <v>TOTORÓ</v>
      </c>
      <c r="E1361">
        <v>2014</v>
      </c>
      <c r="F1361" t="s">
        <v>2189</v>
      </c>
      <c r="G1361" t="s">
        <v>2189</v>
      </c>
      <c r="H1361" t="s">
        <v>2189</v>
      </c>
      <c r="I1361" s="13" t="s">
        <v>2189</v>
      </c>
      <c r="J1361" s="13" t="s">
        <v>2189</v>
      </c>
      <c r="K1361" s="13" t="s">
        <v>2189</v>
      </c>
    </row>
    <row r="1362" spans="1:11" hidden="1" x14ac:dyDescent="0.25">
      <c r="A1362" t="str">
        <f>_xlfn.XLOOKUP(C1362, 'Códigos DANE Municipios'!$B$2:$B$1123, 'Códigos DANE Municipios'!$A$2:$A$1123, "No encontrado")</f>
        <v>85430</v>
      </c>
      <c r="B1362" t="str">
        <f>IFERROR(VLOOKUP(D1362,APOYO!K:L,2,FALSE),A1362)</f>
        <v>85430</v>
      </c>
      <c r="C1362" t="s">
        <v>2081</v>
      </c>
      <c r="D1362" t="str">
        <f>IFERROR(VLOOKUP(C1362,APOYO!J:K,2,FALSE),C1362)</f>
        <v>TRINIDAD</v>
      </c>
      <c r="E1362">
        <v>2014</v>
      </c>
      <c r="F1362">
        <v>1229</v>
      </c>
      <c r="G1362" t="s">
        <v>2189</v>
      </c>
      <c r="H1362">
        <v>2</v>
      </c>
      <c r="I1362" s="13" t="s">
        <v>2189</v>
      </c>
      <c r="J1362" s="13" t="s">
        <v>2189</v>
      </c>
      <c r="K1362" s="13" t="s">
        <v>2189</v>
      </c>
    </row>
    <row r="1363" spans="1:11" hidden="1" x14ac:dyDescent="0.25">
      <c r="A1363" t="str">
        <f>_xlfn.XLOOKUP(C1363, 'Códigos DANE Municipios'!$B$2:$B$1123, 'Códigos DANE Municipios'!$A$2:$A$1123, "No encontrado")</f>
        <v>76828</v>
      </c>
      <c r="B1363" t="str">
        <f>IFERROR(VLOOKUP(D1363,APOYO!K:L,2,FALSE),A1363)</f>
        <v>76828</v>
      </c>
      <c r="C1363" t="s">
        <v>2018</v>
      </c>
      <c r="D1363" t="str">
        <f>IFERROR(VLOOKUP(C1363,APOYO!J:K,2,FALSE),C1363)</f>
        <v>TRUJILLO</v>
      </c>
      <c r="E1363">
        <v>2014</v>
      </c>
      <c r="F1363" t="s">
        <v>2189</v>
      </c>
      <c r="G1363" t="s">
        <v>2189</v>
      </c>
      <c r="H1363">
        <v>15</v>
      </c>
      <c r="I1363" s="13" t="s">
        <v>2189</v>
      </c>
      <c r="J1363" s="13" t="s">
        <v>2189</v>
      </c>
      <c r="K1363" s="13" t="s">
        <v>2189</v>
      </c>
    </row>
    <row r="1364" spans="1:11" hidden="1" x14ac:dyDescent="0.25">
      <c r="A1364" t="str">
        <f>_xlfn.XLOOKUP(C1364, 'Códigos DANE Municipios'!$B$2:$B$1123, 'Códigos DANE Municipios'!$A$2:$A$1123, "No encontrado")</f>
        <v>08832</v>
      </c>
      <c r="B1364" t="str">
        <f>IFERROR(VLOOKUP(D1364,APOYO!K:L,2,FALSE),A1364)</f>
        <v>08832</v>
      </c>
      <c r="C1364" t="s">
        <v>303</v>
      </c>
      <c r="D1364" t="str">
        <f>IFERROR(VLOOKUP(C1364,APOYO!J:K,2,FALSE),C1364)</f>
        <v>TUBARÁ</v>
      </c>
      <c r="E1364">
        <v>2014</v>
      </c>
      <c r="F1364" t="s">
        <v>2189</v>
      </c>
      <c r="G1364" t="s">
        <v>2189</v>
      </c>
      <c r="H1364">
        <v>4</v>
      </c>
      <c r="I1364" s="13" t="s">
        <v>2189</v>
      </c>
      <c r="J1364" s="13" t="s">
        <v>2189</v>
      </c>
      <c r="K1364" s="13" t="s">
        <v>2189</v>
      </c>
    </row>
    <row r="1365" spans="1:11" hidden="1" x14ac:dyDescent="0.25">
      <c r="A1365" t="str">
        <f>_xlfn.XLOOKUP(C1365, 'Códigos DANE Municipios'!$B$2:$B$1123, 'Códigos DANE Municipios'!$A$2:$A$1123, "No encontrado")</f>
        <v>23815</v>
      </c>
      <c r="B1365" t="str">
        <f>IFERROR(VLOOKUP(D1365,APOYO!K:L,2,FALSE),A1365)</f>
        <v>23815</v>
      </c>
      <c r="C1365" t="s">
        <v>912</v>
      </c>
      <c r="D1365" t="str">
        <f>IFERROR(VLOOKUP(C1365,APOYO!J:K,2,FALSE),C1365)</f>
        <v>TUCHÍN</v>
      </c>
      <c r="E1365">
        <v>2014</v>
      </c>
      <c r="F1365" t="s">
        <v>2189</v>
      </c>
      <c r="G1365" t="s">
        <v>2189</v>
      </c>
      <c r="H1365">
        <v>1</v>
      </c>
      <c r="I1365" s="13" t="s">
        <v>2189</v>
      </c>
      <c r="J1365" s="13" t="s">
        <v>2189</v>
      </c>
      <c r="K1365" s="13" t="s">
        <v>2189</v>
      </c>
    </row>
    <row r="1366" spans="1:11" hidden="1" x14ac:dyDescent="0.25">
      <c r="A1366" t="str">
        <f>_xlfn.XLOOKUP(C1366, 'Códigos DANE Municipios'!$B$2:$B$1123, 'Códigos DANE Municipios'!$A$2:$A$1123, "No encontrado")</f>
        <v>76834</v>
      </c>
      <c r="B1366" t="str">
        <f>IFERROR(VLOOKUP(D1366,APOYO!K:L,2,FALSE),A1366)</f>
        <v>76834</v>
      </c>
      <c r="C1366" t="s">
        <v>2020</v>
      </c>
      <c r="D1366" t="str">
        <f>IFERROR(VLOOKUP(C1366,APOYO!J:K,2,FALSE),C1366)</f>
        <v>TULUÁ</v>
      </c>
      <c r="E1366">
        <v>2014</v>
      </c>
      <c r="F1366" t="s">
        <v>2189</v>
      </c>
      <c r="G1366" t="s">
        <v>2189</v>
      </c>
      <c r="H1366">
        <v>1396</v>
      </c>
      <c r="I1366" s="13" t="s">
        <v>2189</v>
      </c>
      <c r="J1366" s="13" t="s">
        <v>2189</v>
      </c>
      <c r="K1366" s="13" t="s">
        <v>2189</v>
      </c>
    </row>
    <row r="1367" spans="1:11" hidden="1" x14ac:dyDescent="0.25">
      <c r="A1367" t="str">
        <f>_xlfn.XLOOKUP(C1367, 'Códigos DANE Municipios'!$B$2:$B$1123, 'Códigos DANE Municipios'!$A$2:$A$1123, "No encontrado")</f>
        <v>52835</v>
      </c>
      <c r="B1367" t="str">
        <f>IFERROR(VLOOKUP(D1367,APOYO!K:L,2,FALSE),A1367)</f>
        <v>52835</v>
      </c>
      <c r="C1367" t="s">
        <v>1523</v>
      </c>
      <c r="D1367" t="str">
        <f>IFERROR(VLOOKUP(C1367,APOYO!J:K,2,FALSE),C1367)</f>
        <v>SAN ANDRÉS DE TUMACO</v>
      </c>
      <c r="E1367">
        <v>2014</v>
      </c>
      <c r="F1367">
        <v>44973</v>
      </c>
      <c r="G1367">
        <v>57</v>
      </c>
      <c r="H1367">
        <v>1568</v>
      </c>
      <c r="I1367" s="13" t="s">
        <v>2189</v>
      </c>
      <c r="J1367" s="13" t="s">
        <v>2189</v>
      </c>
      <c r="K1367" s="13" t="s">
        <v>2189</v>
      </c>
    </row>
    <row r="1368" spans="1:11" hidden="1" x14ac:dyDescent="0.25">
      <c r="A1368" t="str">
        <f>_xlfn.XLOOKUP(C1368, 'Códigos DANE Municipios'!$B$2:$B$1123, 'Códigos DANE Municipios'!$A$2:$A$1123, "No encontrado")</f>
        <v>15001</v>
      </c>
      <c r="B1368" t="str">
        <f>IFERROR(VLOOKUP(D1368,APOYO!K:L,2,FALSE),A1368)</f>
        <v>15001</v>
      </c>
      <c r="C1368" t="s">
        <v>401</v>
      </c>
      <c r="D1368" t="str">
        <f>IFERROR(VLOOKUP(C1368,APOYO!J:K,2,FALSE),C1368)</f>
        <v>TUNJA</v>
      </c>
      <c r="E1368">
        <v>2014</v>
      </c>
      <c r="F1368" t="s">
        <v>2189</v>
      </c>
      <c r="G1368" t="s">
        <v>2189</v>
      </c>
      <c r="H1368">
        <v>971</v>
      </c>
      <c r="I1368" s="13" t="s">
        <v>2189</v>
      </c>
      <c r="J1368" s="13" t="s">
        <v>2189</v>
      </c>
      <c r="K1368" s="13" t="s">
        <v>2189</v>
      </c>
    </row>
    <row r="1369" spans="1:11" hidden="1" x14ac:dyDescent="0.25">
      <c r="A1369" t="str">
        <f>_xlfn.XLOOKUP(C1369, 'Códigos DANE Municipios'!$B$2:$B$1123, 'Códigos DANE Municipios'!$A$2:$A$1123, "No encontrado")</f>
        <v>52838</v>
      </c>
      <c r="B1369" t="str">
        <f>IFERROR(VLOOKUP(D1369,APOYO!K:L,2,FALSE),A1369)</f>
        <v>52838</v>
      </c>
      <c r="C1369" t="s">
        <v>1525</v>
      </c>
      <c r="D1369" t="str">
        <f>IFERROR(VLOOKUP(C1369,APOYO!J:K,2,FALSE),C1369)</f>
        <v>TÚQUERRES</v>
      </c>
      <c r="E1369">
        <v>2014</v>
      </c>
      <c r="F1369" t="s">
        <v>2189</v>
      </c>
      <c r="G1369" t="s">
        <v>2189</v>
      </c>
      <c r="H1369">
        <v>59</v>
      </c>
      <c r="I1369" s="13" t="s">
        <v>2189</v>
      </c>
      <c r="J1369" s="13" t="s">
        <v>2189</v>
      </c>
      <c r="K1369" s="13" t="s">
        <v>2189</v>
      </c>
    </row>
    <row r="1370" spans="1:11" hidden="1" x14ac:dyDescent="0.25">
      <c r="A1370" t="str">
        <f>_xlfn.XLOOKUP(C1370, 'Códigos DANE Municipios'!$B$2:$B$1123, 'Códigos DANE Municipios'!$A$2:$A$1123, "No encontrado")</f>
        <v>13836</v>
      </c>
      <c r="B1370" t="str">
        <f>IFERROR(VLOOKUP(D1370,APOYO!K:L,2,FALSE),A1370)</f>
        <v>13836</v>
      </c>
      <c r="C1370" t="s">
        <v>393</v>
      </c>
      <c r="D1370" t="str">
        <f>IFERROR(VLOOKUP(C1370,APOYO!J:K,2,FALSE),C1370)</f>
        <v>TURBACO</v>
      </c>
      <c r="E1370">
        <v>2014</v>
      </c>
      <c r="F1370" t="s">
        <v>2189</v>
      </c>
      <c r="G1370" t="s">
        <v>2189</v>
      </c>
      <c r="H1370">
        <v>44</v>
      </c>
      <c r="I1370" s="13" t="s">
        <v>2189</v>
      </c>
      <c r="J1370" s="13" t="s">
        <v>2189</v>
      </c>
      <c r="K1370" s="13" t="s">
        <v>2189</v>
      </c>
    </row>
    <row r="1371" spans="1:11" hidden="1" x14ac:dyDescent="0.25">
      <c r="A1371" t="str">
        <f>_xlfn.XLOOKUP(C1371, 'Códigos DANE Municipios'!$B$2:$B$1123, 'Códigos DANE Municipios'!$A$2:$A$1123, "No encontrado")</f>
        <v>13838</v>
      </c>
      <c r="B1371" t="str">
        <f>IFERROR(VLOOKUP(D1371,APOYO!K:L,2,FALSE),A1371)</f>
        <v>13838</v>
      </c>
      <c r="C1371" t="s">
        <v>395</v>
      </c>
      <c r="D1371" t="str">
        <f>IFERROR(VLOOKUP(C1371,APOYO!J:K,2,FALSE),C1371)</f>
        <v>TURBANÁ</v>
      </c>
      <c r="E1371">
        <v>2014</v>
      </c>
      <c r="F1371" t="s">
        <v>2189</v>
      </c>
      <c r="G1371" t="s">
        <v>2189</v>
      </c>
      <c r="H1371">
        <v>7</v>
      </c>
      <c r="I1371" s="13" t="s">
        <v>2189</v>
      </c>
      <c r="J1371" s="13" t="s">
        <v>2189</v>
      </c>
      <c r="K1371" s="13" t="s">
        <v>2189</v>
      </c>
    </row>
    <row r="1372" spans="1:11" hidden="1" x14ac:dyDescent="0.25">
      <c r="A1372" t="str">
        <f>_xlfn.XLOOKUP(C1372, 'Códigos DANE Municipios'!$B$2:$B$1123, 'Códigos DANE Municipios'!$A$2:$A$1123, "No encontrado")</f>
        <v>05837</v>
      </c>
      <c r="B1372" t="str">
        <f>IFERROR(VLOOKUP(D1372,APOYO!K:L,2,FALSE),A1372)</f>
        <v>05837</v>
      </c>
      <c r="C1372" t="s">
        <v>236</v>
      </c>
      <c r="D1372" t="str">
        <f>IFERROR(VLOOKUP(C1372,APOYO!J:K,2,FALSE),C1372)</f>
        <v>TURBO</v>
      </c>
      <c r="E1372">
        <v>2014</v>
      </c>
      <c r="F1372">
        <v>2</v>
      </c>
      <c r="G1372" t="s">
        <v>2189</v>
      </c>
      <c r="H1372">
        <v>65</v>
      </c>
      <c r="I1372" s="13" t="s">
        <v>2189</v>
      </c>
      <c r="J1372" s="13" t="s">
        <v>2189</v>
      </c>
      <c r="K1372" s="13" t="s">
        <v>2189</v>
      </c>
    </row>
    <row r="1373" spans="1:11" hidden="1" x14ac:dyDescent="0.25">
      <c r="A1373" t="str">
        <f>_xlfn.XLOOKUP(C1373, 'Códigos DANE Municipios'!$B$2:$B$1123, 'Códigos DANE Municipios'!$A$2:$A$1123, "No encontrado")</f>
        <v>15835</v>
      </c>
      <c r="B1373" t="str">
        <f>IFERROR(VLOOKUP(D1373,APOYO!K:L,2,FALSE),A1373)</f>
        <v>15835</v>
      </c>
      <c r="C1373" t="s">
        <v>630</v>
      </c>
      <c r="D1373" t="str">
        <f>IFERROR(VLOOKUP(C1373,APOYO!J:K,2,FALSE),C1373)</f>
        <v>TURMEQUÉ</v>
      </c>
      <c r="E1373">
        <v>2014</v>
      </c>
      <c r="F1373" t="s">
        <v>2189</v>
      </c>
      <c r="G1373" t="s">
        <v>2189</v>
      </c>
      <c r="H1373">
        <v>5</v>
      </c>
      <c r="I1373" s="13" t="s">
        <v>2189</v>
      </c>
      <c r="J1373" s="13" t="s">
        <v>2189</v>
      </c>
      <c r="K1373" s="13" t="s">
        <v>2189</v>
      </c>
    </row>
    <row r="1374" spans="1:11" hidden="1" x14ac:dyDescent="0.25">
      <c r="A1374" t="str">
        <f>_xlfn.XLOOKUP(C1374, 'Códigos DANE Municipios'!$B$2:$B$1123, 'Códigos DANE Municipios'!$A$2:$A$1123, "No encontrado")</f>
        <v>15837</v>
      </c>
      <c r="B1374" t="str">
        <f>IFERROR(VLOOKUP(D1374,APOYO!K:L,2,FALSE),A1374)</f>
        <v>15837</v>
      </c>
      <c r="C1374" t="s">
        <v>632</v>
      </c>
      <c r="D1374" t="str">
        <f>IFERROR(VLOOKUP(C1374,APOYO!J:K,2,FALSE),C1374)</f>
        <v>TUTA</v>
      </c>
      <c r="E1374">
        <v>2014</v>
      </c>
      <c r="F1374" t="s">
        <v>2189</v>
      </c>
      <c r="G1374" t="s">
        <v>2189</v>
      </c>
      <c r="H1374">
        <v>11</v>
      </c>
      <c r="I1374" s="13" t="s">
        <v>2189</v>
      </c>
      <c r="J1374" s="13" t="s">
        <v>2189</v>
      </c>
      <c r="K1374" s="13" t="s">
        <v>2189</v>
      </c>
    </row>
    <row r="1375" spans="1:11" hidden="1" x14ac:dyDescent="0.25">
      <c r="A1375" t="str">
        <f>_xlfn.XLOOKUP(C1375, 'Códigos DANE Municipios'!$B$2:$B$1123, 'Códigos DANE Municipios'!$A$2:$A$1123, "No encontrado")</f>
        <v>25839</v>
      </c>
      <c r="B1375" t="str">
        <f>IFERROR(VLOOKUP(D1375,APOYO!K:L,2,FALSE),A1375)</f>
        <v>25839</v>
      </c>
      <c r="C1375" t="s">
        <v>1114</v>
      </c>
      <c r="D1375" t="str">
        <f>IFERROR(VLOOKUP(C1375,APOYO!J:K,2,FALSE),C1375)</f>
        <v>UBALÁ</v>
      </c>
      <c r="E1375">
        <v>2014</v>
      </c>
      <c r="F1375" t="s">
        <v>2189</v>
      </c>
      <c r="G1375" t="s">
        <v>2189</v>
      </c>
      <c r="H1375">
        <v>6</v>
      </c>
      <c r="I1375" s="13" t="s">
        <v>2189</v>
      </c>
      <c r="J1375" s="13" t="s">
        <v>2189</v>
      </c>
      <c r="K1375" s="13" t="s">
        <v>2189</v>
      </c>
    </row>
    <row r="1376" spans="1:11" hidden="1" x14ac:dyDescent="0.25">
      <c r="A1376" t="str">
        <f>_xlfn.XLOOKUP(C1376, 'Códigos DANE Municipios'!$B$2:$B$1123, 'Códigos DANE Municipios'!$A$2:$A$1123, "No encontrado")</f>
        <v>25841</v>
      </c>
      <c r="B1376" t="str">
        <f>IFERROR(VLOOKUP(D1376,APOYO!K:L,2,FALSE),A1376)</f>
        <v>25841</v>
      </c>
      <c r="C1376" t="s">
        <v>1116</v>
      </c>
      <c r="D1376" t="str">
        <f>IFERROR(VLOOKUP(C1376,APOYO!J:K,2,FALSE),C1376)</f>
        <v>UBAQUE</v>
      </c>
      <c r="E1376">
        <v>2014</v>
      </c>
      <c r="F1376" t="s">
        <v>2189</v>
      </c>
      <c r="G1376" t="s">
        <v>2189</v>
      </c>
      <c r="H1376">
        <v>27</v>
      </c>
      <c r="I1376" s="13" t="s">
        <v>2189</v>
      </c>
      <c r="J1376" s="13" t="s">
        <v>2189</v>
      </c>
      <c r="K1376" s="13" t="s">
        <v>2189</v>
      </c>
    </row>
    <row r="1377" spans="1:11" hidden="1" x14ac:dyDescent="0.25">
      <c r="A1377" t="str">
        <f>_xlfn.XLOOKUP(C1377, 'Códigos DANE Municipios'!$B$2:$B$1123, 'Códigos DANE Municipios'!$A$2:$A$1123, "No encontrado")</f>
        <v>25843</v>
      </c>
      <c r="B1377" t="str">
        <f>IFERROR(VLOOKUP(D1377,APOYO!K:L,2,FALSE),A1377)</f>
        <v>25843</v>
      </c>
      <c r="C1377" t="s">
        <v>1118</v>
      </c>
      <c r="D1377" t="str">
        <f>IFERROR(VLOOKUP(C1377,APOYO!J:K,2,FALSE),C1377)</f>
        <v>VILLA DE SAN DIEGO DE UBATÉ</v>
      </c>
      <c r="E1377">
        <v>2014</v>
      </c>
      <c r="F1377" t="s">
        <v>2189</v>
      </c>
      <c r="G1377" t="s">
        <v>2189</v>
      </c>
      <c r="H1377">
        <v>7</v>
      </c>
      <c r="I1377" s="13" t="s">
        <v>2189</v>
      </c>
      <c r="J1377" s="13" t="s">
        <v>2189</v>
      </c>
      <c r="K1377" s="13" t="s">
        <v>2189</v>
      </c>
    </row>
    <row r="1378" spans="1:11" hidden="1" x14ac:dyDescent="0.25">
      <c r="A1378" t="str">
        <f>_xlfn.XLOOKUP(C1378, 'Códigos DANE Municipios'!$B$2:$B$1123, 'Códigos DANE Municipios'!$A$2:$A$1123, "No encontrado")</f>
        <v>76845</v>
      </c>
      <c r="B1378" t="str">
        <f>IFERROR(VLOOKUP(D1378,APOYO!K:L,2,FALSE),A1378)</f>
        <v>76845</v>
      </c>
      <c r="C1378" t="s">
        <v>2022</v>
      </c>
      <c r="D1378" t="str">
        <f>IFERROR(VLOOKUP(C1378,APOYO!J:K,2,FALSE),C1378)</f>
        <v>ULLOA</v>
      </c>
      <c r="E1378">
        <v>2014</v>
      </c>
      <c r="F1378" t="s">
        <v>2189</v>
      </c>
      <c r="G1378" t="s">
        <v>2189</v>
      </c>
      <c r="H1378">
        <v>4</v>
      </c>
      <c r="I1378" s="13" t="s">
        <v>2189</v>
      </c>
      <c r="J1378" s="13" t="s">
        <v>2189</v>
      </c>
      <c r="K1378" s="13" t="s">
        <v>2189</v>
      </c>
    </row>
    <row r="1379" spans="1:11" hidden="1" x14ac:dyDescent="0.25">
      <c r="A1379" t="str">
        <f>_xlfn.XLOOKUP(C1379, 'Códigos DANE Municipios'!$B$2:$B$1123, 'Códigos DANE Municipios'!$A$2:$A$1123, "No encontrado")</f>
        <v>15842</v>
      </c>
      <c r="B1379" t="str">
        <f>IFERROR(VLOOKUP(D1379,APOYO!K:L,2,FALSE),A1379)</f>
        <v>15842</v>
      </c>
      <c r="C1379" t="s">
        <v>636</v>
      </c>
      <c r="D1379" t="str">
        <f>IFERROR(VLOOKUP(C1379,APOYO!J:K,2,FALSE),C1379)</f>
        <v>ÚMBITA</v>
      </c>
      <c r="E1379">
        <v>2014</v>
      </c>
      <c r="F1379" t="s">
        <v>2189</v>
      </c>
      <c r="G1379" t="s">
        <v>2189</v>
      </c>
      <c r="H1379">
        <v>1</v>
      </c>
      <c r="I1379" s="13" t="s">
        <v>2189</v>
      </c>
      <c r="J1379" s="13" t="s">
        <v>2189</v>
      </c>
      <c r="K1379" s="13" t="s">
        <v>2189</v>
      </c>
    </row>
    <row r="1380" spans="1:11" hidden="1" x14ac:dyDescent="0.25">
      <c r="A1380" t="str">
        <f>_xlfn.XLOOKUP(C1380, 'Códigos DANE Municipios'!$B$2:$B$1123, 'Códigos DANE Municipios'!$A$2:$A$1123, "No encontrado")</f>
        <v>25845</v>
      </c>
      <c r="B1380" t="str">
        <f>IFERROR(VLOOKUP(D1380,APOYO!K:L,2,FALSE),A1380)</f>
        <v>25845</v>
      </c>
      <c r="C1380" t="s">
        <v>1120</v>
      </c>
      <c r="D1380" t="str">
        <f>IFERROR(VLOOKUP(C1380,APOYO!J:K,2,FALSE),C1380)</f>
        <v>UNE</v>
      </c>
      <c r="E1380">
        <v>2014</v>
      </c>
      <c r="F1380" t="s">
        <v>2189</v>
      </c>
      <c r="G1380" t="s">
        <v>2189</v>
      </c>
      <c r="H1380">
        <v>1</v>
      </c>
      <c r="I1380" s="13" t="s">
        <v>2189</v>
      </c>
      <c r="J1380" s="13" t="s">
        <v>2189</v>
      </c>
      <c r="K1380" s="13" t="s">
        <v>2189</v>
      </c>
    </row>
    <row r="1381" spans="1:11" hidden="1" x14ac:dyDescent="0.25">
      <c r="A1381" t="str">
        <f>_xlfn.XLOOKUP(C1381, 'Códigos DANE Municipios'!$B$2:$B$1123, 'Códigos DANE Municipios'!$A$2:$A$1123, "No encontrado")</f>
        <v>27800</v>
      </c>
      <c r="B1381" t="str">
        <f>IFERROR(VLOOKUP(D1381,APOYO!K:L,2,FALSE),A1381)</f>
        <v>27800</v>
      </c>
      <c r="C1381" t="s">
        <v>1197</v>
      </c>
      <c r="D1381" t="str">
        <f>IFERROR(VLOOKUP(C1381,APOYO!J:K,2,FALSE),C1381)</f>
        <v>UNGUÍA</v>
      </c>
      <c r="E1381">
        <v>2014</v>
      </c>
      <c r="F1381" t="s">
        <v>2189</v>
      </c>
      <c r="G1381" t="s">
        <v>2189</v>
      </c>
      <c r="H1381" t="s">
        <v>2189</v>
      </c>
      <c r="I1381" t="s">
        <v>2189</v>
      </c>
      <c r="J1381" s="13" t="s">
        <v>2189</v>
      </c>
      <c r="K1381" s="13" t="s">
        <v>2189</v>
      </c>
    </row>
    <row r="1382" spans="1:11" hidden="1" x14ac:dyDescent="0.25">
      <c r="A1382" t="str">
        <f>_xlfn.XLOOKUP(C1382, 'Códigos DANE Municipios'!$B$2:$B$1123, 'Códigos DANE Municipios'!$A$2:$A$1123, "No encontrado")</f>
        <v>27810</v>
      </c>
      <c r="B1382" t="str">
        <f>IFERROR(VLOOKUP(D1382,APOYO!K:L,2,FALSE),A1382)</f>
        <v>27810</v>
      </c>
      <c r="C1382" t="s">
        <v>1199</v>
      </c>
      <c r="D1382" t="str">
        <f>IFERROR(VLOOKUP(C1382,APOYO!J:K,2,FALSE),C1382)</f>
        <v>UNIÓN PANAMERICANA</v>
      </c>
      <c r="E1382">
        <v>2014</v>
      </c>
      <c r="F1382" t="s">
        <v>2189</v>
      </c>
      <c r="G1382" t="s">
        <v>2189</v>
      </c>
      <c r="H1382" t="s">
        <v>2189</v>
      </c>
      <c r="I1382" s="13" t="s">
        <v>2189</v>
      </c>
      <c r="J1382" s="13" t="s">
        <v>2189</v>
      </c>
      <c r="K1382" s="13" t="s">
        <v>2189</v>
      </c>
    </row>
    <row r="1383" spans="1:11" hidden="1" x14ac:dyDescent="0.25">
      <c r="A1383" t="str">
        <f>_xlfn.XLOOKUP(C1383, 'Códigos DANE Municipios'!$B$2:$B$1123, 'Códigos DANE Municipios'!$A$2:$A$1123, "No encontrado")</f>
        <v>44847</v>
      </c>
      <c r="B1383" t="str">
        <f>IFERROR(VLOOKUP(D1383,APOYO!K:L,2,FALSE),A1383)</f>
        <v>44847</v>
      </c>
      <c r="C1383" t="s">
        <v>1295</v>
      </c>
      <c r="D1383" t="str">
        <f>IFERROR(VLOOKUP(C1383,APOYO!J:K,2,FALSE),C1383)</f>
        <v>URIBIA</v>
      </c>
      <c r="E1383">
        <v>2014</v>
      </c>
      <c r="F1383">
        <v>13582</v>
      </c>
      <c r="G1383" t="s">
        <v>2189</v>
      </c>
      <c r="H1383">
        <v>16</v>
      </c>
      <c r="I1383" s="13">
        <v>673</v>
      </c>
      <c r="J1383" s="13" t="s">
        <v>2189</v>
      </c>
      <c r="K1383" s="13" t="s">
        <v>2189</v>
      </c>
    </row>
    <row r="1384" spans="1:11" hidden="1" x14ac:dyDescent="0.25">
      <c r="A1384" t="str">
        <f>_xlfn.XLOOKUP(C1384, 'Códigos DANE Municipios'!$B$2:$B$1123, 'Códigos DANE Municipios'!$A$2:$A$1123, "No encontrado")</f>
        <v>05847</v>
      </c>
      <c r="B1384" t="str">
        <f>IFERROR(VLOOKUP(D1384,APOYO!K:L,2,FALSE),A1384)</f>
        <v>05847</v>
      </c>
      <c r="C1384" t="s">
        <v>240</v>
      </c>
      <c r="D1384" t="str">
        <f>IFERROR(VLOOKUP(C1384,APOYO!J:K,2,FALSE),C1384)</f>
        <v>URRAO</v>
      </c>
      <c r="E1384">
        <v>2014</v>
      </c>
      <c r="F1384">
        <v>32</v>
      </c>
      <c r="G1384" t="s">
        <v>2189</v>
      </c>
      <c r="H1384">
        <v>1</v>
      </c>
      <c r="I1384" s="13" t="s">
        <v>2189</v>
      </c>
      <c r="J1384" s="13" t="s">
        <v>2189</v>
      </c>
      <c r="K1384" s="13" t="s">
        <v>2189</v>
      </c>
    </row>
    <row r="1385" spans="1:11" hidden="1" x14ac:dyDescent="0.25">
      <c r="A1385" t="str">
        <f>_xlfn.XLOOKUP(C1385, 'Códigos DANE Municipios'!$B$2:$B$1123, 'Códigos DANE Municipios'!$A$2:$A$1123, "No encontrado")</f>
        <v>44855</v>
      </c>
      <c r="B1385" t="str">
        <f>IFERROR(VLOOKUP(D1385,APOYO!K:L,2,FALSE),A1385)</f>
        <v>44855</v>
      </c>
      <c r="C1385" t="s">
        <v>1297</v>
      </c>
      <c r="D1385" t="str">
        <f>IFERROR(VLOOKUP(C1385,APOYO!J:K,2,FALSE),C1385)</f>
        <v>URUMITA</v>
      </c>
      <c r="E1385">
        <v>2014</v>
      </c>
      <c r="F1385" t="s">
        <v>2189</v>
      </c>
      <c r="G1385" t="s">
        <v>2189</v>
      </c>
      <c r="H1385" t="s">
        <v>2189</v>
      </c>
      <c r="I1385" s="13" t="s">
        <v>2189</v>
      </c>
      <c r="J1385" s="13" t="s">
        <v>2189</v>
      </c>
      <c r="K1385" s="13" t="s">
        <v>2189</v>
      </c>
    </row>
    <row r="1386" spans="1:11" hidden="1" x14ac:dyDescent="0.25">
      <c r="A1386" t="str">
        <f>_xlfn.XLOOKUP(C1386, 'Códigos DANE Municipios'!$B$2:$B$1123, 'Códigos DANE Municipios'!$A$2:$A$1123, "No encontrado")</f>
        <v>08849</v>
      </c>
      <c r="B1386" t="str">
        <f>IFERROR(VLOOKUP(D1386,APOYO!K:L,2,FALSE),A1386)</f>
        <v>08849</v>
      </c>
      <c r="C1386" t="s">
        <v>305</v>
      </c>
      <c r="D1386" t="str">
        <f>IFERROR(VLOOKUP(C1386,APOYO!J:K,2,FALSE),C1386)</f>
        <v>USIACURÍ</v>
      </c>
      <c r="E1386">
        <v>2014</v>
      </c>
      <c r="F1386" t="s">
        <v>2189</v>
      </c>
      <c r="G1386" t="s">
        <v>2189</v>
      </c>
      <c r="H1386">
        <v>1</v>
      </c>
      <c r="I1386" s="13" t="s">
        <v>2189</v>
      </c>
      <c r="J1386" s="13" t="s">
        <v>2189</v>
      </c>
      <c r="K1386" s="13" t="s">
        <v>2189</v>
      </c>
    </row>
    <row r="1387" spans="1:11" hidden="1" x14ac:dyDescent="0.25">
      <c r="A1387" t="str">
        <f>_xlfn.XLOOKUP(C1387, 'Códigos DANE Municipios'!$B$2:$B$1123, 'Códigos DANE Municipios'!$A$2:$A$1123, "No encontrado")</f>
        <v>25851</v>
      </c>
      <c r="B1387" t="str">
        <f>IFERROR(VLOOKUP(D1387,APOYO!K:L,2,FALSE),A1387)</f>
        <v>25851</v>
      </c>
      <c r="C1387" t="s">
        <v>1122</v>
      </c>
      <c r="D1387" t="str">
        <f>IFERROR(VLOOKUP(C1387,APOYO!J:K,2,FALSE),C1387)</f>
        <v>ÚTICA</v>
      </c>
      <c r="E1387">
        <v>2014</v>
      </c>
      <c r="F1387" t="s">
        <v>2189</v>
      </c>
      <c r="G1387" t="s">
        <v>2189</v>
      </c>
      <c r="H1387">
        <v>2</v>
      </c>
      <c r="I1387" s="13" t="s">
        <v>2189</v>
      </c>
      <c r="J1387" s="13" t="s">
        <v>2189</v>
      </c>
      <c r="K1387" s="13" t="s">
        <v>2189</v>
      </c>
    </row>
    <row r="1388" spans="1:11" hidden="1" x14ac:dyDescent="0.25">
      <c r="A1388" t="str">
        <f>_xlfn.XLOOKUP(C1388, 'Códigos DANE Municipios'!$B$2:$B$1123, 'Códigos DANE Municipios'!$A$2:$A$1123, "No encontrado")</f>
        <v>23855</v>
      </c>
      <c r="B1388" t="str">
        <f>IFERROR(VLOOKUP(D1388,APOYO!K:L,2,FALSE),A1388)</f>
        <v>23855</v>
      </c>
      <c r="C1388" t="s">
        <v>914</v>
      </c>
      <c r="D1388" t="str">
        <f>IFERROR(VLOOKUP(C1388,APOYO!J:K,2,FALSE),C1388)</f>
        <v>VALENCIA</v>
      </c>
      <c r="E1388">
        <v>2014</v>
      </c>
      <c r="F1388" t="s">
        <v>2189</v>
      </c>
      <c r="G1388" t="s">
        <v>2189</v>
      </c>
      <c r="H1388">
        <v>3</v>
      </c>
      <c r="I1388" s="13" t="s">
        <v>2189</v>
      </c>
      <c r="J1388" s="13" t="s">
        <v>2189</v>
      </c>
      <c r="K1388" s="13" t="s">
        <v>2189</v>
      </c>
    </row>
    <row r="1389" spans="1:11" hidden="1" x14ac:dyDescent="0.25">
      <c r="A1389" t="str">
        <f>_xlfn.XLOOKUP(C1389, 'Códigos DANE Municipios'!$B$2:$B$1123, 'Códigos DANE Municipios'!$A$2:$A$1123, "No encontrado")</f>
        <v>68855</v>
      </c>
      <c r="B1389" t="str">
        <f>IFERROR(VLOOKUP(D1389,APOYO!K:L,2,FALSE),A1389)</f>
        <v>68855</v>
      </c>
      <c r="C1389" t="s">
        <v>1807</v>
      </c>
      <c r="D1389" t="str">
        <f>IFERROR(VLOOKUP(C1389,APOYO!J:K,2,FALSE),C1389)</f>
        <v>VALLE DE SAN JOSÉ</v>
      </c>
      <c r="E1389">
        <v>2014</v>
      </c>
      <c r="F1389" t="s">
        <v>2189</v>
      </c>
      <c r="G1389" t="s">
        <v>2189</v>
      </c>
      <c r="H1389">
        <v>1</v>
      </c>
      <c r="I1389" s="13" t="s">
        <v>2189</v>
      </c>
      <c r="J1389" s="13" t="s">
        <v>2189</v>
      </c>
      <c r="K1389" s="13" t="s">
        <v>2189</v>
      </c>
    </row>
    <row r="1390" spans="1:11" hidden="1" x14ac:dyDescent="0.25">
      <c r="A1390" t="str">
        <f>_xlfn.XLOOKUP(C1390, 'Códigos DANE Municipios'!$B$2:$B$1123, 'Códigos DANE Municipios'!$A$2:$A$1123, "No encontrado")</f>
        <v>20001</v>
      </c>
      <c r="B1390" t="str">
        <f>IFERROR(VLOOKUP(D1390,APOYO!K:L,2,FALSE),A1390)</f>
        <v>20001</v>
      </c>
      <c r="C1390" t="s">
        <v>808</v>
      </c>
      <c r="D1390" t="str">
        <f>IFERROR(VLOOKUP(C1390,APOYO!J:K,2,FALSE),C1390)</f>
        <v>VALLEDUPAR</v>
      </c>
      <c r="E1390">
        <v>2014</v>
      </c>
      <c r="F1390">
        <v>178338</v>
      </c>
      <c r="G1390">
        <v>2343</v>
      </c>
      <c r="H1390">
        <v>1527</v>
      </c>
      <c r="I1390" s="13" t="s">
        <v>2189</v>
      </c>
      <c r="J1390" s="13" t="s">
        <v>2189</v>
      </c>
      <c r="K1390" s="13" t="s">
        <v>2189</v>
      </c>
    </row>
    <row r="1391" spans="1:11" hidden="1" x14ac:dyDescent="0.25">
      <c r="A1391" t="str">
        <f>_xlfn.XLOOKUP(C1391, 'Códigos DANE Municipios'!$B$2:$B$1123, 'Códigos DANE Municipios'!$A$2:$A$1123, "No encontrado")</f>
        <v>05858</v>
      </c>
      <c r="B1391" t="str">
        <f>IFERROR(VLOOKUP(D1391,APOYO!K:L,2,FALSE),A1391)</f>
        <v>05858</v>
      </c>
      <c r="C1391" t="s">
        <v>246</v>
      </c>
      <c r="D1391" t="str">
        <f>IFERROR(VLOOKUP(C1391,APOYO!J:K,2,FALSE),C1391)</f>
        <v>VEGACHÍ</v>
      </c>
      <c r="E1391">
        <v>2014</v>
      </c>
      <c r="F1391" t="s">
        <v>2189</v>
      </c>
      <c r="G1391" t="s">
        <v>2189</v>
      </c>
      <c r="H1391">
        <v>1</v>
      </c>
      <c r="I1391" s="13" t="s">
        <v>2189</v>
      </c>
      <c r="J1391" s="13" t="s">
        <v>2189</v>
      </c>
      <c r="K1391" s="13" t="s">
        <v>2189</v>
      </c>
    </row>
    <row r="1392" spans="1:11" hidden="1" x14ac:dyDescent="0.25">
      <c r="A1392" t="str">
        <f>_xlfn.XLOOKUP(C1392, 'Códigos DANE Municipios'!$B$2:$B$1123, 'Códigos DANE Municipios'!$A$2:$A$1123, "No encontrado")</f>
        <v>68861</v>
      </c>
      <c r="B1392" t="str">
        <f>IFERROR(VLOOKUP(D1392,APOYO!K:L,2,FALSE),A1392)</f>
        <v>68861</v>
      </c>
      <c r="C1392" t="s">
        <v>1809</v>
      </c>
      <c r="D1392" t="str">
        <f>IFERROR(VLOOKUP(C1392,APOYO!J:K,2,FALSE),C1392)</f>
        <v>VÉLEZ</v>
      </c>
      <c r="E1392">
        <v>2014</v>
      </c>
      <c r="F1392" t="s">
        <v>2189</v>
      </c>
      <c r="G1392" t="s">
        <v>2189</v>
      </c>
      <c r="H1392">
        <v>10</v>
      </c>
      <c r="I1392" s="13" t="s">
        <v>2189</v>
      </c>
      <c r="J1392" s="13" t="s">
        <v>2189</v>
      </c>
      <c r="K1392" s="13" t="s">
        <v>2189</v>
      </c>
    </row>
    <row r="1393" spans="1:11" hidden="1" x14ac:dyDescent="0.25">
      <c r="A1393" t="str">
        <f>_xlfn.XLOOKUP(C1393, 'Códigos DANE Municipios'!$B$2:$B$1123, 'Códigos DANE Municipios'!$A$2:$A$1123, "No encontrado")</f>
        <v>73861</v>
      </c>
      <c r="B1393" t="str">
        <f>IFERROR(VLOOKUP(D1393,APOYO!K:L,2,FALSE),A1393)</f>
        <v>73861</v>
      </c>
      <c r="C1393" t="s">
        <v>1951</v>
      </c>
      <c r="D1393" t="str">
        <f>IFERROR(VLOOKUP(C1393,APOYO!J:K,2,FALSE),C1393)</f>
        <v>VENADILLO</v>
      </c>
      <c r="E1393">
        <v>2014</v>
      </c>
      <c r="F1393" t="s">
        <v>2189</v>
      </c>
      <c r="G1393" t="s">
        <v>2189</v>
      </c>
      <c r="H1393">
        <v>1</v>
      </c>
      <c r="I1393" s="13" t="s">
        <v>2189</v>
      </c>
      <c r="J1393" s="13" t="s">
        <v>2189</v>
      </c>
      <c r="K1393" s="13" t="s">
        <v>2189</v>
      </c>
    </row>
    <row r="1394" spans="1:11" hidden="1" x14ac:dyDescent="0.25">
      <c r="A1394" t="str">
        <f>_xlfn.XLOOKUP(C1394, 'Códigos DANE Municipios'!$B$2:$B$1123, 'Códigos DANE Municipios'!$A$2:$A$1123, "No encontrado")</f>
        <v>05861</v>
      </c>
      <c r="B1394" t="str">
        <f>IFERROR(VLOOKUP(D1394,APOYO!K:L,2,FALSE),A1394)</f>
        <v>05861</v>
      </c>
      <c r="C1394" t="s">
        <v>248</v>
      </c>
      <c r="D1394" t="str">
        <f>IFERROR(VLOOKUP(C1394,APOYO!J:K,2,FALSE),C1394)</f>
        <v>VENECIA</v>
      </c>
      <c r="E1394">
        <v>2014</v>
      </c>
      <c r="F1394" t="s">
        <v>2189</v>
      </c>
      <c r="G1394" t="s">
        <v>2189</v>
      </c>
      <c r="H1394">
        <v>7</v>
      </c>
      <c r="I1394" s="13" t="s">
        <v>2189</v>
      </c>
      <c r="J1394" s="13" t="s">
        <v>2189</v>
      </c>
      <c r="K1394" s="13" t="s">
        <v>2189</v>
      </c>
    </row>
    <row r="1395" spans="1:11" hidden="1" x14ac:dyDescent="0.25">
      <c r="A1395" t="str">
        <f>_xlfn.XLOOKUP(C1395, 'Códigos DANE Municipios'!$B$2:$B$1123, 'Códigos DANE Municipios'!$A$2:$A$1123, "No encontrado")</f>
        <v>15861</v>
      </c>
      <c r="B1395" t="str">
        <f>IFERROR(VLOOKUP(D1395,APOYO!K:L,2,FALSE),A1395)</f>
        <v>15861</v>
      </c>
      <c r="C1395" t="s">
        <v>638</v>
      </c>
      <c r="D1395" t="str">
        <f>IFERROR(VLOOKUP(C1395,APOYO!J:K,2,FALSE),C1395)</f>
        <v>VENTAQUEMADA</v>
      </c>
      <c r="E1395">
        <v>2014</v>
      </c>
      <c r="F1395" t="s">
        <v>2189</v>
      </c>
      <c r="G1395" t="s">
        <v>2189</v>
      </c>
      <c r="H1395">
        <v>2</v>
      </c>
      <c r="I1395" s="13" t="s">
        <v>2189</v>
      </c>
      <c r="J1395" s="13" t="s">
        <v>2189</v>
      </c>
      <c r="K1395" s="13" t="s">
        <v>2189</v>
      </c>
    </row>
    <row r="1396" spans="1:11" hidden="1" x14ac:dyDescent="0.25">
      <c r="A1396" t="str">
        <f>_xlfn.XLOOKUP(C1396, 'Códigos DANE Municipios'!$B$2:$B$1123, 'Códigos DANE Municipios'!$A$2:$A$1123, "No encontrado")</f>
        <v>76863</v>
      </c>
      <c r="B1396" t="str">
        <f>IFERROR(VLOOKUP(D1396,APOYO!K:L,2,FALSE),A1396)</f>
        <v>76863</v>
      </c>
      <c r="C1396" t="s">
        <v>2024</v>
      </c>
      <c r="D1396" t="str">
        <f>IFERROR(VLOOKUP(C1396,APOYO!J:K,2,FALSE),C1396)</f>
        <v>VERSALLES</v>
      </c>
      <c r="E1396">
        <v>2014</v>
      </c>
      <c r="F1396" t="s">
        <v>2189</v>
      </c>
      <c r="G1396" t="s">
        <v>2189</v>
      </c>
      <c r="H1396">
        <v>5</v>
      </c>
      <c r="I1396" s="13" t="s">
        <v>2189</v>
      </c>
      <c r="J1396" s="13" t="s">
        <v>2189</v>
      </c>
      <c r="K1396" s="13" t="s">
        <v>2189</v>
      </c>
    </row>
    <row r="1397" spans="1:11" hidden="1" x14ac:dyDescent="0.25">
      <c r="A1397" t="str">
        <f>_xlfn.XLOOKUP(C1397, 'Códigos DANE Municipios'!$B$2:$B$1123, 'Códigos DANE Municipios'!$A$2:$A$1123, "No encontrado")</f>
        <v>25867</v>
      </c>
      <c r="B1397" t="str">
        <f>IFERROR(VLOOKUP(D1397,APOYO!K:L,2,FALSE),A1397)</f>
        <v>25867</v>
      </c>
      <c r="C1397" t="s">
        <v>1126</v>
      </c>
      <c r="D1397" t="str">
        <f>IFERROR(VLOOKUP(C1397,APOYO!J:K,2,FALSE),C1397)</f>
        <v>VIANÍ</v>
      </c>
      <c r="E1397">
        <v>2014</v>
      </c>
      <c r="F1397" t="s">
        <v>2189</v>
      </c>
      <c r="G1397" t="s">
        <v>2189</v>
      </c>
      <c r="H1397" t="s">
        <v>2189</v>
      </c>
      <c r="I1397" s="13" t="s">
        <v>2189</v>
      </c>
      <c r="J1397" s="13" t="s">
        <v>2189</v>
      </c>
      <c r="K1397" s="13" t="s">
        <v>2189</v>
      </c>
    </row>
    <row r="1398" spans="1:11" hidden="1" x14ac:dyDescent="0.25">
      <c r="A1398" t="str">
        <f>_xlfn.XLOOKUP(C1398, 'Códigos DANE Municipios'!$B$2:$B$1123, 'Códigos DANE Municipios'!$A$2:$A$1123, "No encontrado")</f>
        <v>17867</v>
      </c>
      <c r="B1398" t="str">
        <f>IFERROR(VLOOKUP(D1398,APOYO!K:L,2,FALSE),A1398)</f>
        <v>17867</v>
      </c>
      <c r="C1398" t="s">
        <v>692</v>
      </c>
      <c r="D1398" t="str">
        <f>IFERROR(VLOOKUP(C1398,APOYO!J:K,2,FALSE),C1398)</f>
        <v>VICTORIA</v>
      </c>
      <c r="E1398">
        <v>2014</v>
      </c>
      <c r="F1398" t="s">
        <v>2189</v>
      </c>
      <c r="G1398" t="s">
        <v>2189</v>
      </c>
      <c r="H1398">
        <v>2</v>
      </c>
      <c r="I1398" s="13" t="s">
        <v>2189</v>
      </c>
      <c r="J1398" s="13" t="s">
        <v>2189</v>
      </c>
      <c r="K1398" s="13" t="s">
        <v>2189</v>
      </c>
    </row>
    <row r="1399" spans="1:11" hidden="1" x14ac:dyDescent="0.25">
      <c r="A1399" t="str">
        <f>_xlfn.XLOOKUP(C1399, 'Códigos DANE Municipios'!$B$2:$B$1123, 'Códigos DANE Municipios'!$A$2:$A$1123, "No encontrado")</f>
        <v>76869</v>
      </c>
      <c r="B1399" t="str">
        <f>IFERROR(VLOOKUP(D1399,APOYO!K:L,2,FALSE),A1399)</f>
        <v>76869</v>
      </c>
      <c r="C1399" t="s">
        <v>2026</v>
      </c>
      <c r="D1399" t="str">
        <f>IFERROR(VLOOKUP(C1399,APOYO!J:K,2,FALSE),C1399)</f>
        <v>VIJES</v>
      </c>
      <c r="E1399">
        <v>2014</v>
      </c>
      <c r="F1399" t="s">
        <v>2189</v>
      </c>
      <c r="G1399" t="s">
        <v>2189</v>
      </c>
      <c r="H1399">
        <v>5</v>
      </c>
      <c r="I1399" s="13" t="s">
        <v>2189</v>
      </c>
      <c r="J1399" s="13" t="s">
        <v>2189</v>
      </c>
      <c r="K1399" s="13" t="s">
        <v>2189</v>
      </c>
    </row>
    <row r="1400" spans="1:11" hidden="1" x14ac:dyDescent="0.25">
      <c r="A1400" t="str">
        <f>_xlfn.XLOOKUP(C1400, 'Códigos DANE Municipios'!$B$2:$B$1123, 'Códigos DANE Municipios'!$A$2:$A$1123, "No encontrado")</f>
        <v>15407</v>
      </c>
      <c r="B1400" t="str">
        <f>IFERROR(VLOOKUP(D1400,APOYO!K:L,2,FALSE),A1400)</f>
        <v>15407</v>
      </c>
      <c r="C1400" t="s">
        <v>498</v>
      </c>
      <c r="D1400" t="str">
        <f>IFERROR(VLOOKUP(C1400,APOYO!J:K,2,FALSE),C1400)</f>
        <v>VILLA DE LEYVA</v>
      </c>
      <c r="E1400">
        <v>2014</v>
      </c>
      <c r="F1400" t="s">
        <v>2189</v>
      </c>
      <c r="G1400" t="s">
        <v>2189</v>
      </c>
      <c r="H1400">
        <v>495</v>
      </c>
      <c r="I1400" s="13">
        <v>5872</v>
      </c>
      <c r="J1400" s="13" t="s">
        <v>2189</v>
      </c>
      <c r="K1400" s="13" t="s">
        <v>2189</v>
      </c>
    </row>
    <row r="1401" spans="1:11" hidden="1" x14ac:dyDescent="0.25">
      <c r="A1401" t="str">
        <f>_xlfn.XLOOKUP(C1401, 'Códigos DANE Municipios'!$B$2:$B$1123, 'Códigos DANE Municipios'!$A$2:$A$1123, "No encontrado")</f>
        <v>19845</v>
      </c>
      <c r="B1401" t="str">
        <f>IFERROR(VLOOKUP(D1401,APOYO!K:L,2,FALSE),A1401)</f>
        <v>19845</v>
      </c>
      <c r="C1401" t="s">
        <v>806</v>
      </c>
      <c r="D1401" t="str">
        <f>IFERROR(VLOOKUP(C1401,APOYO!J:K,2,FALSE),C1401)</f>
        <v>VILLA RICA</v>
      </c>
      <c r="E1401">
        <v>2014</v>
      </c>
      <c r="F1401" t="s">
        <v>2189</v>
      </c>
      <c r="G1401" t="s">
        <v>2189</v>
      </c>
      <c r="H1401">
        <v>11</v>
      </c>
      <c r="I1401" s="13" t="s">
        <v>2189</v>
      </c>
      <c r="J1401" s="13" t="s">
        <v>2189</v>
      </c>
      <c r="K1401" s="13" t="s">
        <v>2189</v>
      </c>
    </row>
    <row r="1402" spans="1:11" hidden="1" x14ac:dyDescent="0.25">
      <c r="A1402" t="str">
        <f>_xlfn.XLOOKUP(C1402, 'Códigos DANE Municipios'!$B$2:$B$1123, 'Códigos DANE Municipios'!$A$2:$A$1123, "No encontrado")</f>
        <v>54874</v>
      </c>
      <c r="B1402" t="str">
        <f>IFERROR(VLOOKUP(D1402,APOYO!K:L,2,FALSE),A1402)</f>
        <v>54874</v>
      </c>
      <c r="C1402" t="s">
        <v>1605</v>
      </c>
      <c r="D1402" t="str">
        <f>IFERROR(VLOOKUP(C1402,APOYO!J:K,2,FALSE),C1402)</f>
        <v>VILLA DEL ROSARIO</v>
      </c>
      <c r="E1402">
        <v>2014</v>
      </c>
      <c r="F1402" t="s">
        <v>2189</v>
      </c>
      <c r="G1402" t="s">
        <v>2189</v>
      </c>
      <c r="H1402">
        <v>26</v>
      </c>
      <c r="I1402" s="13" t="s">
        <v>2189</v>
      </c>
      <c r="J1402" s="13" t="s">
        <v>2189</v>
      </c>
      <c r="K1402" s="13" t="s">
        <v>2189</v>
      </c>
    </row>
    <row r="1403" spans="1:11" hidden="1" x14ac:dyDescent="0.25">
      <c r="A1403" t="str">
        <f>_xlfn.XLOOKUP(C1403, 'Códigos DANE Municipios'!$B$2:$B$1123, 'Códigos DANE Municipios'!$A$2:$A$1123, "No encontrado")</f>
        <v>86885</v>
      </c>
      <c r="B1403" t="str">
        <f>IFERROR(VLOOKUP(D1403,APOYO!K:L,2,FALSE),A1403)</f>
        <v>86885</v>
      </c>
      <c r="C1403" t="s">
        <v>2104</v>
      </c>
      <c r="D1403" t="str">
        <f>IFERROR(VLOOKUP(C1403,APOYO!J:K,2,FALSE),C1403)</f>
        <v>VILLAGARZÓN</v>
      </c>
      <c r="E1403">
        <v>2014</v>
      </c>
      <c r="F1403">
        <v>14259</v>
      </c>
      <c r="G1403" t="s">
        <v>2189</v>
      </c>
      <c r="H1403">
        <v>7</v>
      </c>
      <c r="I1403" s="13" t="s">
        <v>2189</v>
      </c>
      <c r="J1403" s="13" t="s">
        <v>2189</v>
      </c>
      <c r="K1403" s="13" t="s">
        <v>2189</v>
      </c>
    </row>
    <row r="1404" spans="1:11" hidden="1" x14ac:dyDescent="0.25">
      <c r="A1404" t="str">
        <f>_xlfn.XLOOKUP(C1404, 'Códigos DANE Municipios'!$B$2:$B$1123, 'Códigos DANE Municipios'!$A$2:$A$1123, "No encontrado")</f>
        <v>17873</v>
      </c>
      <c r="B1404" t="str">
        <f>IFERROR(VLOOKUP(D1404,APOYO!K:L,2,FALSE),A1404)</f>
        <v>17873</v>
      </c>
      <c r="C1404" t="s">
        <v>694</v>
      </c>
      <c r="D1404" t="str">
        <f>IFERROR(VLOOKUP(C1404,APOYO!J:K,2,FALSE),C1404)</f>
        <v>VILLAMARÍA</v>
      </c>
      <c r="E1404">
        <v>2014</v>
      </c>
      <c r="F1404" t="s">
        <v>2189</v>
      </c>
      <c r="G1404" t="s">
        <v>2189</v>
      </c>
      <c r="H1404">
        <v>16</v>
      </c>
      <c r="I1404" s="13" t="s">
        <v>2189</v>
      </c>
      <c r="J1404" s="13" t="s">
        <v>2189</v>
      </c>
      <c r="K1404" s="13" t="s">
        <v>2189</v>
      </c>
    </row>
    <row r="1405" spans="1:11" hidden="1" x14ac:dyDescent="0.25">
      <c r="A1405" t="str">
        <f>_xlfn.XLOOKUP(C1405, 'Códigos DANE Municipios'!$B$2:$B$1123, 'Códigos DANE Municipios'!$A$2:$A$1123, "No encontrado")</f>
        <v>13873</v>
      </c>
      <c r="B1405" t="str">
        <f>IFERROR(VLOOKUP(D1405,APOYO!K:L,2,FALSE),A1405)</f>
        <v>13873</v>
      </c>
      <c r="C1405" t="s">
        <v>397</v>
      </c>
      <c r="D1405" t="str">
        <f>IFERROR(VLOOKUP(C1405,APOYO!J:K,2,FALSE),C1405)</f>
        <v>VILLANUEVA</v>
      </c>
      <c r="E1405">
        <v>2014</v>
      </c>
      <c r="F1405">
        <v>2354</v>
      </c>
      <c r="G1405" t="s">
        <v>2189</v>
      </c>
      <c r="H1405">
        <v>61</v>
      </c>
      <c r="I1405" s="13" t="s">
        <v>2189</v>
      </c>
      <c r="J1405" s="13" t="s">
        <v>2189</v>
      </c>
      <c r="K1405" s="13" t="s">
        <v>2189</v>
      </c>
    </row>
    <row r="1406" spans="1:11" hidden="1" x14ac:dyDescent="0.25">
      <c r="A1406" t="str">
        <f>_xlfn.XLOOKUP(C1406, 'Códigos DANE Municipios'!$B$2:$B$1123, 'Códigos DANE Municipios'!$A$2:$A$1123, "No encontrado")</f>
        <v>25873</v>
      </c>
      <c r="B1406" t="str">
        <f>IFERROR(VLOOKUP(D1406,APOYO!K:L,2,FALSE),A1406)</f>
        <v>25873</v>
      </c>
      <c r="C1406" t="s">
        <v>1130</v>
      </c>
      <c r="D1406" t="str">
        <f>IFERROR(VLOOKUP(C1406,APOYO!J:K,2,FALSE),C1406)</f>
        <v>VILLAPINZÓN</v>
      </c>
      <c r="E1406">
        <v>2014</v>
      </c>
      <c r="F1406" t="s">
        <v>2189</v>
      </c>
      <c r="G1406" t="s">
        <v>2189</v>
      </c>
      <c r="H1406">
        <v>4</v>
      </c>
      <c r="I1406" s="13" t="s">
        <v>2189</v>
      </c>
      <c r="J1406" s="13" t="s">
        <v>2189</v>
      </c>
      <c r="K1406" s="13" t="s">
        <v>2189</v>
      </c>
    </row>
    <row r="1407" spans="1:11" hidden="1" x14ac:dyDescent="0.25">
      <c r="A1407" t="str">
        <f>_xlfn.XLOOKUP(C1407, 'Códigos DANE Municipios'!$B$2:$B$1123, 'Códigos DANE Municipios'!$A$2:$A$1123, "No encontrado")</f>
        <v>50001</v>
      </c>
      <c r="B1407" t="str">
        <f>IFERROR(VLOOKUP(D1407,APOYO!K:L,2,FALSE),A1407)</f>
        <v>50001</v>
      </c>
      <c r="C1407" t="s">
        <v>1358</v>
      </c>
      <c r="D1407" t="str">
        <f>IFERROR(VLOOKUP(C1407,APOYO!J:K,2,FALSE),C1407)</f>
        <v>VILLAVICENCIO</v>
      </c>
      <c r="E1407">
        <v>2014</v>
      </c>
      <c r="F1407">
        <v>99162</v>
      </c>
      <c r="G1407">
        <v>239</v>
      </c>
      <c r="H1407">
        <v>2504</v>
      </c>
      <c r="I1407" s="13" t="s">
        <v>2189</v>
      </c>
      <c r="J1407" s="13" t="s">
        <v>2189</v>
      </c>
      <c r="K1407" s="13" t="s">
        <v>2189</v>
      </c>
    </row>
    <row r="1408" spans="1:11" hidden="1" x14ac:dyDescent="0.25">
      <c r="A1408" t="str">
        <f>_xlfn.XLOOKUP(C1408, 'Códigos DANE Municipios'!$B$2:$B$1123, 'Códigos DANE Municipios'!$A$2:$A$1123, "No encontrado")</f>
        <v>41872</v>
      </c>
      <c r="B1408" t="str">
        <f>IFERROR(VLOOKUP(D1408,APOYO!K:L,2,FALSE),A1408)</f>
        <v>41872</v>
      </c>
      <c r="C1408" t="s">
        <v>1268</v>
      </c>
      <c r="D1408" t="str">
        <f>IFERROR(VLOOKUP(C1408,APOYO!J:K,2,FALSE),C1408)</f>
        <v>VILLAVIEJA</v>
      </c>
      <c r="E1408">
        <v>2014</v>
      </c>
      <c r="F1408">
        <v>3</v>
      </c>
      <c r="G1408" t="s">
        <v>2189</v>
      </c>
      <c r="H1408">
        <v>7</v>
      </c>
      <c r="I1408" s="13" t="s">
        <v>2189</v>
      </c>
      <c r="J1408" s="13" t="s">
        <v>2189</v>
      </c>
      <c r="K1408" s="13" t="s">
        <v>2189</v>
      </c>
    </row>
    <row r="1409" spans="1:11" hidden="1" x14ac:dyDescent="0.25">
      <c r="A1409" t="str">
        <f>_xlfn.XLOOKUP(C1409, 'Códigos DANE Municipios'!$B$2:$B$1123, 'Códigos DANE Municipios'!$A$2:$A$1123, "No encontrado")</f>
        <v>25875</v>
      </c>
      <c r="B1409" t="str">
        <f>IFERROR(VLOOKUP(D1409,APOYO!K:L,2,FALSE),A1409)</f>
        <v>25875</v>
      </c>
      <c r="C1409" t="s">
        <v>1132</v>
      </c>
      <c r="D1409" t="str">
        <f>IFERROR(VLOOKUP(C1409,APOYO!J:K,2,FALSE),C1409)</f>
        <v>VILLETA</v>
      </c>
      <c r="E1409">
        <v>2014</v>
      </c>
      <c r="F1409" t="s">
        <v>2189</v>
      </c>
      <c r="G1409" t="s">
        <v>2189</v>
      </c>
      <c r="H1409">
        <v>65</v>
      </c>
      <c r="I1409" s="13" t="s">
        <v>2189</v>
      </c>
      <c r="J1409" s="13" t="s">
        <v>2189</v>
      </c>
      <c r="K1409" s="13" t="s">
        <v>2189</v>
      </c>
    </row>
    <row r="1410" spans="1:11" hidden="1" x14ac:dyDescent="0.25">
      <c r="A1410" t="str">
        <f>_xlfn.XLOOKUP(C1410, 'Códigos DANE Municipios'!$B$2:$B$1123, 'Códigos DANE Municipios'!$A$2:$A$1123, "No encontrado")</f>
        <v>25878</v>
      </c>
      <c r="B1410" t="str">
        <f>IFERROR(VLOOKUP(D1410,APOYO!K:L,2,FALSE),A1410)</f>
        <v>25878</v>
      </c>
      <c r="C1410" t="s">
        <v>1134</v>
      </c>
      <c r="D1410" t="str">
        <f>IFERROR(VLOOKUP(C1410,APOYO!J:K,2,FALSE),C1410)</f>
        <v>VIOTÁ</v>
      </c>
      <c r="E1410">
        <v>2014</v>
      </c>
      <c r="F1410" t="s">
        <v>2189</v>
      </c>
      <c r="G1410" t="s">
        <v>2189</v>
      </c>
      <c r="H1410">
        <v>3</v>
      </c>
      <c r="I1410" s="13" t="s">
        <v>2189</v>
      </c>
      <c r="J1410" s="13" t="s">
        <v>2189</v>
      </c>
      <c r="K1410" s="13" t="s">
        <v>2189</v>
      </c>
    </row>
    <row r="1411" spans="1:11" hidden="1" x14ac:dyDescent="0.25">
      <c r="A1411" t="str">
        <f>_xlfn.XLOOKUP(C1411, 'Códigos DANE Municipios'!$B$2:$B$1123, 'Códigos DANE Municipios'!$A$2:$A$1123, "No encontrado")</f>
        <v>15879</v>
      </c>
      <c r="B1411" t="str">
        <f>IFERROR(VLOOKUP(D1411,APOYO!K:L,2,FALSE),A1411)</f>
        <v>15879</v>
      </c>
      <c r="C1411" t="s">
        <v>640</v>
      </c>
      <c r="D1411" t="str">
        <f>IFERROR(VLOOKUP(C1411,APOYO!J:K,2,FALSE),C1411)</f>
        <v>VIRACACHÁ</v>
      </c>
      <c r="E1411">
        <v>2014</v>
      </c>
      <c r="F1411" t="s">
        <v>2189</v>
      </c>
      <c r="G1411" t="s">
        <v>2189</v>
      </c>
      <c r="H1411" t="s">
        <v>2189</v>
      </c>
      <c r="I1411" s="13" t="s">
        <v>2189</v>
      </c>
      <c r="J1411" s="13" t="s">
        <v>2189</v>
      </c>
      <c r="K1411" s="13" t="s">
        <v>2189</v>
      </c>
    </row>
    <row r="1412" spans="1:11" hidden="1" x14ac:dyDescent="0.25">
      <c r="A1412" t="str">
        <f>_xlfn.XLOOKUP(C1412, 'Códigos DANE Municipios'!$B$2:$B$1123, 'Códigos DANE Municipios'!$A$2:$A$1123, "No encontrado")</f>
        <v>50711</v>
      </c>
      <c r="B1412" t="str">
        <f>IFERROR(VLOOKUP(D1412,APOYO!K:L,2,FALSE),A1412)</f>
        <v>50711</v>
      </c>
      <c r="C1412" t="s">
        <v>1410</v>
      </c>
      <c r="D1412" t="str">
        <f>IFERROR(VLOOKUP(C1412,APOYO!J:K,2,FALSE),C1412)</f>
        <v>VISTAHERMOSA</v>
      </c>
      <c r="E1412">
        <v>2014</v>
      </c>
      <c r="F1412">
        <v>2</v>
      </c>
      <c r="G1412" t="s">
        <v>2189</v>
      </c>
      <c r="H1412">
        <v>3</v>
      </c>
      <c r="I1412" s="13" t="s">
        <v>2189</v>
      </c>
      <c r="J1412" s="13" t="s">
        <v>2189</v>
      </c>
      <c r="K1412" s="13" t="s">
        <v>2189</v>
      </c>
    </row>
    <row r="1413" spans="1:11" hidden="1" x14ac:dyDescent="0.25">
      <c r="A1413" t="str">
        <f>_xlfn.XLOOKUP(C1413, 'Códigos DANE Municipios'!$B$2:$B$1123, 'Códigos DANE Municipios'!$A$2:$A$1123, "No encontrado")</f>
        <v>17877</v>
      </c>
      <c r="B1413" t="str">
        <f>IFERROR(VLOOKUP(D1413,APOYO!K:L,2,FALSE),A1413)</f>
        <v>17877</v>
      </c>
      <c r="C1413" t="s">
        <v>696</v>
      </c>
      <c r="D1413" t="str">
        <f>IFERROR(VLOOKUP(C1413,APOYO!J:K,2,FALSE),C1413)</f>
        <v>VITERBO</v>
      </c>
      <c r="E1413">
        <v>2014</v>
      </c>
      <c r="F1413" t="s">
        <v>2189</v>
      </c>
      <c r="G1413" t="s">
        <v>2189</v>
      </c>
      <c r="H1413">
        <v>32</v>
      </c>
      <c r="I1413" s="13" t="s">
        <v>2189</v>
      </c>
      <c r="J1413" s="13" t="s">
        <v>2189</v>
      </c>
      <c r="K1413" s="13" t="s">
        <v>2189</v>
      </c>
    </row>
    <row r="1414" spans="1:11" hidden="1" x14ac:dyDescent="0.25">
      <c r="A1414" t="str">
        <f>_xlfn.XLOOKUP(C1414, 'Códigos DANE Municipios'!$B$2:$B$1123, 'Códigos DANE Municipios'!$A$2:$A$1123, "No encontrado")</f>
        <v>41885</v>
      </c>
      <c r="B1414" t="str">
        <f>IFERROR(VLOOKUP(D1414,APOYO!K:L,2,FALSE),A1414)</f>
        <v>41885</v>
      </c>
      <c r="C1414" t="s">
        <v>1270</v>
      </c>
      <c r="D1414" t="str">
        <f>IFERROR(VLOOKUP(C1414,APOYO!J:K,2,FALSE),C1414)</f>
        <v>YAGUARÁ</v>
      </c>
      <c r="E1414">
        <v>2014</v>
      </c>
      <c r="F1414" t="s">
        <v>2189</v>
      </c>
      <c r="G1414" t="s">
        <v>2189</v>
      </c>
      <c r="H1414">
        <v>8</v>
      </c>
      <c r="I1414" s="13" t="s">
        <v>2189</v>
      </c>
      <c r="J1414" s="13" t="s">
        <v>2189</v>
      </c>
      <c r="K1414" s="13" t="s">
        <v>2189</v>
      </c>
    </row>
    <row r="1415" spans="1:11" hidden="1" x14ac:dyDescent="0.25">
      <c r="A1415" t="str">
        <f>_xlfn.XLOOKUP(C1415, 'Códigos DANE Municipios'!$B$2:$B$1123, 'Códigos DANE Municipios'!$A$2:$A$1123, "No encontrado")</f>
        <v>05885</v>
      </c>
      <c r="B1415" t="str">
        <f>IFERROR(VLOOKUP(D1415,APOYO!K:L,2,FALSE),A1415)</f>
        <v>05885</v>
      </c>
      <c r="C1415" t="s">
        <v>252</v>
      </c>
      <c r="D1415" t="str">
        <f>IFERROR(VLOOKUP(C1415,APOYO!J:K,2,FALSE),C1415)</f>
        <v>YALÍ</v>
      </c>
      <c r="E1415">
        <v>2014</v>
      </c>
      <c r="F1415" t="s">
        <v>2189</v>
      </c>
      <c r="G1415" t="s">
        <v>2189</v>
      </c>
      <c r="H1415">
        <v>1</v>
      </c>
      <c r="I1415" s="13" t="s">
        <v>2189</v>
      </c>
      <c r="J1415" s="13" t="s">
        <v>2189</v>
      </c>
      <c r="K1415" s="13" t="s">
        <v>2189</v>
      </c>
    </row>
    <row r="1416" spans="1:11" hidden="1" x14ac:dyDescent="0.25">
      <c r="A1416" t="str">
        <f>_xlfn.XLOOKUP(C1416, 'Códigos DANE Municipios'!$B$2:$B$1123, 'Códigos DANE Municipios'!$A$2:$A$1123, "No encontrado")</f>
        <v>05887</v>
      </c>
      <c r="B1416" t="str">
        <f>IFERROR(VLOOKUP(D1416,APOYO!K:L,2,FALSE),A1416)</f>
        <v>05887</v>
      </c>
      <c r="C1416" t="s">
        <v>254</v>
      </c>
      <c r="D1416" t="str">
        <f>IFERROR(VLOOKUP(C1416,APOYO!J:K,2,FALSE),C1416)</f>
        <v>YARUMAL</v>
      </c>
      <c r="E1416">
        <v>2014</v>
      </c>
      <c r="F1416" t="s">
        <v>2189</v>
      </c>
      <c r="G1416" t="s">
        <v>2189</v>
      </c>
      <c r="H1416">
        <v>10</v>
      </c>
      <c r="I1416" s="13" t="s">
        <v>2189</v>
      </c>
      <c r="J1416" s="13" t="s">
        <v>2189</v>
      </c>
      <c r="K1416" s="13" t="s">
        <v>2189</v>
      </c>
    </row>
    <row r="1417" spans="1:11" hidden="1" x14ac:dyDescent="0.25">
      <c r="A1417" t="str">
        <f>_xlfn.XLOOKUP(C1417, 'Códigos DANE Municipios'!$B$2:$B$1123, 'Códigos DANE Municipios'!$A$2:$A$1123, "No encontrado")</f>
        <v>05890</v>
      </c>
      <c r="B1417" t="str">
        <f>IFERROR(VLOOKUP(D1417,APOYO!K:L,2,FALSE),A1417)</f>
        <v>05890</v>
      </c>
      <c r="C1417" t="s">
        <v>256</v>
      </c>
      <c r="D1417" t="str">
        <f>IFERROR(VLOOKUP(C1417,APOYO!J:K,2,FALSE),C1417)</f>
        <v>YOLOMBÓ</v>
      </c>
      <c r="E1417">
        <v>2014</v>
      </c>
      <c r="F1417" t="s">
        <v>2189</v>
      </c>
      <c r="G1417" t="s">
        <v>2189</v>
      </c>
      <c r="H1417">
        <v>2</v>
      </c>
      <c r="I1417" s="13" t="s">
        <v>2189</v>
      </c>
      <c r="J1417" s="13" t="s">
        <v>2189</v>
      </c>
      <c r="K1417" s="13" t="s">
        <v>2189</v>
      </c>
    </row>
    <row r="1418" spans="1:11" hidden="1" x14ac:dyDescent="0.25">
      <c r="A1418" t="str">
        <f>_xlfn.XLOOKUP(C1418, 'Códigos DANE Municipios'!$B$2:$B$1123, 'Códigos DANE Municipios'!$A$2:$A$1123, "No encontrado")</f>
        <v>05893</v>
      </c>
      <c r="B1418" t="str">
        <f>IFERROR(VLOOKUP(D1418,APOYO!K:L,2,FALSE),A1418)</f>
        <v>05893</v>
      </c>
      <c r="C1418" t="s">
        <v>258</v>
      </c>
      <c r="D1418" t="str">
        <f>IFERROR(VLOOKUP(C1418,APOYO!J:K,2,FALSE),C1418)</f>
        <v>YONDÓ</v>
      </c>
      <c r="E1418">
        <v>2014</v>
      </c>
      <c r="F1418" t="s">
        <v>2189</v>
      </c>
      <c r="G1418" t="s">
        <v>2189</v>
      </c>
      <c r="H1418">
        <v>55</v>
      </c>
      <c r="I1418" s="13" t="s">
        <v>2189</v>
      </c>
      <c r="J1418" s="13" t="s">
        <v>2189</v>
      </c>
      <c r="K1418" s="13" t="s">
        <v>2189</v>
      </c>
    </row>
    <row r="1419" spans="1:11" hidden="1" x14ac:dyDescent="0.25">
      <c r="A1419" t="str">
        <f>_xlfn.XLOOKUP(C1419, 'Códigos DANE Municipios'!$B$2:$B$1123, 'Códigos DANE Municipios'!$A$2:$A$1123, "No encontrado")</f>
        <v>85001</v>
      </c>
      <c r="B1419" t="str">
        <f>IFERROR(VLOOKUP(D1419,APOYO!K:L,2,FALSE),A1419)</f>
        <v>85001</v>
      </c>
      <c r="C1419" t="s">
        <v>2048</v>
      </c>
      <c r="D1419" t="str">
        <f>IFERROR(VLOOKUP(C1419,APOYO!J:K,2,FALSE),C1419)</f>
        <v>YOPAL</v>
      </c>
      <c r="E1419">
        <v>2014</v>
      </c>
      <c r="F1419">
        <v>2343</v>
      </c>
      <c r="G1419">
        <v>349</v>
      </c>
      <c r="H1419">
        <v>473</v>
      </c>
      <c r="I1419" s="13" t="s">
        <v>2189</v>
      </c>
      <c r="J1419" s="13" t="s">
        <v>2189</v>
      </c>
      <c r="K1419" s="13" t="s">
        <v>2189</v>
      </c>
    </row>
    <row r="1420" spans="1:11" hidden="1" x14ac:dyDescent="0.25">
      <c r="A1420" t="str">
        <f>_xlfn.XLOOKUP(C1420, 'Códigos DANE Municipios'!$B$2:$B$1123, 'Códigos DANE Municipios'!$A$2:$A$1123, "No encontrado")</f>
        <v>76890</v>
      </c>
      <c r="B1420" t="str">
        <f>IFERROR(VLOOKUP(D1420,APOYO!K:L,2,FALSE),A1420)</f>
        <v>76890</v>
      </c>
      <c r="C1420" t="s">
        <v>2028</v>
      </c>
      <c r="D1420" t="str">
        <f>IFERROR(VLOOKUP(C1420,APOYO!J:K,2,FALSE),C1420)</f>
        <v>YOTOCO</v>
      </c>
      <c r="E1420">
        <v>2014</v>
      </c>
      <c r="F1420" t="s">
        <v>2189</v>
      </c>
      <c r="G1420" t="s">
        <v>2189</v>
      </c>
      <c r="H1420">
        <v>37</v>
      </c>
      <c r="I1420" s="13" t="s">
        <v>2189</v>
      </c>
      <c r="J1420" s="13" t="s">
        <v>2189</v>
      </c>
      <c r="K1420" s="13" t="s">
        <v>2189</v>
      </c>
    </row>
    <row r="1421" spans="1:11" hidden="1" x14ac:dyDescent="0.25">
      <c r="A1421" t="str">
        <f>_xlfn.XLOOKUP(C1421, 'Códigos DANE Municipios'!$B$2:$B$1123, 'Códigos DANE Municipios'!$A$2:$A$1123, "No encontrado")</f>
        <v>76892</v>
      </c>
      <c r="B1421" t="str">
        <f>IFERROR(VLOOKUP(D1421,APOYO!K:L,2,FALSE),A1421)</f>
        <v>76892</v>
      </c>
      <c r="C1421" t="s">
        <v>2030</v>
      </c>
      <c r="D1421" t="str">
        <f>IFERROR(VLOOKUP(C1421,APOYO!J:K,2,FALSE),C1421)</f>
        <v>YUMBO</v>
      </c>
      <c r="E1421">
        <v>2014</v>
      </c>
      <c r="F1421" t="s">
        <v>2189</v>
      </c>
      <c r="G1421" t="s">
        <v>2189</v>
      </c>
      <c r="H1421">
        <v>235</v>
      </c>
      <c r="I1421" s="13" t="s">
        <v>2189</v>
      </c>
      <c r="J1421" s="13" t="s">
        <v>2189</v>
      </c>
      <c r="K1421" s="13" t="s">
        <v>2189</v>
      </c>
    </row>
    <row r="1422" spans="1:11" hidden="1" x14ac:dyDescent="0.25">
      <c r="A1422" t="str">
        <f>_xlfn.XLOOKUP(C1422, 'Códigos DANE Municipios'!$B$2:$B$1123, 'Códigos DANE Municipios'!$A$2:$A$1123, "No encontrado")</f>
        <v>68895</v>
      </c>
      <c r="B1422" t="str">
        <f>IFERROR(VLOOKUP(D1422,APOYO!K:L,2,FALSE),A1422)</f>
        <v>68895</v>
      </c>
      <c r="C1422" t="s">
        <v>1814</v>
      </c>
      <c r="D1422" t="str">
        <f>IFERROR(VLOOKUP(C1422,APOYO!J:K,2,FALSE),C1422)</f>
        <v>ZAPATOCA</v>
      </c>
      <c r="E1422">
        <v>2014</v>
      </c>
      <c r="F1422" t="s">
        <v>2189</v>
      </c>
      <c r="G1422" t="s">
        <v>2189</v>
      </c>
      <c r="H1422">
        <v>10</v>
      </c>
      <c r="I1422" s="13" t="s">
        <v>2189</v>
      </c>
      <c r="J1422" s="13" t="s">
        <v>2189</v>
      </c>
      <c r="K1422" s="13" t="s">
        <v>2189</v>
      </c>
    </row>
    <row r="1423" spans="1:11" hidden="1" x14ac:dyDescent="0.25">
      <c r="A1423" t="str">
        <f>_xlfn.XLOOKUP(C1423, 'Códigos DANE Municipios'!$B$2:$B$1123, 'Códigos DANE Municipios'!$A$2:$A$1123, "No encontrado")</f>
        <v>05895</v>
      </c>
      <c r="B1423" t="str">
        <f>IFERROR(VLOOKUP(D1423,APOYO!K:L,2,FALSE),A1423)</f>
        <v>05895</v>
      </c>
      <c r="C1423" t="s">
        <v>260</v>
      </c>
      <c r="D1423" t="str">
        <f>IFERROR(VLOOKUP(C1423,APOYO!J:K,2,FALSE),C1423)</f>
        <v>ZARAGOZA</v>
      </c>
      <c r="E1423">
        <v>2014</v>
      </c>
      <c r="F1423" t="s">
        <v>2189</v>
      </c>
      <c r="G1423" t="s">
        <v>2189</v>
      </c>
      <c r="H1423">
        <v>1</v>
      </c>
      <c r="I1423" s="13" t="s">
        <v>2189</v>
      </c>
      <c r="J1423" s="13" t="s">
        <v>2189</v>
      </c>
      <c r="K1423" s="13" t="s">
        <v>2189</v>
      </c>
    </row>
    <row r="1424" spans="1:11" hidden="1" x14ac:dyDescent="0.25">
      <c r="A1424" t="str">
        <f>_xlfn.XLOOKUP(C1424, 'Códigos DANE Municipios'!$B$2:$B$1123, 'Códigos DANE Municipios'!$A$2:$A$1123, "No encontrado")</f>
        <v>76895</v>
      </c>
      <c r="B1424" t="str">
        <f>IFERROR(VLOOKUP(D1424,APOYO!K:L,2,FALSE),A1424)</f>
        <v>76895</v>
      </c>
      <c r="C1424" t="s">
        <v>2032</v>
      </c>
      <c r="D1424" t="str">
        <f>IFERROR(VLOOKUP(C1424,APOYO!J:K,2,FALSE),C1424)</f>
        <v>ZARZAL</v>
      </c>
      <c r="E1424">
        <v>2014</v>
      </c>
      <c r="F1424" t="s">
        <v>2189</v>
      </c>
      <c r="G1424" t="s">
        <v>2189</v>
      </c>
      <c r="H1424">
        <v>98</v>
      </c>
      <c r="I1424" s="13" t="s">
        <v>2189</v>
      </c>
      <c r="J1424" s="13" t="s">
        <v>2189</v>
      </c>
      <c r="K1424" s="13" t="s">
        <v>2189</v>
      </c>
    </row>
    <row r="1425" spans="1:11" hidden="1" x14ac:dyDescent="0.25">
      <c r="A1425" t="str">
        <f>_xlfn.XLOOKUP(C1425, 'Códigos DANE Municipios'!$B$2:$B$1123, 'Códigos DANE Municipios'!$A$2:$A$1123, "No encontrado")</f>
        <v>15897</v>
      </c>
      <c r="B1425" t="str">
        <f>IFERROR(VLOOKUP(D1425,APOYO!K:L,2,FALSE),A1425)</f>
        <v>15897</v>
      </c>
      <c r="C1425" t="s">
        <v>642</v>
      </c>
      <c r="D1425" t="str">
        <f>IFERROR(VLOOKUP(C1425,APOYO!J:K,2,FALSE),C1425)</f>
        <v>ZETAQUIRA</v>
      </c>
      <c r="E1425">
        <v>2014</v>
      </c>
      <c r="F1425" t="s">
        <v>2189</v>
      </c>
      <c r="G1425" t="s">
        <v>2189</v>
      </c>
      <c r="H1425">
        <v>7</v>
      </c>
      <c r="I1425" s="13" t="s">
        <v>2189</v>
      </c>
      <c r="J1425" s="13" t="s">
        <v>2189</v>
      </c>
      <c r="K1425" s="13" t="s">
        <v>2189</v>
      </c>
    </row>
    <row r="1426" spans="1:11" hidden="1" x14ac:dyDescent="0.25">
      <c r="A1426" t="str">
        <f>_xlfn.XLOOKUP(C1426, 'Códigos DANE Municipios'!$B$2:$B$1123, 'Códigos DANE Municipios'!$A$2:$A$1123, "No encontrado")</f>
        <v>25898</v>
      </c>
      <c r="B1426" t="str">
        <f>IFERROR(VLOOKUP(D1426,APOYO!K:L,2,FALSE),A1426)</f>
        <v>25898</v>
      </c>
      <c r="C1426" t="s">
        <v>1138</v>
      </c>
      <c r="D1426" t="str">
        <f>IFERROR(VLOOKUP(C1426,APOYO!J:K,2,FALSE),C1426)</f>
        <v>ZIPACÓN</v>
      </c>
      <c r="E1426">
        <v>2014</v>
      </c>
      <c r="F1426" t="s">
        <v>2189</v>
      </c>
      <c r="G1426" t="s">
        <v>2189</v>
      </c>
      <c r="H1426">
        <v>9</v>
      </c>
      <c r="I1426" s="13" t="s">
        <v>2189</v>
      </c>
      <c r="J1426" s="13" t="s">
        <v>2189</v>
      </c>
      <c r="K1426" s="13" t="s">
        <v>2189</v>
      </c>
    </row>
    <row r="1427" spans="1:11" hidden="1" x14ac:dyDescent="0.25">
      <c r="A1427" t="str">
        <f>_xlfn.XLOOKUP(C1427, 'Códigos DANE Municipios'!$B$2:$B$1123, 'Códigos DANE Municipios'!$A$2:$A$1123, "No encontrado")</f>
        <v>25899</v>
      </c>
      <c r="B1427" t="str">
        <f>IFERROR(VLOOKUP(D1427,APOYO!K:L,2,FALSE),A1427)</f>
        <v>25899</v>
      </c>
      <c r="C1427" t="s">
        <v>1140</v>
      </c>
      <c r="D1427" t="str">
        <f>IFERROR(VLOOKUP(C1427,APOYO!J:K,2,FALSE),C1427)</f>
        <v>ZIPAQUIRÁ</v>
      </c>
      <c r="E1427">
        <v>2014</v>
      </c>
      <c r="F1427" t="s">
        <v>2189</v>
      </c>
      <c r="G1427" t="s">
        <v>2189</v>
      </c>
      <c r="H1427">
        <v>412</v>
      </c>
      <c r="I1427" s="13" t="s">
        <v>2189</v>
      </c>
      <c r="J1427" s="13" t="s">
        <v>2189</v>
      </c>
      <c r="K1427" s="13" t="s">
        <v>2189</v>
      </c>
    </row>
    <row r="1428" spans="1:11" hidden="1" x14ac:dyDescent="0.25">
      <c r="A1428" t="str">
        <f>_xlfn.XLOOKUP(C1428, 'Códigos DANE Municipios'!$B$2:$B$1123, 'Códigos DANE Municipios'!$A$2:$A$1123, "No encontrado")</f>
        <v>20570</v>
      </c>
      <c r="B1428" t="str">
        <f>IFERROR(VLOOKUP(D1428,APOYO!K:L,2,FALSE),A1428)</f>
        <v>20570</v>
      </c>
      <c r="C1428" t="s">
        <v>844</v>
      </c>
      <c r="D1428" t="str">
        <f>IFERROR(VLOOKUP(C1428,APOYO!J:K,2,FALSE),C1428)</f>
        <v>PUEBLO BELLO</v>
      </c>
      <c r="E1428">
        <v>2015</v>
      </c>
      <c r="H1428">
        <v>1</v>
      </c>
    </row>
    <row r="1429" spans="1:11" hidden="1" x14ac:dyDescent="0.25">
      <c r="A1429" t="str">
        <f>_xlfn.XLOOKUP(C1429, 'Códigos DANE Municipios'!$B$2:$B$1123, 'Códigos DANE Municipios'!$A$2:$A$1123, "No encontrado")</f>
        <v>44378</v>
      </c>
      <c r="B1429" t="str">
        <f>IFERROR(VLOOKUP(D1429,APOYO!K:L,2,FALSE),A1429)</f>
        <v>44378</v>
      </c>
      <c r="C1429" t="s">
        <v>1285</v>
      </c>
      <c r="D1429" t="str">
        <f>IFERROR(VLOOKUP(C1429,APOYO!J:K,2,FALSE),C1429)</f>
        <v>HATONUEVO</v>
      </c>
      <c r="E1429">
        <v>2015</v>
      </c>
    </row>
    <row r="1430" spans="1:11" hidden="1" x14ac:dyDescent="0.25">
      <c r="A1430" t="str">
        <f>_xlfn.XLOOKUP(C1430, 'Códigos DANE Municipios'!$B$2:$B$1123, 'Códigos DANE Municipios'!$A$2:$A$1123, "No encontrado")</f>
        <v>99624</v>
      </c>
      <c r="B1430" t="str">
        <f>IFERROR(VLOOKUP(D1430,APOYO!K:L,2,FALSE),A1430)</f>
        <v>99624</v>
      </c>
      <c r="C1430" t="s">
        <v>2167</v>
      </c>
      <c r="D1430" t="str">
        <f>IFERROR(VLOOKUP(C1430,APOYO!J:K,2,FALSE),C1430)</f>
        <v>SANTA ROSALÍA</v>
      </c>
      <c r="E1430">
        <v>2015</v>
      </c>
    </row>
    <row r="1431" spans="1:11" hidden="1" x14ac:dyDescent="0.25">
      <c r="A1431" t="str">
        <f>_xlfn.XLOOKUP(C1431, 'Códigos DANE Municipios'!$B$2:$B$1123, 'Códigos DANE Municipios'!$A$2:$A$1123, "No encontrado")</f>
        <v>05002</v>
      </c>
      <c r="B1431" t="str">
        <f>IFERROR(VLOOKUP(D1431,APOYO!K:L,2,FALSE),A1431)</f>
        <v>05002</v>
      </c>
      <c r="C1431" t="s">
        <v>14</v>
      </c>
      <c r="D1431" t="str">
        <f>IFERROR(VLOOKUP(C1431,APOYO!J:K,2,FALSE),C1431)</f>
        <v>ABEJORRAL</v>
      </c>
      <c r="E1431">
        <v>2015</v>
      </c>
    </row>
    <row r="1432" spans="1:11" hidden="1" x14ac:dyDescent="0.25">
      <c r="A1432" t="str">
        <f>_xlfn.XLOOKUP(C1432, 'Códigos DANE Municipios'!$B$2:$B$1123, 'Códigos DANE Municipios'!$A$2:$A$1123, "No encontrado")</f>
        <v>54003</v>
      </c>
      <c r="B1432" t="str">
        <f>IFERROR(VLOOKUP(D1432,APOYO!K:L,2,FALSE),A1432)</f>
        <v>54003</v>
      </c>
      <c r="C1432" t="s">
        <v>1531</v>
      </c>
      <c r="D1432" t="str">
        <f>IFERROR(VLOOKUP(C1432,APOYO!J:K,2,FALSE),C1432)</f>
        <v>ÁBREGO</v>
      </c>
      <c r="E1432">
        <v>2015</v>
      </c>
    </row>
    <row r="1433" spans="1:11" hidden="1" x14ac:dyDescent="0.25">
      <c r="A1433" t="str">
        <f>_xlfn.XLOOKUP(C1433, 'Códigos DANE Municipios'!$B$2:$B$1123, 'Códigos DANE Municipios'!$A$2:$A$1123, "No encontrado")</f>
        <v>05004</v>
      </c>
      <c r="B1433" t="str">
        <f>IFERROR(VLOOKUP(D1433,APOYO!K:L,2,FALSE),A1433)</f>
        <v>05004</v>
      </c>
      <c r="C1433" t="s">
        <v>16</v>
      </c>
      <c r="D1433" t="str">
        <f>IFERROR(VLOOKUP(C1433,APOYO!J:K,2,FALSE),C1433)</f>
        <v>ABRIAQUÍ</v>
      </c>
      <c r="E1433">
        <v>2015</v>
      </c>
    </row>
    <row r="1434" spans="1:11" hidden="1" x14ac:dyDescent="0.25">
      <c r="A1434" t="str">
        <f>_xlfn.XLOOKUP(C1434, 'Códigos DANE Municipios'!$B$2:$B$1123, 'Códigos DANE Municipios'!$A$2:$A$1123, "No encontrado")</f>
        <v>50006</v>
      </c>
      <c r="B1434" t="str">
        <f>IFERROR(VLOOKUP(D1434,APOYO!K:L,2,FALSE),A1434)</f>
        <v>50006</v>
      </c>
      <c r="C1434" t="s">
        <v>1360</v>
      </c>
      <c r="D1434" t="str">
        <f>IFERROR(VLOOKUP(C1434,APOYO!J:K,2,FALSE),C1434)</f>
        <v>ACACÍAS</v>
      </c>
      <c r="E1434">
        <v>2015</v>
      </c>
    </row>
    <row r="1435" spans="1:11" hidden="1" x14ac:dyDescent="0.25">
      <c r="A1435" t="str">
        <f>_xlfn.XLOOKUP(C1435, 'Códigos DANE Municipios'!$B$2:$B$1123, 'Códigos DANE Municipios'!$A$2:$A$1123, "No encontrado")</f>
        <v>27006</v>
      </c>
      <c r="B1435" t="str">
        <f>IFERROR(VLOOKUP(D1435,APOYO!K:L,2,FALSE),A1435)</f>
        <v>27006</v>
      </c>
      <c r="C1435" t="s">
        <v>1144</v>
      </c>
      <c r="D1435" t="str">
        <f>IFERROR(VLOOKUP(C1435,APOYO!J:K,2,FALSE),C1435)</f>
        <v>ACANDÍ</v>
      </c>
      <c r="E1435">
        <v>2015</v>
      </c>
    </row>
    <row r="1436" spans="1:11" hidden="1" x14ac:dyDescent="0.25">
      <c r="A1436" t="str">
        <f>_xlfn.XLOOKUP(C1436, 'Códigos DANE Municipios'!$B$2:$B$1123, 'Códigos DANE Municipios'!$A$2:$A$1123, "No encontrado")</f>
        <v>41006</v>
      </c>
      <c r="B1436" t="str">
        <f>IFERROR(VLOOKUP(D1436,APOYO!K:L,2,FALSE),A1436)</f>
        <v>41006</v>
      </c>
      <c r="C1436" t="s">
        <v>1203</v>
      </c>
      <c r="D1436" t="str">
        <f>IFERROR(VLOOKUP(C1436,APOYO!J:K,2,FALSE),C1436)</f>
        <v>ACEVEDO</v>
      </c>
      <c r="E1436">
        <v>2015</v>
      </c>
    </row>
    <row r="1437" spans="1:11" hidden="1" x14ac:dyDescent="0.25">
      <c r="A1437" t="str">
        <f>_xlfn.XLOOKUP(C1437, 'Códigos DANE Municipios'!$B$2:$B$1123, 'Códigos DANE Municipios'!$A$2:$A$1123, "No encontrado")</f>
        <v>13006</v>
      </c>
      <c r="B1437" t="str">
        <f>IFERROR(VLOOKUP(D1437,APOYO!K:L,2,FALSE),A1437)</f>
        <v>13006</v>
      </c>
      <c r="C1437" t="s">
        <v>311</v>
      </c>
      <c r="D1437" t="str">
        <f>IFERROR(VLOOKUP(C1437,APOYO!J:K,2,FALSE),C1437)</f>
        <v>ACHÍ</v>
      </c>
      <c r="E1437">
        <v>2015</v>
      </c>
    </row>
    <row r="1438" spans="1:11" hidden="1" x14ac:dyDescent="0.25">
      <c r="A1438" t="str">
        <f>_xlfn.XLOOKUP(C1438, 'Códigos DANE Municipios'!$B$2:$B$1123, 'Códigos DANE Municipios'!$A$2:$A$1123, "No encontrado")</f>
        <v>41013</v>
      </c>
      <c r="B1438" t="str">
        <f>IFERROR(VLOOKUP(D1438,APOYO!K:L,2,FALSE),A1438)</f>
        <v>41013</v>
      </c>
      <c r="C1438" t="s">
        <v>1205</v>
      </c>
      <c r="D1438" t="str">
        <f>IFERROR(VLOOKUP(C1438,APOYO!J:K,2,FALSE),C1438)</f>
        <v>AGRADO</v>
      </c>
      <c r="E1438">
        <v>2015</v>
      </c>
    </row>
    <row r="1439" spans="1:11" hidden="1" x14ac:dyDescent="0.25">
      <c r="A1439" t="str">
        <f>_xlfn.XLOOKUP(C1439, 'Códigos DANE Municipios'!$B$2:$B$1123, 'Códigos DANE Municipios'!$A$2:$A$1123, "No encontrado")</f>
        <v>25001</v>
      </c>
      <c r="B1439" t="str">
        <f>IFERROR(VLOOKUP(D1439,APOYO!K:L,2,FALSE),A1439)</f>
        <v>25001</v>
      </c>
      <c r="C1439" t="s">
        <v>916</v>
      </c>
      <c r="D1439" t="str">
        <f>IFERROR(VLOOKUP(C1439,APOYO!J:K,2,FALSE),C1439)</f>
        <v>AGUA DE DIOS</v>
      </c>
      <c r="E1439">
        <v>2015</v>
      </c>
    </row>
    <row r="1440" spans="1:11" hidden="1" x14ac:dyDescent="0.25">
      <c r="A1440" t="str">
        <f>_xlfn.XLOOKUP(C1440, 'Códigos DANE Municipios'!$B$2:$B$1123, 'Códigos DANE Municipios'!$A$2:$A$1123, "No encontrado")</f>
        <v>20011</v>
      </c>
      <c r="B1440" t="str">
        <f>IFERROR(VLOOKUP(D1440,APOYO!K:L,2,FALSE),A1440)</f>
        <v>20011</v>
      </c>
      <c r="C1440" t="s">
        <v>810</v>
      </c>
      <c r="D1440" t="str">
        <f>IFERROR(VLOOKUP(C1440,APOYO!J:K,2,FALSE),C1440)</f>
        <v>AGUACHICA</v>
      </c>
      <c r="E1440">
        <v>2015</v>
      </c>
    </row>
    <row r="1441" spans="1:5" hidden="1" x14ac:dyDescent="0.25">
      <c r="A1441" t="str">
        <f>_xlfn.XLOOKUP(C1441, 'Códigos DANE Municipios'!$B$2:$B$1123, 'Códigos DANE Municipios'!$A$2:$A$1123, "No encontrado")</f>
        <v>68013</v>
      </c>
      <c r="B1441" t="str">
        <f>IFERROR(VLOOKUP(D1441,APOYO!K:L,2,FALSE),A1441)</f>
        <v>68013</v>
      </c>
      <c r="C1441" t="s">
        <v>1657</v>
      </c>
      <c r="D1441" t="str">
        <f>IFERROR(VLOOKUP(C1441,APOYO!J:K,2,FALSE),C1441)</f>
        <v>AGUADA</v>
      </c>
      <c r="E1441">
        <v>2015</v>
      </c>
    </row>
    <row r="1442" spans="1:5" hidden="1" x14ac:dyDescent="0.25">
      <c r="A1442" t="str">
        <f>_xlfn.XLOOKUP(C1442, 'Códigos DANE Municipios'!$B$2:$B$1123, 'Códigos DANE Municipios'!$A$2:$A$1123, "No encontrado")</f>
        <v>17013</v>
      </c>
      <c r="B1442" t="str">
        <f>IFERROR(VLOOKUP(D1442,APOYO!K:L,2,FALSE),A1442)</f>
        <v>17013</v>
      </c>
      <c r="C1442" t="s">
        <v>646</v>
      </c>
      <c r="D1442" t="str">
        <f>IFERROR(VLOOKUP(C1442,APOYO!J:K,2,FALSE),C1442)</f>
        <v>AGUADAS</v>
      </c>
      <c r="E1442">
        <v>2015</v>
      </c>
    </row>
    <row r="1443" spans="1:5" hidden="1" x14ac:dyDescent="0.25">
      <c r="A1443" t="str">
        <f>_xlfn.XLOOKUP(C1443, 'Códigos DANE Municipios'!$B$2:$B$1123, 'Códigos DANE Municipios'!$A$2:$A$1123, "No encontrado")</f>
        <v>85010</v>
      </c>
      <c r="B1443" t="str">
        <f>IFERROR(VLOOKUP(D1443,APOYO!K:L,2,FALSE),A1443)</f>
        <v>85010</v>
      </c>
      <c r="C1443" t="s">
        <v>2050</v>
      </c>
      <c r="D1443" t="str">
        <f>IFERROR(VLOOKUP(C1443,APOYO!J:K,2,FALSE),C1443)</f>
        <v>AGUAZUL</v>
      </c>
      <c r="E1443">
        <v>2015</v>
      </c>
    </row>
    <row r="1444" spans="1:5" hidden="1" x14ac:dyDescent="0.25">
      <c r="A1444" t="str">
        <f>_xlfn.XLOOKUP(C1444, 'Códigos DANE Municipios'!$B$2:$B$1123, 'Códigos DANE Municipios'!$A$2:$A$1123, "No encontrado")</f>
        <v>20013</v>
      </c>
      <c r="B1444" t="str">
        <f>IFERROR(VLOOKUP(D1444,APOYO!K:L,2,FALSE),A1444)</f>
        <v>20013</v>
      </c>
      <c r="C1444" t="s">
        <v>812</v>
      </c>
      <c r="D1444" t="str">
        <f>IFERROR(VLOOKUP(C1444,APOYO!J:K,2,FALSE),C1444)</f>
        <v>AGUSTÍN CODAZZI</v>
      </c>
      <c r="E1444">
        <v>2015</v>
      </c>
    </row>
    <row r="1445" spans="1:5" hidden="1" x14ac:dyDescent="0.25">
      <c r="A1445" t="str">
        <f>_xlfn.XLOOKUP(C1445, 'Códigos DANE Municipios'!$B$2:$B$1123, 'Códigos DANE Municipios'!$A$2:$A$1123, "No encontrado")</f>
        <v>41016</v>
      </c>
      <c r="B1445" t="str">
        <f>IFERROR(VLOOKUP(D1445,APOYO!K:L,2,FALSE),A1445)</f>
        <v>41016</v>
      </c>
      <c r="C1445" t="s">
        <v>1207</v>
      </c>
      <c r="D1445" t="str">
        <f>IFERROR(VLOOKUP(C1445,APOYO!J:K,2,FALSE),C1445)</f>
        <v>AIPE</v>
      </c>
      <c r="E1445">
        <v>2015</v>
      </c>
    </row>
    <row r="1446" spans="1:5" hidden="1" x14ac:dyDescent="0.25">
      <c r="A1446" t="str">
        <f>_xlfn.XLOOKUP(C1446, 'Códigos DANE Municipios'!$B$2:$B$1123, 'Códigos DANE Municipios'!$A$2:$A$1123, "No encontrado")</f>
        <v>25019</v>
      </c>
      <c r="B1446" t="str">
        <f>IFERROR(VLOOKUP(D1446,APOYO!K:L,2,FALSE),A1446)</f>
        <v>25019</v>
      </c>
      <c r="C1446" t="s">
        <v>918</v>
      </c>
      <c r="D1446" t="str">
        <f>IFERROR(VLOOKUP(C1446,APOYO!J:K,2,FALSE),C1446)</f>
        <v>ALBÁN</v>
      </c>
      <c r="E1446">
        <v>2015</v>
      </c>
    </row>
    <row r="1447" spans="1:5" hidden="1" x14ac:dyDescent="0.25">
      <c r="A1447" t="str">
        <f>_xlfn.XLOOKUP(C1447, 'Códigos DANE Municipios'!$B$2:$B$1123, 'Códigos DANE Municipios'!$A$2:$A$1123, "No encontrado")</f>
        <v>18029</v>
      </c>
      <c r="B1447" t="str">
        <f>IFERROR(VLOOKUP(D1447,APOYO!K:L,2,FALSE),A1447)</f>
        <v>18029</v>
      </c>
      <c r="C1447" t="s">
        <v>700</v>
      </c>
      <c r="D1447" t="str">
        <f>IFERROR(VLOOKUP(C1447,APOYO!J:K,2,FALSE),C1447)</f>
        <v>ALBANIA</v>
      </c>
      <c r="E1447">
        <v>2015</v>
      </c>
    </row>
    <row r="1448" spans="1:5" hidden="1" x14ac:dyDescent="0.25">
      <c r="A1448" t="str">
        <f>_xlfn.XLOOKUP(C1448, 'Códigos DANE Municipios'!$B$2:$B$1123, 'Códigos DANE Municipios'!$A$2:$A$1123, "No encontrado")</f>
        <v>76020</v>
      </c>
      <c r="B1448" t="str">
        <f>IFERROR(VLOOKUP(D1448,APOYO!K:L,2,FALSE),A1448)</f>
        <v>76020</v>
      </c>
      <c r="C1448" t="s">
        <v>1959</v>
      </c>
      <c r="D1448" t="str">
        <f>IFERROR(VLOOKUP(C1448,APOYO!J:K,2,FALSE),C1448)</f>
        <v>ALCALÁ</v>
      </c>
      <c r="E1448">
        <v>2015</v>
      </c>
    </row>
    <row r="1449" spans="1:5" hidden="1" x14ac:dyDescent="0.25">
      <c r="A1449" t="str">
        <f>_xlfn.XLOOKUP(C1449, 'Códigos DANE Municipios'!$B$2:$B$1123, 'Códigos DANE Municipios'!$A$2:$A$1123, "No encontrado")</f>
        <v>05021</v>
      </c>
      <c r="B1449" t="str">
        <f>IFERROR(VLOOKUP(D1449,APOYO!K:L,2,FALSE),A1449)</f>
        <v>05021</v>
      </c>
      <c r="C1449" t="s">
        <v>18</v>
      </c>
      <c r="D1449" t="str">
        <f>IFERROR(VLOOKUP(C1449,APOYO!J:K,2,FALSE),C1449)</f>
        <v>ALEJANDRÍA</v>
      </c>
      <c r="E1449">
        <v>2015</v>
      </c>
    </row>
    <row r="1450" spans="1:5" hidden="1" x14ac:dyDescent="0.25">
      <c r="A1450" t="str">
        <f>_xlfn.XLOOKUP(C1450, 'Códigos DANE Municipios'!$B$2:$B$1123, 'Códigos DANE Municipios'!$A$2:$A$1123, "No encontrado")</f>
        <v>41020</v>
      </c>
      <c r="B1450" t="str">
        <f>IFERROR(VLOOKUP(D1450,APOYO!K:L,2,FALSE),A1450)</f>
        <v>41020</v>
      </c>
      <c r="C1450" t="s">
        <v>1209</v>
      </c>
      <c r="D1450" t="str">
        <f>IFERROR(VLOOKUP(C1450,APOYO!J:K,2,FALSE),C1450)</f>
        <v>ALGECIRAS</v>
      </c>
      <c r="E1450">
        <v>2015</v>
      </c>
    </row>
    <row r="1451" spans="1:5" hidden="1" x14ac:dyDescent="0.25">
      <c r="A1451" t="str">
        <f>_xlfn.XLOOKUP(C1451, 'Códigos DANE Municipios'!$B$2:$B$1123, 'Códigos DANE Municipios'!$A$2:$A$1123, "No encontrado")</f>
        <v>73024</v>
      </c>
      <c r="B1451" t="str">
        <f>IFERROR(VLOOKUP(D1451,APOYO!K:L,2,FALSE),A1451)</f>
        <v>73024</v>
      </c>
      <c r="C1451" t="s">
        <v>1867</v>
      </c>
      <c r="D1451" t="str">
        <f>IFERROR(VLOOKUP(C1451,APOYO!J:K,2,FALSE),C1451)</f>
        <v>ALPUJARRA</v>
      </c>
      <c r="E1451">
        <v>2015</v>
      </c>
    </row>
    <row r="1452" spans="1:5" hidden="1" x14ac:dyDescent="0.25">
      <c r="A1452" t="str">
        <f>_xlfn.XLOOKUP(C1452, 'Códigos DANE Municipios'!$B$2:$B$1123, 'Códigos DANE Municipios'!$A$2:$A$1123, "No encontrado")</f>
        <v>73026</v>
      </c>
      <c r="B1452" t="str">
        <f>IFERROR(VLOOKUP(D1452,APOYO!K:L,2,FALSE),A1452)</f>
        <v>73026</v>
      </c>
      <c r="C1452" t="s">
        <v>1869</v>
      </c>
      <c r="D1452" t="str">
        <f>IFERROR(VLOOKUP(C1452,APOYO!J:K,2,FALSE),C1452)</f>
        <v>ALVARADO</v>
      </c>
      <c r="E1452">
        <v>2015</v>
      </c>
    </row>
    <row r="1453" spans="1:5" hidden="1" x14ac:dyDescent="0.25">
      <c r="A1453" t="str">
        <f>_xlfn.XLOOKUP(C1453, 'Códigos DANE Municipios'!$B$2:$B$1123, 'Códigos DANE Municipios'!$A$2:$A$1123, "No encontrado")</f>
        <v>05030</v>
      </c>
      <c r="B1453" t="str">
        <f>IFERROR(VLOOKUP(D1453,APOYO!K:L,2,FALSE),A1453)</f>
        <v>05030</v>
      </c>
      <c r="C1453" t="s">
        <v>20</v>
      </c>
      <c r="D1453" t="str">
        <f>IFERROR(VLOOKUP(C1453,APOYO!J:K,2,FALSE),C1453)</f>
        <v>AMAGÁ</v>
      </c>
      <c r="E1453">
        <v>2015</v>
      </c>
    </row>
    <row r="1454" spans="1:5" hidden="1" x14ac:dyDescent="0.25">
      <c r="A1454" t="str">
        <f>_xlfn.XLOOKUP(C1454, 'Códigos DANE Municipios'!$B$2:$B$1123, 'Códigos DANE Municipios'!$A$2:$A$1123, "No encontrado")</f>
        <v>05031</v>
      </c>
      <c r="B1454" t="str">
        <f>IFERROR(VLOOKUP(D1454,APOYO!K:L,2,FALSE),A1454)</f>
        <v>05031</v>
      </c>
      <c r="C1454" t="s">
        <v>22</v>
      </c>
      <c r="D1454" t="str">
        <f>IFERROR(VLOOKUP(C1454,APOYO!J:K,2,FALSE),C1454)</f>
        <v>AMALFI</v>
      </c>
      <c r="E1454">
        <v>2015</v>
      </c>
    </row>
    <row r="1455" spans="1:5" hidden="1" x14ac:dyDescent="0.25">
      <c r="A1455" t="str">
        <f>_xlfn.XLOOKUP(C1455, 'Códigos DANE Municipios'!$B$2:$B$1123, 'Códigos DANE Municipios'!$A$2:$A$1123, "No encontrado")</f>
        <v>73030</v>
      </c>
      <c r="B1455" t="str">
        <f>IFERROR(VLOOKUP(D1455,APOYO!K:L,2,FALSE),A1455)</f>
        <v>73030</v>
      </c>
      <c r="C1455" t="s">
        <v>1871</v>
      </c>
      <c r="D1455" t="str">
        <f>IFERROR(VLOOKUP(C1455,APOYO!J:K,2,FALSE),C1455)</f>
        <v>AMBALEMA</v>
      </c>
      <c r="E1455">
        <v>2015</v>
      </c>
    </row>
    <row r="1456" spans="1:5" hidden="1" x14ac:dyDescent="0.25">
      <c r="A1456" t="str">
        <f>_xlfn.XLOOKUP(C1456, 'Códigos DANE Municipios'!$B$2:$B$1123, 'Códigos DANE Municipios'!$A$2:$A$1123, "No encontrado")</f>
        <v>25035</v>
      </c>
      <c r="B1456" t="str">
        <f>IFERROR(VLOOKUP(D1456,APOYO!K:L,2,FALSE),A1456)</f>
        <v>25035</v>
      </c>
      <c r="C1456" t="s">
        <v>920</v>
      </c>
      <c r="D1456" t="str">
        <f>IFERROR(VLOOKUP(C1456,APOYO!J:K,2,FALSE),C1456)</f>
        <v>ANAPOIMA</v>
      </c>
      <c r="E1456">
        <v>2015</v>
      </c>
    </row>
    <row r="1457" spans="1:5" hidden="1" x14ac:dyDescent="0.25">
      <c r="A1457" t="str">
        <f>_xlfn.XLOOKUP(C1457, 'Códigos DANE Municipios'!$B$2:$B$1123, 'Códigos DANE Municipios'!$A$2:$A$1123, "No encontrado")</f>
        <v>76036</v>
      </c>
      <c r="B1457" t="str">
        <f>IFERROR(VLOOKUP(D1457,APOYO!K:L,2,FALSE),A1457)</f>
        <v>76036</v>
      </c>
      <c r="C1457" t="s">
        <v>1961</v>
      </c>
      <c r="D1457" t="str">
        <f>IFERROR(VLOOKUP(C1457,APOYO!J:K,2,FALSE),C1457)</f>
        <v>ANDALUCÍA</v>
      </c>
      <c r="E1457">
        <v>2015</v>
      </c>
    </row>
    <row r="1458" spans="1:5" hidden="1" x14ac:dyDescent="0.25">
      <c r="A1458" t="str">
        <f>_xlfn.XLOOKUP(C1458, 'Códigos DANE Municipios'!$B$2:$B$1123, 'Códigos DANE Municipios'!$A$2:$A$1123, "No encontrado")</f>
        <v>05034</v>
      </c>
      <c r="B1458" t="str">
        <f>IFERROR(VLOOKUP(D1458,APOYO!K:L,2,FALSE),A1458)</f>
        <v>05034</v>
      </c>
      <c r="C1458" t="s">
        <v>24</v>
      </c>
      <c r="D1458" t="str">
        <f>IFERROR(VLOOKUP(C1458,APOYO!J:K,2,FALSE),C1458)</f>
        <v>ANDES</v>
      </c>
      <c r="E1458">
        <v>2015</v>
      </c>
    </row>
    <row r="1459" spans="1:5" hidden="1" x14ac:dyDescent="0.25">
      <c r="A1459" t="str">
        <f>_xlfn.XLOOKUP(C1459, 'Códigos DANE Municipios'!$B$2:$B$1123, 'Códigos DANE Municipios'!$A$2:$A$1123, "No encontrado")</f>
        <v>05036</v>
      </c>
      <c r="B1459" t="str">
        <f>IFERROR(VLOOKUP(D1459,APOYO!K:L,2,FALSE),A1459)</f>
        <v>05036</v>
      </c>
      <c r="C1459" t="s">
        <v>26</v>
      </c>
      <c r="D1459" t="str">
        <f>IFERROR(VLOOKUP(C1459,APOYO!J:K,2,FALSE),C1459)</f>
        <v>ANGELÓPOLIS</v>
      </c>
      <c r="E1459">
        <v>2015</v>
      </c>
    </row>
    <row r="1460" spans="1:5" hidden="1" x14ac:dyDescent="0.25">
      <c r="A1460" t="str">
        <f>_xlfn.XLOOKUP(C1460, 'Códigos DANE Municipios'!$B$2:$B$1123, 'Códigos DANE Municipios'!$A$2:$A$1123, "No encontrado")</f>
        <v>05038</v>
      </c>
      <c r="B1460" t="str">
        <f>IFERROR(VLOOKUP(D1460,APOYO!K:L,2,FALSE),A1460)</f>
        <v>05038</v>
      </c>
      <c r="C1460" t="s">
        <v>28</v>
      </c>
      <c r="D1460" t="str">
        <f>IFERROR(VLOOKUP(C1460,APOYO!J:K,2,FALSE),C1460)</f>
        <v>ANGOSTURA</v>
      </c>
      <c r="E1460">
        <v>2015</v>
      </c>
    </row>
    <row r="1461" spans="1:5" hidden="1" x14ac:dyDescent="0.25">
      <c r="A1461" t="str">
        <f>_xlfn.XLOOKUP(C1461, 'Códigos DANE Municipios'!$B$2:$B$1123, 'Códigos DANE Municipios'!$A$2:$A$1123, "No encontrado")</f>
        <v>25040</v>
      </c>
      <c r="B1461" t="str">
        <f>IFERROR(VLOOKUP(D1461,APOYO!K:L,2,FALSE),A1461)</f>
        <v>25040</v>
      </c>
      <c r="C1461" t="s">
        <v>922</v>
      </c>
      <c r="D1461" t="str">
        <f>IFERROR(VLOOKUP(C1461,APOYO!J:K,2,FALSE),C1461)</f>
        <v>ANOLAIMA</v>
      </c>
      <c r="E1461">
        <v>2015</v>
      </c>
    </row>
    <row r="1462" spans="1:5" hidden="1" x14ac:dyDescent="0.25">
      <c r="A1462" t="str">
        <f>_xlfn.XLOOKUP(C1462, 'Códigos DANE Municipios'!$B$2:$B$1123, 'Códigos DANE Municipios'!$A$2:$A$1123, "No encontrado")</f>
        <v>05040</v>
      </c>
      <c r="B1462" t="str">
        <f>IFERROR(VLOOKUP(D1462,APOYO!K:L,2,FALSE),A1462)</f>
        <v>05040</v>
      </c>
      <c r="C1462" t="s">
        <v>30</v>
      </c>
      <c r="D1462" t="str">
        <f>IFERROR(VLOOKUP(C1462,APOYO!J:K,2,FALSE),C1462)</f>
        <v>ANORÍ</v>
      </c>
      <c r="E1462">
        <v>2015</v>
      </c>
    </row>
    <row r="1463" spans="1:5" hidden="1" x14ac:dyDescent="0.25">
      <c r="A1463" t="str">
        <f>_xlfn.XLOOKUP(C1463, 'Códigos DANE Municipios'!$B$2:$B$1123, 'Códigos DANE Municipios'!$A$2:$A$1123, "No encontrado")</f>
        <v>17042</v>
      </c>
      <c r="B1463" t="str">
        <f>IFERROR(VLOOKUP(D1463,APOYO!K:L,2,FALSE),A1463)</f>
        <v>17042</v>
      </c>
      <c r="C1463" t="s">
        <v>648</v>
      </c>
      <c r="D1463" t="str">
        <f>IFERROR(VLOOKUP(C1463,APOYO!J:K,2,FALSE),C1463)</f>
        <v>ANSERMA</v>
      </c>
      <c r="E1463">
        <v>2015</v>
      </c>
    </row>
    <row r="1464" spans="1:5" hidden="1" x14ac:dyDescent="0.25">
      <c r="A1464" t="str">
        <f>_xlfn.XLOOKUP(C1464, 'Códigos DANE Municipios'!$B$2:$B$1123, 'Códigos DANE Municipios'!$A$2:$A$1123, "No encontrado")</f>
        <v>76041</v>
      </c>
      <c r="B1464" t="str">
        <f>IFERROR(VLOOKUP(D1464,APOYO!K:L,2,FALSE),A1464)</f>
        <v>76041</v>
      </c>
      <c r="C1464" t="s">
        <v>1963</v>
      </c>
      <c r="D1464" t="str">
        <f>IFERROR(VLOOKUP(C1464,APOYO!J:K,2,FALSE),C1464)</f>
        <v>ANSERMANUEVO</v>
      </c>
      <c r="E1464">
        <v>2015</v>
      </c>
    </row>
    <row r="1465" spans="1:5" hidden="1" x14ac:dyDescent="0.25">
      <c r="A1465" t="str">
        <f>_xlfn.XLOOKUP(C1465, 'Códigos DANE Municipios'!$B$2:$B$1123, 'Códigos DANE Municipios'!$A$2:$A$1123, "No encontrado")</f>
        <v>05042</v>
      </c>
      <c r="B1465" t="str">
        <f>IFERROR(VLOOKUP(D1465,APOYO!K:L,2,FALSE),A1465)</f>
        <v>05042</v>
      </c>
      <c r="C1465" t="s">
        <v>32</v>
      </c>
      <c r="D1465" t="str">
        <f>IFERROR(VLOOKUP(C1465,APOYO!J:K,2,FALSE),C1465)</f>
        <v>SANTA FÉ DE ANTIOQUIA</v>
      </c>
      <c r="E1465">
        <v>2015</v>
      </c>
    </row>
    <row r="1466" spans="1:5" hidden="1" x14ac:dyDescent="0.25">
      <c r="A1466" t="str">
        <f>_xlfn.XLOOKUP(C1466, 'Códigos DANE Municipios'!$B$2:$B$1123, 'Códigos DANE Municipios'!$A$2:$A$1123, "No encontrado")</f>
        <v>05044</v>
      </c>
      <c r="B1466" t="str">
        <f>IFERROR(VLOOKUP(D1466,APOYO!K:L,2,FALSE),A1466)</f>
        <v>05044</v>
      </c>
      <c r="C1466" t="s">
        <v>34</v>
      </c>
      <c r="D1466" t="str">
        <f>IFERROR(VLOOKUP(C1466,APOYO!J:K,2,FALSE),C1466)</f>
        <v>ANZÁ</v>
      </c>
      <c r="E1466">
        <v>2015</v>
      </c>
    </row>
    <row r="1467" spans="1:5" hidden="1" x14ac:dyDescent="0.25">
      <c r="A1467" t="str">
        <f>_xlfn.XLOOKUP(C1467, 'Códigos DANE Municipios'!$B$2:$B$1123, 'Códigos DANE Municipios'!$A$2:$A$1123, "No encontrado")</f>
        <v>05045</v>
      </c>
      <c r="B1467" t="str">
        <f>IFERROR(VLOOKUP(D1467,APOYO!K:L,2,FALSE),A1467)</f>
        <v>05045</v>
      </c>
      <c r="C1467" t="s">
        <v>36</v>
      </c>
      <c r="D1467" t="str">
        <f>IFERROR(VLOOKUP(C1467,APOYO!J:K,2,FALSE),C1467)</f>
        <v>APARTADÓ</v>
      </c>
      <c r="E1467">
        <v>2015</v>
      </c>
    </row>
    <row r="1468" spans="1:5" hidden="1" x14ac:dyDescent="0.25">
      <c r="A1468" t="str">
        <f>_xlfn.XLOOKUP(C1468, 'Códigos DANE Municipios'!$B$2:$B$1123, 'Códigos DANE Municipios'!$A$2:$A$1123, "No encontrado")</f>
        <v>66045</v>
      </c>
      <c r="B1468" t="str">
        <f>IFERROR(VLOOKUP(D1468,APOYO!K:L,2,FALSE),A1468)</f>
        <v>66045</v>
      </c>
      <c r="C1468" t="s">
        <v>1630</v>
      </c>
      <c r="D1468" t="str">
        <f>IFERROR(VLOOKUP(C1468,APOYO!J:K,2,FALSE),C1468)</f>
        <v>APÍA</v>
      </c>
      <c r="E1468">
        <v>2015</v>
      </c>
    </row>
    <row r="1469" spans="1:5" hidden="1" x14ac:dyDescent="0.25">
      <c r="A1469" t="str">
        <f>_xlfn.XLOOKUP(C1469, 'Códigos DANE Municipios'!$B$2:$B$1123, 'Códigos DANE Municipios'!$A$2:$A$1123, "No encontrado")</f>
        <v>15047</v>
      </c>
      <c r="B1469" t="str">
        <f>IFERROR(VLOOKUP(D1469,APOYO!K:L,2,FALSE),A1469)</f>
        <v>15047</v>
      </c>
      <c r="C1469" t="s">
        <v>405</v>
      </c>
      <c r="D1469" t="str">
        <f>IFERROR(VLOOKUP(C1469,APOYO!J:K,2,FALSE),C1469)</f>
        <v>AQUITANIA</v>
      </c>
      <c r="E1469">
        <v>2015</v>
      </c>
    </row>
    <row r="1470" spans="1:5" hidden="1" x14ac:dyDescent="0.25">
      <c r="A1470" t="str">
        <f>_xlfn.XLOOKUP(C1470, 'Códigos DANE Municipios'!$B$2:$B$1123, 'Códigos DANE Municipios'!$A$2:$A$1123, "No encontrado")</f>
        <v>47053</v>
      </c>
      <c r="B1470" t="str">
        <f>IFERROR(VLOOKUP(D1470,APOYO!K:L,2,FALSE),A1470)</f>
        <v>47053</v>
      </c>
      <c r="C1470" t="s">
        <v>1304</v>
      </c>
      <c r="D1470" t="str">
        <f>IFERROR(VLOOKUP(C1470,APOYO!J:K,2,FALSE),C1470)</f>
        <v>ARACATACA</v>
      </c>
      <c r="E1470">
        <v>2015</v>
      </c>
    </row>
    <row r="1471" spans="1:5" hidden="1" x14ac:dyDescent="0.25">
      <c r="A1471" t="str">
        <f>_xlfn.XLOOKUP(C1471, 'Códigos DANE Municipios'!$B$2:$B$1123, 'Códigos DANE Municipios'!$A$2:$A$1123, "No encontrado")</f>
        <v>17050</v>
      </c>
      <c r="B1471" t="str">
        <f>IFERROR(VLOOKUP(D1471,APOYO!K:L,2,FALSE),A1471)</f>
        <v>17050</v>
      </c>
      <c r="C1471" t="s">
        <v>650</v>
      </c>
      <c r="D1471" t="str">
        <f>IFERROR(VLOOKUP(C1471,APOYO!J:K,2,FALSE),C1471)</f>
        <v>ARANZAZU</v>
      </c>
      <c r="E1471">
        <v>2015</v>
      </c>
    </row>
    <row r="1472" spans="1:5" hidden="1" x14ac:dyDescent="0.25">
      <c r="A1472" t="str">
        <f>_xlfn.XLOOKUP(C1472, 'Códigos DANE Municipios'!$B$2:$B$1123, 'Códigos DANE Municipios'!$A$2:$A$1123, "No encontrado")</f>
        <v>68051</v>
      </c>
      <c r="B1472" t="str">
        <f>IFERROR(VLOOKUP(D1472,APOYO!K:L,2,FALSE),A1472)</f>
        <v>68051</v>
      </c>
      <c r="C1472" t="s">
        <v>1660</v>
      </c>
      <c r="D1472" t="str">
        <f>IFERROR(VLOOKUP(C1472,APOYO!J:K,2,FALSE),C1472)</f>
        <v>ARATOCA</v>
      </c>
      <c r="E1472">
        <v>2015</v>
      </c>
    </row>
    <row r="1473" spans="1:5" hidden="1" x14ac:dyDescent="0.25">
      <c r="A1473" t="str">
        <f>_xlfn.XLOOKUP(C1473, 'Códigos DANE Municipios'!$B$2:$B$1123, 'Códigos DANE Municipios'!$A$2:$A$1123, "No encontrado")</f>
        <v>81001</v>
      </c>
      <c r="B1473" t="str">
        <f>IFERROR(VLOOKUP(D1473,APOYO!K:L,2,FALSE),A1473)</f>
        <v>81001</v>
      </c>
      <c r="C1473" t="s">
        <v>2034</v>
      </c>
      <c r="D1473" t="str">
        <f>IFERROR(VLOOKUP(C1473,APOYO!J:K,2,FALSE),C1473)</f>
        <v>ARAUCA</v>
      </c>
      <c r="E1473">
        <v>2015</v>
      </c>
    </row>
    <row r="1474" spans="1:5" hidden="1" x14ac:dyDescent="0.25">
      <c r="A1474" t="str">
        <f>_xlfn.XLOOKUP(C1474, 'Códigos DANE Municipios'!$B$2:$B$1123, 'Códigos DANE Municipios'!$A$2:$A$1123, "No encontrado")</f>
        <v>81065</v>
      </c>
      <c r="B1474" t="str">
        <f>IFERROR(VLOOKUP(D1474,APOYO!K:L,2,FALSE),A1474)</f>
        <v>81065</v>
      </c>
      <c r="C1474" t="s">
        <v>2036</v>
      </c>
      <c r="D1474" t="str">
        <f>IFERROR(VLOOKUP(C1474,APOYO!J:K,2,FALSE),C1474)</f>
        <v>ARAUQUITA</v>
      </c>
      <c r="E1474">
        <v>2015</v>
      </c>
    </row>
    <row r="1475" spans="1:5" hidden="1" x14ac:dyDescent="0.25">
      <c r="A1475" t="str">
        <f>_xlfn.XLOOKUP(C1475, 'Códigos DANE Municipios'!$B$2:$B$1123, 'Códigos DANE Municipios'!$A$2:$A$1123, "No encontrado")</f>
        <v>25053</v>
      </c>
      <c r="B1475" t="str">
        <f>IFERROR(VLOOKUP(D1475,APOYO!K:L,2,FALSE),A1475)</f>
        <v>25053</v>
      </c>
      <c r="C1475" t="s">
        <v>924</v>
      </c>
      <c r="D1475" t="str">
        <f>IFERROR(VLOOKUP(C1475,APOYO!J:K,2,FALSE),C1475)</f>
        <v>ARBELÁEZ</v>
      </c>
      <c r="E1475">
        <v>2015</v>
      </c>
    </row>
    <row r="1476" spans="1:5" hidden="1" x14ac:dyDescent="0.25">
      <c r="A1476" t="str">
        <f>_xlfn.XLOOKUP(C1476, 'Códigos DANE Municipios'!$B$2:$B$1123, 'Códigos DANE Municipios'!$A$2:$A$1123, "No encontrado")</f>
        <v>54051</v>
      </c>
      <c r="B1476" t="str">
        <f>IFERROR(VLOOKUP(D1476,APOYO!K:L,2,FALSE),A1476)</f>
        <v>54051</v>
      </c>
      <c r="C1476" t="s">
        <v>1533</v>
      </c>
      <c r="D1476" t="str">
        <f>IFERROR(VLOOKUP(C1476,APOYO!J:K,2,FALSE),C1476)</f>
        <v>ARBOLEDAS</v>
      </c>
      <c r="E1476">
        <v>2015</v>
      </c>
    </row>
    <row r="1477" spans="1:5" hidden="1" x14ac:dyDescent="0.25">
      <c r="A1477" t="str">
        <f>_xlfn.XLOOKUP(C1477, 'Códigos DANE Municipios'!$B$2:$B$1123, 'Códigos DANE Municipios'!$A$2:$A$1123, "No encontrado")</f>
        <v>05051</v>
      </c>
      <c r="B1477" t="str">
        <f>IFERROR(VLOOKUP(D1477,APOYO!K:L,2,FALSE),A1477)</f>
        <v>05051</v>
      </c>
      <c r="C1477" t="s">
        <v>38</v>
      </c>
      <c r="D1477" t="str">
        <f>IFERROR(VLOOKUP(C1477,APOYO!J:K,2,FALSE),C1477)</f>
        <v>ARBOLETES</v>
      </c>
      <c r="E1477">
        <v>2015</v>
      </c>
    </row>
    <row r="1478" spans="1:5" hidden="1" x14ac:dyDescent="0.25">
      <c r="A1478" t="str">
        <f>_xlfn.XLOOKUP(C1478, 'Códigos DANE Municipios'!$B$2:$B$1123, 'Códigos DANE Municipios'!$A$2:$A$1123, "No encontrado")</f>
        <v>15051</v>
      </c>
      <c r="B1478" t="str">
        <f>IFERROR(VLOOKUP(D1478,APOYO!K:L,2,FALSE),A1478)</f>
        <v>15051</v>
      </c>
      <c r="C1478" t="s">
        <v>407</v>
      </c>
      <c r="D1478" t="str">
        <f>IFERROR(VLOOKUP(C1478,APOYO!J:K,2,FALSE),C1478)</f>
        <v>ARCABUCO</v>
      </c>
      <c r="E1478">
        <v>2015</v>
      </c>
    </row>
    <row r="1479" spans="1:5" hidden="1" x14ac:dyDescent="0.25">
      <c r="A1479" t="str">
        <f>_xlfn.XLOOKUP(C1479, 'Códigos DANE Municipios'!$B$2:$B$1123, 'Códigos DANE Municipios'!$A$2:$A$1123, "No encontrado")</f>
        <v>05055</v>
      </c>
      <c r="B1479" t="str">
        <f>IFERROR(VLOOKUP(D1479,APOYO!K:L,2,FALSE),A1479)</f>
        <v>05055</v>
      </c>
      <c r="C1479" t="s">
        <v>40</v>
      </c>
      <c r="D1479" t="str">
        <f>IFERROR(VLOOKUP(C1479,APOYO!J:K,2,FALSE),C1479)</f>
        <v>ARGELIA</v>
      </c>
      <c r="E1479">
        <v>2015</v>
      </c>
    </row>
    <row r="1480" spans="1:5" hidden="1" x14ac:dyDescent="0.25">
      <c r="A1480" t="str">
        <f>_xlfn.XLOOKUP(C1480, 'Códigos DANE Municipios'!$B$2:$B$1123, 'Códigos DANE Municipios'!$A$2:$A$1123, "No encontrado")</f>
        <v>47058</v>
      </c>
      <c r="B1480" t="str">
        <f>IFERROR(VLOOKUP(D1480,APOYO!K:L,2,FALSE),A1480)</f>
        <v>47058</v>
      </c>
      <c r="C1480" t="s">
        <v>1306</v>
      </c>
      <c r="D1480" t="str">
        <f>IFERROR(VLOOKUP(C1480,APOYO!J:K,2,FALSE),C1480)</f>
        <v>ARIGUANÍ</v>
      </c>
      <c r="E1480">
        <v>2015</v>
      </c>
    </row>
    <row r="1481" spans="1:5" hidden="1" x14ac:dyDescent="0.25">
      <c r="A1481" t="str">
        <f>_xlfn.XLOOKUP(C1481, 'Códigos DANE Municipios'!$B$2:$B$1123, 'Códigos DANE Municipios'!$A$2:$A$1123, "No encontrado")</f>
        <v>13052</v>
      </c>
      <c r="B1481" t="str">
        <f>IFERROR(VLOOKUP(D1481,APOYO!K:L,2,FALSE),A1481)</f>
        <v>13052</v>
      </c>
      <c r="C1481" t="s">
        <v>317</v>
      </c>
      <c r="D1481" t="str">
        <f>IFERROR(VLOOKUP(C1481,APOYO!J:K,2,FALSE),C1481)</f>
        <v>ARJONA</v>
      </c>
      <c r="E1481">
        <v>2015</v>
      </c>
    </row>
    <row r="1482" spans="1:5" hidden="1" x14ac:dyDescent="0.25">
      <c r="A1482" t="str">
        <f>_xlfn.XLOOKUP(C1482, 'Códigos DANE Municipios'!$B$2:$B$1123, 'Códigos DANE Municipios'!$A$2:$A$1123, "No encontrado")</f>
        <v>05059</v>
      </c>
      <c r="B1482" t="str">
        <f>IFERROR(VLOOKUP(D1482,APOYO!K:L,2,FALSE),A1482)</f>
        <v>05059</v>
      </c>
      <c r="C1482" t="s">
        <v>42</v>
      </c>
      <c r="D1482" t="str">
        <f>IFERROR(VLOOKUP(C1482,APOYO!J:K,2,FALSE),C1482)</f>
        <v>ARMENIA</v>
      </c>
      <c r="E1482">
        <v>2015</v>
      </c>
    </row>
    <row r="1483" spans="1:5" hidden="1" x14ac:dyDescent="0.25">
      <c r="A1483" t="str">
        <f>_xlfn.XLOOKUP(C1483, 'Códigos DANE Municipios'!$B$2:$B$1123, 'Códigos DANE Municipios'!$A$2:$A$1123, "No encontrado")</f>
        <v>73055</v>
      </c>
      <c r="B1483" t="str">
        <f>IFERROR(VLOOKUP(D1483,APOYO!K:L,2,FALSE),A1483)</f>
        <v>73055</v>
      </c>
      <c r="C1483" t="s">
        <v>1875</v>
      </c>
      <c r="D1483" t="str">
        <f>IFERROR(VLOOKUP(C1483,APOYO!J:K,2,FALSE),C1483)</f>
        <v>ARMERO GUAYABAL</v>
      </c>
      <c r="E1483">
        <v>2015</v>
      </c>
    </row>
    <row r="1484" spans="1:5" hidden="1" x14ac:dyDescent="0.25">
      <c r="A1484" t="str">
        <f>_xlfn.XLOOKUP(C1484, 'Códigos DANE Municipios'!$B$2:$B$1123, 'Códigos DANE Municipios'!$A$2:$A$1123, "No encontrado")</f>
        <v>20032</v>
      </c>
      <c r="B1484" t="str">
        <f>IFERROR(VLOOKUP(D1484,APOYO!K:L,2,FALSE),A1484)</f>
        <v>20032</v>
      </c>
      <c r="C1484" t="s">
        <v>814</v>
      </c>
      <c r="D1484" t="str">
        <f>IFERROR(VLOOKUP(C1484,APOYO!J:K,2,FALSE),C1484)</f>
        <v>ASTREA</v>
      </c>
      <c r="E1484">
        <v>2015</v>
      </c>
    </row>
    <row r="1485" spans="1:5" hidden="1" x14ac:dyDescent="0.25">
      <c r="A1485" t="str">
        <f>_xlfn.XLOOKUP(C1485, 'Códigos DANE Municipios'!$B$2:$B$1123, 'Códigos DANE Municipios'!$A$2:$A$1123, "No encontrado")</f>
        <v>23068</v>
      </c>
      <c r="B1485" t="str">
        <f>IFERROR(VLOOKUP(D1485,APOYO!K:L,2,FALSE),A1485)</f>
        <v>23068</v>
      </c>
      <c r="C1485" t="s">
        <v>860</v>
      </c>
      <c r="D1485" t="str">
        <f>IFERROR(VLOOKUP(C1485,APOYO!J:K,2,FALSE),C1485)</f>
        <v>AYAPEL</v>
      </c>
      <c r="E1485">
        <v>2015</v>
      </c>
    </row>
    <row r="1486" spans="1:5" hidden="1" x14ac:dyDescent="0.25">
      <c r="A1486" t="str">
        <f>_xlfn.XLOOKUP(C1486, 'Códigos DANE Municipios'!$B$2:$B$1123, 'Códigos DANE Municipios'!$A$2:$A$1123, "No encontrado")</f>
        <v>27073</v>
      </c>
      <c r="B1486" t="str">
        <f>IFERROR(VLOOKUP(D1486,APOYO!K:L,2,FALSE),A1486)</f>
        <v>27073</v>
      </c>
      <c r="C1486" t="s">
        <v>1150</v>
      </c>
      <c r="D1486" t="str">
        <f>IFERROR(VLOOKUP(C1486,APOYO!J:K,2,FALSE),C1486)</f>
        <v>BAGADÓ</v>
      </c>
      <c r="E1486">
        <v>2015</v>
      </c>
    </row>
    <row r="1487" spans="1:5" hidden="1" x14ac:dyDescent="0.25">
      <c r="A1487" t="str">
        <f>_xlfn.XLOOKUP(C1487, 'Códigos DANE Municipios'!$B$2:$B$1123, 'Códigos DANE Municipios'!$A$2:$A$1123, "No encontrado")</f>
        <v>27075</v>
      </c>
      <c r="B1487" t="str">
        <f>IFERROR(VLOOKUP(D1487,APOYO!K:L,2,FALSE),A1487)</f>
        <v>27075</v>
      </c>
      <c r="C1487" t="s">
        <v>1152</v>
      </c>
      <c r="D1487" t="str">
        <f>IFERROR(VLOOKUP(C1487,APOYO!J:K,2,FALSE),C1487)</f>
        <v>BAHÍA SOLANO</v>
      </c>
      <c r="E1487">
        <v>2015</v>
      </c>
    </row>
    <row r="1488" spans="1:5" hidden="1" x14ac:dyDescent="0.25">
      <c r="A1488" t="str">
        <f>_xlfn.XLOOKUP(C1488, 'Códigos DANE Municipios'!$B$2:$B$1123, 'Códigos DANE Municipios'!$A$2:$A$1123, "No encontrado")</f>
        <v>27077</v>
      </c>
      <c r="B1488" t="str">
        <f>IFERROR(VLOOKUP(D1488,APOYO!K:L,2,FALSE),A1488)</f>
        <v>27077</v>
      </c>
      <c r="C1488" t="s">
        <v>1154</v>
      </c>
      <c r="D1488" t="str">
        <f>IFERROR(VLOOKUP(C1488,APOYO!J:K,2,FALSE),C1488)</f>
        <v>BAJO BAUDÓ</v>
      </c>
      <c r="E1488">
        <v>2015</v>
      </c>
    </row>
    <row r="1489" spans="1:5" hidden="1" x14ac:dyDescent="0.25">
      <c r="A1489" t="str">
        <f>_xlfn.XLOOKUP(C1489, 'Códigos DANE Municipios'!$B$2:$B$1123, 'Códigos DANE Municipios'!$A$2:$A$1123, "No encontrado")</f>
        <v>19075</v>
      </c>
      <c r="B1489" t="str">
        <f>IFERROR(VLOOKUP(D1489,APOYO!K:L,2,FALSE),A1489)</f>
        <v>19075</v>
      </c>
      <c r="C1489" t="s">
        <v>734</v>
      </c>
      <c r="D1489" t="str">
        <f>IFERROR(VLOOKUP(C1489,APOYO!J:K,2,FALSE),C1489)</f>
        <v>BALBOA</v>
      </c>
      <c r="E1489">
        <v>2015</v>
      </c>
    </row>
    <row r="1490" spans="1:5" hidden="1" x14ac:dyDescent="0.25">
      <c r="A1490" t="str">
        <f>_xlfn.XLOOKUP(C1490, 'Códigos DANE Municipios'!$B$2:$B$1123, 'Códigos DANE Municipios'!$A$2:$A$1123, "No encontrado")</f>
        <v>08078</v>
      </c>
      <c r="B1490" t="str">
        <f>IFERROR(VLOOKUP(D1490,APOYO!K:L,2,FALSE),A1490)</f>
        <v>08078</v>
      </c>
      <c r="C1490" t="s">
        <v>264</v>
      </c>
      <c r="D1490" t="str">
        <f>IFERROR(VLOOKUP(C1490,APOYO!J:K,2,FALSE),C1490)</f>
        <v>BARANOA</v>
      </c>
      <c r="E1490">
        <v>2015</v>
      </c>
    </row>
    <row r="1491" spans="1:5" hidden="1" x14ac:dyDescent="0.25">
      <c r="A1491" t="str">
        <f>_xlfn.XLOOKUP(C1491, 'Códigos DANE Municipios'!$B$2:$B$1123, 'Códigos DANE Municipios'!$A$2:$A$1123, "No encontrado")</f>
        <v>41078</v>
      </c>
      <c r="B1491" t="str">
        <f>IFERROR(VLOOKUP(D1491,APOYO!K:L,2,FALSE),A1491)</f>
        <v>41078</v>
      </c>
      <c r="C1491" t="s">
        <v>1213</v>
      </c>
      <c r="D1491" t="str">
        <f>IFERROR(VLOOKUP(C1491,APOYO!J:K,2,FALSE),C1491)</f>
        <v>BARAYA</v>
      </c>
      <c r="E1491">
        <v>2015</v>
      </c>
    </row>
    <row r="1492" spans="1:5" hidden="1" x14ac:dyDescent="0.25">
      <c r="A1492" t="str">
        <f>_xlfn.XLOOKUP(C1492, 'Códigos DANE Municipios'!$B$2:$B$1123, 'Códigos DANE Municipios'!$A$2:$A$1123, "No encontrado")</f>
        <v>52079</v>
      </c>
      <c r="B1492" t="str">
        <f>IFERROR(VLOOKUP(D1492,APOYO!K:L,2,FALSE),A1492)</f>
        <v>52079</v>
      </c>
      <c r="C1492" t="s">
        <v>1421</v>
      </c>
      <c r="D1492" t="str">
        <f>IFERROR(VLOOKUP(C1492,APOYO!J:K,2,FALSE),C1492)</f>
        <v>BARBACOAS</v>
      </c>
      <c r="E1492">
        <v>2015</v>
      </c>
    </row>
    <row r="1493" spans="1:5" hidden="1" x14ac:dyDescent="0.25">
      <c r="A1493" t="str">
        <f>_xlfn.XLOOKUP(C1493, 'Códigos DANE Municipios'!$B$2:$B$1123, 'Códigos DANE Municipios'!$A$2:$A$1123, "No encontrado")</f>
        <v>05079</v>
      </c>
      <c r="B1493" t="str">
        <f>IFERROR(VLOOKUP(D1493,APOYO!K:L,2,FALSE),A1493)</f>
        <v>05079</v>
      </c>
      <c r="C1493" t="s">
        <v>44</v>
      </c>
      <c r="D1493" t="str">
        <f>IFERROR(VLOOKUP(C1493,APOYO!J:K,2,FALSE),C1493)</f>
        <v>BARBOSA</v>
      </c>
      <c r="E1493">
        <v>2015</v>
      </c>
    </row>
    <row r="1494" spans="1:5" hidden="1" x14ac:dyDescent="0.25">
      <c r="A1494" t="str">
        <f>_xlfn.XLOOKUP(C1494, 'Códigos DANE Municipios'!$B$2:$B$1123, 'Códigos DANE Municipios'!$A$2:$A$1123, "No encontrado")</f>
        <v>68079</v>
      </c>
      <c r="B1494" t="str">
        <f>IFERROR(VLOOKUP(D1494,APOYO!K:L,2,FALSE),A1494)</f>
        <v>68079</v>
      </c>
      <c r="C1494" t="s">
        <v>1663</v>
      </c>
      <c r="D1494" t="str">
        <f>IFERROR(VLOOKUP(C1494,APOYO!J:K,2,FALSE),C1494)</f>
        <v>BARICHARA</v>
      </c>
      <c r="E1494">
        <v>2015</v>
      </c>
    </row>
    <row r="1495" spans="1:5" hidden="1" x14ac:dyDescent="0.25">
      <c r="A1495" t="str">
        <f>_xlfn.XLOOKUP(C1495, 'Códigos DANE Municipios'!$B$2:$B$1123, 'Códigos DANE Municipios'!$A$2:$A$1123, "No encontrado")</f>
        <v>50110</v>
      </c>
      <c r="B1495" t="str">
        <f>IFERROR(VLOOKUP(D1495,APOYO!K:L,2,FALSE),A1495)</f>
        <v>50110</v>
      </c>
      <c r="C1495" t="s">
        <v>1362</v>
      </c>
      <c r="D1495" t="str">
        <f>IFERROR(VLOOKUP(C1495,APOYO!J:K,2,FALSE),C1495)</f>
        <v>BARRANCA DE UPÍA</v>
      </c>
      <c r="E1495">
        <v>2015</v>
      </c>
    </row>
    <row r="1496" spans="1:5" hidden="1" x14ac:dyDescent="0.25">
      <c r="A1496" t="str">
        <f>_xlfn.XLOOKUP(C1496, 'Códigos DANE Municipios'!$B$2:$B$1123, 'Códigos DANE Municipios'!$A$2:$A$1123, "No encontrado")</f>
        <v>68081</v>
      </c>
      <c r="B1496" t="str">
        <f>IFERROR(VLOOKUP(D1496,APOYO!K:L,2,FALSE),A1496)</f>
        <v>68081</v>
      </c>
      <c r="C1496" t="s">
        <v>1665</v>
      </c>
      <c r="D1496" t="str">
        <f>IFERROR(VLOOKUP(C1496,APOYO!J:K,2,FALSE),C1496)</f>
        <v>BARRANCABERMEJA</v>
      </c>
      <c r="E1496">
        <v>2015</v>
      </c>
    </row>
    <row r="1497" spans="1:5" hidden="1" x14ac:dyDescent="0.25">
      <c r="A1497" t="str">
        <f>_xlfn.XLOOKUP(C1497, 'Códigos DANE Municipios'!$B$2:$B$1123, 'Códigos DANE Municipios'!$A$2:$A$1123, "No encontrado")</f>
        <v>44078</v>
      </c>
      <c r="B1497" t="str">
        <f>IFERROR(VLOOKUP(D1497,APOYO!K:L,2,FALSE),A1497)</f>
        <v>44078</v>
      </c>
      <c r="C1497" t="s">
        <v>1275</v>
      </c>
      <c r="D1497" t="str">
        <f>IFERROR(VLOOKUP(C1497,APOYO!J:K,2,FALSE),C1497)</f>
        <v>BARRANCAS</v>
      </c>
      <c r="E1497">
        <v>2015</v>
      </c>
    </row>
    <row r="1498" spans="1:5" hidden="1" x14ac:dyDescent="0.25">
      <c r="A1498" t="str">
        <f>_xlfn.XLOOKUP(C1498, 'Códigos DANE Municipios'!$B$2:$B$1123, 'Códigos DANE Municipios'!$A$2:$A$1123, "No encontrado")</f>
        <v>08001</v>
      </c>
      <c r="B1498" t="str">
        <f>IFERROR(VLOOKUP(D1498,APOYO!K:L,2,FALSE),A1498)</f>
        <v>08001</v>
      </c>
      <c r="C1498" t="s">
        <v>262</v>
      </c>
      <c r="D1498" t="str">
        <f>IFERROR(VLOOKUP(C1498,APOYO!J:K,2,FALSE),C1498)</f>
        <v>BARRANQUILLA</v>
      </c>
      <c r="E1498">
        <v>2015</v>
      </c>
    </row>
    <row r="1499" spans="1:5" hidden="1" x14ac:dyDescent="0.25">
      <c r="A1499" t="str">
        <f>_xlfn.XLOOKUP(C1499, 'Códigos DANE Municipios'!$B$2:$B$1123, 'Códigos DANE Municipios'!$A$2:$A$1123, "No encontrado")</f>
        <v>17088</v>
      </c>
      <c r="B1499" t="str">
        <f>IFERROR(VLOOKUP(D1499,APOYO!K:L,2,FALSE),A1499)</f>
        <v>17088</v>
      </c>
      <c r="C1499" t="s">
        <v>652</v>
      </c>
      <c r="D1499" t="str">
        <f>IFERROR(VLOOKUP(C1499,APOYO!J:K,2,FALSE),C1499)</f>
        <v>BELALCÁZAR</v>
      </c>
      <c r="E1499">
        <v>2015</v>
      </c>
    </row>
    <row r="1500" spans="1:5" hidden="1" x14ac:dyDescent="0.25">
      <c r="A1500" t="str">
        <f>_xlfn.XLOOKUP(C1500, 'Códigos DANE Municipios'!$B$2:$B$1123, 'Códigos DANE Municipios'!$A$2:$A$1123, "No encontrado")</f>
        <v>15087</v>
      </c>
      <c r="B1500" t="str">
        <f>IFERROR(VLOOKUP(D1500,APOYO!K:L,2,FALSE),A1500)</f>
        <v>15087</v>
      </c>
      <c r="C1500" t="s">
        <v>409</v>
      </c>
      <c r="D1500" t="str">
        <f>IFERROR(VLOOKUP(C1500,APOYO!J:K,2,FALSE),C1500)</f>
        <v>BELÉN</v>
      </c>
      <c r="E1500">
        <v>2015</v>
      </c>
    </row>
    <row r="1501" spans="1:5" hidden="1" x14ac:dyDescent="0.25">
      <c r="A1501" t="str">
        <f>_xlfn.XLOOKUP(C1501, 'Códigos DANE Municipios'!$B$2:$B$1123, 'Códigos DANE Municipios'!$A$2:$A$1123, "No encontrado")</f>
        <v>66088</v>
      </c>
      <c r="B1501" t="str">
        <f>IFERROR(VLOOKUP(D1501,APOYO!K:L,2,FALSE),A1501)</f>
        <v>66088</v>
      </c>
      <c r="C1501" t="s">
        <v>1633</v>
      </c>
      <c r="D1501" t="str">
        <f>IFERROR(VLOOKUP(C1501,APOYO!J:K,2,FALSE),C1501)</f>
        <v>BELÉN DE UMBRÍA</v>
      </c>
      <c r="E1501">
        <v>2015</v>
      </c>
    </row>
    <row r="1502" spans="1:5" hidden="1" x14ac:dyDescent="0.25">
      <c r="A1502" t="str">
        <f>_xlfn.XLOOKUP(C1502, 'Códigos DANE Municipios'!$B$2:$B$1123, 'Códigos DANE Municipios'!$A$2:$A$1123, "No encontrado")</f>
        <v>05088</v>
      </c>
      <c r="B1502" t="str">
        <f>IFERROR(VLOOKUP(D1502,APOYO!K:L,2,FALSE),A1502)</f>
        <v>05088</v>
      </c>
      <c r="C1502" t="s">
        <v>48</v>
      </c>
      <c r="D1502" t="str">
        <f>IFERROR(VLOOKUP(C1502,APOYO!J:K,2,FALSE),C1502)</f>
        <v>BELLO</v>
      </c>
      <c r="E1502">
        <v>2015</v>
      </c>
    </row>
    <row r="1503" spans="1:5" hidden="1" x14ac:dyDescent="0.25">
      <c r="A1503" t="str">
        <f>_xlfn.XLOOKUP(C1503, 'Códigos DANE Municipios'!$B$2:$B$1123, 'Códigos DANE Municipios'!$A$2:$A$1123, "No encontrado")</f>
        <v>05086</v>
      </c>
      <c r="B1503" t="str">
        <f>IFERROR(VLOOKUP(D1503,APOYO!K:L,2,FALSE),A1503)</f>
        <v>05086</v>
      </c>
      <c r="C1503" t="s">
        <v>46</v>
      </c>
      <c r="D1503" t="str">
        <f>IFERROR(VLOOKUP(C1503,APOYO!J:K,2,FALSE),C1503)</f>
        <v>BELMIRA</v>
      </c>
      <c r="E1503">
        <v>2015</v>
      </c>
    </row>
    <row r="1504" spans="1:5" hidden="1" x14ac:dyDescent="0.25">
      <c r="A1504" t="str">
        <f>_xlfn.XLOOKUP(C1504, 'Códigos DANE Municipios'!$B$2:$B$1123, 'Códigos DANE Municipios'!$A$2:$A$1123, "No encontrado")</f>
        <v>25086</v>
      </c>
      <c r="B1504" t="str">
        <f>IFERROR(VLOOKUP(D1504,APOYO!K:L,2,FALSE),A1504)</f>
        <v>25086</v>
      </c>
      <c r="C1504" t="s">
        <v>926</v>
      </c>
      <c r="D1504" t="str">
        <f>IFERROR(VLOOKUP(C1504,APOYO!J:K,2,FALSE),C1504)</f>
        <v>BELTRÁN</v>
      </c>
      <c r="E1504">
        <v>2015</v>
      </c>
    </row>
    <row r="1505" spans="1:5" hidden="1" x14ac:dyDescent="0.25">
      <c r="A1505" t="str">
        <f>_xlfn.XLOOKUP(C1505, 'Códigos DANE Municipios'!$B$2:$B$1123, 'Códigos DANE Municipios'!$A$2:$A$1123, "No encontrado")</f>
        <v>05091</v>
      </c>
      <c r="B1505" t="str">
        <f>IFERROR(VLOOKUP(D1505,APOYO!K:L,2,FALSE),A1505)</f>
        <v>05091</v>
      </c>
      <c r="C1505" t="s">
        <v>50</v>
      </c>
      <c r="D1505" t="str">
        <f>IFERROR(VLOOKUP(C1505,APOYO!J:K,2,FALSE),C1505)</f>
        <v>BETANIA</v>
      </c>
      <c r="E1505">
        <v>2015</v>
      </c>
    </row>
    <row r="1506" spans="1:5" hidden="1" x14ac:dyDescent="0.25">
      <c r="A1506" t="str">
        <f>_xlfn.XLOOKUP(C1506, 'Códigos DANE Municipios'!$B$2:$B$1123, 'Códigos DANE Municipios'!$A$2:$A$1123, "No encontrado")</f>
        <v>05093</v>
      </c>
      <c r="B1506" t="str">
        <f>IFERROR(VLOOKUP(D1506,APOYO!K:L,2,FALSE),A1506)</f>
        <v>05093</v>
      </c>
      <c r="C1506" t="s">
        <v>52</v>
      </c>
      <c r="D1506" t="str">
        <f>IFERROR(VLOOKUP(C1506,APOYO!J:K,2,FALSE),C1506)</f>
        <v>BETULIA</v>
      </c>
      <c r="E1506">
        <v>2015</v>
      </c>
    </row>
    <row r="1507" spans="1:5" hidden="1" x14ac:dyDescent="0.25">
      <c r="A1507" t="str">
        <f>_xlfn.XLOOKUP(C1507, 'Códigos DANE Municipios'!$B$2:$B$1123, 'Códigos DANE Municipios'!$A$2:$A$1123, "No encontrado")</f>
        <v>25095</v>
      </c>
      <c r="B1507" t="str">
        <f>IFERROR(VLOOKUP(D1507,APOYO!K:L,2,FALSE),A1507)</f>
        <v>25095</v>
      </c>
      <c r="C1507" t="s">
        <v>928</v>
      </c>
      <c r="D1507" t="str">
        <f>IFERROR(VLOOKUP(C1507,APOYO!J:K,2,FALSE),C1507)</f>
        <v>BITUIMA</v>
      </c>
      <c r="E1507">
        <v>2015</v>
      </c>
    </row>
    <row r="1508" spans="1:5" hidden="1" x14ac:dyDescent="0.25">
      <c r="A1508" t="str">
        <f>_xlfn.XLOOKUP(C1508, 'Códigos DANE Municipios'!$B$2:$B$1123, 'Códigos DANE Municipios'!$A$2:$A$1123, "No encontrado")</f>
        <v>15097</v>
      </c>
      <c r="B1508" t="str">
        <f>IFERROR(VLOOKUP(D1508,APOYO!K:L,2,FALSE),A1508)</f>
        <v>15097</v>
      </c>
      <c r="C1508" t="s">
        <v>415</v>
      </c>
      <c r="D1508" t="str">
        <f>IFERROR(VLOOKUP(C1508,APOYO!J:K,2,FALSE),C1508)</f>
        <v>BOAVITA</v>
      </c>
      <c r="E1508">
        <v>2015</v>
      </c>
    </row>
    <row r="1509" spans="1:5" hidden="1" x14ac:dyDescent="0.25">
      <c r="A1509" t="str">
        <f>_xlfn.XLOOKUP(C1509, 'Códigos DANE Municipios'!$B$2:$B$1123, 'Códigos DANE Municipios'!$A$2:$A$1123, "No encontrado")</f>
        <v>54099</v>
      </c>
      <c r="B1509" t="str">
        <f>IFERROR(VLOOKUP(D1509,APOYO!K:L,2,FALSE),A1509)</f>
        <v>54099</v>
      </c>
      <c r="C1509" t="s">
        <v>1535</v>
      </c>
      <c r="D1509" t="str">
        <f>IFERROR(VLOOKUP(C1509,APOYO!J:K,2,FALSE),C1509)</f>
        <v>BOCHALEMA</v>
      </c>
      <c r="E1509">
        <v>2015</v>
      </c>
    </row>
    <row r="1510" spans="1:5" hidden="1" x14ac:dyDescent="0.25">
      <c r="A1510" t="str">
        <f>_xlfn.XLOOKUP(C1510, 'Códigos DANE Municipios'!$B$2:$B$1123, 'Códigos DANE Municipios'!$A$2:$A$1123, "No encontrado")</f>
        <v>11001</v>
      </c>
      <c r="B1510" t="str">
        <f>IFERROR(VLOOKUP(D1510,APOYO!K:L,2,FALSE),A1510)</f>
        <v>11001</v>
      </c>
      <c r="C1510" t="s">
        <v>307</v>
      </c>
      <c r="D1510" t="str">
        <f>IFERROR(VLOOKUP(C1510,APOYO!J:K,2,FALSE),C1510)</f>
        <v>BOGOTÁ, D.C.</v>
      </c>
      <c r="E1510">
        <v>2015</v>
      </c>
    </row>
    <row r="1511" spans="1:5" hidden="1" x14ac:dyDescent="0.25">
      <c r="A1511" t="str">
        <f>_xlfn.XLOOKUP(C1511, 'Códigos DANE Municipios'!$B$2:$B$1123, 'Códigos DANE Municipios'!$A$2:$A$1123, "No encontrado")</f>
        <v>25099</v>
      </c>
      <c r="B1511" t="str">
        <f>IFERROR(VLOOKUP(D1511,APOYO!K:L,2,FALSE),A1511)</f>
        <v>25099</v>
      </c>
      <c r="C1511" t="s">
        <v>930</v>
      </c>
      <c r="D1511" t="str">
        <f>IFERROR(VLOOKUP(C1511,APOYO!J:K,2,FALSE),C1511)</f>
        <v>BOJACÁ</v>
      </c>
      <c r="E1511">
        <v>2015</v>
      </c>
    </row>
    <row r="1512" spans="1:5" hidden="1" x14ac:dyDescent="0.25">
      <c r="A1512" t="str">
        <f>_xlfn.XLOOKUP(C1512, 'Códigos DANE Municipios'!$B$2:$B$1123, 'Códigos DANE Municipios'!$A$2:$A$1123, "No encontrado")</f>
        <v>19100</v>
      </c>
      <c r="B1512" t="str">
        <f>IFERROR(VLOOKUP(D1512,APOYO!K:L,2,FALSE),A1512)</f>
        <v>19100</v>
      </c>
      <c r="C1512" t="s">
        <v>736</v>
      </c>
      <c r="D1512" t="str">
        <f>IFERROR(VLOOKUP(C1512,APOYO!J:K,2,FALSE),C1512)</f>
        <v>BOLÍVAR</v>
      </c>
      <c r="E1512">
        <v>2015</v>
      </c>
    </row>
    <row r="1513" spans="1:5" hidden="1" x14ac:dyDescent="0.25">
      <c r="A1513" t="str">
        <f>_xlfn.XLOOKUP(C1513, 'Códigos DANE Municipios'!$B$2:$B$1123, 'Códigos DANE Municipios'!$A$2:$A$1123, "No encontrado")</f>
        <v>20060</v>
      </c>
      <c r="B1513" t="str">
        <f>IFERROR(VLOOKUP(D1513,APOYO!K:L,2,FALSE),A1513)</f>
        <v>20060</v>
      </c>
      <c r="C1513" t="s">
        <v>818</v>
      </c>
      <c r="D1513" t="str">
        <f>IFERROR(VLOOKUP(C1513,APOYO!J:K,2,FALSE),C1513)</f>
        <v>BOSCONIA</v>
      </c>
      <c r="E1513">
        <v>2015</v>
      </c>
    </row>
    <row r="1514" spans="1:5" hidden="1" x14ac:dyDescent="0.25">
      <c r="A1514" t="str">
        <f>_xlfn.XLOOKUP(C1514, 'Códigos DANE Municipios'!$B$2:$B$1123, 'Códigos DANE Municipios'!$A$2:$A$1123, "No encontrado")</f>
        <v>15104</v>
      </c>
      <c r="B1514" t="str">
        <f>IFERROR(VLOOKUP(D1514,APOYO!K:L,2,FALSE),A1514)</f>
        <v>15104</v>
      </c>
      <c r="C1514" t="s">
        <v>417</v>
      </c>
      <c r="D1514" t="str">
        <f>IFERROR(VLOOKUP(C1514,APOYO!J:K,2,FALSE),C1514)</f>
        <v>BOYACÁ</v>
      </c>
      <c r="E1514">
        <v>2015</v>
      </c>
    </row>
    <row r="1515" spans="1:5" hidden="1" x14ac:dyDescent="0.25">
      <c r="A1515" t="str">
        <f>_xlfn.XLOOKUP(C1515, 'Códigos DANE Municipios'!$B$2:$B$1123, 'Códigos DANE Municipios'!$A$2:$A$1123, "No encontrado")</f>
        <v>05107</v>
      </c>
      <c r="B1515" t="str">
        <f>IFERROR(VLOOKUP(D1515,APOYO!K:L,2,FALSE),A1515)</f>
        <v>05107</v>
      </c>
      <c r="C1515" t="s">
        <v>56</v>
      </c>
      <c r="D1515" t="str">
        <f>IFERROR(VLOOKUP(C1515,APOYO!J:K,2,FALSE),C1515)</f>
        <v>BRICEÑO</v>
      </c>
      <c r="E1515">
        <v>2015</v>
      </c>
    </row>
    <row r="1516" spans="1:5" hidden="1" x14ac:dyDescent="0.25">
      <c r="A1516" t="str">
        <f>_xlfn.XLOOKUP(C1516, 'Códigos DANE Municipios'!$B$2:$B$1123, 'Códigos DANE Municipios'!$A$2:$A$1123, "No encontrado")</f>
        <v>05107</v>
      </c>
      <c r="B1516" t="str">
        <f>IFERROR(VLOOKUP(D1516,APOYO!K:L,2,FALSE),A1516)</f>
        <v>05107</v>
      </c>
      <c r="C1516" t="s">
        <v>56</v>
      </c>
      <c r="D1516" t="str">
        <f>IFERROR(VLOOKUP(C1516,APOYO!J:K,2,FALSE),C1516)</f>
        <v>BRICEÑO</v>
      </c>
      <c r="E1516">
        <v>2015</v>
      </c>
    </row>
    <row r="1517" spans="1:5" hidden="1" x14ac:dyDescent="0.25">
      <c r="A1517" t="str">
        <f>_xlfn.XLOOKUP(C1517, 'Códigos DANE Municipios'!$B$2:$B$1123, 'Códigos DANE Municipios'!$A$2:$A$1123, "No encontrado")</f>
        <v>68001</v>
      </c>
      <c r="B1517" t="str">
        <f>IFERROR(VLOOKUP(D1517,APOYO!K:L,2,FALSE),A1517)</f>
        <v>68001</v>
      </c>
      <c r="C1517" t="s">
        <v>1655</v>
      </c>
      <c r="D1517" t="str">
        <f>IFERROR(VLOOKUP(C1517,APOYO!J:K,2,FALSE),C1517)</f>
        <v>BUCARAMANGA</v>
      </c>
      <c r="E1517">
        <v>2015</v>
      </c>
    </row>
    <row r="1518" spans="1:5" hidden="1" x14ac:dyDescent="0.25">
      <c r="A1518" t="str">
        <f>_xlfn.XLOOKUP(C1518, 'Códigos DANE Municipios'!$B$2:$B$1123, 'Códigos DANE Municipios'!$A$2:$A$1123, "No encontrado")</f>
        <v>76109</v>
      </c>
      <c r="B1518" t="str">
        <f>IFERROR(VLOOKUP(D1518,APOYO!K:L,2,FALSE),A1518)</f>
        <v>76109</v>
      </c>
      <c r="C1518" t="s">
        <v>1967</v>
      </c>
      <c r="D1518" t="str">
        <f>IFERROR(VLOOKUP(C1518,APOYO!J:K,2,FALSE),C1518)</f>
        <v>BUENAVENTURA</v>
      </c>
      <c r="E1518">
        <v>2015</v>
      </c>
    </row>
    <row r="1519" spans="1:5" hidden="1" x14ac:dyDescent="0.25">
      <c r="A1519" t="str">
        <f>_xlfn.XLOOKUP(C1519, 'Códigos DANE Municipios'!$B$2:$B$1123, 'Códigos DANE Municipios'!$A$2:$A$1123, "No encontrado")</f>
        <v>15109</v>
      </c>
      <c r="B1519" t="str">
        <f>IFERROR(VLOOKUP(D1519,APOYO!K:L,2,FALSE),A1519)</f>
        <v>15109</v>
      </c>
      <c r="C1519" t="s">
        <v>420</v>
      </c>
      <c r="D1519" t="str">
        <f>IFERROR(VLOOKUP(C1519,APOYO!J:K,2,FALSE),C1519)</f>
        <v>BUENAVISTA</v>
      </c>
      <c r="E1519">
        <v>2015</v>
      </c>
    </row>
    <row r="1520" spans="1:5" hidden="1" x14ac:dyDescent="0.25">
      <c r="A1520" t="str">
        <f>_xlfn.XLOOKUP(C1520, 'Códigos DANE Municipios'!$B$2:$B$1123, 'Códigos DANE Municipios'!$A$2:$A$1123, "No encontrado")</f>
        <v>52110</v>
      </c>
      <c r="B1520" t="str">
        <f>IFERROR(VLOOKUP(D1520,APOYO!K:L,2,FALSE),A1520)</f>
        <v>52110</v>
      </c>
      <c r="C1520" t="s">
        <v>1424</v>
      </c>
      <c r="D1520" t="str">
        <f>IFERROR(VLOOKUP(C1520,APOYO!J:K,2,FALSE),C1520)</f>
        <v>BUESACO</v>
      </c>
      <c r="E1520">
        <v>2015</v>
      </c>
    </row>
    <row r="1521" spans="1:5" hidden="1" x14ac:dyDescent="0.25">
      <c r="A1521" t="str">
        <f>_xlfn.XLOOKUP(C1521, 'Códigos DANE Municipios'!$B$2:$B$1123, 'Códigos DANE Municipios'!$A$2:$A$1123, "No encontrado")</f>
        <v>76111</v>
      </c>
      <c r="B1521" t="str">
        <f>IFERROR(VLOOKUP(D1521,APOYO!K:L,2,FALSE),A1521)</f>
        <v>76111</v>
      </c>
      <c r="C1521" t="s">
        <v>1969</v>
      </c>
      <c r="D1521" t="str">
        <f>IFERROR(VLOOKUP(C1521,APOYO!J:K,2,FALSE),C1521)</f>
        <v>GUADALAJARA DE BUGA</v>
      </c>
      <c r="E1521">
        <v>2015</v>
      </c>
    </row>
    <row r="1522" spans="1:5" hidden="1" x14ac:dyDescent="0.25">
      <c r="A1522" t="str">
        <f>_xlfn.XLOOKUP(C1522, 'Códigos DANE Municipios'!$B$2:$B$1123, 'Códigos DANE Municipios'!$A$2:$A$1123, "No encontrado")</f>
        <v>76113</v>
      </c>
      <c r="B1522" t="str">
        <f>IFERROR(VLOOKUP(D1522,APOYO!K:L,2,FALSE),A1522)</f>
        <v>76113</v>
      </c>
      <c r="C1522" t="s">
        <v>1971</v>
      </c>
      <c r="D1522" t="str">
        <f>IFERROR(VLOOKUP(C1522,APOYO!J:K,2,FALSE),C1522)</f>
        <v>BUGALAGRANDE</v>
      </c>
      <c r="E1522">
        <v>2015</v>
      </c>
    </row>
    <row r="1523" spans="1:5" hidden="1" x14ac:dyDescent="0.25">
      <c r="A1523" t="str">
        <f>_xlfn.XLOOKUP(C1523, 'Códigos DANE Municipios'!$B$2:$B$1123, 'Códigos DANE Municipios'!$A$2:$A$1123, "No encontrado")</f>
        <v>05113</v>
      </c>
      <c r="B1523" t="str">
        <f>IFERROR(VLOOKUP(D1523,APOYO!K:L,2,FALSE),A1523)</f>
        <v>05113</v>
      </c>
      <c r="C1523" t="s">
        <v>58</v>
      </c>
      <c r="D1523" t="str">
        <f>IFERROR(VLOOKUP(C1523,APOYO!J:K,2,FALSE),C1523)</f>
        <v>BURITICÁ</v>
      </c>
      <c r="E1523">
        <v>2015</v>
      </c>
    </row>
    <row r="1524" spans="1:5" hidden="1" x14ac:dyDescent="0.25">
      <c r="A1524" t="str">
        <f>_xlfn.XLOOKUP(C1524, 'Códigos DANE Municipios'!$B$2:$B$1123, 'Códigos DANE Municipios'!$A$2:$A$1123, "No encontrado")</f>
        <v>25120</v>
      </c>
      <c r="B1524" t="str">
        <f>IFERROR(VLOOKUP(D1524,APOYO!K:L,2,FALSE),A1524)</f>
        <v>25120</v>
      </c>
      <c r="C1524" t="s">
        <v>932</v>
      </c>
      <c r="D1524" t="str">
        <f>IFERROR(VLOOKUP(C1524,APOYO!J:K,2,FALSE),C1524)</f>
        <v>CABRERA</v>
      </c>
      <c r="E1524">
        <v>2015</v>
      </c>
    </row>
    <row r="1525" spans="1:5" hidden="1" x14ac:dyDescent="0.25">
      <c r="A1525" t="str">
        <f>_xlfn.XLOOKUP(C1525, 'Códigos DANE Municipios'!$B$2:$B$1123, 'Códigos DANE Municipios'!$A$2:$A$1123, "No encontrado")</f>
        <v>50124</v>
      </c>
      <c r="B1525" t="str">
        <f>IFERROR(VLOOKUP(D1525,APOYO!K:L,2,FALSE),A1525)</f>
        <v>50124</v>
      </c>
      <c r="C1525" t="s">
        <v>1364</v>
      </c>
      <c r="D1525" t="str">
        <f>IFERROR(VLOOKUP(C1525,APOYO!J:K,2,FALSE),C1525)</f>
        <v>CABUYARO</v>
      </c>
      <c r="E1525">
        <v>2015</v>
      </c>
    </row>
    <row r="1526" spans="1:5" hidden="1" x14ac:dyDescent="0.25">
      <c r="A1526" t="str">
        <f>_xlfn.XLOOKUP(C1526, 'Códigos DANE Municipios'!$B$2:$B$1123, 'Códigos DANE Municipios'!$A$2:$A$1123, "No encontrado")</f>
        <v>05120</v>
      </c>
      <c r="B1526" t="str">
        <f>IFERROR(VLOOKUP(D1526,APOYO!K:L,2,FALSE),A1526)</f>
        <v>05120</v>
      </c>
      <c r="C1526" t="s">
        <v>60</v>
      </c>
      <c r="D1526" t="str">
        <f>IFERROR(VLOOKUP(C1526,APOYO!J:K,2,FALSE),C1526)</f>
        <v>CÁCERES</v>
      </c>
      <c r="E1526">
        <v>2015</v>
      </c>
    </row>
    <row r="1527" spans="1:5" hidden="1" x14ac:dyDescent="0.25">
      <c r="A1527" t="str">
        <f>_xlfn.XLOOKUP(C1527, 'Códigos DANE Municipios'!$B$2:$B$1123, 'Códigos DANE Municipios'!$A$2:$A$1123, "No encontrado")</f>
        <v>25123</v>
      </c>
      <c r="B1527" t="str">
        <f>IFERROR(VLOOKUP(D1527,APOYO!K:L,2,FALSE),A1527)</f>
        <v>25123</v>
      </c>
      <c r="C1527" t="s">
        <v>934</v>
      </c>
      <c r="D1527" t="str">
        <f>IFERROR(VLOOKUP(C1527,APOYO!J:K,2,FALSE),C1527)</f>
        <v>CACHIPAY</v>
      </c>
      <c r="E1527">
        <v>2015</v>
      </c>
    </row>
    <row r="1528" spans="1:5" hidden="1" x14ac:dyDescent="0.25">
      <c r="A1528" t="str">
        <f>_xlfn.XLOOKUP(C1528, 'Códigos DANE Municipios'!$B$2:$B$1123, 'Códigos DANE Municipios'!$A$2:$A$1123, "No encontrado")</f>
        <v>54128</v>
      </c>
      <c r="B1528" t="str">
        <f>IFERROR(VLOOKUP(D1528,APOYO!K:L,2,FALSE),A1528)</f>
        <v>54128</v>
      </c>
      <c r="C1528" t="s">
        <v>1541</v>
      </c>
      <c r="D1528" t="str">
        <f>IFERROR(VLOOKUP(C1528,APOYO!J:K,2,FALSE),C1528)</f>
        <v>CÁCHIRA</v>
      </c>
      <c r="E1528">
        <v>2015</v>
      </c>
    </row>
    <row r="1529" spans="1:5" hidden="1" x14ac:dyDescent="0.25">
      <c r="A1529" t="str">
        <f>_xlfn.XLOOKUP(C1529, 'Códigos DANE Municipios'!$B$2:$B$1123, 'Códigos DANE Municipios'!$A$2:$A$1123, "No encontrado")</f>
        <v>54125</v>
      </c>
      <c r="B1529" t="str">
        <f>IFERROR(VLOOKUP(D1529,APOYO!K:L,2,FALSE),A1529)</f>
        <v>54125</v>
      </c>
      <c r="C1529" t="s">
        <v>1539</v>
      </c>
      <c r="D1529" t="str">
        <f>IFERROR(VLOOKUP(C1529,APOYO!J:K,2,FALSE),C1529)</f>
        <v>CÁCOTA</v>
      </c>
      <c r="E1529">
        <v>2015</v>
      </c>
    </row>
    <row r="1530" spans="1:5" hidden="1" x14ac:dyDescent="0.25">
      <c r="A1530" t="str">
        <f>_xlfn.XLOOKUP(C1530, 'Códigos DANE Municipios'!$B$2:$B$1123, 'Códigos DANE Municipios'!$A$2:$A$1123, "No encontrado")</f>
        <v>05125</v>
      </c>
      <c r="B1530" t="str">
        <f>IFERROR(VLOOKUP(D1530,APOYO!K:L,2,FALSE),A1530)</f>
        <v>05125</v>
      </c>
      <c r="C1530" t="s">
        <v>62</v>
      </c>
      <c r="D1530" t="str">
        <f>IFERROR(VLOOKUP(C1530,APOYO!J:K,2,FALSE),C1530)</f>
        <v>CAICEDO</v>
      </c>
      <c r="E1530">
        <v>2015</v>
      </c>
    </row>
    <row r="1531" spans="1:5" hidden="1" x14ac:dyDescent="0.25">
      <c r="A1531" t="str">
        <f>_xlfn.XLOOKUP(C1531, 'Códigos DANE Municipios'!$B$2:$B$1123, 'Códigos DANE Municipios'!$A$2:$A$1123, "No encontrado")</f>
        <v>76122</v>
      </c>
      <c r="B1531" t="str">
        <f>IFERROR(VLOOKUP(D1531,APOYO!K:L,2,FALSE),A1531)</f>
        <v>76122</v>
      </c>
      <c r="C1531" t="s">
        <v>1973</v>
      </c>
      <c r="D1531" t="str">
        <f>IFERROR(VLOOKUP(C1531,APOYO!J:K,2,FALSE),C1531)</f>
        <v>CAICEDONIA</v>
      </c>
      <c r="E1531">
        <v>2015</v>
      </c>
    </row>
    <row r="1532" spans="1:5" hidden="1" x14ac:dyDescent="0.25">
      <c r="A1532" t="str">
        <f>_xlfn.XLOOKUP(C1532, 'Códigos DANE Municipios'!$B$2:$B$1123, 'Códigos DANE Municipios'!$A$2:$A$1123, "No encontrado")</f>
        <v>73124</v>
      </c>
      <c r="B1532" t="str">
        <f>IFERROR(VLOOKUP(D1532,APOYO!K:L,2,FALSE),A1532)</f>
        <v>73124</v>
      </c>
      <c r="C1532" t="s">
        <v>1879</v>
      </c>
      <c r="D1532" t="str">
        <f>IFERROR(VLOOKUP(C1532,APOYO!J:K,2,FALSE),C1532)</f>
        <v>CAJAMARCA</v>
      </c>
      <c r="E1532">
        <v>2015</v>
      </c>
    </row>
    <row r="1533" spans="1:5" hidden="1" x14ac:dyDescent="0.25">
      <c r="A1533" t="str">
        <f>_xlfn.XLOOKUP(C1533, 'Códigos DANE Municipios'!$B$2:$B$1123, 'Códigos DANE Municipios'!$A$2:$A$1123, "No encontrado")</f>
        <v>19130</v>
      </c>
      <c r="B1533" t="str">
        <f>IFERROR(VLOOKUP(D1533,APOYO!K:L,2,FALSE),A1533)</f>
        <v>19130</v>
      </c>
      <c r="C1533" t="s">
        <v>740</v>
      </c>
      <c r="D1533" t="str">
        <f>IFERROR(VLOOKUP(C1533,APOYO!J:K,2,FALSE),C1533)</f>
        <v>CAJIBÍO</v>
      </c>
      <c r="E1533">
        <v>2015</v>
      </c>
    </row>
    <row r="1534" spans="1:5" hidden="1" x14ac:dyDescent="0.25">
      <c r="A1534" t="str">
        <f>_xlfn.XLOOKUP(C1534, 'Códigos DANE Municipios'!$B$2:$B$1123, 'Códigos DANE Municipios'!$A$2:$A$1123, "No encontrado")</f>
        <v>25126</v>
      </c>
      <c r="B1534" t="str">
        <f>IFERROR(VLOOKUP(D1534,APOYO!K:L,2,FALSE),A1534)</f>
        <v>25126</v>
      </c>
      <c r="C1534" t="s">
        <v>936</v>
      </c>
      <c r="D1534" t="str">
        <f>IFERROR(VLOOKUP(C1534,APOYO!J:K,2,FALSE),C1534)</f>
        <v>CAJICÁ</v>
      </c>
      <c r="E1534">
        <v>2015</v>
      </c>
    </row>
    <row r="1535" spans="1:5" hidden="1" x14ac:dyDescent="0.25">
      <c r="A1535" t="str">
        <f>_xlfn.XLOOKUP(C1535, 'Códigos DANE Municipios'!$B$2:$B$1123, 'Códigos DANE Municipios'!$A$2:$A$1123, "No encontrado")</f>
        <v>13140</v>
      </c>
      <c r="B1535" t="str">
        <f>IFERROR(VLOOKUP(D1535,APOYO!K:L,2,FALSE),A1535)</f>
        <v>13140</v>
      </c>
      <c r="C1535" t="s">
        <v>323</v>
      </c>
      <c r="D1535" t="str">
        <f>IFERROR(VLOOKUP(C1535,APOYO!J:K,2,FALSE),C1535)</f>
        <v>CALAMAR</v>
      </c>
      <c r="E1535">
        <v>2015</v>
      </c>
    </row>
    <row r="1536" spans="1:5" hidden="1" x14ac:dyDescent="0.25">
      <c r="A1536" t="str">
        <f>_xlfn.XLOOKUP(C1536, 'Códigos DANE Municipios'!$B$2:$B$1123, 'Códigos DANE Municipios'!$A$2:$A$1123, "No encontrado")</f>
        <v>63130</v>
      </c>
      <c r="B1536" t="str">
        <f>IFERROR(VLOOKUP(D1536,APOYO!K:L,2,FALSE),A1536)</f>
        <v>63130</v>
      </c>
      <c r="C1536" t="s">
        <v>1609</v>
      </c>
      <c r="D1536" t="str">
        <f>IFERROR(VLOOKUP(C1536,APOYO!J:K,2,FALSE),C1536)</f>
        <v>CALARCÁ</v>
      </c>
      <c r="E1536">
        <v>2015</v>
      </c>
    </row>
    <row r="1537" spans="1:5" hidden="1" x14ac:dyDescent="0.25">
      <c r="A1537" t="str">
        <f>_xlfn.XLOOKUP(C1537, 'Códigos DANE Municipios'!$B$2:$B$1123, 'Códigos DANE Municipios'!$A$2:$A$1123, "No encontrado")</f>
        <v>05129</v>
      </c>
      <c r="B1537" t="str">
        <f>IFERROR(VLOOKUP(D1537,APOYO!K:L,2,FALSE),A1537)</f>
        <v>05129</v>
      </c>
      <c r="C1537" t="s">
        <v>64</v>
      </c>
      <c r="D1537" t="str">
        <f>IFERROR(VLOOKUP(C1537,APOYO!J:K,2,FALSE),C1537)</f>
        <v>CALDAS</v>
      </c>
      <c r="E1537">
        <v>2015</v>
      </c>
    </row>
    <row r="1538" spans="1:5" hidden="1" x14ac:dyDescent="0.25">
      <c r="A1538" t="str">
        <f>_xlfn.XLOOKUP(C1538, 'Códigos DANE Municipios'!$B$2:$B$1123, 'Códigos DANE Municipios'!$A$2:$A$1123, "No encontrado")</f>
        <v>19137</v>
      </c>
      <c r="B1538" t="str">
        <f>IFERROR(VLOOKUP(D1538,APOYO!K:L,2,FALSE),A1538)</f>
        <v>19137</v>
      </c>
      <c r="C1538" t="s">
        <v>742</v>
      </c>
      <c r="D1538" t="str">
        <f>IFERROR(VLOOKUP(C1538,APOYO!J:K,2,FALSE),C1538)</f>
        <v>CALDONO</v>
      </c>
      <c r="E1538">
        <v>2015</v>
      </c>
    </row>
    <row r="1539" spans="1:5" hidden="1" x14ac:dyDescent="0.25">
      <c r="A1539" t="str">
        <f>_xlfn.XLOOKUP(C1539, 'Códigos DANE Municipios'!$B$2:$B$1123, 'Códigos DANE Municipios'!$A$2:$A$1123, "No encontrado")</f>
        <v>76001</v>
      </c>
      <c r="B1539" t="str">
        <f>IFERROR(VLOOKUP(D1539,APOYO!K:L,2,FALSE),A1539)</f>
        <v>76001</v>
      </c>
      <c r="C1539" t="s">
        <v>1957</v>
      </c>
      <c r="D1539" t="str">
        <f>IFERROR(VLOOKUP(C1539,APOYO!J:K,2,FALSE),C1539)</f>
        <v>CALI</v>
      </c>
      <c r="E1539">
        <v>2015</v>
      </c>
    </row>
    <row r="1540" spans="1:5" hidden="1" x14ac:dyDescent="0.25">
      <c r="A1540" t="str">
        <f>_xlfn.XLOOKUP(C1540, 'Códigos DANE Municipios'!$B$2:$B$1123, 'Códigos DANE Municipios'!$A$2:$A$1123, "No encontrado")</f>
        <v>68132</v>
      </c>
      <c r="B1540" t="str">
        <f>IFERROR(VLOOKUP(D1540,APOYO!K:L,2,FALSE),A1540)</f>
        <v>68132</v>
      </c>
      <c r="C1540" t="s">
        <v>1670</v>
      </c>
      <c r="D1540" t="str">
        <f>IFERROR(VLOOKUP(C1540,APOYO!J:K,2,FALSE),C1540)</f>
        <v>CALIFORNIA</v>
      </c>
      <c r="E1540">
        <v>2015</v>
      </c>
    </row>
    <row r="1541" spans="1:5" hidden="1" x14ac:dyDescent="0.25">
      <c r="A1541" t="str">
        <f>_xlfn.XLOOKUP(C1541, 'Códigos DANE Municipios'!$B$2:$B$1123, 'Códigos DANE Municipios'!$A$2:$A$1123, "No encontrado")</f>
        <v>76126</v>
      </c>
      <c r="B1541" t="str">
        <f>IFERROR(VLOOKUP(D1541,APOYO!K:L,2,FALSE),A1541)</f>
        <v>76126</v>
      </c>
      <c r="C1541" t="s">
        <v>1975</v>
      </c>
      <c r="D1541" t="str">
        <f>IFERROR(VLOOKUP(C1541,APOYO!J:K,2,FALSE),C1541)</f>
        <v>CALIMA</v>
      </c>
      <c r="E1541">
        <v>2015</v>
      </c>
    </row>
    <row r="1542" spans="1:5" hidden="1" x14ac:dyDescent="0.25">
      <c r="A1542" t="str">
        <f>_xlfn.XLOOKUP(C1542, 'Códigos DANE Municipios'!$B$2:$B$1123, 'Códigos DANE Municipios'!$A$2:$A$1123, "No encontrado")</f>
        <v>19142</v>
      </c>
      <c r="B1542" t="str">
        <f>IFERROR(VLOOKUP(D1542,APOYO!K:L,2,FALSE),A1542)</f>
        <v>19142</v>
      </c>
      <c r="C1542" t="s">
        <v>744</v>
      </c>
      <c r="D1542" t="str">
        <f>IFERROR(VLOOKUP(C1542,APOYO!J:K,2,FALSE),C1542)</f>
        <v>CALOTO</v>
      </c>
      <c r="E1542">
        <v>2015</v>
      </c>
    </row>
    <row r="1543" spans="1:5" hidden="1" x14ac:dyDescent="0.25">
      <c r="A1543" t="str">
        <f>_xlfn.XLOOKUP(C1543, 'Códigos DANE Municipios'!$B$2:$B$1123, 'Códigos DANE Municipios'!$A$2:$A$1123, "No encontrado")</f>
        <v>41132</v>
      </c>
      <c r="B1543" t="str">
        <f>IFERROR(VLOOKUP(D1543,APOYO!K:L,2,FALSE),A1543)</f>
        <v>41132</v>
      </c>
      <c r="C1543" t="s">
        <v>1215</v>
      </c>
      <c r="D1543" t="str">
        <f>IFERROR(VLOOKUP(C1543,APOYO!J:K,2,FALSE),C1543)</f>
        <v>CAMPOALEGRE</v>
      </c>
      <c r="E1543">
        <v>2015</v>
      </c>
    </row>
    <row r="1544" spans="1:5" hidden="1" x14ac:dyDescent="0.25">
      <c r="A1544" t="str">
        <f>_xlfn.XLOOKUP(C1544, 'Códigos DANE Municipios'!$B$2:$B$1123, 'Códigos DANE Municipios'!$A$2:$A$1123, "No encontrado")</f>
        <v>08141</v>
      </c>
      <c r="B1544" t="str">
        <f>IFERROR(VLOOKUP(D1544,APOYO!K:L,2,FALSE),A1544)</f>
        <v>08141</v>
      </c>
      <c r="C1544" t="s">
        <v>268</v>
      </c>
      <c r="D1544" t="str">
        <f>IFERROR(VLOOKUP(C1544,APOYO!J:K,2,FALSE),C1544)</f>
        <v>CANDELARIA</v>
      </c>
      <c r="E1544">
        <v>2015</v>
      </c>
    </row>
    <row r="1545" spans="1:5" hidden="1" x14ac:dyDescent="0.25">
      <c r="A1545" t="str">
        <f>_xlfn.XLOOKUP(C1545, 'Códigos DANE Municipios'!$B$2:$B$1123, 'Códigos DANE Municipios'!$A$2:$A$1123, "No encontrado")</f>
        <v>13160</v>
      </c>
      <c r="B1545" t="str">
        <f>IFERROR(VLOOKUP(D1545,APOYO!K:L,2,FALSE),A1545)</f>
        <v>13160</v>
      </c>
      <c r="C1545" t="s">
        <v>325</v>
      </c>
      <c r="D1545" t="str">
        <f>IFERROR(VLOOKUP(C1545,APOYO!J:K,2,FALSE),C1545)</f>
        <v>CANTAGALLO</v>
      </c>
      <c r="E1545">
        <v>2015</v>
      </c>
    </row>
    <row r="1546" spans="1:5" hidden="1" x14ac:dyDescent="0.25">
      <c r="A1546" t="str">
        <f>_xlfn.XLOOKUP(C1546, 'Códigos DANE Municipios'!$B$2:$B$1123, 'Códigos DANE Municipios'!$A$2:$A$1123, "No encontrado")</f>
        <v>05138</v>
      </c>
      <c r="B1546" t="str">
        <f>IFERROR(VLOOKUP(D1546,APOYO!K:L,2,FALSE),A1546)</f>
        <v>05138</v>
      </c>
      <c r="C1546" t="s">
        <v>68</v>
      </c>
      <c r="D1546" t="str">
        <f>IFERROR(VLOOKUP(C1546,APOYO!J:K,2,FALSE),C1546)</f>
        <v>CAÑASGORDAS</v>
      </c>
      <c r="E1546">
        <v>2015</v>
      </c>
    </row>
    <row r="1547" spans="1:5" hidden="1" x14ac:dyDescent="0.25">
      <c r="A1547" t="str">
        <f>_xlfn.XLOOKUP(C1547, 'Códigos DANE Municipios'!$B$2:$B$1123, 'Códigos DANE Municipios'!$A$2:$A$1123, "No encontrado")</f>
        <v>25148</v>
      </c>
      <c r="B1547" t="str">
        <f>IFERROR(VLOOKUP(D1547,APOYO!K:L,2,FALSE),A1547)</f>
        <v>25148</v>
      </c>
      <c r="C1547" t="s">
        <v>938</v>
      </c>
      <c r="D1547" t="str">
        <f>IFERROR(VLOOKUP(C1547,APOYO!J:K,2,FALSE),C1547)</f>
        <v>CAPARRAPÍ</v>
      </c>
      <c r="E1547">
        <v>2015</v>
      </c>
    </row>
    <row r="1548" spans="1:5" hidden="1" x14ac:dyDescent="0.25">
      <c r="A1548" t="str">
        <f>_xlfn.XLOOKUP(C1548, 'Códigos DANE Municipios'!$B$2:$B$1123, 'Códigos DANE Municipios'!$A$2:$A$1123, "No encontrado")</f>
        <v>68147</v>
      </c>
      <c r="B1548" t="str">
        <f>IFERROR(VLOOKUP(D1548,APOYO!K:L,2,FALSE),A1548)</f>
        <v>68147</v>
      </c>
      <c r="C1548" t="s">
        <v>1672</v>
      </c>
      <c r="D1548" t="str">
        <f>IFERROR(VLOOKUP(C1548,APOYO!J:K,2,FALSE),C1548)</f>
        <v>CAPITANEJO</v>
      </c>
      <c r="E1548">
        <v>2015</v>
      </c>
    </row>
    <row r="1549" spans="1:5" hidden="1" x14ac:dyDescent="0.25">
      <c r="A1549" t="str">
        <f>_xlfn.XLOOKUP(C1549, 'Códigos DANE Municipios'!$B$2:$B$1123, 'Códigos DANE Municipios'!$A$2:$A$1123, "No encontrado")</f>
        <v>25151</v>
      </c>
      <c r="B1549" t="str">
        <f>IFERROR(VLOOKUP(D1549,APOYO!K:L,2,FALSE),A1549)</f>
        <v>25151</v>
      </c>
      <c r="C1549" t="s">
        <v>940</v>
      </c>
      <c r="D1549" t="str">
        <f>IFERROR(VLOOKUP(C1549,APOYO!J:K,2,FALSE),C1549)</f>
        <v>CÁQUEZA</v>
      </c>
      <c r="E1549">
        <v>2015</v>
      </c>
    </row>
    <row r="1550" spans="1:5" hidden="1" x14ac:dyDescent="0.25">
      <c r="A1550" t="str">
        <f>_xlfn.XLOOKUP(C1550, 'Códigos DANE Municipios'!$B$2:$B$1123, 'Códigos DANE Municipios'!$A$2:$A$1123, "No encontrado")</f>
        <v>05142</v>
      </c>
      <c r="B1550" t="str">
        <f>IFERROR(VLOOKUP(D1550,APOYO!K:L,2,FALSE),A1550)</f>
        <v>05142</v>
      </c>
      <c r="C1550" t="s">
        <v>70</v>
      </c>
      <c r="D1550" t="str">
        <f>IFERROR(VLOOKUP(C1550,APOYO!J:K,2,FALSE),C1550)</f>
        <v>CARACOLÍ</v>
      </c>
      <c r="E1550">
        <v>2015</v>
      </c>
    </row>
    <row r="1551" spans="1:5" hidden="1" x14ac:dyDescent="0.25">
      <c r="A1551" t="str">
        <f>_xlfn.XLOOKUP(C1551, 'Códigos DANE Municipios'!$B$2:$B$1123, 'Códigos DANE Municipios'!$A$2:$A$1123, "No encontrado")</f>
        <v>05145</v>
      </c>
      <c r="B1551" t="str">
        <f>IFERROR(VLOOKUP(D1551,APOYO!K:L,2,FALSE),A1551)</f>
        <v>05145</v>
      </c>
      <c r="C1551" t="s">
        <v>72</v>
      </c>
      <c r="D1551" t="str">
        <f>IFERROR(VLOOKUP(C1551,APOYO!J:K,2,FALSE),C1551)</f>
        <v>CARAMANTA</v>
      </c>
      <c r="E1551">
        <v>2015</v>
      </c>
    </row>
    <row r="1552" spans="1:5" hidden="1" x14ac:dyDescent="0.25">
      <c r="A1552" t="str">
        <f>_xlfn.XLOOKUP(C1552, 'Códigos DANE Municipios'!$B$2:$B$1123, 'Códigos DANE Municipios'!$A$2:$A$1123, "No encontrado")</f>
        <v>05147</v>
      </c>
      <c r="B1552" t="str">
        <f>IFERROR(VLOOKUP(D1552,APOYO!K:L,2,FALSE),A1552)</f>
        <v>05147</v>
      </c>
      <c r="C1552" t="s">
        <v>74</v>
      </c>
      <c r="D1552" t="str">
        <f>IFERROR(VLOOKUP(C1552,APOYO!J:K,2,FALSE),C1552)</f>
        <v>CAREPA</v>
      </c>
      <c r="E1552">
        <v>2015</v>
      </c>
    </row>
    <row r="1553" spans="1:5" hidden="1" x14ac:dyDescent="0.25">
      <c r="A1553" t="str">
        <f>_xlfn.XLOOKUP(C1553, 'Códigos DANE Municipios'!$B$2:$B$1123, 'Códigos DANE Municipios'!$A$2:$A$1123, "No encontrado")</f>
        <v>73148</v>
      </c>
      <c r="B1553" t="str">
        <f>IFERROR(VLOOKUP(D1553,APOYO!K:L,2,FALSE),A1553)</f>
        <v>73148</v>
      </c>
      <c r="C1553" t="s">
        <v>1881</v>
      </c>
      <c r="D1553" t="str">
        <f>IFERROR(VLOOKUP(C1553,APOYO!J:K,2,FALSE),C1553)</f>
        <v>CARMEN DE APICALÁ</v>
      </c>
      <c r="E1553">
        <v>2015</v>
      </c>
    </row>
    <row r="1554" spans="1:5" hidden="1" x14ac:dyDescent="0.25">
      <c r="A1554" t="str">
        <f>_xlfn.XLOOKUP(C1554, 'Códigos DANE Municipios'!$B$2:$B$1123, 'Códigos DANE Municipios'!$A$2:$A$1123, "No encontrado")</f>
        <v>25154</v>
      </c>
      <c r="B1554" t="str">
        <f>IFERROR(VLOOKUP(D1554,APOYO!K:L,2,FALSE),A1554)</f>
        <v>25154</v>
      </c>
      <c r="C1554" t="s">
        <v>942</v>
      </c>
      <c r="D1554" t="str">
        <f>IFERROR(VLOOKUP(C1554,APOYO!J:K,2,FALSE),C1554)</f>
        <v>CARMEN DE CARUPA</v>
      </c>
      <c r="E1554">
        <v>2015</v>
      </c>
    </row>
    <row r="1555" spans="1:5" hidden="1" x14ac:dyDescent="0.25">
      <c r="A1555" t="str">
        <f>_xlfn.XLOOKUP(C1555, 'Códigos DANE Municipios'!$B$2:$B$1123, 'Códigos DANE Municipios'!$A$2:$A$1123, "No encontrado")</f>
        <v>05148</v>
      </c>
      <c r="B1555" t="str">
        <f>IFERROR(VLOOKUP(D1555,APOYO!K:L,2,FALSE),A1555)</f>
        <v>05148</v>
      </c>
      <c r="C1555" t="s">
        <v>76</v>
      </c>
      <c r="D1555" t="str">
        <f>IFERROR(VLOOKUP(C1555,APOYO!J:K,2,FALSE),C1555)</f>
        <v>EL CARMEN DE VIBORAL</v>
      </c>
      <c r="E1555">
        <v>2015</v>
      </c>
    </row>
    <row r="1556" spans="1:5" hidden="1" x14ac:dyDescent="0.25">
      <c r="A1556" t="str">
        <f>_xlfn.XLOOKUP(C1556, 'Códigos DANE Municipios'!$B$2:$B$1123, 'Códigos DANE Municipios'!$A$2:$A$1123, "No encontrado")</f>
        <v>05150</v>
      </c>
      <c r="B1556" t="str">
        <f>IFERROR(VLOOKUP(D1556,APOYO!K:L,2,FALSE),A1556)</f>
        <v>05150</v>
      </c>
      <c r="C1556" t="s">
        <v>78</v>
      </c>
      <c r="D1556" t="str">
        <f>IFERROR(VLOOKUP(C1556,APOYO!J:K,2,FALSE),C1556)</f>
        <v>CAROLINA</v>
      </c>
      <c r="E1556">
        <v>2015</v>
      </c>
    </row>
    <row r="1557" spans="1:5" hidden="1" x14ac:dyDescent="0.25">
      <c r="A1557" t="str">
        <f>_xlfn.XLOOKUP(C1557, 'Códigos DANE Municipios'!$B$2:$B$1123, 'Códigos DANE Municipios'!$A$2:$A$1123, "No encontrado")</f>
        <v>13001</v>
      </c>
      <c r="B1557" t="str">
        <f>IFERROR(VLOOKUP(D1557,APOYO!K:L,2,FALSE),A1557)</f>
        <v>13001</v>
      </c>
      <c r="C1557" t="s">
        <v>309</v>
      </c>
      <c r="D1557" t="str">
        <f>IFERROR(VLOOKUP(C1557,APOYO!J:K,2,FALSE),C1557)</f>
        <v>CARTAGENA DE INDIAS</v>
      </c>
      <c r="E1557">
        <v>2015</v>
      </c>
    </row>
    <row r="1558" spans="1:5" hidden="1" x14ac:dyDescent="0.25">
      <c r="A1558" t="str">
        <f>_xlfn.XLOOKUP(C1558, 'Códigos DANE Municipios'!$B$2:$B$1123, 'Códigos DANE Municipios'!$A$2:$A$1123, "No encontrado")</f>
        <v>18150</v>
      </c>
      <c r="B1558" t="str">
        <f>IFERROR(VLOOKUP(D1558,APOYO!K:L,2,FALSE),A1558)</f>
        <v>18150</v>
      </c>
      <c r="C1558" t="s">
        <v>704</v>
      </c>
      <c r="D1558" t="str">
        <f>IFERROR(VLOOKUP(C1558,APOYO!J:K,2,FALSE),C1558)</f>
        <v>CARTAGENA DEL CHAIRÁ</v>
      </c>
      <c r="E1558">
        <v>2015</v>
      </c>
    </row>
    <row r="1559" spans="1:5" hidden="1" x14ac:dyDescent="0.25">
      <c r="A1559" t="str">
        <f>_xlfn.XLOOKUP(C1559, 'Códigos DANE Municipios'!$B$2:$B$1123, 'Códigos DANE Municipios'!$A$2:$A$1123, "No encontrado")</f>
        <v>76147</v>
      </c>
      <c r="B1559" t="str">
        <f>IFERROR(VLOOKUP(D1559,APOYO!K:L,2,FALSE),A1559)</f>
        <v>76147</v>
      </c>
      <c r="C1559" t="s">
        <v>1978</v>
      </c>
      <c r="D1559" t="str">
        <f>IFERROR(VLOOKUP(C1559,APOYO!J:K,2,FALSE),C1559)</f>
        <v>CARTAGO</v>
      </c>
      <c r="E1559">
        <v>2015</v>
      </c>
    </row>
    <row r="1560" spans="1:5" hidden="1" x14ac:dyDescent="0.25">
      <c r="A1560" t="str">
        <f>_xlfn.XLOOKUP(C1560, 'Códigos DANE Municipios'!$B$2:$B$1123, 'Códigos DANE Municipios'!$A$2:$A$1123, "No encontrado")</f>
        <v>97161</v>
      </c>
      <c r="B1560" t="str">
        <f>IFERROR(VLOOKUP(D1560,APOYO!K:L,2,FALSE),A1560)</f>
        <v>97161</v>
      </c>
      <c r="C1560" t="s">
        <v>2153</v>
      </c>
      <c r="D1560" t="str">
        <f>IFERROR(VLOOKUP(C1560,APOYO!J:K,2,FALSE),C1560)</f>
        <v>CARURÚ</v>
      </c>
      <c r="E1560">
        <v>2015</v>
      </c>
    </row>
    <row r="1561" spans="1:5" hidden="1" x14ac:dyDescent="0.25">
      <c r="A1561" t="str">
        <f>_xlfn.XLOOKUP(C1561, 'Códigos DANE Municipios'!$B$2:$B$1123, 'Códigos DANE Municipios'!$A$2:$A$1123, "No encontrado")</f>
        <v>50150</v>
      </c>
      <c r="B1561" t="str">
        <f>IFERROR(VLOOKUP(D1561,APOYO!K:L,2,FALSE),A1561)</f>
        <v>50150</v>
      </c>
      <c r="C1561" t="s">
        <v>1366</v>
      </c>
      <c r="D1561" t="str">
        <f>IFERROR(VLOOKUP(C1561,APOYO!J:K,2,FALSE),C1561)</f>
        <v>CASTILLA LA NUEVA</v>
      </c>
      <c r="E1561">
        <v>2015</v>
      </c>
    </row>
    <row r="1562" spans="1:5" hidden="1" x14ac:dyDescent="0.25">
      <c r="A1562" t="str">
        <f>_xlfn.XLOOKUP(C1562, 'Códigos DANE Municipios'!$B$2:$B$1123, 'Códigos DANE Municipios'!$A$2:$A$1123, "No encontrado")</f>
        <v>05154</v>
      </c>
      <c r="B1562" t="str">
        <f>IFERROR(VLOOKUP(D1562,APOYO!K:L,2,FALSE),A1562)</f>
        <v>05154</v>
      </c>
      <c r="C1562" t="s">
        <v>80</v>
      </c>
      <c r="D1562" t="str">
        <f>IFERROR(VLOOKUP(C1562,APOYO!J:K,2,FALSE),C1562)</f>
        <v>CAUCASIA</v>
      </c>
      <c r="E1562">
        <v>2015</v>
      </c>
    </row>
    <row r="1563" spans="1:5" hidden="1" x14ac:dyDescent="0.25">
      <c r="A1563" t="str">
        <f>_xlfn.XLOOKUP(C1563, 'Códigos DANE Municipios'!$B$2:$B$1123, 'Códigos DANE Municipios'!$A$2:$A$1123, "No encontrado")</f>
        <v>68160</v>
      </c>
      <c r="B1563" t="str">
        <f>IFERROR(VLOOKUP(D1563,APOYO!K:L,2,FALSE),A1563)</f>
        <v>68160</v>
      </c>
      <c r="C1563" t="s">
        <v>1676</v>
      </c>
      <c r="D1563" t="str">
        <f>IFERROR(VLOOKUP(C1563,APOYO!J:K,2,FALSE),C1563)</f>
        <v>CEPITÁ</v>
      </c>
      <c r="E1563">
        <v>2015</v>
      </c>
    </row>
    <row r="1564" spans="1:5" hidden="1" x14ac:dyDescent="0.25">
      <c r="A1564" t="str">
        <f>_xlfn.XLOOKUP(C1564, 'Códigos DANE Municipios'!$B$2:$B$1123, 'Códigos DANE Municipios'!$A$2:$A$1123, "No encontrado")</f>
        <v>23162</v>
      </c>
      <c r="B1564" t="str">
        <f>IFERROR(VLOOKUP(D1564,APOYO!K:L,2,FALSE),A1564)</f>
        <v>23162</v>
      </c>
      <c r="C1564" t="s">
        <v>865</v>
      </c>
      <c r="D1564" t="str">
        <f>IFERROR(VLOOKUP(C1564,APOYO!J:K,2,FALSE),C1564)</f>
        <v>CERETÉ</v>
      </c>
      <c r="E1564">
        <v>2015</v>
      </c>
    </row>
    <row r="1565" spans="1:5" hidden="1" x14ac:dyDescent="0.25">
      <c r="A1565" t="str">
        <f>_xlfn.XLOOKUP(C1565, 'Códigos DANE Municipios'!$B$2:$B$1123, 'Códigos DANE Municipios'!$A$2:$A$1123, "No encontrado")</f>
        <v>52240</v>
      </c>
      <c r="B1565" t="str">
        <f>IFERROR(VLOOKUP(D1565,APOYO!K:L,2,FALSE),A1565)</f>
        <v>52240</v>
      </c>
      <c r="C1565" t="s">
        <v>1439</v>
      </c>
      <c r="D1565" t="str">
        <f>IFERROR(VLOOKUP(C1565,APOYO!J:K,2,FALSE),C1565)</f>
        <v>CHACHAGÜÍ</v>
      </c>
      <c r="E1565">
        <v>2015</v>
      </c>
    </row>
    <row r="1566" spans="1:5" hidden="1" x14ac:dyDescent="0.25">
      <c r="A1566" t="str">
        <f>_xlfn.XLOOKUP(C1566, 'Códigos DANE Municipios'!$B$2:$B$1123, 'Códigos DANE Municipios'!$A$2:$A$1123, "No encontrado")</f>
        <v>25168</v>
      </c>
      <c r="B1566" t="str">
        <f>IFERROR(VLOOKUP(D1566,APOYO!K:L,2,FALSE),A1566)</f>
        <v>25168</v>
      </c>
      <c r="C1566" t="s">
        <v>944</v>
      </c>
      <c r="D1566" t="str">
        <f>IFERROR(VLOOKUP(C1566,APOYO!J:K,2,FALSE),C1566)</f>
        <v>CHAGUANÍ</v>
      </c>
      <c r="E1566">
        <v>2015</v>
      </c>
    </row>
    <row r="1567" spans="1:5" hidden="1" x14ac:dyDescent="0.25">
      <c r="A1567" t="str">
        <f>_xlfn.XLOOKUP(C1567, 'Códigos DANE Municipios'!$B$2:$B$1123, 'Códigos DANE Municipios'!$A$2:$A$1123, "No encontrado")</f>
        <v>68167</v>
      </c>
      <c r="B1567" t="str">
        <f>IFERROR(VLOOKUP(D1567,APOYO!K:L,2,FALSE),A1567)</f>
        <v>68167</v>
      </c>
      <c r="C1567" t="s">
        <v>1680</v>
      </c>
      <c r="D1567" t="str">
        <f>IFERROR(VLOOKUP(C1567,APOYO!J:K,2,FALSE),C1567)</f>
        <v>CHARALÁ</v>
      </c>
      <c r="E1567">
        <v>2015</v>
      </c>
    </row>
    <row r="1568" spans="1:5" hidden="1" x14ac:dyDescent="0.25">
      <c r="A1568" t="str">
        <f>_xlfn.XLOOKUP(C1568, 'Códigos DANE Municipios'!$B$2:$B$1123, 'Códigos DANE Municipios'!$A$2:$A$1123, "No encontrado")</f>
        <v>25175</v>
      </c>
      <c r="B1568" t="str">
        <f>IFERROR(VLOOKUP(D1568,APOYO!K:L,2,FALSE),A1568)</f>
        <v>25175</v>
      </c>
      <c r="C1568" t="s">
        <v>946</v>
      </c>
      <c r="D1568" t="str">
        <f>IFERROR(VLOOKUP(C1568,APOYO!J:K,2,FALSE),C1568)</f>
        <v>CHÍA</v>
      </c>
      <c r="E1568">
        <v>2015</v>
      </c>
    </row>
    <row r="1569" spans="1:5" hidden="1" x14ac:dyDescent="0.25">
      <c r="A1569" t="str">
        <f>_xlfn.XLOOKUP(C1569, 'Códigos DANE Municipios'!$B$2:$B$1123, 'Códigos DANE Municipios'!$A$2:$A$1123, "No encontrado")</f>
        <v>05172</v>
      </c>
      <c r="B1569" t="str">
        <f>IFERROR(VLOOKUP(D1569,APOYO!K:L,2,FALSE),A1569)</f>
        <v>05172</v>
      </c>
      <c r="C1569" t="s">
        <v>82</v>
      </c>
      <c r="D1569" t="str">
        <f>IFERROR(VLOOKUP(C1569,APOYO!J:K,2,FALSE),C1569)</f>
        <v>CHIGORODÓ</v>
      </c>
      <c r="E1569">
        <v>2015</v>
      </c>
    </row>
    <row r="1570" spans="1:5" hidden="1" x14ac:dyDescent="0.25">
      <c r="A1570" t="str">
        <f>_xlfn.XLOOKUP(C1570, 'Códigos DANE Municipios'!$B$2:$B$1123, 'Códigos DANE Municipios'!$A$2:$A$1123, "No encontrado")</f>
        <v>20175</v>
      </c>
      <c r="B1570" t="str">
        <f>IFERROR(VLOOKUP(D1570,APOYO!K:L,2,FALSE),A1570)</f>
        <v>20175</v>
      </c>
      <c r="C1570" t="s">
        <v>820</v>
      </c>
      <c r="D1570" t="str">
        <f>IFERROR(VLOOKUP(C1570,APOYO!J:K,2,FALSE),C1570)</f>
        <v>CHIMICHAGUA</v>
      </c>
      <c r="E1570">
        <v>2015</v>
      </c>
    </row>
    <row r="1571" spans="1:5" hidden="1" x14ac:dyDescent="0.25">
      <c r="A1571" t="str">
        <f>_xlfn.XLOOKUP(C1571, 'Códigos DANE Municipios'!$B$2:$B$1123, 'Códigos DANE Municipios'!$A$2:$A$1123, "No encontrado")</f>
        <v>54172</v>
      </c>
      <c r="B1571" t="str">
        <f>IFERROR(VLOOKUP(D1571,APOYO!K:L,2,FALSE),A1571)</f>
        <v>54172</v>
      </c>
      <c r="C1571" t="s">
        <v>1543</v>
      </c>
      <c r="D1571" t="str">
        <f>IFERROR(VLOOKUP(C1571,APOYO!J:K,2,FALSE),C1571)</f>
        <v>CHINÁCOTA</v>
      </c>
      <c r="E1571">
        <v>2015</v>
      </c>
    </row>
    <row r="1572" spans="1:5" hidden="1" x14ac:dyDescent="0.25">
      <c r="A1572" t="str">
        <f>_xlfn.XLOOKUP(C1572, 'Códigos DANE Municipios'!$B$2:$B$1123, 'Códigos DANE Municipios'!$A$2:$A$1123, "No encontrado")</f>
        <v>17174</v>
      </c>
      <c r="B1572" t="str">
        <f>IFERROR(VLOOKUP(D1572,APOYO!K:L,2,FALSE),A1572)</f>
        <v>17174</v>
      </c>
      <c r="C1572" t="s">
        <v>654</v>
      </c>
      <c r="D1572" t="str">
        <f>IFERROR(VLOOKUP(C1572,APOYO!J:K,2,FALSE),C1572)</f>
        <v>CHINCHINÁ</v>
      </c>
      <c r="E1572">
        <v>2015</v>
      </c>
    </row>
    <row r="1573" spans="1:5" hidden="1" x14ac:dyDescent="0.25">
      <c r="A1573" t="str">
        <f>_xlfn.XLOOKUP(C1573, 'Códigos DANE Municipios'!$B$2:$B$1123, 'Códigos DANE Municipios'!$A$2:$A$1123, "No encontrado")</f>
        <v>23182</v>
      </c>
      <c r="B1573" t="str">
        <f>IFERROR(VLOOKUP(D1573,APOYO!K:L,2,FALSE),A1573)</f>
        <v>23182</v>
      </c>
      <c r="C1573" t="s">
        <v>869</v>
      </c>
      <c r="D1573" t="str">
        <f>IFERROR(VLOOKUP(C1573,APOYO!J:K,2,FALSE),C1573)</f>
        <v>CHINÚ</v>
      </c>
      <c r="E1573">
        <v>2015</v>
      </c>
    </row>
    <row r="1574" spans="1:5" hidden="1" x14ac:dyDescent="0.25">
      <c r="A1574" t="str">
        <f>_xlfn.XLOOKUP(C1574, 'Códigos DANE Municipios'!$B$2:$B$1123, 'Códigos DANE Municipios'!$A$2:$A$1123, "No encontrado")</f>
        <v>25178</v>
      </c>
      <c r="B1574" t="str">
        <f>IFERROR(VLOOKUP(D1574,APOYO!K:L,2,FALSE),A1574)</f>
        <v>25178</v>
      </c>
      <c r="C1574" t="s">
        <v>948</v>
      </c>
      <c r="D1574" t="str">
        <f>IFERROR(VLOOKUP(C1574,APOYO!J:K,2,FALSE),C1574)</f>
        <v>CHIPAQUE</v>
      </c>
      <c r="E1574">
        <v>2015</v>
      </c>
    </row>
    <row r="1575" spans="1:5" hidden="1" x14ac:dyDescent="0.25">
      <c r="A1575" t="str">
        <f>_xlfn.XLOOKUP(C1575, 'Códigos DANE Municipios'!$B$2:$B$1123, 'Códigos DANE Municipios'!$A$2:$A$1123, "No encontrado")</f>
        <v>15176</v>
      </c>
      <c r="B1575" t="str">
        <f>IFERROR(VLOOKUP(D1575,APOYO!K:L,2,FALSE),A1575)</f>
        <v>15176</v>
      </c>
      <c r="C1575" t="s">
        <v>431</v>
      </c>
      <c r="D1575" t="str">
        <f>IFERROR(VLOOKUP(C1575,APOYO!J:K,2,FALSE),C1575)</f>
        <v>CHIQUINQUIRÁ</v>
      </c>
      <c r="E1575">
        <v>2015</v>
      </c>
    </row>
    <row r="1576" spans="1:5" hidden="1" x14ac:dyDescent="0.25">
      <c r="A1576" t="str">
        <f>_xlfn.XLOOKUP(C1576, 'Códigos DANE Municipios'!$B$2:$B$1123, 'Códigos DANE Municipios'!$A$2:$A$1123, "No encontrado")</f>
        <v>20178</v>
      </c>
      <c r="B1576" t="str">
        <f>IFERROR(VLOOKUP(D1576,APOYO!K:L,2,FALSE),A1576)</f>
        <v>20178</v>
      </c>
      <c r="C1576" t="s">
        <v>822</v>
      </c>
      <c r="D1576" t="str">
        <f>IFERROR(VLOOKUP(C1576,APOYO!J:K,2,FALSE),C1576)</f>
        <v>CHIRIGUANÁ</v>
      </c>
      <c r="E1576">
        <v>2015</v>
      </c>
    </row>
    <row r="1577" spans="1:5" hidden="1" x14ac:dyDescent="0.25">
      <c r="A1577" t="str">
        <f>_xlfn.XLOOKUP(C1577, 'Códigos DANE Municipios'!$B$2:$B$1123, 'Códigos DANE Municipios'!$A$2:$A$1123, "No encontrado")</f>
        <v>15180</v>
      </c>
      <c r="B1577" t="str">
        <f>IFERROR(VLOOKUP(D1577,APOYO!K:L,2,FALSE),A1577)</f>
        <v>15180</v>
      </c>
      <c r="C1577" t="s">
        <v>433</v>
      </c>
      <c r="D1577" t="str">
        <f>IFERROR(VLOOKUP(C1577,APOYO!J:K,2,FALSE),C1577)</f>
        <v>CHISCAS</v>
      </c>
      <c r="E1577">
        <v>2015</v>
      </c>
    </row>
    <row r="1578" spans="1:5" hidden="1" x14ac:dyDescent="0.25">
      <c r="A1578" t="str">
        <f>_xlfn.XLOOKUP(C1578, 'Códigos DANE Municipios'!$B$2:$B$1123, 'Códigos DANE Municipios'!$A$2:$A$1123, "No encontrado")</f>
        <v>54174</v>
      </c>
      <c r="B1578" t="str">
        <f>IFERROR(VLOOKUP(D1578,APOYO!K:L,2,FALSE),A1578)</f>
        <v>54174</v>
      </c>
      <c r="C1578" t="s">
        <v>1545</v>
      </c>
      <c r="D1578" t="str">
        <f>IFERROR(VLOOKUP(C1578,APOYO!J:K,2,FALSE),C1578)</f>
        <v>CHITAGÁ</v>
      </c>
      <c r="E1578">
        <v>2015</v>
      </c>
    </row>
    <row r="1579" spans="1:5" hidden="1" x14ac:dyDescent="0.25">
      <c r="A1579" t="str">
        <f>_xlfn.XLOOKUP(C1579, 'Códigos DANE Municipios'!$B$2:$B$1123, 'Códigos DANE Municipios'!$A$2:$A$1123, "No encontrado")</f>
        <v>15236</v>
      </c>
      <c r="B1579" t="str">
        <f>IFERROR(VLOOKUP(D1579,APOYO!K:L,2,FALSE),A1579)</f>
        <v>15236</v>
      </c>
      <c r="C1579" t="s">
        <v>459</v>
      </c>
      <c r="D1579" t="str">
        <f>IFERROR(VLOOKUP(C1579,APOYO!J:K,2,FALSE),C1579)</f>
        <v>CHIVOR</v>
      </c>
      <c r="E1579">
        <v>2015</v>
      </c>
    </row>
    <row r="1580" spans="1:5" hidden="1" x14ac:dyDescent="0.25">
      <c r="A1580" t="str">
        <f>_xlfn.XLOOKUP(C1580, 'Códigos DANE Municipios'!$B$2:$B$1123, 'Códigos DANE Municipios'!$A$2:$A$1123, "No encontrado")</f>
        <v>25181</v>
      </c>
      <c r="B1580" t="str">
        <f>IFERROR(VLOOKUP(D1580,APOYO!K:L,2,FALSE),A1580)</f>
        <v>25181</v>
      </c>
      <c r="C1580" t="s">
        <v>950</v>
      </c>
      <c r="D1580" t="str">
        <f>IFERROR(VLOOKUP(C1580,APOYO!J:K,2,FALSE),C1580)</f>
        <v>CHOACHÍ</v>
      </c>
      <c r="E1580">
        <v>2015</v>
      </c>
    </row>
    <row r="1581" spans="1:5" hidden="1" x14ac:dyDescent="0.25">
      <c r="A1581" t="str">
        <f>_xlfn.XLOOKUP(C1581, 'Códigos DANE Municipios'!$B$2:$B$1123, 'Códigos DANE Municipios'!$A$2:$A$1123, "No encontrado")</f>
        <v>25183</v>
      </c>
      <c r="B1581" t="str">
        <f>IFERROR(VLOOKUP(D1581,APOYO!K:L,2,FALSE),A1581)</f>
        <v>25183</v>
      </c>
      <c r="C1581" t="s">
        <v>952</v>
      </c>
      <c r="D1581" t="str">
        <f>IFERROR(VLOOKUP(C1581,APOYO!J:K,2,FALSE),C1581)</f>
        <v>CHOCONTÁ</v>
      </c>
      <c r="E1581">
        <v>2015</v>
      </c>
    </row>
    <row r="1582" spans="1:5" hidden="1" x14ac:dyDescent="0.25">
      <c r="A1582" t="str">
        <f>_xlfn.XLOOKUP(C1582, 'Códigos DANE Municipios'!$B$2:$B$1123, 'Códigos DANE Municipios'!$A$2:$A$1123, "No encontrado")</f>
        <v>47189</v>
      </c>
      <c r="B1582" t="str">
        <f>IFERROR(VLOOKUP(D1582,APOYO!K:L,2,FALSE),A1582)</f>
        <v>47189</v>
      </c>
      <c r="C1582" t="s">
        <v>1312</v>
      </c>
      <c r="D1582" t="str">
        <f>IFERROR(VLOOKUP(C1582,APOYO!J:K,2,FALSE),C1582)</f>
        <v>CIÉNAGA</v>
      </c>
      <c r="E1582">
        <v>2015</v>
      </c>
    </row>
    <row r="1583" spans="1:5" hidden="1" x14ac:dyDescent="0.25">
      <c r="A1583" t="str">
        <f>_xlfn.XLOOKUP(C1583, 'Códigos DANE Municipios'!$B$2:$B$1123, 'Códigos DANE Municipios'!$A$2:$A$1123, "No encontrado")</f>
        <v>23189</v>
      </c>
      <c r="B1583" t="str">
        <f>IFERROR(VLOOKUP(D1583,APOYO!K:L,2,FALSE),A1583)</f>
        <v>23189</v>
      </c>
      <c r="C1583" t="s">
        <v>871</v>
      </c>
      <c r="D1583" t="str">
        <f>IFERROR(VLOOKUP(C1583,APOYO!J:K,2,FALSE),C1583)</f>
        <v>CIÉNAGA DE ORO</v>
      </c>
      <c r="E1583">
        <v>2015</v>
      </c>
    </row>
    <row r="1584" spans="1:5" hidden="1" x14ac:dyDescent="0.25">
      <c r="A1584" t="str">
        <f>_xlfn.XLOOKUP(C1584, 'Códigos DANE Municipios'!$B$2:$B$1123, 'Códigos DANE Municipios'!$A$2:$A$1123, "No encontrado")</f>
        <v>68190</v>
      </c>
      <c r="B1584" t="str">
        <f>IFERROR(VLOOKUP(D1584,APOYO!K:L,2,FALSE),A1584)</f>
        <v>68190</v>
      </c>
      <c r="C1584" t="s">
        <v>1688</v>
      </c>
      <c r="D1584" t="str">
        <f>IFERROR(VLOOKUP(C1584,APOYO!J:K,2,FALSE),C1584)</f>
        <v>CIMITARRA</v>
      </c>
      <c r="E1584">
        <v>2015</v>
      </c>
    </row>
    <row r="1585" spans="1:5" hidden="1" x14ac:dyDescent="0.25">
      <c r="A1585" t="str">
        <f>_xlfn.XLOOKUP(C1585, 'Códigos DANE Municipios'!$B$2:$B$1123, 'Códigos DANE Municipios'!$A$2:$A$1123, "No encontrado")</f>
        <v>63190</v>
      </c>
      <c r="B1585" t="str">
        <f>IFERROR(VLOOKUP(D1585,APOYO!K:L,2,FALSE),A1585)</f>
        <v>63190</v>
      </c>
      <c r="C1585" t="s">
        <v>1611</v>
      </c>
      <c r="D1585" t="str">
        <f>IFERROR(VLOOKUP(C1585,APOYO!J:K,2,FALSE),C1585)</f>
        <v>CIRCASIA</v>
      </c>
      <c r="E1585">
        <v>2015</v>
      </c>
    </row>
    <row r="1586" spans="1:5" hidden="1" x14ac:dyDescent="0.25">
      <c r="A1586" t="str">
        <f>_xlfn.XLOOKUP(C1586, 'Códigos DANE Municipios'!$B$2:$B$1123, 'Códigos DANE Municipios'!$A$2:$A$1123, "No encontrado")</f>
        <v>05190</v>
      </c>
      <c r="B1586" t="str">
        <f>IFERROR(VLOOKUP(D1586,APOYO!K:L,2,FALSE),A1586)</f>
        <v>05190</v>
      </c>
      <c r="C1586" t="s">
        <v>84</v>
      </c>
      <c r="D1586" t="str">
        <f>IFERROR(VLOOKUP(C1586,APOYO!J:K,2,FALSE),C1586)</f>
        <v>CISNEROS</v>
      </c>
      <c r="E1586">
        <v>2015</v>
      </c>
    </row>
    <row r="1587" spans="1:5" hidden="1" x14ac:dyDescent="0.25">
      <c r="A1587" t="str">
        <f>_xlfn.XLOOKUP(C1587, 'Códigos DANE Municipios'!$B$2:$B$1123, 'Códigos DANE Municipios'!$A$2:$A$1123, "No encontrado")</f>
        <v>05197</v>
      </c>
      <c r="B1587" t="str">
        <f>IFERROR(VLOOKUP(D1587,APOYO!K:L,2,FALSE),A1587)</f>
        <v>05197</v>
      </c>
      <c r="C1587" t="s">
        <v>86</v>
      </c>
      <c r="D1587" t="str">
        <f>IFERROR(VLOOKUP(C1587,APOYO!J:K,2,FALSE),C1587)</f>
        <v>COCORNÁ</v>
      </c>
      <c r="E1587">
        <v>2015</v>
      </c>
    </row>
    <row r="1588" spans="1:5" hidden="1" x14ac:dyDescent="0.25">
      <c r="A1588" t="str">
        <f>_xlfn.XLOOKUP(C1588, 'Códigos DANE Municipios'!$B$2:$B$1123, 'Códigos DANE Municipios'!$A$2:$A$1123, "No encontrado")</f>
        <v>05190</v>
      </c>
      <c r="B1588" t="str">
        <f>IFERROR(VLOOKUP(D1588,APOYO!K:L,2,FALSE),A1588)</f>
        <v>05190</v>
      </c>
      <c r="C1588" t="s">
        <v>84</v>
      </c>
      <c r="D1588" t="str">
        <f>IFERROR(VLOOKUP(C1588,APOYO!J:K,2,FALSE),C1588)</f>
        <v>CISNEROS</v>
      </c>
      <c r="E1588">
        <v>2015</v>
      </c>
    </row>
    <row r="1589" spans="1:5" hidden="1" x14ac:dyDescent="0.25">
      <c r="A1589" t="str">
        <f>_xlfn.XLOOKUP(C1589, 'Códigos DANE Municipios'!$B$2:$B$1123, 'Códigos DANE Municipios'!$A$2:$A$1123, "No encontrado")</f>
        <v>05197</v>
      </c>
      <c r="B1589" t="str">
        <f>IFERROR(VLOOKUP(D1589,APOYO!K:L,2,FALSE),A1589)</f>
        <v>05197</v>
      </c>
      <c r="C1589" t="s">
        <v>86</v>
      </c>
      <c r="D1589" t="str">
        <f>IFERROR(VLOOKUP(C1589,APOYO!J:K,2,FALSE),C1589)</f>
        <v>COCORNÁ</v>
      </c>
      <c r="E1589">
        <v>2015</v>
      </c>
    </row>
    <row r="1590" spans="1:5" hidden="1" x14ac:dyDescent="0.25">
      <c r="A1590" t="str">
        <f>_xlfn.XLOOKUP(C1590, 'Códigos DANE Municipios'!$B$2:$B$1123, 'Códigos DANE Municipios'!$A$2:$A$1123, "No encontrado")</f>
        <v>73200</v>
      </c>
      <c r="B1590" t="str">
        <f>IFERROR(VLOOKUP(D1590,APOYO!K:L,2,FALSE),A1590)</f>
        <v>73200</v>
      </c>
      <c r="C1590" t="s">
        <v>1887</v>
      </c>
      <c r="D1590" t="str">
        <f>IFERROR(VLOOKUP(C1590,APOYO!J:K,2,FALSE),C1590)</f>
        <v>COELLO</v>
      </c>
      <c r="E1590">
        <v>2015</v>
      </c>
    </row>
    <row r="1591" spans="1:5" hidden="1" x14ac:dyDescent="0.25">
      <c r="A1591" t="str">
        <f>_xlfn.XLOOKUP(C1591, 'Códigos DANE Municipios'!$B$2:$B$1123, 'Códigos DANE Municipios'!$A$2:$A$1123, "No encontrado")</f>
        <v>25200</v>
      </c>
      <c r="B1591" t="str">
        <f>IFERROR(VLOOKUP(D1591,APOYO!K:L,2,FALSE),A1591)</f>
        <v>25200</v>
      </c>
      <c r="C1591" t="s">
        <v>954</v>
      </c>
      <c r="D1591" t="str">
        <f>IFERROR(VLOOKUP(C1591,APOYO!J:K,2,FALSE),C1591)</f>
        <v>COGUA</v>
      </c>
      <c r="E1591">
        <v>2015</v>
      </c>
    </row>
    <row r="1592" spans="1:5" hidden="1" x14ac:dyDescent="0.25">
      <c r="A1592" t="str">
        <f>_xlfn.XLOOKUP(C1592, 'Códigos DANE Municipios'!$B$2:$B$1123, 'Códigos DANE Municipios'!$A$2:$A$1123, "No encontrado")</f>
        <v>41206</v>
      </c>
      <c r="B1592" t="str">
        <f>IFERROR(VLOOKUP(D1592,APOYO!K:L,2,FALSE),A1592)</f>
        <v>41206</v>
      </c>
      <c r="C1592" t="s">
        <v>1217</v>
      </c>
      <c r="D1592" t="str">
        <f>IFERROR(VLOOKUP(C1592,APOYO!J:K,2,FALSE),C1592)</f>
        <v>COLOMBIA</v>
      </c>
      <c r="E1592">
        <v>2015</v>
      </c>
    </row>
    <row r="1593" spans="1:5" hidden="1" x14ac:dyDescent="0.25">
      <c r="A1593" t="str">
        <f>_xlfn.XLOOKUP(C1593, 'Códigos DANE Municipios'!$B$2:$B$1123, 'Códigos DANE Municipios'!$A$2:$A$1123, "No encontrado")</f>
        <v>52203</v>
      </c>
      <c r="B1593" t="str">
        <f>IFERROR(VLOOKUP(D1593,APOYO!K:L,2,FALSE),A1593)</f>
        <v>52203</v>
      </c>
      <c r="C1593" t="s">
        <v>1426</v>
      </c>
      <c r="D1593" t="str">
        <f>IFERROR(VLOOKUP(C1593,APOYO!J:K,2,FALSE),C1593)</f>
        <v>COLÓN</v>
      </c>
      <c r="E1593">
        <v>2015</v>
      </c>
    </row>
    <row r="1594" spans="1:5" hidden="1" x14ac:dyDescent="0.25">
      <c r="A1594" t="str">
        <f>_xlfn.XLOOKUP(C1594, 'Códigos DANE Municipios'!$B$2:$B$1123, 'Códigos DANE Municipios'!$A$2:$A$1123, "No encontrado")</f>
        <v>15204</v>
      </c>
      <c r="B1594" t="str">
        <f>IFERROR(VLOOKUP(D1594,APOYO!K:L,2,FALSE),A1594)</f>
        <v>15204</v>
      </c>
      <c r="C1594" t="s">
        <v>443</v>
      </c>
      <c r="D1594" t="str">
        <f>IFERROR(VLOOKUP(C1594,APOYO!J:K,2,FALSE),C1594)</f>
        <v>CÓMBITA</v>
      </c>
      <c r="E1594">
        <v>2015</v>
      </c>
    </row>
    <row r="1595" spans="1:5" hidden="1" x14ac:dyDescent="0.25">
      <c r="A1595" t="str">
        <f>_xlfn.XLOOKUP(C1595, 'Códigos DANE Municipios'!$B$2:$B$1123, 'Códigos DANE Municipios'!$A$2:$A$1123, "No encontrado")</f>
        <v>05206</v>
      </c>
      <c r="B1595" t="str">
        <f>IFERROR(VLOOKUP(D1595,APOYO!K:L,2,FALSE),A1595)</f>
        <v>05206</v>
      </c>
      <c r="C1595" t="s">
        <v>88</v>
      </c>
      <c r="D1595" t="str">
        <f>IFERROR(VLOOKUP(C1595,APOYO!J:K,2,FALSE),C1595)</f>
        <v>CONCEPCIÓN</v>
      </c>
      <c r="E1595">
        <v>2015</v>
      </c>
    </row>
    <row r="1596" spans="1:5" hidden="1" x14ac:dyDescent="0.25">
      <c r="A1596" t="str">
        <f>_xlfn.XLOOKUP(C1596, 'Códigos DANE Municipios'!$B$2:$B$1123, 'Códigos DANE Municipios'!$A$2:$A$1123, "No encontrado")</f>
        <v>05209</v>
      </c>
      <c r="B1596" t="str">
        <f>IFERROR(VLOOKUP(D1596,APOYO!K:L,2,FALSE),A1596)</f>
        <v>05209</v>
      </c>
      <c r="C1596" t="s">
        <v>90</v>
      </c>
      <c r="D1596" t="str">
        <f>IFERROR(VLOOKUP(C1596,APOYO!J:K,2,FALSE),C1596)</f>
        <v>CONCORDIA</v>
      </c>
      <c r="E1596">
        <v>2015</v>
      </c>
    </row>
    <row r="1597" spans="1:5" hidden="1" x14ac:dyDescent="0.25">
      <c r="A1597" t="str">
        <f>_xlfn.XLOOKUP(C1597, 'Códigos DANE Municipios'!$B$2:$B$1123, 'Códigos DANE Municipios'!$A$2:$A$1123, "No encontrado")</f>
        <v>27205</v>
      </c>
      <c r="B1597" t="str">
        <f>IFERROR(VLOOKUP(D1597,APOYO!K:L,2,FALSE),A1597)</f>
        <v>27205</v>
      </c>
      <c r="C1597" t="s">
        <v>1164</v>
      </c>
      <c r="D1597" t="str">
        <f>IFERROR(VLOOKUP(C1597,APOYO!J:K,2,FALSE),C1597)</f>
        <v>CONDOTO</v>
      </c>
      <c r="E1597">
        <v>2015</v>
      </c>
    </row>
    <row r="1598" spans="1:5" hidden="1" x14ac:dyDescent="0.25">
      <c r="A1598" t="str">
        <f>_xlfn.XLOOKUP(C1598, 'Códigos DANE Municipios'!$B$2:$B$1123, 'Códigos DANE Municipios'!$A$2:$A$1123, "No encontrado")</f>
        <v>52207</v>
      </c>
      <c r="B1598" t="str">
        <f>IFERROR(VLOOKUP(D1598,APOYO!K:L,2,FALSE),A1598)</f>
        <v>52207</v>
      </c>
      <c r="C1598" t="s">
        <v>1428</v>
      </c>
      <c r="D1598" t="str">
        <f>IFERROR(VLOOKUP(C1598,APOYO!J:K,2,FALSE),C1598)</f>
        <v>CONSACÁ</v>
      </c>
      <c r="E1598">
        <v>2015</v>
      </c>
    </row>
    <row r="1599" spans="1:5" hidden="1" x14ac:dyDescent="0.25">
      <c r="A1599" t="str">
        <f>_xlfn.XLOOKUP(C1599, 'Códigos DANE Municipios'!$B$2:$B$1123, 'Códigos DANE Municipios'!$A$2:$A$1123, "No encontrado")</f>
        <v>68211</v>
      </c>
      <c r="B1599" t="str">
        <f>IFERROR(VLOOKUP(D1599,APOYO!K:L,2,FALSE),A1599)</f>
        <v>68211</v>
      </c>
      <c r="C1599" t="s">
        <v>1693</v>
      </c>
      <c r="D1599" t="str">
        <f>IFERROR(VLOOKUP(C1599,APOYO!J:K,2,FALSE),C1599)</f>
        <v>CONTRATACIÓN</v>
      </c>
      <c r="E1599">
        <v>2015</v>
      </c>
    </row>
    <row r="1600" spans="1:5" hidden="1" x14ac:dyDescent="0.25">
      <c r="A1600" t="str">
        <f>_xlfn.XLOOKUP(C1600, 'Códigos DANE Municipios'!$B$2:$B$1123, 'Códigos DANE Municipios'!$A$2:$A$1123, "No encontrado")</f>
        <v>52210</v>
      </c>
      <c r="B1600" t="str">
        <f>IFERROR(VLOOKUP(D1600,APOYO!K:L,2,FALSE),A1600)</f>
        <v>52210</v>
      </c>
      <c r="C1600" t="s">
        <v>1430</v>
      </c>
      <c r="D1600" t="str">
        <f>IFERROR(VLOOKUP(C1600,APOYO!J:K,2,FALSE),C1600)</f>
        <v>CONTADERO</v>
      </c>
      <c r="E1600">
        <v>2015</v>
      </c>
    </row>
    <row r="1601" spans="1:5" hidden="1" x14ac:dyDescent="0.25">
      <c r="A1601" t="str">
        <f>_xlfn.XLOOKUP(C1601, 'Códigos DANE Municipios'!$B$2:$B$1123, 'Códigos DANE Municipios'!$A$2:$A$1123, "No encontrado")</f>
        <v>05212</v>
      </c>
      <c r="B1601" t="str">
        <f>IFERROR(VLOOKUP(D1601,APOYO!K:L,2,FALSE),A1601)</f>
        <v>05212</v>
      </c>
      <c r="C1601" t="s">
        <v>92</v>
      </c>
      <c r="D1601" t="str">
        <f>IFERROR(VLOOKUP(C1601,APOYO!J:K,2,FALSE),C1601)</f>
        <v>COPACABANA</v>
      </c>
      <c r="E1601">
        <v>2015</v>
      </c>
    </row>
    <row r="1602" spans="1:5" hidden="1" x14ac:dyDescent="0.25">
      <c r="A1602" t="str">
        <f>_xlfn.XLOOKUP(C1602, 'Códigos DANE Municipios'!$B$2:$B$1123, 'Códigos DANE Municipios'!$A$2:$A$1123, "No encontrado")</f>
        <v>13212</v>
      </c>
      <c r="B1602" t="str">
        <f>IFERROR(VLOOKUP(D1602,APOYO!K:L,2,FALSE),A1602)</f>
        <v>13212</v>
      </c>
      <c r="C1602" t="s">
        <v>329</v>
      </c>
      <c r="D1602" t="str">
        <f>IFERROR(VLOOKUP(C1602,APOYO!J:K,2,FALSE),C1602)</f>
        <v>CÓRDOBA</v>
      </c>
      <c r="E1602">
        <v>2015</v>
      </c>
    </row>
    <row r="1603" spans="1:5" hidden="1" x14ac:dyDescent="0.25">
      <c r="A1603" t="str">
        <f>_xlfn.XLOOKUP(C1603, 'Códigos DANE Municipios'!$B$2:$B$1123, 'Códigos DANE Municipios'!$A$2:$A$1123, "No encontrado")</f>
        <v>19212</v>
      </c>
      <c r="B1603" t="str">
        <f>IFERROR(VLOOKUP(D1603,APOYO!K:L,2,FALSE),A1603)</f>
        <v>19212</v>
      </c>
      <c r="C1603" t="s">
        <v>746</v>
      </c>
      <c r="D1603" t="str">
        <f>IFERROR(VLOOKUP(C1603,APOYO!J:K,2,FALSE),C1603)</f>
        <v>CORINTO</v>
      </c>
      <c r="E1603">
        <v>2015</v>
      </c>
    </row>
    <row r="1604" spans="1:5" hidden="1" x14ac:dyDescent="0.25">
      <c r="A1604" t="str">
        <f>_xlfn.XLOOKUP(C1604, 'Códigos DANE Municipios'!$B$2:$B$1123, 'Códigos DANE Municipios'!$A$2:$A$1123, "No encontrado")</f>
        <v>70215</v>
      </c>
      <c r="B1604" t="str">
        <f>IFERROR(VLOOKUP(D1604,APOYO!K:L,2,FALSE),A1604)</f>
        <v>70215</v>
      </c>
      <c r="C1604" t="s">
        <v>1823</v>
      </c>
      <c r="D1604" t="str">
        <f>IFERROR(VLOOKUP(C1604,APOYO!J:K,2,FALSE),C1604)</f>
        <v>COROZAL</v>
      </c>
      <c r="E1604">
        <v>2015</v>
      </c>
    </row>
    <row r="1605" spans="1:5" hidden="1" x14ac:dyDescent="0.25">
      <c r="A1605" t="str">
        <f>_xlfn.XLOOKUP(C1605, 'Códigos DANE Municipios'!$B$2:$B$1123, 'Códigos DANE Municipios'!$A$2:$A$1123, "No encontrado")</f>
        <v>25214</v>
      </c>
      <c r="B1605" t="str">
        <f>IFERROR(VLOOKUP(D1605,APOYO!K:L,2,FALSE),A1605)</f>
        <v>25214</v>
      </c>
      <c r="C1605" t="s">
        <v>956</v>
      </c>
      <c r="D1605" t="str">
        <f>IFERROR(VLOOKUP(C1605,APOYO!J:K,2,FALSE),C1605)</f>
        <v>COTA</v>
      </c>
      <c r="E1605">
        <v>2015</v>
      </c>
    </row>
    <row r="1606" spans="1:5" hidden="1" x14ac:dyDescent="0.25">
      <c r="A1606" t="str">
        <f>_xlfn.XLOOKUP(C1606, 'Códigos DANE Municipios'!$B$2:$B$1123, 'Códigos DANE Municipios'!$A$2:$A$1123, "No encontrado")</f>
        <v>70221</v>
      </c>
      <c r="B1606" t="str">
        <f>IFERROR(VLOOKUP(D1606,APOYO!K:L,2,FALSE),A1606)</f>
        <v>70221</v>
      </c>
      <c r="C1606" t="s">
        <v>1825</v>
      </c>
      <c r="D1606" t="str">
        <f>IFERROR(VLOOKUP(C1606,APOYO!J:K,2,FALSE),C1606)</f>
        <v>COVEÑAS</v>
      </c>
      <c r="E1606">
        <v>2015</v>
      </c>
    </row>
    <row r="1607" spans="1:5" hidden="1" x14ac:dyDescent="0.25">
      <c r="A1607" t="str">
        <f>_xlfn.XLOOKUP(C1607, 'Códigos DANE Municipios'!$B$2:$B$1123, 'Códigos DANE Municipios'!$A$2:$A$1123, "No encontrado")</f>
        <v>81220</v>
      </c>
      <c r="B1607" t="str">
        <f>IFERROR(VLOOKUP(D1607,APOYO!K:L,2,FALSE),A1607)</f>
        <v>81220</v>
      </c>
      <c r="C1607" t="s">
        <v>2038</v>
      </c>
      <c r="D1607" t="str">
        <f>IFERROR(VLOOKUP(C1607,APOYO!J:K,2,FALSE),C1607)</f>
        <v>CRAVO NORTE</v>
      </c>
      <c r="E1607">
        <v>2015</v>
      </c>
    </row>
    <row r="1608" spans="1:5" hidden="1" x14ac:dyDescent="0.25">
      <c r="A1608" t="str">
        <f>_xlfn.XLOOKUP(C1608, 'Códigos DANE Municipios'!$B$2:$B$1123, 'Códigos DANE Municipios'!$A$2:$A$1123, "No encontrado")</f>
        <v>15223</v>
      </c>
      <c r="B1608" t="str">
        <f>IFERROR(VLOOKUP(D1608,APOYO!K:L,2,FALSE),A1608)</f>
        <v>15223</v>
      </c>
      <c r="C1608" t="s">
        <v>451</v>
      </c>
      <c r="D1608" t="str">
        <f>IFERROR(VLOOKUP(C1608,APOYO!J:K,2,FALSE),C1608)</f>
        <v>CUBARÁ</v>
      </c>
      <c r="E1608">
        <v>2015</v>
      </c>
    </row>
    <row r="1609" spans="1:5" hidden="1" x14ac:dyDescent="0.25">
      <c r="A1609" t="str">
        <f>_xlfn.XLOOKUP(C1609, 'Códigos DANE Municipios'!$B$2:$B$1123, 'Códigos DANE Municipios'!$A$2:$A$1123, "No encontrado")</f>
        <v>50223</v>
      </c>
      <c r="B1609" t="str">
        <f>IFERROR(VLOOKUP(D1609,APOYO!K:L,2,FALSE),A1609)</f>
        <v>50223</v>
      </c>
      <c r="C1609" t="s">
        <v>1368</v>
      </c>
      <c r="D1609" t="str">
        <f>IFERROR(VLOOKUP(C1609,APOYO!J:K,2,FALSE),C1609)</f>
        <v>SAN LUIS DE CUBARRAL</v>
      </c>
      <c r="E1609">
        <v>2015</v>
      </c>
    </row>
    <row r="1610" spans="1:5" hidden="1" x14ac:dyDescent="0.25">
      <c r="A1610" t="str">
        <f>_xlfn.XLOOKUP(C1610, 'Códigos DANE Municipios'!$B$2:$B$1123, 'Códigos DANE Municipios'!$A$2:$A$1123, "No encontrado")</f>
        <v>15224</v>
      </c>
      <c r="B1610" t="str">
        <f>IFERROR(VLOOKUP(D1610,APOYO!K:L,2,FALSE),A1610)</f>
        <v>15224</v>
      </c>
      <c r="C1610" t="s">
        <v>453</v>
      </c>
      <c r="D1610" t="str">
        <f>IFERROR(VLOOKUP(C1610,APOYO!J:K,2,FALSE),C1610)</f>
        <v>CUCAITA</v>
      </c>
      <c r="E1610">
        <v>2015</v>
      </c>
    </row>
    <row r="1611" spans="1:5" hidden="1" x14ac:dyDescent="0.25">
      <c r="A1611" t="str">
        <f>_xlfn.XLOOKUP(C1611, 'Códigos DANE Municipios'!$B$2:$B$1123, 'Códigos DANE Municipios'!$A$2:$A$1123, "No encontrado")</f>
        <v>25224</v>
      </c>
      <c r="B1611" t="str">
        <f>IFERROR(VLOOKUP(D1611,APOYO!K:L,2,FALSE),A1611)</f>
        <v>25224</v>
      </c>
      <c r="C1611" t="s">
        <v>958</v>
      </c>
      <c r="D1611" t="str">
        <f>IFERROR(VLOOKUP(C1611,APOYO!J:K,2,FALSE),C1611)</f>
        <v>CUCUNUBÁ</v>
      </c>
      <c r="E1611">
        <v>2015</v>
      </c>
    </row>
    <row r="1612" spans="1:5" hidden="1" x14ac:dyDescent="0.25">
      <c r="A1612" t="str">
        <f>_xlfn.XLOOKUP(C1612, 'Códigos DANE Municipios'!$B$2:$B$1123, 'Códigos DANE Municipios'!$A$2:$A$1123, "No encontrado")</f>
        <v>54001</v>
      </c>
      <c r="B1612" t="str">
        <f>IFERROR(VLOOKUP(D1612,APOYO!K:L,2,FALSE),A1612)</f>
        <v>54001</v>
      </c>
      <c r="C1612" t="s">
        <v>1529</v>
      </c>
      <c r="D1612" t="str">
        <f>IFERROR(VLOOKUP(C1612,APOYO!J:K,2,FALSE),C1612)</f>
        <v>CÚCUTA</v>
      </c>
      <c r="E1612">
        <v>2015</v>
      </c>
    </row>
    <row r="1613" spans="1:5" hidden="1" x14ac:dyDescent="0.25">
      <c r="A1613" t="str">
        <f>_xlfn.XLOOKUP(C1613, 'Códigos DANE Municipios'!$B$2:$B$1123, 'Códigos DANE Municipios'!$A$2:$A$1123, "No encontrado")</f>
        <v>54223</v>
      </c>
      <c r="B1613" t="str">
        <f>IFERROR(VLOOKUP(D1613,APOYO!K:L,2,FALSE),A1613)</f>
        <v>54223</v>
      </c>
      <c r="C1613" t="s">
        <v>1549</v>
      </c>
      <c r="D1613" t="str">
        <f>IFERROR(VLOOKUP(C1613,APOYO!J:K,2,FALSE),C1613)</f>
        <v>CUCUTILLA</v>
      </c>
      <c r="E1613">
        <v>2015</v>
      </c>
    </row>
    <row r="1614" spans="1:5" hidden="1" x14ac:dyDescent="0.25">
      <c r="A1614" t="str">
        <f>_xlfn.XLOOKUP(C1614, 'Códigos DANE Municipios'!$B$2:$B$1123, 'Códigos DANE Municipios'!$A$2:$A$1123, "No encontrado")</f>
        <v>15226</v>
      </c>
      <c r="B1614" t="str">
        <f>IFERROR(VLOOKUP(D1614,APOYO!K:L,2,FALSE),A1614)</f>
        <v>15226</v>
      </c>
      <c r="C1614" t="s">
        <v>455</v>
      </c>
      <c r="D1614" t="str">
        <f>IFERROR(VLOOKUP(C1614,APOYO!J:K,2,FALSE),C1614)</f>
        <v>CUÍTIVA</v>
      </c>
      <c r="E1614">
        <v>2015</v>
      </c>
    </row>
    <row r="1615" spans="1:5" hidden="1" x14ac:dyDescent="0.25">
      <c r="A1615" t="str">
        <f>_xlfn.XLOOKUP(C1615, 'Códigos DANE Municipios'!$B$2:$B$1123, 'Códigos DANE Municipios'!$A$2:$A$1123, "No encontrado")</f>
        <v>50226</v>
      </c>
      <c r="B1615" t="str">
        <f>IFERROR(VLOOKUP(D1615,APOYO!K:L,2,FALSE),A1615)</f>
        <v>50226</v>
      </c>
      <c r="C1615" t="s">
        <v>1370</v>
      </c>
      <c r="D1615" t="str">
        <f>IFERROR(VLOOKUP(C1615,APOYO!J:K,2,FALSE),C1615)</f>
        <v>CUMARAL</v>
      </c>
      <c r="E1615">
        <v>2015</v>
      </c>
    </row>
    <row r="1616" spans="1:5" hidden="1" x14ac:dyDescent="0.25">
      <c r="A1616" t="str">
        <f>_xlfn.XLOOKUP(C1616, 'Códigos DANE Municipios'!$B$2:$B$1123, 'Códigos DANE Municipios'!$A$2:$A$1123, "No encontrado")</f>
        <v>99773</v>
      </c>
      <c r="B1616" t="str">
        <f>IFERROR(VLOOKUP(D1616,APOYO!K:L,2,FALSE),A1616)</f>
        <v>99773</v>
      </c>
      <c r="C1616" t="s">
        <v>2169</v>
      </c>
      <c r="D1616" t="str">
        <f>IFERROR(VLOOKUP(C1616,APOYO!J:K,2,FALSE),C1616)</f>
        <v>CUMARIBO</v>
      </c>
      <c r="E1616">
        <v>2015</v>
      </c>
    </row>
    <row r="1617" spans="1:5" hidden="1" x14ac:dyDescent="0.25">
      <c r="A1617" t="str">
        <f>_xlfn.XLOOKUP(C1617, 'Códigos DANE Municipios'!$B$2:$B$1123, 'Códigos DANE Municipios'!$A$2:$A$1123, "No encontrado")</f>
        <v>52227</v>
      </c>
      <c r="B1617" t="str">
        <f>IFERROR(VLOOKUP(D1617,APOYO!K:L,2,FALSE),A1617)</f>
        <v>52227</v>
      </c>
      <c r="C1617" t="s">
        <v>1435</v>
      </c>
      <c r="D1617" t="str">
        <f>IFERROR(VLOOKUP(C1617,APOYO!J:K,2,FALSE),C1617)</f>
        <v>CUMBAL</v>
      </c>
      <c r="E1617">
        <v>2015</v>
      </c>
    </row>
    <row r="1618" spans="1:5" hidden="1" x14ac:dyDescent="0.25">
      <c r="A1618" t="str">
        <f>_xlfn.XLOOKUP(C1618, 'Códigos DANE Municipios'!$B$2:$B$1123, 'Códigos DANE Municipios'!$A$2:$A$1123, "No encontrado")</f>
        <v>73226</v>
      </c>
      <c r="B1618" t="str">
        <f>IFERROR(VLOOKUP(D1618,APOYO!K:L,2,FALSE),A1618)</f>
        <v>73226</v>
      </c>
      <c r="C1618" t="s">
        <v>1891</v>
      </c>
      <c r="D1618" t="str">
        <f>IFERROR(VLOOKUP(C1618,APOYO!J:K,2,FALSE),C1618)</f>
        <v>CUNDAY</v>
      </c>
      <c r="E1618">
        <v>2015</v>
      </c>
    </row>
    <row r="1619" spans="1:5" hidden="1" x14ac:dyDescent="0.25">
      <c r="A1619" t="str">
        <f>_xlfn.XLOOKUP(C1619, 'Códigos DANE Municipios'!$B$2:$B$1123, 'Códigos DANE Municipios'!$A$2:$A$1123, "No encontrado")</f>
        <v>68229</v>
      </c>
      <c r="B1619" t="str">
        <f>IFERROR(VLOOKUP(D1619,APOYO!K:L,2,FALSE),A1619)</f>
        <v>68229</v>
      </c>
      <c r="C1619" t="s">
        <v>1697</v>
      </c>
      <c r="D1619" t="str">
        <f>IFERROR(VLOOKUP(C1619,APOYO!J:K,2,FALSE),C1619)</f>
        <v>CURITÍ</v>
      </c>
      <c r="E1619">
        <v>2015</v>
      </c>
    </row>
    <row r="1620" spans="1:5" hidden="1" x14ac:dyDescent="0.25">
      <c r="A1620" t="str">
        <f>_xlfn.XLOOKUP(C1620, 'Códigos DANE Municipios'!$B$2:$B$1123, 'Códigos DANE Municipios'!$A$2:$A$1123, "No encontrado")</f>
        <v>20228</v>
      </c>
      <c r="B1620" t="str">
        <f>IFERROR(VLOOKUP(D1620,APOYO!K:L,2,FALSE),A1620)</f>
        <v>20228</v>
      </c>
      <c r="C1620" t="s">
        <v>824</v>
      </c>
      <c r="D1620" t="str">
        <f>IFERROR(VLOOKUP(C1620,APOYO!J:K,2,FALSE),C1620)</f>
        <v>CURUMANÍ</v>
      </c>
      <c r="E1620">
        <v>2015</v>
      </c>
    </row>
    <row r="1621" spans="1:5" hidden="1" x14ac:dyDescent="0.25">
      <c r="A1621" t="str">
        <f>_xlfn.XLOOKUP(C1621, 'Códigos DANE Municipios'!$B$2:$B$1123, 'Códigos DANE Municipios'!$A$2:$A$1123, "No encontrado")</f>
        <v>76233</v>
      </c>
      <c r="B1621" t="str">
        <f>IFERROR(VLOOKUP(D1621,APOYO!K:L,2,FALSE),A1621)</f>
        <v>76233</v>
      </c>
      <c r="C1621" t="s">
        <v>1980</v>
      </c>
      <c r="D1621" t="str">
        <f>IFERROR(VLOOKUP(C1621,APOYO!J:K,2,FALSE),C1621)</f>
        <v>DAGUA</v>
      </c>
      <c r="E1621">
        <v>2015</v>
      </c>
    </row>
    <row r="1622" spans="1:5" hidden="1" x14ac:dyDescent="0.25">
      <c r="A1622" t="str">
        <f>_xlfn.XLOOKUP(C1622, 'Códigos DANE Municipios'!$B$2:$B$1123, 'Códigos DANE Municipios'!$A$2:$A$1123, "No encontrado")</f>
        <v>44090</v>
      </c>
      <c r="B1622" t="str">
        <f>IFERROR(VLOOKUP(D1622,APOYO!K:L,2,FALSE),A1622)</f>
        <v>44090</v>
      </c>
      <c r="C1622" t="s">
        <v>1277</v>
      </c>
      <c r="D1622" t="str">
        <f>IFERROR(VLOOKUP(C1622,APOYO!J:K,2,FALSE),C1622)</f>
        <v>DIBULLA</v>
      </c>
      <c r="E1622">
        <v>2015</v>
      </c>
    </row>
    <row r="1623" spans="1:5" hidden="1" x14ac:dyDescent="0.25">
      <c r="A1623" t="str">
        <f>_xlfn.XLOOKUP(C1623, 'Códigos DANE Municipios'!$B$2:$B$1123, 'Códigos DANE Municipios'!$A$2:$A$1123, "No encontrado")</f>
        <v>44098</v>
      </c>
      <c r="B1623" t="str">
        <f>IFERROR(VLOOKUP(D1623,APOYO!K:L,2,FALSE),A1623)</f>
        <v>44098</v>
      </c>
      <c r="C1623" t="s">
        <v>1279</v>
      </c>
      <c r="D1623" t="str">
        <f>IFERROR(VLOOKUP(C1623,APOYO!J:K,2,FALSE),C1623)</f>
        <v>DISTRACCIÓN</v>
      </c>
      <c r="E1623">
        <v>2015</v>
      </c>
    </row>
    <row r="1624" spans="1:5" hidden="1" x14ac:dyDescent="0.25">
      <c r="A1624" t="str">
        <f>_xlfn.XLOOKUP(C1624, 'Códigos DANE Municipios'!$B$2:$B$1123, 'Códigos DANE Municipios'!$A$2:$A$1123, "No encontrado")</f>
        <v>05237</v>
      </c>
      <c r="B1624" t="str">
        <f>IFERROR(VLOOKUP(D1624,APOYO!K:L,2,FALSE),A1624)</f>
        <v>05237</v>
      </c>
      <c r="C1624" t="s">
        <v>96</v>
      </c>
      <c r="D1624" t="str">
        <f>IFERROR(VLOOKUP(C1624,APOYO!J:K,2,FALSE),C1624)</f>
        <v>DONMATÍAS</v>
      </c>
      <c r="E1624">
        <v>2015</v>
      </c>
    </row>
    <row r="1625" spans="1:5" hidden="1" x14ac:dyDescent="0.25">
      <c r="A1625" t="str">
        <f>_xlfn.XLOOKUP(C1625, 'Códigos DANE Municipios'!$B$2:$B$1123, 'Códigos DANE Municipios'!$A$2:$A$1123, "No encontrado")</f>
        <v>66170</v>
      </c>
      <c r="B1625" t="str">
        <f>IFERROR(VLOOKUP(D1625,APOYO!K:L,2,FALSE),A1625)</f>
        <v>66170</v>
      </c>
      <c r="C1625" t="s">
        <v>1635</v>
      </c>
      <c r="D1625" t="str">
        <f>IFERROR(VLOOKUP(C1625,APOYO!J:K,2,FALSE),C1625)</f>
        <v>DOSQUEBRADAS</v>
      </c>
      <c r="E1625">
        <v>2015</v>
      </c>
    </row>
    <row r="1626" spans="1:5" hidden="1" x14ac:dyDescent="0.25">
      <c r="A1626" t="str">
        <f>_xlfn.XLOOKUP(C1626, 'Códigos DANE Municipios'!$B$2:$B$1123, 'Códigos DANE Municipios'!$A$2:$A$1123, "No encontrado")</f>
        <v>15238</v>
      </c>
      <c r="B1626" t="str">
        <f>IFERROR(VLOOKUP(D1626,APOYO!K:L,2,FALSE),A1626)</f>
        <v>15238</v>
      </c>
      <c r="C1626" t="s">
        <v>461</v>
      </c>
      <c r="D1626" t="str">
        <f>IFERROR(VLOOKUP(C1626,APOYO!J:K,2,FALSE),C1626)</f>
        <v>DUITAMA</v>
      </c>
      <c r="E1626">
        <v>2015</v>
      </c>
    </row>
    <row r="1627" spans="1:5" hidden="1" x14ac:dyDescent="0.25">
      <c r="A1627" t="str">
        <f>_xlfn.XLOOKUP(C1627, 'Códigos DANE Municipios'!$B$2:$B$1123, 'Códigos DANE Municipios'!$A$2:$A$1123, "No encontrado")</f>
        <v>05240</v>
      </c>
      <c r="B1627" t="str">
        <f>IFERROR(VLOOKUP(D1627,APOYO!K:L,2,FALSE),A1627)</f>
        <v>05240</v>
      </c>
      <c r="C1627" t="s">
        <v>98</v>
      </c>
      <c r="D1627" t="str">
        <f>IFERROR(VLOOKUP(C1627,APOYO!J:K,2,FALSE),C1627)</f>
        <v>EBÉJICO</v>
      </c>
      <c r="E1627">
        <v>2015</v>
      </c>
    </row>
    <row r="1628" spans="1:5" hidden="1" x14ac:dyDescent="0.25">
      <c r="A1628" t="str">
        <f>_xlfn.XLOOKUP(C1628, 'Códigos DANE Municipios'!$B$2:$B$1123, 'Códigos DANE Municipios'!$A$2:$A$1123, "No encontrado")</f>
        <v>05250</v>
      </c>
      <c r="B1628" t="str">
        <f>IFERROR(VLOOKUP(D1628,APOYO!K:L,2,FALSE),A1628)</f>
        <v>05250</v>
      </c>
      <c r="C1628" t="s">
        <v>100</v>
      </c>
      <c r="D1628" t="str">
        <f>IFERROR(VLOOKUP(C1628,APOYO!J:K,2,FALSE),C1628)</f>
        <v>EL BAGRE</v>
      </c>
      <c r="E1628">
        <v>2015</v>
      </c>
    </row>
    <row r="1629" spans="1:5" hidden="1" x14ac:dyDescent="0.25">
      <c r="A1629" t="str">
        <f>_xlfn.XLOOKUP(C1629, 'Códigos DANE Municipios'!$B$2:$B$1123, 'Códigos DANE Municipios'!$A$2:$A$1123, "No encontrado")</f>
        <v>47245</v>
      </c>
      <c r="B1629" t="str">
        <f>IFERROR(VLOOKUP(D1629,APOYO!K:L,2,FALSE),A1629)</f>
        <v>47245</v>
      </c>
      <c r="C1629" t="s">
        <v>1315</v>
      </c>
      <c r="D1629" t="str">
        <f>IFERROR(VLOOKUP(C1629,APOYO!J:K,2,FALSE),C1629)</f>
        <v>EL BANCO</v>
      </c>
      <c r="E1629">
        <v>2015</v>
      </c>
    </row>
    <row r="1630" spans="1:5" hidden="1" x14ac:dyDescent="0.25">
      <c r="A1630" t="str">
        <f>_xlfn.XLOOKUP(C1630, 'Códigos DANE Municipios'!$B$2:$B$1123, 'Códigos DANE Municipios'!$A$2:$A$1123, "No encontrado")</f>
        <v>76246</v>
      </c>
      <c r="B1630" t="str">
        <f>IFERROR(VLOOKUP(D1630,APOYO!K:L,2,FALSE),A1630)</f>
        <v>76246</v>
      </c>
      <c r="C1630" t="s">
        <v>1984</v>
      </c>
      <c r="D1630" t="str">
        <f>IFERROR(VLOOKUP(C1630,APOYO!J:K,2,FALSE),C1630)</f>
        <v>EL CAIRO</v>
      </c>
      <c r="E1630">
        <v>2015</v>
      </c>
    </row>
    <row r="1631" spans="1:5" hidden="1" x14ac:dyDescent="0.25">
      <c r="A1631" t="str">
        <f>_xlfn.XLOOKUP(C1631, 'Códigos DANE Municipios'!$B$2:$B$1123, 'Códigos DANE Municipios'!$A$2:$A$1123, "No encontrado")</f>
        <v>54245</v>
      </c>
      <c r="B1631" t="str">
        <f>IFERROR(VLOOKUP(D1631,APOYO!K:L,2,FALSE),A1631)</f>
        <v>54245</v>
      </c>
      <c r="C1631" t="s">
        <v>1553</v>
      </c>
      <c r="D1631" t="str">
        <f>IFERROR(VLOOKUP(C1631,APOYO!J:K,2,FALSE),C1631)</f>
        <v>EL CARMEN</v>
      </c>
      <c r="E1631">
        <v>2015</v>
      </c>
    </row>
    <row r="1632" spans="1:5" hidden="1" x14ac:dyDescent="0.25">
      <c r="A1632" t="str">
        <f>_xlfn.XLOOKUP(C1632, 'Códigos DANE Municipios'!$B$2:$B$1123, 'Códigos DANE Municipios'!$A$2:$A$1123, "No encontrado")</f>
        <v>13244</v>
      </c>
      <c r="B1632" t="str">
        <f>IFERROR(VLOOKUP(D1632,APOYO!K:L,2,FALSE),A1632)</f>
        <v>13244</v>
      </c>
      <c r="C1632" t="s">
        <v>333</v>
      </c>
      <c r="D1632" t="str">
        <f>IFERROR(VLOOKUP(C1632,APOYO!J:K,2,FALSE),C1632)</f>
        <v>EL CARMEN DE BOLÍVAR</v>
      </c>
      <c r="E1632">
        <v>2015</v>
      </c>
    </row>
    <row r="1633" spans="1:5" hidden="1" x14ac:dyDescent="0.25">
      <c r="A1633" t="str">
        <f>_xlfn.XLOOKUP(C1633, 'Códigos DANE Municipios'!$B$2:$B$1123, 'Códigos DANE Municipios'!$A$2:$A$1123, "No encontrado")</f>
        <v>50251</v>
      </c>
      <c r="B1633" t="str">
        <f>IFERROR(VLOOKUP(D1633,APOYO!K:L,2,FALSE),A1633)</f>
        <v>50251</v>
      </c>
      <c r="C1633" t="s">
        <v>1374</v>
      </c>
      <c r="D1633" t="str">
        <f>IFERROR(VLOOKUP(C1633,APOYO!J:K,2,FALSE),C1633)</f>
        <v>EL CASTILLO</v>
      </c>
      <c r="E1633">
        <v>2015</v>
      </c>
    </row>
    <row r="1634" spans="1:5" hidden="1" x14ac:dyDescent="0.25">
      <c r="A1634" t="str">
        <f>_xlfn.XLOOKUP(C1634, 'Códigos DANE Municipios'!$B$2:$B$1123, 'Códigos DANE Municipios'!$A$2:$A$1123, "No encontrado")</f>
        <v>76248</v>
      </c>
      <c r="B1634" t="str">
        <f>IFERROR(VLOOKUP(D1634,APOYO!K:L,2,FALSE),A1634)</f>
        <v>76248</v>
      </c>
      <c r="C1634" t="s">
        <v>1986</v>
      </c>
      <c r="D1634" t="str">
        <f>IFERROR(VLOOKUP(C1634,APOYO!J:K,2,FALSE),C1634)</f>
        <v>EL CERRITO</v>
      </c>
      <c r="E1634">
        <v>2015</v>
      </c>
    </row>
    <row r="1635" spans="1:5" hidden="1" x14ac:dyDescent="0.25">
      <c r="A1635" t="str">
        <f>_xlfn.XLOOKUP(C1635, 'Códigos DANE Municipios'!$B$2:$B$1123, 'Códigos DANE Municipios'!$A$2:$A$1123, "No encontrado")</f>
        <v>15244</v>
      </c>
      <c r="B1635" t="str">
        <f>IFERROR(VLOOKUP(D1635,APOYO!K:L,2,FALSE),A1635)</f>
        <v>15244</v>
      </c>
      <c r="C1635" t="s">
        <v>463</v>
      </c>
      <c r="D1635" t="str">
        <f>IFERROR(VLOOKUP(C1635,APOYO!J:K,2,FALSE),C1635)</f>
        <v>EL COCUY</v>
      </c>
      <c r="E1635">
        <v>2015</v>
      </c>
    </row>
    <row r="1636" spans="1:5" hidden="1" x14ac:dyDescent="0.25">
      <c r="A1636" t="str">
        <f>_xlfn.XLOOKUP(C1636, 'Códigos DANE Municipios'!$B$2:$B$1123, 'Códigos DANE Municipios'!$A$2:$A$1123, "No encontrado")</f>
        <v>25245</v>
      </c>
      <c r="B1636" t="str">
        <f>IFERROR(VLOOKUP(D1636,APOYO!K:L,2,FALSE),A1636)</f>
        <v>25245</v>
      </c>
      <c r="C1636" t="s">
        <v>960</v>
      </c>
      <c r="D1636" t="str">
        <f>IFERROR(VLOOKUP(C1636,APOYO!J:K,2,FALSE),C1636)</f>
        <v>EL COLEGIO</v>
      </c>
      <c r="E1636">
        <v>2015</v>
      </c>
    </row>
    <row r="1637" spans="1:5" hidden="1" x14ac:dyDescent="0.25">
      <c r="A1637" t="str">
        <f>_xlfn.XLOOKUP(C1637, 'Códigos DANE Municipios'!$B$2:$B$1123, 'Códigos DANE Municipios'!$A$2:$A$1123, "No encontrado")</f>
        <v>20238</v>
      </c>
      <c r="B1637" t="str">
        <f>IFERROR(VLOOKUP(D1637,APOYO!K:L,2,FALSE),A1637)</f>
        <v>20238</v>
      </c>
      <c r="C1637" t="s">
        <v>826</v>
      </c>
      <c r="D1637" t="str">
        <f>IFERROR(VLOOKUP(C1637,APOYO!J:K,2,FALSE),C1637)</f>
        <v>EL COPEY</v>
      </c>
      <c r="E1637">
        <v>2015</v>
      </c>
    </row>
    <row r="1638" spans="1:5" hidden="1" x14ac:dyDescent="0.25">
      <c r="A1638" t="str">
        <f>_xlfn.XLOOKUP(C1638, 'Códigos DANE Municipios'!$B$2:$B$1123, 'Códigos DANE Municipios'!$A$2:$A$1123, "No encontrado")</f>
        <v>18247</v>
      </c>
      <c r="B1638" t="str">
        <f>IFERROR(VLOOKUP(D1638,APOYO!K:L,2,FALSE),A1638)</f>
        <v>18247</v>
      </c>
      <c r="C1638" t="s">
        <v>708</v>
      </c>
      <c r="D1638" t="str">
        <f>IFERROR(VLOOKUP(C1638,APOYO!J:K,2,FALSE),C1638)</f>
        <v>EL DONCELLO</v>
      </c>
      <c r="E1638">
        <v>2015</v>
      </c>
    </row>
    <row r="1639" spans="1:5" hidden="1" x14ac:dyDescent="0.25">
      <c r="A1639" t="str">
        <f>_xlfn.XLOOKUP(C1639, 'Códigos DANE Municipios'!$B$2:$B$1123, 'Códigos DANE Municipios'!$A$2:$A$1123, "No encontrado")</f>
        <v>50270</v>
      </c>
      <c r="B1639" t="str">
        <f>IFERROR(VLOOKUP(D1639,APOYO!K:L,2,FALSE),A1639)</f>
        <v>50270</v>
      </c>
      <c r="C1639" t="s">
        <v>1376</v>
      </c>
      <c r="D1639" t="str">
        <f>IFERROR(VLOOKUP(C1639,APOYO!J:K,2,FALSE),C1639)</f>
        <v>EL DORADO</v>
      </c>
      <c r="E1639">
        <v>2015</v>
      </c>
    </row>
    <row r="1640" spans="1:5" hidden="1" x14ac:dyDescent="0.25">
      <c r="A1640" t="str">
        <f>_xlfn.XLOOKUP(C1640, 'Códigos DANE Municipios'!$B$2:$B$1123, 'Códigos DANE Municipios'!$A$2:$A$1123, "No encontrado")</f>
        <v>76250</v>
      </c>
      <c r="B1640" t="str">
        <f>IFERROR(VLOOKUP(D1640,APOYO!K:L,2,FALSE),A1640)</f>
        <v>76250</v>
      </c>
      <c r="C1640" t="s">
        <v>1988</v>
      </c>
      <c r="D1640" t="str">
        <f>IFERROR(VLOOKUP(C1640,APOYO!J:K,2,FALSE),C1640)</f>
        <v>EL DOVIO</v>
      </c>
      <c r="E1640">
        <v>2015</v>
      </c>
    </row>
    <row r="1641" spans="1:5" hidden="1" x14ac:dyDescent="0.25">
      <c r="A1641" t="str">
        <f>_xlfn.XLOOKUP(C1641, 'Códigos DANE Municipios'!$B$2:$B$1123, 'Códigos DANE Municipios'!$A$2:$A$1123, "No encontrado")</f>
        <v>20250</v>
      </c>
      <c r="B1641" t="str">
        <f>IFERROR(VLOOKUP(D1641,APOYO!K:L,2,FALSE),A1641)</f>
        <v>20250</v>
      </c>
      <c r="C1641" t="s">
        <v>828</v>
      </c>
      <c r="D1641" t="str">
        <f>IFERROR(VLOOKUP(C1641,APOYO!J:K,2,FALSE),C1641)</f>
        <v>EL PASO</v>
      </c>
      <c r="E1641">
        <v>2015</v>
      </c>
    </row>
    <row r="1642" spans="1:5" hidden="1" x14ac:dyDescent="0.25">
      <c r="A1642" t="str">
        <f>_xlfn.XLOOKUP(C1642, 'Códigos DANE Municipios'!$B$2:$B$1123, 'Códigos DANE Municipios'!$A$2:$A$1123, "No encontrado")</f>
        <v>18256</v>
      </c>
      <c r="B1642" t="str">
        <f>IFERROR(VLOOKUP(D1642,APOYO!K:L,2,FALSE),A1642)</f>
        <v>18256</v>
      </c>
      <c r="C1642" t="s">
        <v>710</v>
      </c>
      <c r="D1642" t="str">
        <f>IFERROR(VLOOKUP(C1642,APOYO!J:K,2,FALSE),C1642)</f>
        <v>EL PAUJÍL</v>
      </c>
      <c r="E1642">
        <v>2015</v>
      </c>
    </row>
    <row r="1643" spans="1:5" hidden="1" x14ac:dyDescent="0.25">
      <c r="A1643" t="str">
        <f>_xlfn.XLOOKUP(C1643, 'Códigos DANE Municipios'!$B$2:$B$1123, 'Códigos DANE Municipios'!$A$2:$A$1123, "No encontrado")</f>
        <v>13268</v>
      </c>
      <c r="B1643" t="str">
        <f>IFERROR(VLOOKUP(D1643,APOYO!K:L,2,FALSE),A1643)</f>
        <v>13268</v>
      </c>
      <c r="C1643" t="s">
        <v>337</v>
      </c>
      <c r="D1643" t="str">
        <f>IFERROR(VLOOKUP(C1643,APOYO!J:K,2,FALSE),C1643)</f>
        <v>EL PEÑÓN</v>
      </c>
      <c r="E1643">
        <v>2015</v>
      </c>
    </row>
    <row r="1644" spans="1:5" hidden="1" x14ac:dyDescent="0.25">
      <c r="A1644" t="str">
        <f>_xlfn.XLOOKUP(C1644, 'Códigos DANE Municipios'!$B$2:$B$1123, 'Códigos DANE Municipios'!$A$2:$A$1123, "No encontrado")</f>
        <v>68255</v>
      </c>
      <c r="B1644" t="str">
        <f>IFERROR(VLOOKUP(D1644,APOYO!K:L,2,FALSE),A1644)</f>
        <v>68255</v>
      </c>
      <c r="C1644" t="s">
        <v>1704</v>
      </c>
      <c r="D1644" t="str">
        <f>IFERROR(VLOOKUP(C1644,APOYO!J:K,2,FALSE),C1644)</f>
        <v>EL PLAYÓN</v>
      </c>
      <c r="E1644">
        <v>2015</v>
      </c>
    </row>
    <row r="1645" spans="1:5" hidden="1" x14ac:dyDescent="0.25">
      <c r="A1645" t="str">
        <f>_xlfn.XLOOKUP(C1645, 'Códigos DANE Municipios'!$B$2:$B$1123, 'Códigos DANE Municipios'!$A$2:$A$1123, "No encontrado")</f>
        <v>95025</v>
      </c>
      <c r="B1645" t="str">
        <f>IFERROR(VLOOKUP(D1645,APOYO!K:L,2,FALSE),A1645)</f>
        <v>95025</v>
      </c>
      <c r="C1645" t="s">
        <v>2148</v>
      </c>
      <c r="D1645" t="str">
        <f>IFERROR(VLOOKUP(C1645,APOYO!J:K,2,FALSE),C1645)</f>
        <v>EL RETORNO</v>
      </c>
      <c r="E1645">
        <v>2015</v>
      </c>
    </row>
    <row r="1646" spans="1:5" hidden="1" x14ac:dyDescent="0.25">
      <c r="A1646" t="str">
        <f>_xlfn.XLOOKUP(C1646, 'Códigos DANE Municipios'!$B$2:$B$1123, 'Códigos DANE Municipios'!$A$2:$A$1123, "No encontrado")</f>
        <v>25260</v>
      </c>
      <c r="B1646" t="str">
        <f>IFERROR(VLOOKUP(D1646,APOYO!K:L,2,FALSE),A1646)</f>
        <v>25260</v>
      </c>
      <c r="C1646" t="s">
        <v>963</v>
      </c>
      <c r="D1646" t="str">
        <f>IFERROR(VLOOKUP(C1646,APOYO!J:K,2,FALSE),C1646)</f>
        <v>EL ROSAL</v>
      </c>
      <c r="E1646">
        <v>2015</v>
      </c>
    </row>
    <row r="1647" spans="1:5" hidden="1" x14ac:dyDescent="0.25">
      <c r="A1647" t="str">
        <f>_xlfn.XLOOKUP(C1647, 'Códigos DANE Municipios'!$B$2:$B$1123, 'Códigos DANE Municipios'!$A$2:$A$1123, "No encontrado")</f>
        <v>52256</v>
      </c>
      <c r="B1647" t="str">
        <f>IFERROR(VLOOKUP(D1647,APOYO!K:L,2,FALSE),A1647)</f>
        <v>52256</v>
      </c>
      <c r="C1647" t="s">
        <v>1445</v>
      </c>
      <c r="D1647" t="str">
        <f>IFERROR(VLOOKUP(C1647,APOYO!J:K,2,FALSE),C1647)</f>
        <v>EL ROSARIO</v>
      </c>
      <c r="E1647">
        <v>2015</v>
      </c>
    </row>
    <row r="1648" spans="1:5" hidden="1" x14ac:dyDescent="0.25">
      <c r="A1648" t="str">
        <f>_xlfn.XLOOKUP(C1648, 'Códigos DANE Municipios'!$B$2:$B$1123, 'Códigos DANE Municipios'!$A$2:$A$1123, "No encontrado")</f>
        <v>19256</v>
      </c>
      <c r="B1648" t="str">
        <f>IFERROR(VLOOKUP(D1648,APOYO!K:L,2,FALSE),A1648)</f>
        <v>19256</v>
      </c>
      <c r="C1648" t="s">
        <v>748</v>
      </c>
      <c r="D1648" t="str">
        <f>IFERROR(VLOOKUP(C1648,APOYO!J:K,2,FALSE),C1648)</f>
        <v>EL TAMBO</v>
      </c>
      <c r="E1648">
        <v>2015</v>
      </c>
    </row>
    <row r="1649" spans="1:5" hidden="1" x14ac:dyDescent="0.25">
      <c r="A1649" t="str">
        <f>_xlfn.XLOOKUP(C1649, 'Códigos DANE Municipios'!$B$2:$B$1123, 'Códigos DANE Municipios'!$A$2:$A$1123, "No encontrado")</f>
        <v>54250</v>
      </c>
      <c r="B1649" t="str">
        <f>IFERROR(VLOOKUP(D1649,APOYO!K:L,2,FALSE),A1649)</f>
        <v>54250</v>
      </c>
      <c r="C1649" t="s">
        <v>1555</v>
      </c>
      <c r="D1649" t="str">
        <f>IFERROR(VLOOKUP(C1649,APOYO!J:K,2,FALSE),C1649)</f>
        <v>EL TARRA</v>
      </c>
      <c r="E1649">
        <v>2015</v>
      </c>
    </row>
    <row r="1650" spans="1:5" hidden="1" x14ac:dyDescent="0.25">
      <c r="A1650" t="str">
        <f>_xlfn.XLOOKUP(C1650, 'Códigos DANE Municipios'!$B$2:$B$1123, 'Códigos DANE Municipios'!$A$2:$A$1123, "No encontrado")</f>
        <v>54261</v>
      </c>
      <c r="B1650" t="str">
        <f>IFERROR(VLOOKUP(D1650,APOYO!K:L,2,FALSE),A1650)</f>
        <v>54261</v>
      </c>
      <c r="C1650" t="s">
        <v>1557</v>
      </c>
      <c r="D1650" t="str">
        <f>IFERROR(VLOOKUP(C1650,APOYO!J:K,2,FALSE),C1650)</f>
        <v>EL ZULIA</v>
      </c>
      <c r="E1650">
        <v>2015</v>
      </c>
    </row>
    <row r="1651" spans="1:5" hidden="1" x14ac:dyDescent="0.25">
      <c r="A1651" t="str">
        <f>_xlfn.XLOOKUP(C1651, 'Códigos DANE Municipios'!$B$2:$B$1123, 'Códigos DANE Municipios'!$A$2:$A$1123, "No encontrado")</f>
        <v>68266</v>
      </c>
      <c r="B1651" t="str">
        <f>IFERROR(VLOOKUP(D1651,APOYO!K:L,2,FALSE),A1651)</f>
        <v>68266</v>
      </c>
      <c r="C1651" t="s">
        <v>1708</v>
      </c>
      <c r="D1651" t="str">
        <f>IFERROR(VLOOKUP(C1651,APOYO!J:K,2,FALSE),C1651)</f>
        <v>ENCISO</v>
      </c>
      <c r="E1651">
        <v>2015</v>
      </c>
    </row>
    <row r="1652" spans="1:5" hidden="1" x14ac:dyDescent="0.25">
      <c r="A1652" t="str">
        <f>_xlfn.XLOOKUP(C1652, 'Códigos DANE Municipios'!$B$2:$B$1123, 'Códigos DANE Municipios'!$A$2:$A$1123, "No encontrado")</f>
        <v>41244</v>
      </c>
      <c r="B1652" t="str">
        <f>IFERROR(VLOOKUP(D1652,APOYO!K:L,2,FALSE),A1652)</f>
        <v>41244</v>
      </c>
      <c r="C1652" t="s">
        <v>1219</v>
      </c>
      <c r="D1652" t="str">
        <f>IFERROR(VLOOKUP(C1652,APOYO!J:K,2,FALSE),C1652)</f>
        <v>ELÍAS</v>
      </c>
      <c r="E1652">
        <v>2015</v>
      </c>
    </row>
    <row r="1653" spans="1:5" hidden="1" x14ac:dyDescent="0.25">
      <c r="A1653" t="str">
        <f>_xlfn.XLOOKUP(C1653, 'Códigos DANE Municipios'!$B$2:$B$1123, 'Códigos DANE Municipios'!$A$2:$A$1123, "No encontrado")</f>
        <v>05264</v>
      </c>
      <c r="B1653" t="str">
        <f>IFERROR(VLOOKUP(D1653,APOYO!K:L,2,FALSE),A1653)</f>
        <v>05264</v>
      </c>
      <c r="C1653" t="s">
        <v>102</v>
      </c>
      <c r="D1653" t="str">
        <f>IFERROR(VLOOKUP(C1653,APOYO!J:K,2,FALSE),C1653)</f>
        <v>ENTRERRÍOS</v>
      </c>
      <c r="E1653">
        <v>2015</v>
      </c>
    </row>
    <row r="1654" spans="1:5" hidden="1" x14ac:dyDescent="0.25">
      <c r="A1654" t="str">
        <f>_xlfn.XLOOKUP(C1654, 'Códigos DANE Municipios'!$B$2:$B$1123, 'Códigos DANE Municipios'!$A$2:$A$1123, "No encontrado")</f>
        <v>05266</v>
      </c>
      <c r="B1654" t="str">
        <f>IFERROR(VLOOKUP(D1654,APOYO!K:L,2,FALSE),A1654)</f>
        <v>05266</v>
      </c>
      <c r="C1654" t="s">
        <v>104</v>
      </c>
      <c r="D1654" t="str">
        <f>IFERROR(VLOOKUP(C1654,APOYO!J:K,2,FALSE),C1654)</f>
        <v>ENVIGADO</v>
      </c>
      <c r="E1654">
        <v>2015</v>
      </c>
    </row>
    <row r="1655" spans="1:5" hidden="1" x14ac:dyDescent="0.25">
      <c r="A1655" t="str">
        <f>_xlfn.XLOOKUP(C1655, 'Códigos DANE Municipios'!$B$2:$B$1123, 'Códigos DANE Municipios'!$A$2:$A$1123, "No encontrado")</f>
        <v>73268</v>
      </c>
      <c r="B1655" t="str">
        <f>IFERROR(VLOOKUP(D1655,APOYO!K:L,2,FALSE),A1655)</f>
        <v>73268</v>
      </c>
      <c r="C1655" t="s">
        <v>1895</v>
      </c>
      <c r="D1655" t="str">
        <f>IFERROR(VLOOKUP(C1655,APOYO!J:K,2,FALSE),C1655)</f>
        <v>ESPINAL</v>
      </c>
      <c r="E1655">
        <v>2015</v>
      </c>
    </row>
    <row r="1656" spans="1:5" hidden="1" x14ac:dyDescent="0.25">
      <c r="A1656" t="str">
        <f>_xlfn.XLOOKUP(C1656, 'Códigos DANE Municipios'!$B$2:$B$1123, 'Códigos DANE Municipios'!$A$2:$A$1123, "No encontrado")</f>
        <v>25269</v>
      </c>
      <c r="B1656" t="str">
        <f>IFERROR(VLOOKUP(D1656,APOYO!K:L,2,FALSE),A1656)</f>
        <v>25269</v>
      </c>
      <c r="C1656" t="s">
        <v>965</v>
      </c>
      <c r="D1656" t="str">
        <f>IFERROR(VLOOKUP(C1656,APOYO!J:K,2,FALSE),C1656)</f>
        <v>FACATATIVÁ</v>
      </c>
      <c r="E1656">
        <v>2015</v>
      </c>
    </row>
    <row r="1657" spans="1:5" hidden="1" x14ac:dyDescent="0.25">
      <c r="A1657" t="str">
        <f>_xlfn.XLOOKUP(C1657, 'Códigos DANE Municipios'!$B$2:$B$1123, 'Códigos DANE Municipios'!$A$2:$A$1123, "No encontrado")</f>
        <v>17272</v>
      </c>
      <c r="B1657" t="str">
        <f>IFERROR(VLOOKUP(D1657,APOYO!K:L,2,FALSE),A1657)</f>
        <v>17272</v>
      </c>
      <c r="C1657" t="s">
        <v>656</v>
      </c>
      <c r="D1657" t="str">
        <f>IFERROR(VLOOKUP(C1657,APOYO!J:K,2,FALSE),C1657)</f>
        <v>FILADELFIA</v>
      </c>
      <c r="E1657">
        <v>2015</v>
      </c>
    </row>
    <row r="1658" spans="1:5" hidden="1" x14ac:dyDescent="0.25">
      <c r="A1658" t="str">
        <f>_xlfn.XLOOKUP(C1658, 'Códigos DANE Municipios'!$B$2:$B$1123, 'Códigos DANE Municipios'!$A$2:$A$1123, "No encontrado")</f>
        <v>63272</v>
      </c>
      <c r="B1658" t="str">
        <f>IFERROR(VLOOKUP(D1658,APOYO!K:L,2,FALSE),A1658)</f>
        <v>63272</v>
      </c>
      <c r="C1658" t="s">
        <v>1614</v>
      </c>
      <c r="D1658" t="str">
        <f>IFERROR(VLOOKUP(C1658,APOYO!J:K,2,FALSE),C1658)</f>
        <v>FILANDIA</v>
      </c>
      <c r="E1658">
        <v>2015</v>
      </c>
    </row>
    <row r="1659" spans="1:5" hidden="1" x14ac:dyDescent="0.25">
      <c r="A1659" t="str">
        <f>_xlfn.XLOOKUP(C1659, 'Códigos DANE Municipios'!$B$2:$B$1123, 'Códigos DANE Municipios'!$A$2:$A$1123, "No encontrado")</f>
        <v>15272</v>
      </c>
      <c r="B1659" t="str">
        <f>IFERROR(VLOOKUP(D1659,APOYO!K:L,2,FALSE),A1659)</f>
        <v>15272</v>
      </c>
      <c r="C1659" t="s">
        <v>467</v>
      </c>
      <c r="D1659" t="str">
        <f>IFERROR(VLOOKUP(C1659,APOYO!J:K,2,FALSE),C1659)</f>
        <v>FIRAVITOBA</v>
      </c>
      <c r="E1659">
        <v>2015</v>
      </c>
    </row>
    <row r="1660" spans="1:5" hidden="1" x14ac:dyDescent="0.25">
      <c r="A1660" t="str">
        <f>_xlfn.XLOOKUP(C1660, 'Códigos DANE Municipios'!$B$2:$B$1123, 'Códigos DANE Municipios'!$A$2:$A$1123, "No encontrado")</f>
        <v>73275</v>
      </c>
      <c r="B1660" t="str">
        <f>IFERROR(VLOOKUP(D1660,APOYO!K:L,2,FALSE),A1660)</f>
        <v>73275</v>
      </c>
      <c r="C1660" t="s">
        <v>1899</v>
      </c>
      <c r="D1660" t="str">
        <f>IFERROR(VLOOKUP(C1660,APOYO!J:K,2,FALSE),C1660)</f>
        <v>FLANDES</v>
      </c>
      <c r="E1660">
        <v>2015</v>
      </c>
    </row>
    <row r="1661" spans="1:5" hidden="1" x14ac:dyDescent="0.25">
      <c r="A1661" t="str">
        <f>_xlfn.XLOOKUP(C1661, 'Códigos DANE Municipios'!$B$2:$B$1123, 'Códigos DANE Municipios'!$A$2:$A$1123, "No encontrado")</f>
        <v>18001</v>
      </c>
      <c r="B1661" t="str">
        <f>IFERROR(VLOOKUP(D1661,APOYO!K:L,2,FALSE),A1661)</f>
        <v>18001</v>
      </c>
      <c r="C1661" t="s">
        <v>698</v>
      </c>
      <c r="D1661" t="str">
        <f>IFERROR(VLOOKUP(C1661,APOYO!J:K,2,FALSE),C1661)</f>
        <v>FLORENCIA</v>
      </c>
      <c r="E1661">
        <v>2015</v>
      </c>
    </row>
    <row r="1662" spans="1:5" hidden="1" x14ac:dyDescent="0.25">
      <c r="A1662" t="str">
        <f>_xlfn.XLOOKUP(C1662, 'Códigos DANE Municipios'!$B$2:$B$1123, 'Códigos DANE Municipios'!$A$2:$A$1123, "No encontrado")</f>
        <v>15276</v>
      </c>
      <c r="B1662" t="str">
        <f>IFERROR(VLOOKUP(D1662,APOYO!K:L,2,FALSE),A1662)</f>
        <v>15276</v>
      </c>
      <c r="C1662" t="s">
        <v>469</v>
      </c>
      <c r="D1662" t="str">
        <f>IFERROR(VLOOKUP(C1662,APOYO!J:K,2,FALSE),C1662)</f>
        <v>FLORESTA</v>
      </c>
      <c r="E1662">
        <v>2015</v>
      </c>
    </row>
    <row r="1663" spans="1:5" hidden="1" x14ac:dyDescent="0.25">
      <c r="A1663" t="str">
        <f>_xlfn.XLOOKUP(C1663, 'Códigos DANE Municipios'!$B$2:$B$1123, 'Códigos DANE Municipios'!$A$2:$A$1123, "No encontrado")</f>
        <v>68271</v>
      </c>
      <c r="B1663" t="str">
        <f>IFERROR(VLOOKUP(D1663,APOYO!K:L,2,FALSE),A1663)</f>
        <v>68271</v>
      </c>
      <c r="C1663" t="s">
        <v>1710</v>
      </c>
      <c r="D1663" t="str">
        <f>IFERROR(VLOOKUP(C1663,APOYO!J:K,2,FALSE),C1663)</f>
        <v>FLORIÁN</v>
      </c>
      <c r="E1663">
        <v>2015</v>
      </c>
    </row>
    <row r="1664" spans="1:5" hidden="1" x14ac:dyDescent="0.25">
      <c r="A1664" t="str">
        <f>_xlfn.XLOOKUP(C1664, 'Códigos DANE Municipios'!$B$2:$B$1123, 'Códigos DANE Municipios'!$A$2:$A$1123, "No encontrado")</f>
        <v>76275</v>
      </c>
      <c r="B1664" t="str">
        <f>IFERROR(VLOOKUP(D1664,APOYO!K:L,2,FALSE),A1664)</f>
        <v>76275</v>
      </c>
      <c r="C1664" t="s">
        <v>1990</v>
      </c>
      <c r="D1664" t="str">
        <f>IFERROR(VLOOKUP(C1664,APOYO!J:K,2,FALSE),C1664)</f>
        <v>FLORIDA</v>
      </c>
      <c r="E1664">
        <v>2015</v>
      </c>
    </row>
    <row r="1665" spans="1:5" hidden="1" x14ac:dyDescent="0.25">
      <c r="A1665" t="str">
        <f>_xlfn.XLOOKUP(C1665, 'Códigos DANE Municipios'!$B$2:$B$1123, 'Códigos DANE Municipios'!$A$2:$A$1123, "No encontrado")</f>
        <v>68276</v>
      </c>
      <c r="B1665" t="str">
        <f>IFERROR(VLOOKUP(D1665,APOYO!K:L,2,FALSE),A1665)</f>
        <v>68276</v>
      </c>
      <c r="C1665" t="s">
        <v>1712</v>
      </c>
      <c r="D1665" t="str">
        <f>IFERROR(VLOOKUP(C1665,APOYO!J:K,2,FALSE),C1665)</f>
        <v>FLORIDABLANCA</v>
      </c>
      <c r="E1665">
        <v>2015</v>
      </c>
    </row>
    <row r="1666" spans="1:5" hidden="1" x14ac:dyDescent="0.25">
      <c r="A1666" t="str">
        <f>_xlfn.XLOOKUP(C1666, 'Códigos DANE Municipios'!$B$2:$B$1123, 'Códigos DANE Municipios'!$A$2:$A$1123, "No encontrado")</f>
        <v>25279</v>
      </c>
      <c r="B1666" t="str">
        <f>IFERROR(VLOOKUP(D1666,APOYO!K:L,2,FALSE),A1666)</f>
        <v>25279</v>
      </c>
      <c r="C1666" t="s">
        <v>967</v>
      </c>
      <c r="D1666" t="str">
        <f>IFERROR(VLOOKUP(C1666,APOYO!J:K,2,FALSE),C1666)</f>
        <v>FÓMEQUE</v>
      </c>
      <c r="E1666">
        <v>2015</v>
      </c>
    </row>
    <row r="1667" spans="1:5" hidden="1" x14ac:dyDescent="0.25">
      <c r="A1667" t="str">
        <f>_xlfn.XLOOKUP(C1667, 'Códigos DANE Municipios'!$B$2:$B$1123, 'Códigos DANE Municipios'!$A$2:$A$1123, "No encontrado")</f>
        <v>44279</v>
      </c>
      <c r="B1667" t="str">
        <f>IFERROR(VLOOKUP(D1667,APOYO!K:L,2,FALSE),A1667)</f>
        <v>44279</v>
      </c>
      <c r="C1667" t="s">
        <v>1283</v>
      </c>
      <c r="D1667" t="str">
        <f>IFERROR(VLOOKUP(C1667,APOYO!J:K,2,FALSE),C1667)</f>
        <v>FONSECA</v>
      </c>
      <c r="E1667">
        <v>2015</v>
      </c>
    </row>
    <row r="1668" spans="1:5" hidden="1" x14ac:dyDescent="0.25">
      <c r="A1668" t="str">
        <f>_xlfn.XLOOKUP(C1668, 'Códigos DANE Municipios'!$B$2:$B$1123, 'Códigos DANE Municipios'!$A$2:$A$1123, "No encontrado")</f>
        <v>81300</v>
      </c>
      <c r="B1668" t="str">
        <f>IFERROR(VLOOKUP(D1668,APOYO!K:L,2,FALSE),A1668)</f>
        <v>81300</v>
      </c>
      <c r="C1668" t="s">
        <v>2040</v>
      </c>
      <c r="D1668" t="str">
        <f>IFERROR(VLOOKUP(C1668,APOYO!J:K,2,FALSE),C1668)</f>
        <v>FORTUL</v>
      </c>
      <c r="E1668">
        <v>2015</v>
      </c>
    </row>
    <row r="1669" spans="1:5" hidden="1" x14ac:dyDescent="0.25">
      <c r="A1669" t="str">
        <f>_xlfn.XLOOKUP(C1669, 'Códigos DANE Municipios'!$B$2:$B$1123, 'Códigos DANE Municipios'!$A$2:$A$1123, "No encontrado")</f>
        <v>05282</v>
      </c>
      <c r="B1669" t="str">
        <f>IFERROR(VLOOKUP(D1669,APOYO!K:L,2,FALSE),A1669)</f>
        <v>05282</v>
      </c>
      <c r="C1669" t="s">
        <v>106</v>
      </c>
      <c r="D1669" t="str">
        <f>IFERROR(VLOOKUP(C1669,APOYO!J:K,2,FALSE),C1669)</f>
        <v>FREDONIA</v>
      </c>
      <c r="E1669">
        <v>2015</v>
      </c>
    </row>
    <row r="1670" spans="1:5" hidden="1" x14ac:dyDescent="0.25">
      <c r="A1670" t="str">
        <f>_xlfn.XLOOKUP(C1670, 'Códigos DANE Municipios'!$B$2:$B$1123, 'Códigos DANE Municipios'!$A$2:$A$1123, "No encontrado")</f>
        <v>73283</v>
      </c>
      <c r="B1670" t="str">
        <f>IFERROR(VLOOKUP(D1670,APOYO!K:L,2,FALSE),A1670)</f>
        <v>73283</v>
      </c>
      <c r="C1670" t="s">
        <v>1901</v>
      </c>
      <c r="D1670" t="str">
        <f>IFERROR(VLOOKUP(C1670,APOYO!J:K,2,FALSE),C1670)</f>
        <v>FRESNO</v>
      </c>
      <c r="E1670">
        <v>2015</v>
      </c>
    </row>
    <row r="1671" spans="1:5" hidden="1" x14ac:dyDescent="0.25">
      <c r="A1671" t="str">
        <f>_xlfn.XLOOKUP(C1671, 'Códigos DANE Municipios'!$B$2:$B$1123, 'Códigos DANE Municipios'!$A$2:$A$1123, "No encontrado")</f>
        <v>05284</v>
      </c>
      <c r="B1671" t="str">
        <f>IFERROR(VLOOKUP(D1671,APOYO!K:L,2,FALSE),A1671)</f>
        <v>05284</v>
      </c>
      <c r="C1671" t="s">
        <v>108</v>
      </c>
      <c r="D1671" t="str">
        <f>IFERROR(VLOOKUP(C1671,APOYO!J:K,2,FALSE),C1671)</f>
        <v>FRONTINO</v>
      </c>
      <c r="E1671">
        <v>2015</v>
      </c>
    </row>
    <row r="1672" spans="1:5" hidden="1" x14ac:dyDescent="0.25">
      <c r="A1672" t="str">
        <f>_xlfn.XLOOKUP(C1672, 'Códigos DANE Municipios'!$B$2:$B$1123, 'Códigos DANE Municipios'!$A$2:$A$1123, "No encontrado")</f>
        <v>50287</v>
      </c>
      <c r="B1672" t="str">
        <f>IFERROR(VLOOKUP(D1672,APOYO!K:L,2,FALSE),A1672)</f>
        <v>50287</v>
      </c>
      <c r="C1672" t="s">
        <v>1378</v>
      </c>
      <c r="D1672" t="str">
        <f>IFERROR(VLOOKUP(C1672,APOYO!J:K,2,FALSE),C1672)</f>
        <v>FUENTE DE ORO</v>
      </c>
      <c r="E1672">
        <v>2015</v>
      </c>
    </row>
    <row r="1673" spans="1:5" hidden="1" x14ac:dyDescent="0.25">
      <c r="A1673" t="str">
        <f>_xlfn.XLOOKUP(C1673, 'Códigos DANE Municipios'!$B$2:$B$1123, 'Códigos DANE Municipios'!$A$2:$A$1123, "No encontrado")</f>
        <v>47288</v>
      </c>
      <c r="B1673" t="str">
        <f>IFERROR(VLOOKUP(D1673,APOYO!K:L,2,FALSE),A1673)</f>
        <v>47288</v>
      </c>
      <c r="C1673" t="s">
        <v>1321</v>
      </c>
      <c r="D1673" t="str">
        <f>IFERROR(VLOOKUP(C1673,APOYO!J:K,2,FALSE),C1673)</f>
        <v>FUNDACIÓN</v>
      </c>
      <c r="E1673">
        <v>2015</v>
      </c>
    </row>
    <row r="1674" spans="1:5" hidden="1" x14ac:dyDescent="0.25">
      <c r="A1674" t="str">
        <f>_xlfn.XLOOKUP(C1674, 'Códigos DANE Municipios'!$B$2:$B$1123, 'Códigos DANE Municipios'!$A$2:$A$1123, "No encontrado")</f>
        <v>52287</v>
      </c>
      <c r="B1674" t="str">
        <f>IFERROR(VLOOKUP(D1674,APOYO!K:L,2,FALSE),A1674)</f>
        <v>52287</v>
      </c>
      <c r="C1674" t="s">
        <v>1450</v>
      </c>
      <c r="D1674" t="str">
        <f>IFERROR(VLOOKUP(C1674,APOYO!J:K,2,FALSE),C1674)</f>
        <v>FUNES</v>
      </c>
      <c r="E1674">
        <v>2015</v>
      </c>
    </row>
    <row r="1675" spans="1:5" hidden="1" x14ac:dyDescent="0.25">
      <c r="A1675" t="str">
        <f>_xlfn.XLOOKUP(C1675, 'Códigos DANE Municipios'!$B$2:$B$1123, 'Códigos DANE Municipios'!$A$2:$A$1123, "No encontrado")</f>
        <v>25286</v>
      </c>
      <c r="B1675" t="str">
        <f>IFERROR(VLOOKUP(D1675,APOYO!K:L,2,FALSE),A1675)</f>
        <v>25286</v>
      </c>
      <c r="C1675" t="s">
        <v>971</v>
      </c>
      <c r="D1675" t="str">
        <f>IFERROR(VLOOKUP(C1675,APOYO!J:K,2,FALSE),C1675)</f>
        <v>FUNZA</v>
      </c>
      <c r="E1675">
        <v>2015</v>
      </c>
    </row>
    <row r="1676" spans="1:5" hidden="1" x14ac:dyDescent="0.25">
      <c r="A1676" t="str">
        <f>_xlfn.XLOOKUP(C1676, 'Códigos DANE Municipios'!$B$2:$B$1123, 'Códigos DANE Municipios'!$A$2:$A$1123, "No encontrado")</f>
        <v>25288</v>
      </c>
      <c r="B1676" t="str">
        <f>IFERROR(VLOOKUP(D1676,APOYO!K:L,2,FALSE),A1676)</f>
        <v>25288</v>
      </c>
      <c r="C1676" t="s">
        <v>973</v>
      </c>
      <c r="D1676" t="str">
        <f>IFERROR(VLOOKUP(C1676,APOYO!J:K,2,FALSE),C1676)</f>
        <v>FÚQUENE</v>
      </c>
      <c r="E1676">
        <v>2015</v>
      </c>
    </row>
    <row r="1677" spans="1:5" hidden="1" x14ac:dyDescent="0.25">
      <c r="A1677" t="str">
        <f>_xlfn.XLOOKUP(C1677, 'Códigos DANE Municipios'!$B$2:$B$1123, 'Códigos DANE Municipios'!$A$2:$A$1123, "No encontrado")</f>
        <v>25290</v>
      </c>
      <c r="B1677" t="str">
        <f>IFERROR(VLOOKUP(D1677,APOYO!K:L,2,FALSE),A1677)</f>
        <v>25290</v>
      </c>
      <c r="C1677" t="s">
        <v>975</v>
      </c>
      <c r="D1677" t="str">
        <f>IFERROR(VLOOKUP(C1677,APOYO!J:K,2,FALSE),C1677)</f>
        <v>FUSAGASUGÁ</v>
      </c>
      <c r="E1677">
        <v>2015</v>
      </c>
    </row>
    <row r="1678" spans="1:5" hidden="1" x14ac:dyDescent="0.25">
      <c r="A1678" t="str">
        <f>_xlfn.XLOOKUP(C1678, 'Códigos DANE Municipios'!$B$2:$B$1123, 'Códigos DANE Municipios'!$A$2:$A$1123, "No encontrado")</f>
        <v>25295</v>
      </c>
      <c r="B1678" t="str">
        <f>IFERROR(VLOOKUP(D1678,APOYO!K:L,2,FALSE),A1678)</f>
        <v>25295</v>
      </c>
      <c r="C1678" t="s">
        <v>979</v>
      </c>
      <c r="D1678" t="str">
        <f>IFERROR(VLOOKUP(C1678,APOYO!J:K,2,FALSE),C1678)</f>
        <v>GACHANCIPÁ</v>
      </c>
      <c r="E1678">
        <v>2015</v>
      </c>
    </row>
    <row r="1679" spans="1:5" hidden="1" x14ac:dyDescent="0.25">
      <c r="A1679" t="str">
        <f>_xlfn.XLOOKUP(C1679, 'Códigos DANE Municipios'!$B$2:$B$1123, 'Códigos DANE Municipios'!$A$2:$A$1123, "No encontrado")</f>
        <v>25297</v>
      </c>
      <c r="B1679" t="str">
        <f>IFERROR(VLOOKUP(D1679,APOYO!K:L,2,FALSE),A1679)</f>
        <v>25297</v>
      </c>
      <c r="C1679" t="s">
        <v>981</v>
      </c>
      <c r="D1679" t="str">
        <f>IFERROR(VLOOKUP(C1679,APOYO!J:K,2,FALSE),C1679)</f>
        <v>GACHETÁ</v>
      </c>
      <c r="E1679">
        <v>2015</v>
      </c>
    </row>
    <row r="1680" spans="1:5" hidden="1" x14ac:dyDescent="0.25">
      <c r="A1680" t="str">
        <f>_xlfn.XLOOKUP(C1680, 'Códigos DANE Municipios'!$B$2:$B$1123, 'Códigos DANE Municipios'!$A$2:$A$1123, "No encontrado")</f>
        <v>08296</v>
      </c>
      <c r="B1680" t="str">
        <f>IFERROR(VLOOKUP(D1680,APOYO!K:L,2,FALSE),A1680)</f>
        <v>08296</v>
      </c>
      <c r="C1680" t="s">
        <v>270</v>
      </c>
      <c r="D1680" t="str">
        <f>IFERROR(VLOOKUP(C1680,APOYO!J:K,2,FALSE),C1680)</f>
        <v>GALAPA</v>
      </c>
      <c r="E1680">
        <v>2015</v>
      </c>
    </row>
    <row r="1681" spans="1:5" hidden="1" x14ac:dyDescent="0.25">
      <c r="A1681" t="str">
        <f>_xlfn.XLOOKUP(C1681, 'Códigos DANE Municipios'!$B$2:$B$1123, 'Códigos DANE Municipios'!$A$2:$A$1123, "No encontrado")</f>
        <v>68298</v>
      </c>
      <c r="B1681" t="str">
        <f>IFERROR(VLOOKUP(D1681,APOYO!K:L,2,FALSE),A1681)</f>
        <v>68298</v>
      </c>
      <c r="C1681" t="s">
        <v>1716</v>
      </c>
      <c r="D1681" t="str">
        <f>IFERROR(VLOOKUP(C1681,APOYO!J:K,2,FALSE),C1681)</f>
        <v>GÁMBITA</v>
      </c>
      <c r="E1681">
        <v>2015</v>
      </c>
    </row>
    <row r="1682" spans="1:5" hidden="1" x14ac:dyDescent="0.25">
      <c r="A1682" t="str">
        <f>_xlfn.XLOOKUP(C1682, 'Códigos DANE Municipios'!$B$2:$B$1123, 'Códigos DANE Municipios'!$A$2:$A$1123, "No encontrado")</f>
        <v>15293</v>
      </c>
      <c r="B1682" t="str">
        <f>IFERROR(VLOOKUP(D1682,APOYO!K:L,2,FALSE),A1682)</f>
        <v>15293</v>
      </c>
      <c r="C1682" t="s">
        <v>471</v>
      </c>
      <c r="D1682" t="str">
        <f>IFERROR(VLOOKUP(C1682,APOYO!J:K,2,FALSE),C1682)</f>
        <v>GACHANTIVÁ</v>
      </c>
      <c r="E1682">
        <v>2015</v>
      </c>
    </row>
    <row r="1683" spans="1:5" hidden="1" x14ac:dyDescent="0.25">
      <c r="A1683" t="str">
        <f>_xlfn.XLOOKUP(C1683, 'Códigos DANE Municipios'!$B$2:$B$1123, 'Códigos DANE Municipios'!$A$2:$A$1123, "No encontrado")</f>
        <v>68296</v>
      </c>
      <c r="B1683" t="str">
        <f>IFERROR(VLOOKUP(D1683,APOYO!K:L,2,FALSE),A1683)</f>
        <v>68296</v>
      </c>
      <c r="C1683" t="s">
        <v>1714</v>
      </c>
      <c r="D1683" t="str">
        <f>IFERROR(VLOOKUP(C1683,APOYO!J:K,2,FALSE),C1683)</f>
        <v>GALÁN</v>
      </c>
      <c r="E1683">
        <v>2015</v>
      </c>
    </row>
    <row r="1684" spans="1:5" hidden="1" x14ac:dyDescent="0.25">
      <c r="A1684" t="str">
        <f>_xlfn.XLOOKUP(C1684, 'Códigos DANE Municipios'!$B$2:$B$1123, 'Códigos DANE Municipios'!$A$2:$A$1123, "No encontrado")</f>
        <v>08296</v>
      </c>
      <c r="B1684" t="str">
        <f>IFERROR(VLOOKUP(D1684,APOYO!K:L,2,FALSE),A1684)</f>
        <v>08296</v>
      </c>
      <c r="C1684" t="s">
        <v>270</v>
      </c>
      <c r="D1684" t="str">
        <f>IFERROR(VLOOKUP(C1684,APOYO!J:K,2,FALSE),C1684)</f>
        <v>GALAPA</v>
      </c>
      <c r="E1684">
        <v>2015</v>
      </c>
    </row>
    <row r="1685" spans="1:5" hidden="1" x14ac:dyDescent="0.25">
      <c r="A1685" t="str">
        <f>_xlfn.XLOOKUP(C1685, 'Códigos DANE Municipios'!$B$2:$B$1123, 'Códigos DANE Municipios'!$A$2:$A$1123, "No encontrado")</f>
        <v>15299</v>
      </c>
      <c r="B1685" t="str">
        <f>IFERROR(VLOOKUP(D1685,APOYO!K:L,2,FALSE),A1685)</f>
        <v>15299</v>
      </c>
      <c r="C1685" t="s">
        <v>475</v>
      </c>
      <c r="D1685" t="str">
        <f>IFERROR(VLOOKUP(C1685,APOYO!J:K,2,FALSE),C1685)</f>
        <v>GARAGOA</v>
      </c>
      <c r="E1685">
        <v>2015</v>
      </c>
    </row>
    <row r="1686" spans="1:5" hidden="1" x14ac:dyDescent="0.25">
      <c r="A1686" t="str">
        <f>_xlfn.XLOOKUP(C1686, 'Códigos DANE Municipios'!$B$2:$B$1123, 'Códigos DANE Municipios'!$A$2:$A$1123, "No encontrado")</f>
        <v>41298</v>
      </c>
      <c r="B1686" t="str">
        <f>IFERROR(VLOOKUP(D1686,APOYO!K:L,2,FALSE),A1686)</f>
        <v>41298</v>
      </c>
      <c r="C1686" t="s">
        <v>1221</v>
      </c>
      <c r="D1686" t="str">
        <f>IFERROR(VLOOKUP(C1686,APOYO!J:K,2,FALSE),C1686)</f>
        <v>GARZÓN</v>
      </c>
      <c r="E1686">
        <v>2015</v>
      </c>
    </row>
    <row r="1687" spans="1:5" hidden="1" x14ac:dyDescent="0.25">
      <c r="A1687" t="str">
        <f>_xlfn.XLOOKUP(C1687, 'Códigos DANE Municipios'!$B$2:$B$1123, 'Códigos DANE Municipios'!$A$2:$A$1123, "No encontrado")</f>
        <v>63302</v>
      </c>
      <c r="B1687" t="str">
        <f>IFERROR(VLOOKUP(D1687,APOYO!K:L,2,FALSE),A1687)</f>
        <v>63302</v>
      </c>
      <c r="C1687" t="s">
        <v>1616</v>
      </c>
      <c r="D1687" t="str">
        <f>IFERROR(VLOOKUP(C1687,APOYO!J:K,2,FALSE),C1687)</f>
        <v>GÉNOVA</v>
      </c>
      <c r="E1687">
        <v>2015</v>
      </c>
    </row>
    <row r="1688" spans="1:5" hidden="1" x14ac:dyDescent="0.25">
      <c r="A1688" t="str">
        <f>_xlfn.XLOOKUP(C1688, 'Códigos DANE Municipios'!$B$2:$B$1123, 'Códigos DANE Municipios'!$A$2:$A$1123, "No encontrado")</f>
        <v>41306</v>
      </c>
      <c r="B1688" t="str">
        <f>IFERROR(VLOOKUP(D1688,APOYO!K:L,2,FALSE),A1688)</f>
        <v>41306</v>
      </c>
      <c r="C1688" t="s">
        <v>1223</v>
      </c>
      <c r="D1688" t="str">
        <f>IFERROR(VLOOKUP(C1688,APOYO!J:K,2,FALSE),C1688)</f>
        <v>GIGANTE</v>
      </c>
      <c r="E1688">
        <v>2015</v>
      </c>
    </row>
    <row r="1689" spans="1:5" hidden="1" x14ac:dyDescent="0.25">
      <c r="A1689" t="str">
        <f>_xlfn.XLOOKUP(C1689, 'Códigos DANE Municipios'!$B$2:$B$1123, 'Códigos DANE Municipios'!$A$2:$A$1123, "No encontrado")</f>
        <v>76306</v>
      </c>
      <c r="B1689" t="str">
        <f>IFERROR(VLOOKUP(D1689,APOYO!K:L,2,FALSE),A1689)</f>
        <v>76306</v>
      </c>
      <c r="C1689" t="s">
        <v>1992</v>
      </c>
      <c r="D1689" t="str">
        <f>IFERROR(VLOOKUP(C1689,APOYO!J:K,2,FALSE),C1689)</f>
        <v>GINEBRA</v>
      </c>
      <c r="E1689">
        <v>2015</v>
      </c>
    </row>
    <row r="1690" spans="1:5" hidden="1" x14ac:dyDescent="0.25">
      <c r="A1690" t="str">
        <f>_xlfn.XLOOKUP(C1690, 'Códigos DANE Municipios'!$B$2:$B$1123, 'Códigos DANE Municipios'!$A$2:$A$1123, "No encontrado")</f>
        <v>05306</v>
      </c>
      <c r="B1690" t="str">
        <f>IFERROR(VLOOKUP(D1690,APOYO!K:L,2,FALSE),A1690)</f>
        <v>05306</v>
      </c>
      <c r="C1690" t="s">
        <v>110</v>
      </c>
      <c r="D1690" t="str">
        <f>IFERROR(VLOOKUP(C1690,APOYO!J:K,2,FALSE),C1690)</f>
        <v>GIRALDO</v>
      </c>
      <c r="E1690">
        <v>2015</v>
      </c>
    </row>
    <row r="1691" spans="1:5" hidden="1" x14ac:dyDescent="0.25">
      <c r="A1691" t="str">
        <f>_xlfn.XLOOKUP(C1691, 'Códigos DANE Municipios'!$B$2:$B$1123, 'Códigos DANE Municipios'!$A$2:$A$1123, "No encontrado")</f>
        <v>25307</v>
      </c>
      <c r="B1691" t="str">
        <f>IFERROR(VLOOKUP(D1691,APOYO!K:L,2,FALSE),A1691)</f>
        <v>25307</v>
      </c>
      <c r="C1691" t="s">
        <v>985</v>
      </c>
      <c r="D1691" t="str">
        <f>IFERROR(VLOOKUP(C1691,APOYO!J:K,2,FALSE),C1691)</f>
        <v>GIRARDOT</v>
      </c>
      <c r="E1691">
        <v>2015</v>
      </c>
    </row>
    <row r="1692" spans="1:5" hidden="1" x14ac:dyDescent="0.25">
      <c r="A1692" t="str">
        <f>_xlfn.XLOOKUP(C1692, 'Códigos DANE Municipios'!$B$2:$B$1123, 'Códigos DANE Municipios'!$A$2:$A$1123, "No encontrado")</f>
        <v>05308</v>
      </c>
      <c r="B1692" t="str">
        <f>IFERROR(VLOOKUP(D1692,APOYO!K:L,2,FALSE),A1692)</f>
        <v>05308</v>
      </c>
      <c r="C1692" t="s">
        <v>112</v>
      </c>
      <c r="D1692" t="str">
        <f>IFERROR(VLOOKUP(C1692,APOYO!J:K,2,FALSE),C1692)</f>
        <v>GIRARDOTA</v>
      </c>
      <c r="E1692">
        <v>2015</v>
      </c>
    </row>
    <row r="1693" spans="1:5" hidden="1" x14ac:dyDescent="0.25">
      <c r="A1693" t="str">
        <f>_xlfn.XLOOKUP(C1693, 'Códigos DANE Municipios'!$B$2:$B$1123, 'Códigos DANE Municipios'!$A$2:$A$1123, "No encontrado")</f>
        <v>68307</v>
      </c>
      <c r="B1693" t="str">
        <f>IFERROR(VLOOKUP(D1693,APOYO!K:L,2,FALSE),A1693)</f>
        <v>68307</v>
      </c>
      <c r="C1693" t="s">
        <v>1718</v>
      </c>
      <c r="D1693" t="str">
        <f>IFERROR(VLOOKUP(C1693,APOYO!J:K,2,FALSE),C1693)</f>
        <v>GIRÓN</v>
      </c>
      <c r="E1693">
        <v>2015</v>
      </c>
    </row>
    <row r="1694" spans="1:5" hidden="1" x14ac:dyDescent="0.25">
      <c r="A1694" t="str">
        <f>_xlfn.XLOOKUP(C1694, 'Códigos DANE Municipios'!$B$2:$B$1123, 'Códigos DANE Municipios'!$A$2:$A$1123, "No encontrado")</f>
        <v>05310</v>
      </c>
      <c r="B1694" t="str">
        <f>IFERROR(VLOOKUP(D1694,APOYO!K:L,2,FALSE),A1694)</f>
        <v>05310</v>
      </c>
      <c r="C1694" t="s">
        <v>114</v>
      </c>
      <c r="D1694" t="str">
        <f>IFERROR(VLOOKUP(C1694,APOYO!J:K,2,FALSE),C1694)</f>
        <v>GÓMEZ PLATA</v>
      </c>
      <c r="E1694">
        <v>2015</v>
      </c>
    </row>
    <row r="1695" spans="1:5" hidden="1" x14ac:dyDescent="0.25">
      <c r="A1695" t="str">
        <f>_xlfn.XLOOKUP(C1695, 'Códigos DANE Municipios'!$B$2:$B$1123, 'Códigos DANE Municipios'!$A$2:$A$1123, "No encontrado")</f>
        <v>05313</v>
      </c>
      <c r="B1695" t="str">
        <f>IFERROR(VLOOKUP(D1695,APOYO!K:L,2,FALSE),A1695)</f>
        <v>05313</v>
      </c>
      <c r="C1695" t="s">
        <v>116</v>
      </c>
      <c r="D1695" t="str">
        <f>IFERROR(VLOOKUP(C1695,APOYO!J:K,2,FALSE),C1695)</f>
        <v>GRANADA</v>
      </c>
      <c r="E1695">
        <v>2015</v>
      </c>
    </row>
    <row r="1696" spans="1:5" hidden="1" x14ac:dyDescent="0.25">
      <c r="A1696" t="str">
        <f>_xlfn.XLOOKUP(C1696, 'Códigos DANE Municipios'!$B$2:$B$1123, 'Códigos DANE Municipios'!$A$2:$A$1123, "No encontrado")</f>
        <v>05313</v>
      </c>
      <c r="B1696" t="str">
        <f>IFERROR(VLOOKUP(D1696,APOYO!K:L,2,FALSE),A1696)</f>
        <v>05313</v>
      </c>
      <c r="C1696" t="s">
        <v>116</v>
      </c>
      <c r="D1696" t="str">
        <f>IFERROR(VLOOKUP(C1696,APOYO!J:K,2,FALSE),C1696)</f>
        <v>GRANADA</v>
      </c>
      <c r="E1696">
        <v>2015</v>
      </c>
    </row>
    <row r="1697" spans="1:5" hidden="1" x14ac:dyDescent="0.25">
      <c r="A1697" t="str">
        <f>_xlfn.XLOOKUP(C1697, 'Códigos DANE Municipios'!$B$2:$B$1123, 'Códigos DANE Municipios'!$A$2:$A$1123, "No encontrado")</f>
        <v>05313</v>
      </c>
      <c r="B1697" t="str">
        <f>IFERROR(VLOOKUP(D1697,APOYO!K:L,2,FALSE),A1697)</f>
        <v>05313</v>
      </c>
      <c r="C1697" t="s">
        <v>116</v>
      </c>
      <c r="D1697" t="str">
        <f>IFERROR(VLOOKUP(C1697,APOYO!J:K,2,FALSE),C1697)</f>
        <v>GRANADA</v>
      </c>
      <c r="E1697">
        <v>2015</v>
      </c>
    </row>
    <row r="1698" spans="1:5" hidden="1" x14ac:dyDescent="0.25">
      <c r="A1698" t="str">
        <f>_xlfn.XLOOKUP(C1698, 'Códigos DANE Municipios'!$B$2:$B$1123, 'Códigos DANE Municipios'!$A$2:$A$1123, "No encontrado")</f>
        <v>15317</v>
      </c>
      <c r="B1698" t="str">
        <f>IFERROR(VLOOKUP(D1698,APOYO!K:L,2,FALSE),A1698)</f>
        <v>15317</v>
      </c>
      <c r="C1698" t="s">
        <v>477</v>
      </c>
      <c r="D1698" t="str">
        <f>IFERROR(VLOOKUP(C1698,APOYO!J:K,2,FALSE),C1698)</f>
        <v>GUACAMAYAS</v>
      </c>
      <c r="E1698">
        <v>2015</v>
      </c>
    </row>
    <row r="1699" spans="1:5" hidden="1" x14ac:dyDescent="0.25">
      <c r="A1699" t="str">
        <f>_xlfn.XLOOKUP(C1699, 'Códigos DANE Municipios'!$B$2:$B$1123, 'Códigos DANE Municipios'!$A$2:$A$1123, "No encontrado")</f>
        <v>76318</v>
      </c>
      <c r="B1699" t="str">
        <f>IFERROR(VLOOKUP(D1699,APOYO!K:L,2,FALSE),A1699)</f>
        <v>76318</v>
      </c>
      <c r="C1699" t="s">
        <v>1994</v>
      </c>
      <c r="D1699" t="str">
        <f>IFERROR(VLOOKUP(C1699,APOYO!J:K,2,FALSE),C1699)</f>
        <v>GUACARÍ</v>
      </c>
      <c r="E1699">
        <v>2015</v>
      </c>
    </row>
    <row r="1700" spans="1:5" hidden="1" x14ac:dyDescent="0.25">
      <c r="A1700" t="str">
        <f>_xlfn.XLOOKUP(C1700, 'Códigos DANE Municipios'!$B$2:$B$1123, 'Códigos DANE Municipios'!$A$2:$A$1123, "No encontrado")</f>
        <v>25317</v>
      </c>
      <c r="B1700" t="str">
        <f>IFERROR(VLOOKUP(D1700,APOYO!K:L,2,FALSE),A1700)</f>
        <v>25317</v>
      </c>
      <c r="C1700" t="s">
        <v>988</v>
      </c>
      <c r="D1700" t="str">
        <f>IFERROR(VLOOKUP(C1700,APOYO!J:K,2,FALSE),C1700)</f>
        <v>GUACHETÁ</v>
      </c>
      <c r="E1700">
        <v>2015</v>
      </c>
    </row>
    <row r="1701" spans="1:5" hidden="1" x14ac:dyDescent="0.25">
      <c r="A1701" t="str">
        <f>_xlfn.XLOOKUP(C1701, 'Códigos DANE Municipios'!$B$2:$B$1123, 'Códigos DANE Municipios'!$A$2:$A$1123, "No encontrado")</f>
        <v>52317</v>
      </c>
      <c r="B1701" t="str">
        <f>IFERROR(VLOOKUP(D1701,APOYO!K:L,2,FALSE),A1701)</f>
        <v>52317</v>
      </c>
      <c r="C1701" t="s">
        <v>1452</v>
      </c>
      <c r="D1701" t="str">
        <f>IFERROR(VLOOKUP(C1701,APOYO!J:K,2,FALSE),C1701)</f>
        <v>GUACHUCAL</v>
      </c>
      <c r="E1701">
        <v>2015</v>
      </c>
    </row>
    <row r="1702" spans="1:5" hidden="1" x14ac:dyDescent="0.25">
      <c r="A1702" t="str">
        <f>_xlfn.XLOOKUP(C1702, 'Códigos DANE Municipios'!$B$2:$B$1123, 'Códigos DANE Municipios'!$A$2:$A$1123, "No encontrado")</f>
        <v>05315</v>
      </c>
      <c r="B1702" t="str">
        <f>IFERROR(VLOOKUP(D1702,APOYO!K:L,2,FALSE),A1702)</f>
        <v>05315</v>
      </c>
      <c r="C1702" t="s">
        <v>118</v>
      </c>
      <c r="D1702" t="str">
        <f>IFERROR(VLOOKUP(C1702,APOYO!J:K,2,FALSE),C1702)</f>
        <v>GUADALUPE</v>
      </c>
      <c r="E1702">
        <v>2015</v>
      </c>
    </row>
    <row r="1703" spans="1:5" hidden="1" x14ac:dyDescent="0.25">
      <c r="A1703" t="str">
        <f>_xlfn.XLOOKUP(C1703, 'Códigos DANE Municipios'!$B$2:$B$1123, 'Códigos DANE Municipios'!$A$2:$A$1123, "No encontrado")</f>
        <v>25320</v>
      </c>
      <c r="B1703" t="str">
        <f>IFERROR(VLOOKUP(D1703,APOYO!K:L,2,FALSE),A1703)</f>
        <v>25320</v>
      </c>
      <c r="C1703" t="s">
        <v>990</v>
      </c>
      <c r="D1703" t="str">
        <f>IFERROR(VLOOKUP(C1703,APOYO!J:K,2,FALSE),C1703)</f>
        <v>GUADUAS</v>
      </c>
      <c r="E1703">
        <v>2015</v>
      </c>
    </row>
    <row r="1704" spans="1:5" hidden="1" x14ac:dyDescent="0.25">
      <c r="A1704" t="str">
        <f>_xlfn.XLOOKUP(C1704, 'Códigos DANE Municipios'!$B$2:$B$1123, 'Códigos DANE Municipios'!$A$2:$A$1123, "No encontrado")</f>
        <v>47318</v>
      </c>
      <c r="B1704" t="str">
        <f>IFERROR(VLOOKUP(D1704,APOYO!K:L,2,FALSE),A1704)</f>
        <v>47318</v>
      </c>
      <c r="C1704" t="s">
        <v>1323</v>
      </c>
      <c r="D1704" t="str">
        <f>IFERROR(VLOOKUP(C1704,APOYO!J:K,2,FALSE),C1704)</f>
        <v>GUAMAL</v>
      </c>
      <c r="E1704">
        <v>2015</v>
      </c>
    </row>
    <row r="1705" spans="1:5" hidden="1" x14ac:dyDescent="0.25">
      <c r="A1705" t="str">
        <f>_xlfn.XLOOKUP(C1705, 'Códigos DANE Municipios'!$B$2:$B$1123, 'Códigos DANE Municipios'!$A$2:$A$1123, "No encontrado")</f>
        <v>73319</v>
      </c>
      <c r="B1705" t="str">
        <f>IFERROR(VLOOKUP(D1705,APOYO!K:L,2,FALSE),A1705)</f>
        <v>73319</v>
      </c>
      <c r="C1705" t="s">
        <v>1903</v>
      </c>
      <c r="D1705" t="str">
        <f>IFERROR(VLOOKUP(C1705,APOYO!J:K,2,FALSE),C1705)</f>
        <v>GUAMO</v>
      </c>
      <c r="E1705">
        <v>2015</v>
      </c>
    </row>
    <row r="1706" spans="1:5" hidden="1" x14ac:dyDescent="0.25">
      <c r="A1706" t="str">
        <f>_xlfn.XLOOKUP(C1706, 'Códigos DANE Municipios'!$B$2:$B$1123, 'Códigos DANE Municipios'!$A$2:$A$1123, "No encontrado")</f>
        <v>19318</v>
      </c>
      <c r="B1706" t="str">
        <f>IFERROR(VLOOKUP(D1706,APOYO!K:L,2,FALSE),A1706)</f>
        <v>19318</v>
      </c>
      <c r="C1706" t="s">
        <v>753</v>
      </c>
      <c r="D1706" t="str">
        <f>IFERROR(VLOOKUP(C1706,APOYO!J:K,2,FALSE),C1706)</f>
        <v>GUAPÍ</v>
      </c>
      <c r="E1706">
        <v>2015</v>
      </c>
    </row>
    <row r="1707" spans="1:5" hidden="1" x14ac:dyDescent="0.25">
      <c r="A1707" t="str">
        <f>_xlfn.XLOOKUP(C1707, 'Códigos DANE Municipios'!$B$2:$B$1123, 'Códigos DANE Municipios'!$A$2:$A$1123, "No encontrado")</f>
        <v>70265</v>
      </c>
      <c r="B1707" t="str">
        <f>IFERROR(VLOOKUP(D1707,APOYO!K:L,2,FALSE),A1707)</f>
        <v>70265</v>
      </c>
      <c r="C1707" t="s">
        <v>1833</v>
      </c>
      <c r="D1707" t="str">
        <f>IFERROR(VLOOKUP(C1707,APOYO!J:K,2,FALSE),C1707)</f>
        <v>GUARANDA</v>
      </c>
      <c r="E1707">
        <v>2015</v>
      </c>
    </row>
    <row r="1708" spans="1:5" hidden="1" x14ac:dyDescent="0.25">
      <c r="A1708" t="str">
        <f>_xlfn.XLOOKUP(C1708, 'Códigos DANE Municipios'!$B$2:$B$1123, 'Códigos DANE Municipios'!$A$2:$A$1123, "No encontrado")</f>
        <v>05318</v>
      </c>
      <c r="B1708" t="str">
        <f>IFERROR(VLOOKUP(D1708,APOYO!K:L,2,FALSE),A1708)</f>
        <v>05318</v>
      </c>
      <c r="C1708" t="s">
        <v>120</v>
      </c>
      <c r="D1708" t="str">
        <f>IFERROR(VLOOKUP(C1708,APOYO!J:K,2,FALSE),C1708)</f>
        <v>GUARNE</v>
      </c>
      <c r="E1708">
        <v>2015</v>
      </c>
    </row>
    <row r="1709" spans="1:5" hidden="1" x14ac:dyDescent="0.25">
      <c r="A1709" t="str">
        <f>_xlfn.XLOOKUP(C1709, 'Códigos DANE Municipios'!$B$2:$B$1123, 'Códigos DANE Municipios'!$A$2:$A$1123, "No encontrado")</f>
        <v>25322</v>
      </c>
      <c r="B1709" t="str">
        <f>IFERROR(VLOOKUP(D1709,APOYO!K:L,2,FALSE),A1709)</f>
        <v>25322</v>
      </c>
      <c r="C1709" t="s">
        <v>992</v>
      </c>
      <c r="D1709" t="str">
        <f>IFERROR(VLOOKUP(C1709,APOYO!J:K,2,FALSE),C1709)</f>
        <v>GUASCA</v>
      </c>
      <c r="E1709">
        <v>2015</v>
      </c>
    </row>
    <row r="1710" spans="1:5" hidden="1" x14ac:dyDescent="0.25">
      <c r="A1710" t="str">
        <f>_xlfn.XLOOKUP(C1710, 'Códigos DANE Municipios'!$B$2:$B$1123, 'Códigos DANE Municipios'!$A$2:$A$1123, "No encontrado")</f>
        <v>05321</v>
      </c>
      <c r="B1710" t="str">
        <f>IFERROR(VLOOKUP(D1710,APOYO!K:L,2,FALSE),A1710)</f>
        <v>05321</v>
      </c>
      <c r="C1710" t="s">
        <v>122</v>
      </c>
      <c r="D1710" t="str">
        <f>IFERROR(VLOOKUP(C1710,APOYO!J:K,2,FALSE),C1710)</f>
        <v>GUATAPÉ</v>
      </c>
      <c r="E1710">
        <v>2015</v>
      </c>
    </row>
    <row r="1711" spans="1:5" hidden="1" x14ac:dyDescent="0.25">
      <c r="A1711" t="str">
        <f>_xlfn.XLOOKUP(C1711, 'Códigos DANE Municipios'!$B$2:$B$1123, 'Códigos DANE Municipios'!$A$2:$A$1123, "No encontrado")</f>
        <v>25324</v>
      </c>
      <c r="B1711" t="str">
        <f>IFERROR(VLOOKUP(D1711,APOYO!K:L,2,FALSE),A1711)</f>
        <v>25324</v>
      </c>
      <c r="C1711" t="s">
        <v>994</v>
      </c>
      <c r="D1711" t="str">
        <f>IFERROR(VLOOKUP(C1711,APOYO!J:K,2,FALSE),C1711)</f>
        <v>GUATAQUÍ</v>
      </c>
      <c r="E1711">
        <v>2015</v>
      </c>
    </row>
    <row r="1712" spans="1:5" hidden="1" x14ac:dyDescent="0.25">
      <c r="A1712" t="str">
        <f>_xlfn.XLOOKUP(C1712, 'Códigos DANE Municipios'!$B$2:$B$1123, 'Códigos DANE Municipios'!$A$2:$A$1123, "No encontrado")</f>
        <v>25326</v>
      </c>
      <c r="B1712" t="str">
        <f>IFERROR(VLOOKUP(D1712,APOYO!K:L,2,FALSE),A1712)</f>
        <v>25326</v>
      </c>
      <c r="C1712" t="s">
        <v>996</v>
      </c>
      <c r="D1712" t="str">
        <f>IFERROR(VLOOKUP(C1712,APOYO!J:K,2,FALSE),C1712)</f>
        <v>GUATAVITA</v>
      </c>
      <c r="E1712">
        <v>2015</v>
      </c>
    </row>
    <row r="1713" spans="1:5" hidden="1" x14ac:dyDescent="0.25">
      <c r="A1713" t="str">
        <f>_xlfn.XLOOKUP(C1713, 'Códigos DANE Municipios'!$B$2:$B$1123, 'Códigos DANE Municipios'!$A$2:$A$1123, "No encontrado")</f>
        <v>15322</v>
      </c>
      <c r="B1713" t="str">
        <f>IFERROR(VLOOKUP(D1713,APOYO!K:L,2,FALSE),A1713)</f>
        <v>15322</v>
      </c>
      <c r="C1713" t="s">
        <v>479</v>
      </c>
      <c r="D1713" t="str">
        <f>IFERROR(VLOOKUP(C1713,APOYO!J:K,2,FALSE),C1713)</f>
        <v>GUATEQUE</v>
      </c>
      <c r="E1713">
        <v>2015</v>
      </c>
    </row>
    <row r="1714" spans="1:5" hidden="1" x14ac:dyDescent="0.25">
      <c r="A1714" t="str">
        <f>_xlfn.XLOOKUP(C1714, 'Códigos DANE Municipios'!$B$2:$B$1123, 'Códigos DANE Municipios'!$A$2:$A$1123, "No encontrado")</f>
        <v>66318</v>
      </c>
      <c r="B1714" t="str">
        <f>IFERROR(VLOOKUP(D1714,APOYO!K:L,2,FALSE),A1714)</f>
        <v>66318</v>
      </c>
      <c r="C1714" t="s">
        <v>1637</v>
      </c>
      <c r="D1714" t="str">
        <f>IFERROR(VLOOKUP(C1714,APOYO!J:K,2,FALSE),C1714)</f>
        <v>GUÁTICA</v>
      </c>
      <c r="E1714">
        <v>2015</v>
      </c>
    </row>
    <row r="1715" spans="1:5" hidden="1" x14ac:dyDescent="0.25">
      <c r="A1715" t="str">
        <f>_xlfn.XLOOKUP(C1715, 'Códigos DANE Municipios'!$B$2:$B$1123, 'Códigos DANE Municipios'!$A$2:$A$1123, "No encontrado")</f>
        <v>15325</v>
      </c>
      <c r="B1715" t="str">
        <f>IFERROR(VLOOKUP(D1715,APOYO!K:L,2,FALSE),A1715)</f>
        <v>15325</v>
      </c>
      <c r="C1715" t="s">
        <v>481</v>
      </c>
      <c r="D1715" t="str">
        <f>IFERROR(VLOOKUP(C1715,APOYO!J:K,2,FALSE),C1715)</f>
        <v>GUAYATÁ</v>
      </c>
      <c r="E1715">
        <v>2015</v>
      </c>
    </row>
    <row r="1716" spans="1:5" hidden="1" x14ac:dyDescent="0.25">
      <c r="A1716" t="str">
        <f>_xlfn.XLOOKUP(C1716, 'Códigos DANE Municipios'!$B$2:$B$1123, 'Códigos DANE Municipios'!$A$2:$A$1123, "No encontrado")</f>
        <v>68327</v>
      </c>
      <c r="B1716" t="str">
        <f>IFERROR(VLOOKUP(D1716,APOYO!K:L,2,FALSE),A1716)</f>
        <v>68327</v>
      </c>
      <c r="C1716" t="s">
        <v>1727</v>
      </c>
      <c r="D1716" t="str">
        <f>IFERROR(VLOOKUP(C1716,APOYO!J:K,2,FALSE),C1716)</f>
        <v>GÜEPSA</v>
      </c>
      <c r="E1716">
        <v>2015</v>
      </c>
    </row>
    <row r="1717" spans="1:5" hidden="1" x14ac:dyDescent="0.25">
      <c r="A1717" t="str">
        <f>_xlfn.XLOOKUP(C1717, 'Códigos DANE Municipios'!$B$2:$B$1123, 'Códigos DANE Municipios'!$A$2:$A$1123, "No encontrado")</f>
        <v>15332</v>
      </c>
      <c r="B1717" t="str">
        <f>IFERROR(VLOOKUP(D1717,APOYO!K:L,2,FALSE),A1717)</f>
        <v>15332</v>
      </c>
      <c r="C1717" t="s">
        <v>483</v>
      </c>
      <c r="D1717" t="str">
        <f>IFERROR(VLOOKUP(C1717,APOYO!J:K,2,FALSE),C1717)</f>
        <v>GÜICÁN</v>
      </c>
      <c r="E1717">
        <v>2015</v>
      </c>
    </row>
    <row r="1718" spans="1:5" hidden="1" x14ac:dyDescent="0.25">
      <c r="A1718" t="str">
        <f>_xlfn.XLOOKUP(C1718, 'Códigos DANE Municipios'!$B$2:$B$1123, 'Códigos DANE Municipios'!$A$2:$A$1123, "No encontrado")</f>
        <v>85125</v>
      </c>
      <c r="B1718" t="str">
        <f>IFERROR(VLOOKUP(D1718,APOYO!K:L,2,FALSE),A1718)</f>
        <v>85125</v>
      </c>
      <c r="C1718" t="s">
        <v>2054</v>
      </c>
      <c r="D1718" t="str">
        <f>IFERROR(VLOOKUP(C1718,APOYO!J:K,2,FALSE),C1718)</f>
        <v>HATO COROZAL</v>
      </c>
      <c r="E1718">
        <v>2015</v>
      </c>
    </row>
    <row r="1719" spans="1:5" hidden="1" x14ac:dyDescent="0.25">
      <c r="A1719" t="str">
        <f>_xlfn.XLOOKUP(C1719, 'Códigos DANE Municipios'!$B$2:$B$1123, 'Códigos DANE Municipios'!$A$2:$A$1123, "No encontrado")</f>
        <v>05347</v>
      </c>
      <c r="B1719" t="str">
        <f>IFERROR(VLOOKUP(D1719,APOYO!K:L,2,FALSE),A1719)</f>
        <v>05347</v>
      </c>
      <c r="C1719" t="s">
        <v>124</v>
      </c>
      <c r="D1719" t="str">
        <f>IFERROR(VLOOKUP(C1719,APOYO!J:K,2,FALSE),C1719)</f>
        <v>HELICONIA</v>
      </c>
      <c r="E1719">
        <v>2015</v>
      </c>
    </row>
    <row r="1720" spans="1:5" hidden="1" x14ac:dyDescent="0.25">
      <c r="A1720" t="str">
        <f>_xlfn.XLOOKUP(C1720, 'Códigos DANE Municipios'!$B$2:$B$1123, 'Códigos DANE Municipios'!$A$2:$A$1123, "No encontrado")</f>
        <v>73347</v>
      </c>
      <c r="B1720" t="str">
        <f>IFERROR(VLOOKUP(D1720,APOYO!K:L,2,FALSE),A1720)</f>
        <v>73347</v>
      </c>
      <c r="C1720" t="s">
        <v>1905</v>
      </c>
      <c r="D1720" t="str">
        <f>IFERROR(VLOOKUP(C1720,APOYO!J:K,2,FALSE),C1720)</f>
        <v>HERVEO</v>
      </c>
      <c r="E1720">
        <v>2015</v>
      </c>
    </row>
    <row r="1721" spans="1:5" hidden="1" x14ac:dyDescent="0.25">
      <c r="A1721" t="str">
        <f>_xlfn.XLOOKUP(C1721, 'Códigos DANE Municipios'!$B$2:$B$1123, 'Códigos DANE Municipios'!$A$2:$A$1123, "No encontrado")</f>
        <v>05353</v>
      </c>
      <c r="B1721" t="str">
        <f>IFERROR(VLOOKUP(D1721,APOYO!K:L,2,FALSE),A1721)</f>
        <v>05353</v>
      </c>
      <c r="C1721" t="s">
        <v>126</v>
      </c>
      <c r="D1721" t="str">
        <f>IFERROR(VLOOKUP(C1721,APOYO!J:K,2,FALSE),C1721)</f>
        <v>HISPANIA</v>
      </c>
      <c r="E1721">
        <v>2015</v>
      </c>
    </row>
    <row r="1722" spans="1:5" hidden="1" x14ac:dyDescent="0.25">
      <c r="A1722" t="str">
        <f>_xlfn.XLOOKUP(C1722, 'Códigos DANE Municipios'!$B$2:$B$1123, 'Códigos DANE Municipios'!$A$2:$A$1123, "No encontrado")</f>
        <v>73349</v>
      </c>
      <c r="B1722" t="str">
        <f>IFERROR(VLOOKUP(D1722,APOYO!K:L,2,FALSE),A1722)</f>
        <v>73349</v>
      </c>
      <c r="C1722" t="s">
        <v>1907</v>
      </c>
      <c r="D1722" t="str">
        <f>IFERROR(VLOOKUP(C1722,APOYO!J:K,2,FALSE),C1722)</f>
        <v>HONDA</v>
      </c>
      <c r="E1722">
        <v>2015</v>
      </c>
    </row>
    <row r="1723" spans="1:5" hidden="1" x14ac:dyDescent="0.25">
      <c r="A1723" t="str">
        <f>_xlfn.XLOOKUP(C1723, 'Códigos DANE Municipios'!$B$2:$B$1123, 'Códigos DANE Municipios'!$A$2:$A$1123, "No encontrado")</f>
        <v>73001</v>
      </c>
      <c r="B1723" t="str">
        <f>IFERROR(VLOOKUP(D1723,APOYO!K:L,2,FALSE),A1723)</f>
        <v>73001</v>
      </c>
      <c r="C1723" t="s">
        <v>1865</v>
      </c>
      <c r="D1723" t="str">
        <f>IFERROR(VLOOKUP(C1723,APOYO!J:K,2,FALSE),C1723)</f>
        <v>IBAGUÉ</v>
      </c>
      <c r="E1723">
        <v>2015</v>
      </c>
    </row>
    <row r="1724" spans="1:5" hidden="1" x14ac:dyDescent="0.25">
      <c r="A1724" t="str">
        <f>_xlfn.XLOOKUP(C1724, 'Códigos DANE Municipios'!$B$2:$B$1123, 'Códigos DANE Municipios'!$A$2:$A$1123, "No encontrado")</f>
        <v>73352</v>
      </c>
      <c r="B1724" t="str">
        <f>IFERROR(VLOOKUP(D1724,APOYO!K:L,2,FALSE),A1724)</f>
        <v>73352</v>
      </c>
      <c r="C1724" t="s">
        <v>1909</v>
      </c>
      <c r="D1724" t="str">
        <f>IFERROR(VLOOKUP(C1724,APOYO!J:K,2,FALSE),C1724)</f>
        <v>ICONONZO</v>
      </c>
      <c r="E1724">
        <v>2015</v>
      </c>
    </row>
    <row r="1725" spans="1:5" hidden="1" x14ac:dyDescent="0.25">
      <c r="A1725" t="str">
        <f>_xlfn.XLOOKUP(C1725, 'Códigos DANE Municipios'!$B$2:$B$1123, 'Códigos DANE Municipios'!$A$2:$A$1123, "No encontrado")</f>
        <v>41357</v>
      </c>
      <c r="B1725" t="str">
        <f>IFERROR(VLOOKUP(D1725,APOYO!K:L,2,FALSE),A1725)</f>
        <v>41357</v>
      </c>
      <c r="C1725" t="s">
        <v>1228</v>
      </c>
      <c r="D1725" t="str">
        <f>IFERROR(VLOOKUP(C1725,APOYO!J:K,2,FALSE),C1725)</f>
        <v>ÍQUIRA</v>
      </c>
      <c r="E1725">
        <v>2015</v>
      </c>
    </row>
    <row r="1726" spans="1:5" hidden="1" x14ac:dyDescent="0.25">
      <c r="A1726" t="str">
        <f>_xlfn.XLOOKUP(C1726, 'Códigos DANE Municipios'!$B$2:$B$1123, 'Códigos DANE Municipios'!$A$2:$A$1123, "No encontrado")</f>
        <v>52352</v>
      </c>
      <c r="B1726" t="str">
        <f>IFERROR(VLOOKUP(D1726,APOYO!K:L,2,FALSE),A1726)</f>
        <v>52352</v>
      </c>
      <c r="C1726" t="s">
        <v>1458</v>
      </c>
      <c r="D1726" t="str">
        <f>IFERROR(VLOOKUP(C1726,APOYO!J:K,2,FALSE),C1726)</f>
        <v>ILES</v>
      </c>
      <c r="E1726">
        <v>2015</v>
      </c>
    </row>
    <row r="1727" spans="1:5" hidden="1" x14ac:dyDescent="0.25">
      <c r="A1727" t="str">
        <f>_xlfn.XLOOKUP(C1727, 'Códigos DANE Municipios'!$B$2:$B$1123, 'Códigos DANE Municipios'!$A$2:$A$1123, "No encontrado")</f>
        <v>19355</v>
      </c>
      <c r="B1727" t="str">
        <f>IFERROR(VLOOKUP(D1727,APOYO!K:L,2,FALSE),A1727)</f>
        <v>19355</v>
      </c>
      <c r="C1727" t="s">
        <v>755</v>
      </c>
      <c r="D1727" t="str">
        <f>IFERROR(VLOOKUP(C1727,APOYO!J:K,2,FALSE),C1727)</f>
        <v>INZÁ</v>
      </c>
      <c r="E1727">
        <v>2015</v>
      </c>
    </row>
    <row r="1728" spans="1:5" hidden="1" x14ac:dyDescent="0.25">
      <c r="A1728" t="str">
        <f>_xlfn.XLOOKUP(C1728, 'Códigos DANE Municipios'!$B$2:$B$1123, 'Códigos DANE Municipios'!$A$2:$A$1123, "No encontrado")</f>
        <v>52356</v>
      </c>
      <c r="B1728" t="str">
        <f>IFERROR(VLOOKUP(D1728,APOYO!K:L,2,FALSE),A1728)</f>
        <v>52356</v>
      </c>
      <c r="C1728" t="s">
        <v>1462</v>
      </c>
      <c r="D1728" t="str">
        <f>IFERROR(VLOOKUP(C1728,APOYO!J:K,2,FALSE),C1728)</f>
        <v>IPIALES</v>
      </c>
      <c r="E1728">
        <v>2015</v>
      </c>
    </row>
    <row r="1729" spans="1:5" hidden="1" x14ac:dyDescent="0.25">
      <c r="A1729" t="str">
        <f>_xlfn.XLOOKUP(C1729, 'Códigos DANE Municipios'!$B$2:$B$1123, 'Códigos DANE Municipios'!$A$2:$A$1123, "No encontrado")</f>
        <v>27361</v>
      </c>
      <c r="B1729" t="str">
        <f>IFERROR(VLOOKUP(D1729,APOYO!K:L,2,FALSE),A1729)</f>
        <v>27361</v>
      </c>
      <c r="C1729" t="s">
        <v>1170</v>
      </c>
      <c r="D1729" t="str">
        <f>IFERROR(VLOOKUP(C1729,APOYO!J:K,2,FALSE),C1729)</f>
        <v>ISTMINA</v>
      </c>
      <c r="E1729">
        <v>2015</v>
      </c>
    </row>
    <row r="1730" spans="1:5" hidden="1" x14ac:dyDescent="0.25">
      <c r="A1730" t="str">
        <f>_xlfn.XLOOKUP(C1730, 'Códigos DANE Municipios'!$B$2:$B$1123, 'Códigos DANE Municipios'!$A$2:$A$1123, "No encontrado")</f>
        <v>05360</v>
      </c>
      <c r="B1730" t="str">
        <f>IFERROR(VLOOKUP(D1730,APOYO!K:L,2,FALSE),A1730)</f>
        <v>05360</v>
      </c>
      <c r="C1730" t="s">
        <v>128</v>
      </c>
      <c r="D1730" t="str">
        <f>IFERROR(VLOOKUP(C1730,APOYO!J:K,2,FALSE),C1730)</f>
        <v>ITAGÜÍ</v>
      </c>
      <c r="E1730">
        <v>2015</v>
      </c>
    </row>
    <row r="1731" spans="1:5" hidden="1" x14ac:dyDescent="0.25">
      <c r="A1731" t="str">
        <f>_xlfn.XLOOKUP(C1731, 'Códigos DANE Municipios'!$B$2:$B$1123, 'Códigos DANE Municipios'!$A$2:$A$1123, "No encontrado")</f>
        <v>05361</v>
      </c>
      <c r="B1731" t="str">
        <f>IFERROR(VLOOKUP(D1731,APOYO!K:L,2,FALSE),A1731)</f>
        <v>05361</v>
      </c>
      <c r="C1731" t="s">
        <v>130</v>
      </c>
      <c r="D1731" t="str">
        <f>IFERROR(VLOOKUP(C1731,APOYO!J:K,2,FALSE),C1731)</f>
        <v>ITUANGO</v>
      </c>
      <c r="E1731">
        <v>2015</v>
      </c>
    </row>
    <row r="1732" spans="1:5" hidden="1" x14ac:dyDescent="0.25">
      <c r="A1732" t="str">
        <f>_xlfn.XLOOKUP(C1732, 'Códigos DANE Municipios'!$B$2:$B$1123, 'Códigos DANE Municipios'!$A$2:$A$1123, "No encontrado")</f>
        <v>15362</v>
      </c>
      <c r="B1732" t="str">
        <f>IFERROR(VLOOKUP(D1732,APOYO!K:L,2,FALSE),A1732)</f>
        <v>15362</v>
      </c>
      <c r="C1732" t="s">
        <v>485</v>
      </c>
      <c r="D1732" t="str">
        <f>IFERROR(VLOOKUP(C1732,APOYO!J:K,2,FALSE),C1732)</f>
        <v>IZA</v>
      </c>
      <c r="E1732">
        <v>2015</v>
      </c>
    </row>
    <row r="1733" spans="1:5" hidden="1" x14ac:dyDescent="0.25">
      <c r="A1733" t="str">
        <f>_xlfn.XLOOKUP(C1733, 'Códigos DANE Municipios'!$B$2:$B$1123, 'Códigos DANE Municipios'!$A$2:$A$1123, "No encontrado")</f>
        <v>76364</v>
      </c>
      <c r="B1733" t="str">
        <f>IFERROR(VLOOKUP(D1733,APOYO!K:L,2,FALSE),A1733)</f>
        <v>76364</v>
      </c>
      <c r="C1733" t="s">
        <v>1996</v>
      </c>
      <c r="D1733" t="str">
        <f>IFERROR(VLOOKUP(C1733,APOYO!J:K,2,FALSE),C1733)</f>
        <v>JAMUNDÍ</v>
      </c>
      <c r="E1733">
        <v>2015</v>
      </c>
    </row>
    <row r="1734" spans="1:5" hidden="1" x14ac:dyDescent="0.25">
      <c r="A1734" t="str">
        <f>_xlfn.XLOOKUP(C1734, 'Códigos DANE Municipios'!$B$2:$B$1123, 'Códigos DANE Municipios'!$A$2:$A$1123, "No encontrado")</f>
        <v>05364</v>
      </c>
      <c r="B1734" t="str">
        <f>IFERROR(VLOOKUP(D1734,APOYO!K:L,2,FALSE),A1734)</f>
        <v>05364</v>
      </c>
      <c r="C1734" t="s">
        <v>132</v>
      </c>
      <c r="D1734" t="str">
        <f>IFERROR(VLOOKUP(C1734,APOYO!J:K,2,FALSE),C1734)</f>
        <v>JARDÍN</v>
      </c>
      <c r="E1734">
        <v>2015</v>
      </c>
    </row>
    <row r="1735" spans="1:5" hidden="1" x14ac:dyDescent="0.25">
      <c r="A1735" t="str">
        <f>_xlfn.XLOOKUP(C1735, 'Códigos DANE Municipios'!$B$2:$B$1123, 'Códigos DANE Municipios'!$A$2:$A$1123, "No encontrado")</f>
        <v>15367</v>
      </c>
      <c r="B1735" t="str">
        <f>IFERROR(VLOOKUP(D1735,APOYO!K:L,2,FALSE),A1735)</f>
        <v>15367</v>
      </c>
      <c r="C1735" t="s">
        <v>487</v>
      </c>
      <c r="D1735" t="str">
        <f>IFERROR(VLOOKUP(C1735,APOYO!J:K,2,FALSE),C1735)</f>
        <v>JENESANO</v>
      </c>
      <c r="E1735">
        <v>2015</v>
      </c>
    </row>
    <row r="1736" spans="1:5" hidden="1" x14ac:dyDescent="0.25">
      <c r="A1736" t="str">
        <f>_xlfn.XLOOKUP(C1736, 'Códigos DANE Municipios'!$B$2:$B$1123, 'Códigos DANE Municipios'!$A$2:$A$1123, "No encontrado")</f>
        <v>05368</v>
      </c>
      <c r="B1736" t="str">
        <f>IFERROR(VLOOKUP(D1736,APOYO!K:L,2,FALSE),A1736)</f>
        <v>05368</v>
      </c>
      <c r="C1736" t="s">
        <v>134</v>
      </c>
      <c r="D1736" t="str">
        <f>IFERROR(VLOOKUP(C1736,APOYO!J:K,2,FALSE),C1736)</f>
        <v>JERICÓ</v>
      </c>
      <c r="E1736">
        <v>2015</v>
      </c>
    </row>
    <row r="1737" spans="1:5" hidden="1" x14ac:dyDescent="0.25">
      <c r="A1737" t="str">
        <f>_xlfn.XLOOKUP(C1737, 'Códigos DANE Municipios'!$B$2:$B$1123, 'Códigos DANE Municipios'!$A$2:$A$1123, "No encontrado")</f>
        <v>08372</v>
      </c>
      <c r="B1737" t="str">
        <f>IFERROR(VLOOKUP(D1737,APOYO!K:L,2,FALSE),A1737)</f>
        <v>08372</v>
      </c>
      <c r="C1737" t="s">
        <v>272</v>
      </c>
      <c r="D1737" t="str">
        <f>IFERROR(VLOOKUP(C1737,APOYO!J:K,2,FALSE),C1737)</f>
        <v>JUAN DE ACOSTA</v>
      </c>
      <c r="E1737">
        <v>2015</v>
      </c>
    </row>
    <row r="1738" spans="1:5" hidden="1" x14ac:dyDescent="0.25">
      <c r="A1738" t="str">
        <f>_xlfn.XLOOKUP(C1738, 'Códigos DANE Municipios'!$B$2:$B$1123, 'Códigos DANE Municipios'!$A$2:$A$1123, "No encontrado")</f>
        <v>25372</v>
      </c>
      <c r="B1738" t="str">
        <f>IFERROR(VLOOKUP(D1738,APOYO!K:L,2,FALSE),A1738)</f>
        <v>25372</v>
      </c>
      <c r="C1738" t="s">
        <v>1006</v>
      </c>
      <c r="D1738" t="str">
        <f>IFERROR(VLOOKUP(C1738,APOYO!J:K,2,FALSE),C1738)</f>
        <v>JUNÍN</v>
      </c>
      <c r="E1738">
        <v>2015</v>
      </c>
    </row>
    <row r="1739" spans="1:5" hidden="1" x14ac:dyDescent="0.25">
      <c r="A1739" t="str">
        <f>_xlfn.XLOOKUP(C1739, 'Códigos DANE Municipios'!$B$2:$B$1123, 'Códigos DANE Municipios'!$A$2:$A$1123, "No encontrado")</f>
        <v>27372</v>
      </c>
      <c r="B1739" t="str">
        <f>IFERROR(VLOOKUP(D1739,APOYO!K:L,2,FALSE),A1739)</f>
        <v>27372</v>
      </c>
      <c r="C1739" t="s">
        <v>1172</v>
      </c>
      <c r="D1739" t="str">
        <f>IFERROR(VLOOKUP(C1739,APOYO!J:K,2,FALSE),C1739)</f>
        <v>JURADÓ</v>
      </c>
      <c r="E1739">
        <v>2015</v>
      </c>
    </row>
    <row r="1740" spans="1:5" hidden="1" x14ac:dyDescent="0.25">
      <c r="A1740" t="str">
        <f>_xlfn.XLOOKUP(C1740, 'Códigos DANE Municipios'!$B$2:$B$1123, 'Códigos DANE Municipios'!$A$2:$A$1123, "No encontrado")</f>
        <v>41378</v>
      </c>
      <c r="B1740" t="str">
        <f>IFERROR(VLOOKUP(D1740,APOYO!K:L,2,FALSE),A1740)</f>
        <v>41378</v>
      </c>
      <c r="C1740" t="s">
        <v>1232</v>
      </c>
      <c r="D1740" t="str">
        <f>IFERROR(VLOOKUP(C1740,APOYO!J:K,2,FALSE),C1740)</f>
        <v>LA ARGENTINA</v>
      </c>
      <c r="E1740">
        <v>2015</v>
      </c>
    </row>
    <row r="1741" spans="1:5" hidden="1" x14ac:dyDescent="0.25">
      <c r="A1741" t="str">
        <f>_xlfn.XLOOKUP(C1741, 'Códigos DANE Municipios'!$B$2:$B$1123, 'Códigos DANE Municipios'!$A$2:$A$1123, "No encontrado")</f>
        <v>25377</v>
      </c>
      <c r="B1741" t="str">
        <f>IFERROR(VLOOKUP(D1741,APOYO!K:L,2,FALSE),A1741)</f>
        <v>25377</v>
      </c>
      <c r="C1741" t="s">
        <v>1008</v>
      </c>
      <c r="D1741" t="str">
        <f>IFERROR(VLOOKUP(C1741,APOYO!J:K,2,FALSE),C1741)</f>
        <v>LA CALERA</v>
      </c>
      <c r="E1741">
        <v>2015</v>
      </c>
    </row>
    <row r="1742" spans="1:5" hidden="1" x14ac:dyDescent="0.25">
      <c r="A1742" t="str">
        <f>_xlfn.XLOOKUP(C1742, 'Códigos DANE Municipios'!$B$2:$B$1123, 'Códigos DANE Municipios'!$A$2:$A$1123, "No encontrado")</f>
        <v>05376</v>
      </c>
      <c r="B1742" t="str">
        <f>IFERROR(VLOOKUP(D1742,APOYO!K:L,2,FALSE),A1742)</f>
        <v>05376</v>
      </c>
      <c r="C1742" t="s">
        <v>136</v>
      </c>
      <c r="D1742" t="str">
        <f>IFERROR(VLOOKUP(C1742,APOYO!J:K,2,FALSE),C1742)</f>
        <v>LA CEJA</v>
      </c>
      <c r="E1742">
        <v>2015</v>
      </c>
    </row>
    <row r="1743" spans="1:5" hidden="1" x14ac:dyDescent="0.25">
      <c r="A1743" t="str">
        <f>_xlfn.XLOOKUP(C1743, 'Códigos DANE Municipios'!$B$2:$B$1123, 'Códigos DANE Municipios'!$A$2:$A$1123, "No encontrado")</f>
        <v>66383</v>
      </c>
      <c r="B1743" t="str">
        <f>IFERROR(VLOOKUP(D1743,APOYO!K:L,2,FALSE),A1743)</f>
        <v>66383</v>
      </c>
      <c r="C1743" t="s">
        <v>1639</v>
      </c>
      <c r="D1743" t="str">
        <f>IFERROR(VLOOKUP(C1743,APOYO!J:K,2,FALSE),C1743)</f>
        <v>LA CELIA</v>
      </c>
      <c r="E1743">
        <v>2015</v>
      </c>
    </row>
    <row r="1744" spans="1:5" hidden="1" x14ac:dyDescent="0.25">
      <c r="A1744" t="str">
        <f>_xlfn.XLOOKUP(C1744, 'Códigos DANE Municipios'!$B$2:$B$1123, 'Códigos DANE Municipios'!$A$2:$A$1123, "No encontrado")</f>
        <v>91405</v>
      </c>
      <c r="B1744" t="str">
        <f>IFERROR(VLOOKUP(D1744,APOYO!K:L,2,FALSE),A1744)</f>
        <v>91405</v>
      </c>
      <c r="C1744" t="s">
        <v>2112</v>
      </c>
      <c r="D1744" t="str">
        <f>IFERROR(VLOOKUP(C1744,APOYO!J:K,2,FALSE),C1744)</f>
        <v>LA CHORRERA</v>
      </c>
      <c r="E1744">
        <v>2015</v>
      </c>
    </row>
    <row r="1745" spans="1:5" hidden="1" x14ac:dyDescent="0.25">
      <c r="A1745" t="str">
        <f>_xlfn.XLOOKUP(C1745, 'Códigos DANE Municipios'!$B$2:$B$1123, 'Códigos DANE Municipios'!$A$2:$A$1123, "No encontrado")</f>
        <v>52378</v>
      </c>
      <c r="B1745" t="str">
        <f>IFERROR(VLOOKUP(D1745,APOYO!K:L,2,FALSE),A1745)</f>
        <v>52378</v>
      </c>
      <c r="C1745" t="s">
        <v>1464</v>
      </c>
      <c r="D1745" t="str">
        <f>IFERROR(VLOOKUP(C1745,APOYO!J:K,2,FALSE),C1745)</f>
        <v>LA CRUZ</v>
      </c>
      <c r="E1745">
        <v>2015</v>
      </c>
    </row>
    <row r="1746" spans="1:5" hidden="1" x14ac:dyDescent="0.25">
      <c r="A1746" t="str">
        <f>_xlfn.XLOOKUP(C1746, 'Códigos DANE Municipios'!$B$2:$B$1123, 'Códigos DANE Municipios'!$A$2:$A$1123, "No encontrado")</f>
        <v>76377</v>
      </c>
      <c r="B1746" t="str">
        <f>IFERROR(VLOOKUP(D1746,APOYO!K:L,2,FALSE),A1746)</f>
        <v>76377</v>
      </c>
      <c r="C1746" t="s">
        <v>1998</v>
      </c>
      <c r="D1746" t="str">
        <f>IFERROR(VLOOKUP(C1746,APOYO!J:K,2,FALSE),C1746)</f>
        <v>LA CUMBRE</v>
      </c>
      <c r="E1746">
        <v>2015</v>
      </c>
    </row>
    <row r="1747" spans="1:5" hidden="1" x14ac:dyDescent="0.25">
      <c r="A1747" t="str">
        <f>_xlfn.XLOOKUP(C1747, 'Códigos DANE Municipios'!$B$2:$B$1123, 'Códigos DANE Municipios'!$A$2:$A$1123, "No encontrado")</f>
        <v>17380</v>
      </c>
      <c r="B1747" t="str">
        <f>IFERROR(VLOOKUP(D1747,APOYO!K:L,2,FALSE),A1747)</f>
        <v>17380</v>
      </c>
      <c r="C1747" t="s">
        <v>658</v>
      </c>
      <c r="D1747" t="str">
        <f>IFERROR(VLOOKUP(C1747,APOYO!J:K,2,FALSE),C1747)</f>
        <v>LA DORADA</v>
      </c>
      <c r="E1747">
        <v>2015</v>
      </c>
    </row>
    <row r="1748" spans="1:5" hidden="1" x14ac:dyDescent="0.25">
      <c r="A1748" t="str">
        <f>_xlfn.XLOOKUP(C1748, 'Códigos DANE Municipios'!$B$2:$B$1123, 'Códigos DANE Municipios'!$A$2:$A$1123, "No encontrado")</f>
        <v>05380</v>
      </c>
      <c r="B1748" t="str">
        <f>IFERROR(VLOOKUP(D1748,APOYO!K:L,2,FALSE),A1748)</f>
        <v>05380</v>
      </c>
      <c r="C1748" t="s">
        <v>138</v>
      </c>
      <c r="D1748" t="str">
        <f>IFERROR(VLOOKUP(C1748,APOYO!J:K,2,FALSE),C1748)</f>
        <v>LA ESTRELLA</v>
      </c>
      <c r="E1748">
        <v>2015</v>
      </c>
    </row>
    <row r="1749" spans="1:5" hidden="1" x14ac:dyDescent="0.25">
      <c r="A1749" t="str">
        <f>_xlfn.XLOOKUP(C1749, 'Códigos DANE Municipios'!$B$2:$B$1123, 'Códigos DANE Municipios'!$A$2:$A$1123, "No encontrado")</f>
        <v>52381</v>
      </c>
      <c r="B1749" t="str">
        <f>IFERROR(VLOOKUP(D1749,APOYO!K:L,2,FALSE),A1749)</f>
        <v>52381</v>
      </c>
      <c r="C1749" t="s">
        <v>1466</v>
      </c>
      <c r="D1749" t="str">
        <f>IFERROR(VLOOKUP(C1749,APOYO!J:K,2,FALSE),C1749)</f>
        <v>LA FLORIDA</v>
      </c>
      <c r="E1749">
        <v>2015</v>
      </c>
    </row>
    <row r="1750" spans="1:5" hidden="1" x14ac:dyDescent="0.25">
      <c r="A1750" t="str">
        <f>_xlfn.XLOOKUP(C1750, 'Códigos DANE Municipios'!$B$2:$B$1123, 'Códigos DANE Municipios'!$A$2:$A$1123, "No encontrado")</f>
        <v>20383</v>
      </c>
      <c r="B1750" t="str">
        <f>IFERROR(VLOOKUP(D1750,APOYO!K:L,2,FALSE),A1750)</f>
        <v>20383</v>
      </c>
      <c r="C1750" t="s">
        <v>834</v>
      </c>
      <c r="D1750" t="str">
        <f>IFERROR(VLOOKUP(C1750,APOYO!J:K,2,FALSE),C1750)</f>
        <v>LA GLORIA</v>
      </c>
      <c r="E1750">
        <v>2015</v>
      </c>
    </row>
    <row r="1751" spans="1:5" hidden="1" x14ac:dyDescent="0.25">
      <c r="A1751" t="str">
        <f>_xlfn.XLOOKUP(C1751, 'Códigos DANE Municipios'!$B$2:$B$1123, 'Códigos DANE Municipios'!$A$2:$A$1123, "No encontrado")</f>
        <v>20400</v>
      </c>
      <c r="B1751" t="str">
        <f>IFERROR(VLOOKUP(D1751,APOYO!K:L,2,FALSE),A1751)</f>
        <v>20400</v>
      </c>
      <c r="C1751" t="s">
        <v>836</v>
      </c>
      <c r="D1751" t="str">
        <f>IFERROR(VLOOKUP(C1751,APOYO!J:K,2,FALSE),C1751)</f>
        <v>LA JAGUA DE IBIRICO</v>
      </c>
      <c r="E1751">
        <v>2015</v>
      </c>
    </row>
    <row r="1752" spans="1:5" hidden="1" x14ac:dyDescent="0.25">
      <c r="A1752" t="str">
        <f>_xlfn.XLOOKUP(C1752, 'Códigos DANE Municipios'!$B$2:$B$1123, 'Códigos DANE Municipios'!$A$2:$A$1123, "No encontrado")</f>
        <v>50350</v>
      </c>
      <c r="B1752" t="str">
        <f>IFERROR(VLOOKUP(D1752,APOYO!K:L,2,FALSE),A1752)</f>
        <v>50350</v>
      </c>
      <c r="C1752" t="s">
        <v>1386</v>
      </c>
      <c r="D1752" t="str">
        <f>IFERROR(VLOOKUP(C1752,APOYO!J:K,2,FALSE),C1752)</f>
        <v>LA MACARENA</v>
      </c>
      <c r="E1752">
        <v>2015</v>
      </c>
    </row>
    <row r="1753" spans="1:5" hidden="1" x14ac:dyDescent="0.25">
      <c r="A1753" t="str">
        <f>_xlfn.XLOOKUP(C1753, 'Códigos DANE Municipios'!$B$2:$B$1123, 'Códigos DANE Municipios'!$A$2:$A$1123, "No encontrado")</f>
        <v>17388</v>
      </c>
      <c r="B1753" t="str">
        <f>IFERROR(VLOOKUP(D1753,APOYO!K:L,2,FALSE),A1753)</f>
        <v>17388</v>
      </c>
      <c r="C1753" t="s">
        <v>660</v>
      </c>
      <c r="D1753" t="str">
        <f>IFERROR(VLOOKUP(C1753,APOYO!J:K,2,FALSE),C1753)</f>
        <v>LA MERCED</v>
      </c>
      <c r="E1753">
        <v>2015</v>
      </c>
    </row>
    <row r="1754" spans="1:5" hidden="1" x14ac:dyDescent="0.25">
      <c r="A1754" t="str">
        <f>_xlfn.XLOOKUP(C1754, 'Códigos DANE Municipios'!$B$2:$B$1123, 'Códigos DANE Municipios'!$A$2:$A$1123, "No encontrado")</f>
        <v>25386</v>
      </c>
      <c r="B1754" t="str">
        <f>IFERROR(VLOOKUP(D1754,APOYO!K:L,2,FALSE),A1754)</f>
        <v>25386</v>
      </c>
      <c r="C1754" t="s">
        <v>1010</v>
      </c>
      <c r="D1754" t="str">
        <f>IFERROR(VLOOKUP(C1754,APOYO!J:K,2,FALSE),C1754)</f>
        <v>LA MESA</v>
      </c>
      <c r="E1754">
        <v>2015</v>
      </c>
    </row>
    <row r="1755" spans="1:5" hidden="1" x14ac:dyDescent="0.25">
      <c r="A1755" t="str">
        <f>_xlfn.XLOOKUP(C1755, 'Códigos DANE Municipios'!$B$2:$B$1123, 'Códigos DANE Municipios'!$A$2:$A$1123, "No encontrado")</f>
        <v>20621</v>
      </c>
      <c r="B1755" t="str">
        <f>IFERROR(VLOOKUP(D1755,APOYO!K:L,2,FALSE),A1755)</f>
        <v>20621</v>
      </c>
      <c r="C1755" t="s">
        <v>848</v>
      </c>
      <c r="D1755" t="str">
        <f>IFERROR(VLOOKUP(C1755,APOYO!J:K,2,FALSE),C1755)</f>
        <v>LA PAZ</v>
      </c>
      <c r="E1755">
        <v>2015</v>
      </c>
    </row>
    <row r="1756" spans="1:5" hidden="1" x14ac:dyDescent="0.25">
      <c r="A1756" t="str">
        <f>_xlfn.XLOOKUP(C1756, 'Códigos DANE Municipios'!$B$2:$B$1123, 'Códigos DANE Municipios'!$A$2:$A$1123, "No encontrado")</f>
        <v>91407</v>
      </c>
      <c r="B1756" t="str">
        <f>IFERROR(VLOOKUP(D1756,APOYO!K:L,2,FALSE),A1756)</f>
        <v>91407</v>
      </c>
      <c r="C1756" t="s">
        <v>2114</v>
      </c>
      <c r="D1756" t="str">
        <f>IFERROR(VLOOKUP(C1756,APOYO!J:K,2,FALSE),C1756)</f>
        <v>LA PEDRERA</v>
      </c>
      <c r="E1756">
        <v>2015</v>
      </c>
    </row>
    <row r="1757" spans="1:5" hidden="1" x14ac:dyDescent="0.25">
      <c r="A1757" t="str">
        <f>_xlfn.XLOOKUP(C1757, 'Códigos DANE Municipios'!$B$2:$B$1123, 'Códigos DANE Municipios'!$A$2:$A$1123, "No encontrado")</f>
        <v>25398</v>
      </c>
      <c r="B1757" t="str">
        <f>IFERROR(VLOOKUP(D1757,APOYO!K:L,2,FALSE),A1757)</f>
        <v>25398</v>
      </c>
      <c r="C1757" t="s">
        <v>1014</v>
      </c>
      <c r="D1757" t="str">
        <f>IFERROR(VLOOKUP(C1757,APOYO!J:K,2,FALSE),C1757)</f>
        <v>LA PEÑA</v>
      </c>
      <c r="E1757">
        <v>2015</v>
      </c>
    </row>
    <row r="1758" spans="1:5" hidden="1" x14ac:dyDescent="0.25">
      <c r="A1758" t="str">
        <f>_xlfn.XLOOKUP(C1758, 'Códigos DANE Municipios'!$B$2:$B$1123, 'Códigos DANE Municipios'!$A$2:$A$1123, "No encontrado")</f>
        <v>05390</v>
      </c>
      <c r="B1758" t="str">
        <f>IFERROR(VLOOKUP(D1758,APOYO!K:L,2,FALSE),A1758)</f>
        <v>05390</v>
      </c>
      <c r="C1758" t="s">
        <v>140</v>
      </c>
      <c r="D1758" t="str">
        <f>IFERROR(VLOOKUP(C1758,APOYO!J:K,2,FALSE),C1758)</f>
        <v>LA PINTADA</v>
      </c>
      <c r="E1758">
        <v>2015</v>
      </c>
    </row>
    <row r="1759" spans="1:5" hidden="1" x14ac:dyDescent="0.25">
      <c r="A1759" t="str">
        <f>_xlfn.XLOOKUP(C1759, 'Códigos DANE Municipios'!$B$2:$B$1123, 'Códigos DANE Municipios'!$A$2:$A$1123, "No encontrado")</f>
        <v>41396</v>
      </c>
      <c r="B1759" t="str">
        <f>IFERROR(VLOOKUP(D1759,APOYO!K:L,2,FALSE),A1759)</f>
        <v>41396</v>
      </c>
      <c r="C1759" t="s">
        <v>1234</v>
      </c>
      <c r="D1759" t="str">
        <f>IFERROR(VLOOKUP(C1759,APOYO!J:K,2,FALSE),C1759)</f>
        <v>LA PLATA</v>
      </c>
      <c r="E1759">
        <v>2015</v>
      </c>
    </row>
    <row r="1760" spans="1:5" hidden="1" x14ac:dyDescent="0.25">
      <c r="A1760" t="str">
        <f>_xlfn.XLOOKUP(C1760, 'Códigos DANE Municipios'!$B$2:$B$1123, 'Códigos DANE Municipios'!$A$2:$A$1123, "No encontrado")</f>
        <v>54398</v>
      </c>
      <c r="B1760" t="str">
        <f>IFERROR(VLOOKUP(D1760,APOYO!K:L,2,FALSE),A1760)</f>
        <v>54398</v>
      </c>
      <c r="C1760" t="s">
        <v>1569</v>
      </c>
      <c r="D1760" t="str">
        <f>IFERROR(VLOOKUP(C1760,APOYO!J:K,2,FALSE),C1760)</f>
        <v>LA PLAYA</v>
      </c>
      <c r="E1760">
        <v>2015</v>
      </c>
    </row>
    <row r="1761" spans="1:5" hidden="1" x14ac:dyDescent="0.25">
      <c r="A1761" t="str">
        <f>_xlfn.XLOOKUP(C1761, 'Códigos DANE Municipios'!$B$2:$B$1123, 'Códigos DANE Municipios'!$A$2:$A$1123, "No encontrado")</f>
        <v>99524</v>
      </c>
      <c r="B1761" t="str">
        <f>IFERROR(VLOOKUP(D1761,APOYO!K:L,2,FALSE),A1761)</f>
        <v>99524</v>
      </c>
      <c r="C1761" t="s">
        <v>2165</v>
      </c>
      <c r="D1761" t="str">
        <f>IFERROR(VLOOKUP(C1761,APOYO!J:K,2,FALSE),C1761)</f>
        <v>LA PRIMAVERA</v>
      </c>
      <c r="E1761">
        <v>2015</v>
      </c>
    </row>
    <row r="1762" spans="1:5" hidden="1" x14ac:dyDescent="0.25">
      <c r="A1762" t="str">
        <f>_xlfn.XLOOKUP(C1762, 'Códigos DANE Municipios'!$B$2:$B$1123, 'Códigos DANE Municipios'!$A$2:$A$1123, "No encontrado")</f>
        <v>19392</v>
      </c>
      <c r="B1762" t="str">
        <f>IFERROR(VLOOKUP(D1762,APOYO!K:L,2,FALSE),A1762)</f>
        <v>19392</v>
      </c>
      <c r="C1762" t="s">
        <v>759</v>
      </c>
      <c r="D1762" t="str">
        <f>IFERROR(VLOOKUP(C1762,APOYO!J:K,2,FALSE),C1762)</f>
        <v>LA SIERRA</v>
      </c>
      <c r="E1762">
        <v>2015</v>
      </c>
    </row>
    <row r="1763" spans="1:5" hidden="1" x14ac:dyDescent="0.25">
      <c r="A1763" t="str">
        <f>_xlfn.XLOOKUP(C1763, 'Códigos DANE Municipios'!$B$2:$B$1123, 'Códigos DANE Municipios'!$A$2:$A$1123, "No encontrado")</f>
        <v>63401</v>
      </c>
      <c r="B1763" t="str">
        <f>IFERROR(VLOOKUP(D1763,APOYO!K:L,2,FALSE),A1763)</f>
        <v>63401</v>
      </c>
      <c r="C1763" t="s">
        <v>1618</v>
      </c>
      <c r="D1763" t="str">
        <f>IFERROR(VLOOKUP(C1763,APOYO!J:K,2,FALSE),C1763)</f>
        <v>LA TEBAIDA</v>
      </c>
      <c r="E1763">
        <v>2015</v>
      </c>
    </row>
    <row r="1764" spans="1:5" hidden="1" x14ac:dyDescent="0.25">
      <c r="A1764" t="str">
        <f>_xlfn.XLOOKUP(C1764, 'Códigos DANE Municipios'!$B$2:$B$1123, 'Códigos DANE Municipios'!$A$2:$A$1123, "No encontrado")</f>
        <v>05400</v>
      </c>
      <c r="B1764" t="str">
        <f>IFERROR(VLOOKUP(D1764,APOYO!K:L,2,FALSE),A1764)</f>
        <v>05400</v>
      </c>
      <c r="C1764" t="s">
        <v>142</v>
      </c>
      <c r="D1764" t="str">
        <f>IFERROR(VLOOKUP(C1764,APOYO!J:K,2,FALSE),C1764)</f>
        <v>LA UNIÓN</v>
      </c>
      <c r="E1764">
        <v>2015</v>
      </c>
    </row>
    <row r="1765" spans="1:5" hidden="1" x14ac:dyDescent="0.25">
      <c r="A1765" t="str">
        <f>_xlfn.XLOOKUP(C1765, 'Códigos DANE Municipios'!$B$2:$B$1123, 'Códigos DANE Municipios'!$A$2:$A$1123, "No encontrado")</f>
        <v>50370</v>
      </c>
      <c r="B1765" t="str">
        <f>IFERROR(VLOOKUP(D1765,APOYO!K:L,2,FALSE),A1765)</f>
        <v>50370</v>
      </c>
      <c r="C1765" t="s">
        <v>1388</v>
      </c>
      <c r="D1765" t="str">
        <f>IFERROR(VLOOKUP(C1765,APOYO!J:K,2,FALSE),C1765)</f>
        <v>URIBE</v>
      </c>
      <c r="E1765">
        <v>2015</v>
      </c>
    </row>
    <row r="1766" spans="1:5" hidden="1" x14ac:dyDescent="0.25">
      <c r="A1766" t="str">
        <f>_xlfn.XLOOKUP(C1766, 'Códigos DANE Municipios'!$B$2:$B$1123, 'Códigos DANE Municipios'!$A$2:$A$1123, "No encontrado")</f>
        <v>19397</v>
      </c>
      <c r="B1766" t="str">
        <f>IFERROR(VLOOKUP(D1766,APOYO!K:L,2,FALSE),A1766)</f>
        <v>19397</v>
      </c>
      <c r="C1766" t="s">
        <v>761</v>
      </c>
      <c r="D1766" t="str">
        <f>IFERROR(VLOOKUP(C1766,APOYO!J:K,2,FALSE),C1766)</f>
        <v>LA VEGA</v>
      </c>
      <c r="E1766">
        <v>2015</v>
      </c>
    </row>
    <row r="1767" spans="1:5" hidden="1" x14ac:dyDescent="0.25">
      <c r="A1767" t="str">
        <f>_xlfn.XLOOKUP(C1767, 'Códigos DANE Municipios'!$B$2:$B$1123, 'Códigos DANE Municipios'!$A$2:$A$1123, "No encontrado")</f>
        <v>15401</v>
      </c>
      <c r="B1767" t="str">
        <f>IFERROR(VLOOKUP(D1767,APOYO!K:L,2,FALSE),A1767)</f>
        <v>15401</v>
      </c>
      <c r="C1767" t="s">
        <v>494</v>
      </c>
      <c r="D1767" t="str">
        <f>IFERROR(VLOOKUP(C1767,APOYO!J:K,2,FALSE),C1767)</f>
        <v>LA VICTORIA</v>
      </c>
      <c r="E1767">
        <v>2015</v>
      </c>
    </row>
    <row r="1768" spans="1:5" hidden="1" x14ac:dyDescent="0.25">
      <c r="A1768" t="str">
        <f>_xlfn.XLOOKUP(C1768, 'Códigos DANE Municipios'!$B$2:$B$1123, 'Códigos DANE Municipios'!$A$2:$A$1123, "No encontrado")</f>
        <v>66400</v>
      </c>
      <c r="B1768" t="str">
        <f>IFERROR(VLOOKUP(D1768,APOYO!K:L,2,FALSE),A1768)</f>
        <v>66400</v>
      </c>
      <c r="C1768" t="s">
        <v>1641</v>
      </c>
      <c r="D1768" t="str">
        <f>IFERROR(VLOOKUP(C1768,APOYO!J:K,2,FALSE),C1768)</f>
        <v>LA VIRGINIA</v>
      </c>
      <c r="E1768">
        <v>2015</v>
      </c>
    </row>
    <row r="1769" spans="1:5" hidden="1" x14ac:dyDescent="0.25">
      <c r="A1769" t="str">
        <f>_xlfn.XLOOKUP(C1769, 'Códigos DANE Municipios'!$B$2:$B$1123, 'Códigos DANE Municipios'!$A$2:$A$1123, "No encontrado")</f>
        <v>68385</v>
      </c>
      <c r="B1769" t="str">
        <f>IFERROR(VLOOKUP(D1769,APOYO!K:L,2,FALSE),A1769)</f>
        <v>68385</v>
      </c>
      <c r="C1769" t="s">
        <v>1737</v>
      </c>
      <c r="D1769" t="str">
        <f>IFERROR(VLOOKUP(C1769,APOYO!J:K,2,FALSE),C1769)</f>
        <v>LANDÁZURI</v>
      </c>
      <c r="E1769">
        <v>2015</v>
      </c>
    </row>
    <row r="1770" spans="1:5" hidden="1" x14ac:dyDescent="0.25">
      <c r="A1770" t="str">
        <f>_xlfn.XLOOKUP(C1770, 'Códigos DANE Municipios'!$B$2:$B$1123, 'Códigos DANE Municipios'!$A$2:$A$1123, "No encontrado")</f>
        <v>68406</v>
      </c>
      <c r="B1770" t="str">
        <f>IFERROR(VLOOKUP(D1770,APOYO!K:L,2,FALSE),A1770)</f>
        <v>68406</v>
      </c>
      <c r="C1770" t="s">
        <v>1740</v>
      </c>
      <c r="D1770" t="str">
        <f>IFERROR(VLOOKUP(C1770,APOYO!J:K,2,FALSE),C1770)</f>
        <v>LEBRIJA</v>
      </c>
      <c r="E1770">
        <v>2015</v>
      </c>
    </row>
    <row r="1771" spans="1:5" hidden="1" x14ac:dyDescent="0.25">
      <c r="A1771" t="str">
        <f>_xlfn.XLOOKUP(C1771, 'Códigos DANE Municipios'!$B$2:$B$1123, 'Códigos DANE Municipios'!$A$2:$A$1123, "No encontrado")</f>
        <v>50400</v>
      </c>
      <c r="B1771" t="str">
        <f>IFERROR(VLOOKUP(D1771,APOYO!K:L,2,FALSE),A1771)</f>
        <v>50400</v>
      </c>
      <c r="C1771" t="s">
        <v>1390</v>
      </c>
      <c r="D1771" t="str">
        <f>IFERROR(VLOOKUP(C1771,APOYO!J:K,2,FALSE),C1771)</f>
        <v>LEJANÍAS</v>
      </c>
      <c r="E1771">
        <v>2015</v>
      </c>
    </row>
    <row r="1772" spans="1:5" hidden="1" x14ac:dyDescent="0.25">
      <c r="A1772" t="str">
        <f>_xlfn.XLOOKUP(C1772, 'Códigos DANE Municipios'!$B$2:$B$1123, 'Códigos DANE Municipios'!$A$2:$A$1123, "No encontrado")</f>
        <v>25407</v>
      </c>
      <c r="B1772" t="str">
        <f>IFERROR(VLOOKUP(D1772,APOYO!K:L,2,FALSE),A1772)</f>
        <v>25407</v>
      </c>
      <c r="C1772" t="s">
        <v>1017</v>
      </c>
      <c r="D1772" t="str">
        <f>IFERROR(VLOOKUP(C1772,APOYO!J:K,2,FALSE),C1772)</f>
        <v>LENGUAZAQUE</v>
      </c>
      <c r="E1772">
        <v>2015</v>
      </c>
    </row>
    <row r="1773" spans="1:5" hidden="1" x14ac:dyDescent="0.25">
      <c r="A1773" t="str">
        <f>_xlfn.XLOOKUP(C1773, 'Códigos DANE Municipios'!$B$2:$B$1123, 'Códigos DANE Municipios'!$A$2:$A$1123, "No encontrado")</f>
        <v>73408</v>
      </c>
      <c r="B1773" t="str">
        <f>IFERROR(VLOOKUP(D1773,APOYO!K:L,2,FALSE),A1773)</f>
        <v>73408</v>
      </c>
      <c r="C1773" t="s">
        <v>1911</v>
      </c>
      <c r="D1773" t="str">
        <f>IFERROR(VLOOKUP(C1773,APOYO!J:K,2,FALSE),C1773)</f>
        <v>LÉRIDA</v>
      </c>
      <c r="E1773">
        <v>2015</v>
      </c>
    </row>
    <row r="1774" spans="1:5" hidden="1" x14ac:dyDescent="0.25">
      <c r="A1774" t="str">
        <f>_xlfn.XLOOKUP(C1774, 'Códigos DANE Municipios'!$B$2:$B$1123, 'Códigos DANE Municipios'!$A$2:$A$1123, "No encontrado")</f>
        <v>91001</v>
      </c>
      <c r="B1774" t="str">
        <f>IFERROR(VLOOKUP(D1774,APOYO!K:L,2,FALSE),A1774)</f>
        <v>91001</v>
      </c>
      <c r="C1774" t="s">
        <v>2108</v>
      </c>
      <c r="D1774" t="str">
        <f>IFERROR(VLOOKUP(C1774,APOYO!J:K,2,FALSE),C1774)</f>
        <v>LETICIA</v>
      </c>
      <c r="E1774">
        <v>2015</v>
      </c>
    </row>
    <row r="1775" spans="1:5" hidden="1" x14ac:dyDescent="0.25">
      <c r="A1775" t="str">
        <f>_xlfn.XLOOKUP(C1775, 'Códigos DANE Municipios'!$B$2:$B$1123, 'Códigos DANE Municipios'!$A$2:$A$1123, "No encontrado")</f>
        <v>73411</v>
      </c>
      <c r="B1775" t="str">
        <f>IFERROR(VLOOKUP(D1775,APOYO!K:L,2,FALSE),A1775)</f>
        <v>73411</v>
      </c>
      <c r="C1775" t="s">
        <v>1913</v>
      </c>
      <c r="D1775" t="str">
        <f>IFERROR(VLOOKUP(C1775,APOYO!J:K,2,FALSE),C1775)</f>
        <v>LÍBANO</v>
      </c>
      <c r="E1775">
        <v>2015</v>
      </c>
    </row>
    <row r="1776" spans="1:5" hidden="1" x14ac:dyDescent="0.25">
      <c r="A1776" t="str">
        <f>_xlfn.XLOOKUP(C1776, 'Códigos DANE Municipios'!$B$2:$B$1123, 'Códigos DANE Municipios'!$A$2:$A$1123, "No encontrado")</f>
        <v>52411</v>
      </c>
      <c r="B1776" t="str">
        <f>IFERROR(VLOOKUP(D1776,APOYO!K:L,2,FALSE),A1776)</f>
        <v>52411</v>
      </c>
      <c r="C1776" t="s">
        <v>1475</v>
      </c>
      <c r="D1776" t="str">
        <f>IFERROR(VLOOKUP(C1776,APOYO!J:K,2,FALSE),C1776)</f>
        <v>LINARES</v>
      </c>
      <c r="E1776">
        <v>2015</v>
      </c>
    </row>
    <row r="1777" spans="1:5" hidden="1" x14ac:dyDescent="0.25">
      <c r="A1777" t="str">
        <f>_xlfn.XLOOKUP(C1777, 'Códigos DANE Municipios'!$B$2:$B$1123, 'Códigos DANE Municipios'!$A$2:$A$1123, "No encontrado")</f>
        <v>27413</v>
      </c>
      <c r="B1777" t="str">
        <f>IFERROR(VLOOKUP(D1777,APOYO!K:L,2,FALSE),A1777)</f>
        <v>27413</v>
      </c>
      <c r="C1777" t="s">
        <v>1174</v>
      </c>
      <c r="D1777" t="str">
        <f>IFERROR(VLOOKUP(C1777,APOYO!J:K,2,FALSE),C1777)</f>
        <v>LLORÓ</v>
      </c>
      <c r="E1777">
        <v>2015</v>
      </c>
    </row>
    <row r="1778" spans="1:5" hidden="1" x14ac:dyDescent="0.25">
      <c r="A1778" t="str">
        <f>_xlfn.XLOOKUP(C1778, 'Códigos DANE Municipios'!$B$2:$B$1123, 'Códigos DANE Municipios'!$A$2:$A$1123, "No encontrado")</f>
        <v>05411</v>
      </c>
      <c r="B1778" t="str">
        <f>IFERROR(VLOOKUP(D1778,APOYO!K:L,2,FALSE),A1778)</f>
        <v>05411</v>
      </c>
      <c r="C1778" t="s">
        <v>144</v>
      </c>
      <c r="D1778" t="str">
        <f>IFERROR(VLOOKUP(C1778,APOYO!J:K,2,FALSE),C1778)</f>
        <v>LIBORINA</v>
      </c>
      <c r="E1778">
        <v>2015</v>
      </c>
    </row>
    <row r="1779" spans="1:5" hidden="1" x14ac:dyDescent="0.25">
      <c r="A1779" t="str">
        <f>_xlfn.XLOOKUP(C1779, 'Códigos DANE Municipios'!$B$2:$B$1123, 'Códigos DANE Municipios'!$A$2:$A$1123, "No encontrado")</f>
        <v>23417</v>
      </c>
      <c r="B1779" t="str">
        <f>IFERROR(VLOOKUP(D1779,APOYO!K:L,2,FALSE),A1779)</f>
        <v>23417</v>
      </c>
      <c r="C1779" t="s">
        <v>877</v>
      </c>
      <c r="D1779" t="str">
        <f>IFERROR(VLOOKUP(C1779,APOYO!J:K,2,FALSE),C1779)</f>
        <v>LORICA</v>
      </c>
      <c r="E1779">
        <v>2015</v>
      </c>
    </row>
    <row r="1780" spans="1:5" hidden="1" x14ac:dyDescent="0.25">
      <c r="A1780" t="str">
        <f>_xlfn.XLOOKUP(C1780, 'Códigos DANE Municipios'!$B$2:$B$1123, 'Códigos DANE Municipios'!$A$2:$A$1123, "No encontrado")</f>
        <v>52418</v>
      </c>
      <c r="B1780" t="str">
        <f>IFERROR(VLOOKUP(D1780,APOYO!K:L,2,FALSE),A1780)</f>
        <v>52418</v>
      </c>
      <c r="C1780" t="s">
        <v>1477</v>
      </c>
      <c r="D1780" t="str">
        <f>IFERROR(VLOOKUP(C1780,APOYO!J:K,2,FALSE),C1780)</f>
        <v>LOS ANDES</v>
      </c>
      <c r="E1780">
        <v>2015</v>
      </c>
    </row>
    <row r="1781" spans="1:5" hidden="1" x14ac:dyDescent="0.25">
      <c r="A1781" t="str">
        <f>_xlfn.XLOOKUP(C1781, 'Códigos DANE Municipios'!$B$2:$B$1123, 'Códigos DANE Municipios'!$A$2:$A$1123, "No encontrado")</f>
        <v>70418</v>
      </c>
      <c r="B1781" t="str">
        <f>IFERROR(VLOOKUP(D1781,APOYO!K:L,2,FALSE),A1781)</f>
        <v>70418</v>
      </c>
      <c r="C1781" t="s">
        <v>1836</v>
      </c>
      <c r="D1781" t="str">
        <f>IFERROR(VLOOKUP(C1781,APOYO!J:K,2,FALSE),C1781)</f>
        <v>LOS PALMITOS</v>
      </c>
      <c r="E1781">
        <v>2015</v>
      </c>
    </row>
    <row r="1782" spans="1:5" hidden="1" x14ac:dyDescent="0.25">
      <c r="A1782" t="str">
        <f>_xlfn.XLOOKUP(C1782, 'Códigos DANE Municipios'!$B$2:$B$1123, 'Códigos DANE Municipios'!$A$2:$A$1123, "No encontrado")</f>
        <v>54405</v>
      </c>
      <c r="B1782" t="str">
        <f>IFERROR(VLOOKUP(D1782,APOYO!K:L,2,FALSE),A1782)</f>
        <v>54405</v>
      </c>
      <c r="C1782" t="s">
        <v>1571</v>
      </c>
      <c r="D1782" t="str">
        <f>IFERROR(VLOOKUP(C1782,APOYO!J:K,2,FALSE),C1782)</f>
        <v>LOS PATIOS</v>
      </c>
      <c r="E1782">
        <v>2015</v>
      </c>
    </row>
    <row r="1783" spans="1:5" hidden="1" x14ac:dyDescent="0.25">
      <c r="A1783" t="str">
        <f>_xlfn.XLOOKUP(C1783, 'Códigos DANE Municipios'!$B$2:$B$1123, 'Códigos DANE Municipios'!$A$2:$A$1123, "No encontrado")</f>
        <v>68418</v>
      </c>
      <c r="B1783" t="str">
        <f>IFERROR(VLOOKUP(D1783,APOYO!K:L,2,FALSE),A1783)</f>
        <v>68418</v>
      </c>
      <c r="C1783" t="s">
        <v>1742</v>
      </c>
      <c r="D1783" t="str">
        <f>IFERROR(VLOOKUP(C1783,APOYO!J:K,2,FALSE),C1783)</f>
        <v>LOS SANTOS</v>
      </c>
      <c r="E1783">
        <v>2015</v>
      </c>
    </row>
    <row r="1784" spans="1:5" hidden="1" x14ac:dyDescent="0.25">
      <c r="A1784" t="str">
        <f>_xlfn.XLOOKUP(C1784, 'Códigos DANE Municipios'!$B$2:$B$1123, 'Códigos DANE Municipios'!$A$2:$A$1123, "No encontrado")</f>
        <v>08421</v>
      </c>
      <c r="B1784" t="str">
        <f>IFERROR(VLOOKUP(D1784,APOYO!K:L,2,FALSE),A1784)</f>
        <v>08421</v>
      </c>
      <c r="C1784" t="s">
        <v>274</v>
      </c>
      <c r="D1784" t="str">
        <f>IFERROR(VLOOKUP(C1784,APOYO!J:K,2,FALSE),C1784)</f>
        <v>LURUACO</v>
      </c>
      <c r="E1784">
        <v>2015</v>
      </c>
    </row>
    <row r="1785" spans="1:5" hidden="1" x14ac:dyDescent="0.25">
      <c r="A1785" t="str">
        <f>_xlfn.XLOOKUP(C1785, 'Códigos DANE Municipios'!$B$2:$B$1123, 'Códigos DANE Municipios'!$A$2:$A$1123, "No encontrado")</f>
        <v>05425</v>
      </c>
      <c r="B1785" t="str">
        <f>IFERROR(VLOOKUP(D1785,APOYO!K:L,2,FALSE),A1785)</f>
        <v>05425</v>
      </c>
      <c r="C1785" t="s">
        <v>146</v>
      </c>
      <c r="D1785" t="str">
        <f>IFERROR(VLOOKUP(C1785,APOYO!J:K,2,FALSE),C1785)</f>
        <v>MACEO</v>
      </c>
      <c r="E1785">
        <v>2015</v>
      </c>
    </row>
    <row r="1786" spans="1:5" hidden="1" x14ac:dyDescent="0.25">
      <c r="A1786" t="str">
        <f>_xlfn.XLOOKUP(C1786, 'Códigos DANE Municipios'!$B$2:$B$1123, 'Códigos DANE Municipios'!$A$2:$A$1123, "No encontrado")</f>
        <v>25426</v>
      </c>
      <c r="B1786" t="str">
        <f>IFERROR(VLOOKUP(D1786,APOYO!K:L,2,FALSE),A1786)</f>
        <v>25426</v>
      </c>
      <c r="C1786" t="s">
        <v>1019</v>
      </c>
      <c r="D1786" t="str">
        <f>IFERROR(VLOOKUP(C1786,APOYO!J:K,2,FALSE),C1786)</f>
        <v>MACHETÁ</v>
      </c>
      <c r="E1786">
        <v>2015</v>
      </c>
    </row>
    <row r="1787" spans="1:5" hidden="1" x14ac:dyDescent="0.25">
      <c r="A1787" t="str">
        <f>_xlfn.XLOOKUP(C1787, 'Códigos DANE Municipios'!$B$2:$B$1123, 'Códigos DANE Municipios'!$A$2:$A$1123, "No encontrado")</f>
        <v>25430</v>
      </c>
      <c r="B1787" t="str">
        <f>IFERROR(VLOOKUP(D1787,APOYO!K:L,2,FALSE),A1787)</f>
        <v>25430</v>
      </c>
      <c r="C1787" t="s">
        <v>1021</v>
      </c>
      <c r="D1787" t="str">
        <f>IFERROR(VLOOKUP(C1787,APOYO!J:K,2,FALSE),C1787)</f>
        <v>MADRID</v>
      </c>
      <c r="E1787">
        <v>2015</v>
      </c>
    </row>
    <row r="1788" spans="1:5" hidden="1" x14ac:dyDescent="0.25">
      <c r="A1788" t="str">
        <f>_xlfn.XLOOKUP(C1788, 'Códigos DANE Municipios'!$B$2:$B$1123, 'Códigos DANE Municipios'!$A$2:$A$1123, "No encontrado")</f>
        <v>13430</v>
      </c>
      <c r="B1788" t="str">
        <f>IFERROR(VLOOKUP(D1788,APOYO!K:L,2,FALSE),A1788)</f>
        <v>13430</v>
      </c>
      <c r="C1788" t="s">
        <v>341</v>
      </c>
      <c r="D1788" t="str">
        <f>IFERROR(VLOOKUP(C1788,APOYO!J:K,2,FALSE),C1788)</f>
        <v>MAGANGUÉ</v>
      </c>
      <c r="E1788">
        <v>2015</v>
      </c>
    </row>
    <row r="1789" spans="1:5" hidden="1" x14ac:dyDescent="0.25">
      <c r="A1789" t="str">
        <f>_xlfn.XLOOKUP(C1789, 'Códigos DANE Municipios'!$B$2:$B$1123, 'Códigos DANE Municipios'!$A$2:$A$1123, "No encontrado")</f>
        <v>13433</v>
      </c>
      <c r="B1789" t="str">
        <f>IFERROR(VLOOKUP(D1789,APOYO!K:L,2,FALSE),A1789)</f>
        <v>13433</v>
      </c>
      <c r="C1789" t="s">
        <v>343</v>
      </c>
      <c r="D1789" t="str">
        <f>IFERROR(VLOOKUP(C1789,APOYO!J:K,2,FALSE),C1789)</f>
        <v>MAHATES</v>
      </c>
      <c r="E1789">
        <v>2015</v>
      </c>
    </row>
    <row r="1790" spans="1:5" hidden="1" x14ac:dyDescent="0.25">
      <c r="A1790" t="str">
        <f>_xlfn.XLOOKUP(C1790, 'Códigos DANE Municipios'!$B$2:$B$1123, 'Códigos DANE Municipios'!$A$2:$A$1123, "No encontrado")</f>
        <v>44430</v>
      </c>
      <c r="B1790" t="str">
        <f>IFERROR(VLOOKUP(D1790,APOYO!K:L,2,FALSE),A1790)</f>
        <v>44430</v>
      </c>
      <c r="C1790" t="s">
        <v>1289</v>
      </c>
      <c r="D1790" t="str">
        <f>IFERROR(VLOOKUP(C1790,APOYO!J:K,2,FALSE),C1790)</f>
        <v>MAICAO</v>
      </c>
      <c r="E1790">
        <v>2015</v>
      </c>
    </row>
    <row r="1791" spans="1:5" hidden="1" x14ac:dyDescent="0.25">
      <c r="A1791" t="str">
        <f>_xlfn.XLOOKUP(C1791, 'Códigos DANE Municipios'!$B$2:$B$1123, 'Códigos DANE Municipios'!$A$2:$A$1123, "No encontrado")</f>
        <v>68432</v>
      </c>
      <c r="B1791" t="str">
        <f>IFERROR(VLOOKUP(D1791,APOYO!K:L,2,FALSE),A1791)</f>
        <v>68432</v>
      </c>
      <c r="C1791" t="s">
        <v>1746</v>
      </c>
      <c r="D1791" t="str">
        <f>IFERROR(VLOOKUP(C1791,APOYO!J:K,2,FALSE),C1791)</f>
        <v>MÁLAGA</v>
      </c>
      <c r="E1791">
        <v>2015</v>
      </c>
    </row>
    <row r="1792" spans="1:5" hidden="1" x14ac:dyDescent="0.25">
      <c r="A1792" t="str">
        <f>_xlfn.XLOOKUP(C1792, 'Códigos DANE Municipios'!$B$2:$B$1123, 'Códigos DANE Municipios'!$A$2:$A$1123, "No encontrado")</f>
        <v>08433</v>
      </c>
      <c r="B1792" t="str">
        <f>IFERROR(VLOOKUP(D1792,APOYO!K:L,2,FALSE),A1792)</f>
        <v>08433</v>
      </c>
      <c r="C1792" t="s">
        <v>276</v>
      </c>
      <c r="D1792" t="str">
        <f>IFERROR(VLOOKUP(C1792,APOYO!J:K,2,FALSE),C1792)</f>
        <v>MALAMBO</v>
      </c>
      <c r="E1792">
        <v>2015</v>
      </c>
    </row>
    <row r="1793" spans="1:5" hidden="1" x14ac:dyDescent="0.25">
      <c r="A1793" t="str">
        <f>_xlfn.XLOOKUP(C1793, 'Códigos DANE Municipios'!$B$2:$B$1123, 'Códigos DANE Municipios'!$A$2:$A$1123, "No encontrado")</f>
        <v>44560</v>
      </c>
      <c r="B1793" t="str">
        <f>IFERROR(VLOOKUP(D1793,APOYO!K:L,2,FALSE),A1793)</f>
        <v>44560</v>
      </c>
      <c r="C1793" t="s">
        <v>1291</v>
      </c>
      <c r="D1793" t="str">
        <f>IFERROR(VLOOKUP(C1793,APOYO!J:K,2,FALSE),C1793)</f>
        <v>MANAURE</v>
      </c>
      <c r="E1793">
        <v>2015</v>
      </c>
    </row>
    <row r="1794" spans="1:5" hidden="1" x14ac:dyDescent="0.25">
      <c r="A1794" t="str">
        <f>_xlfn.XLOOKUP(C1794, 'Códigos DANE Municipios'!$B$2:$B$1123, 'Códigos DANE Municipios'!$A$2:$A$1123, "No encontrado")</f>
        <v>20443</v>
      </c>
      <c r="B1794" t="str">
        <f>IFERROR(VLOOKUP(D1794,APOYO!K:L,2,FALSE),A1794)</f>
        <v>20443</v>
      </c>
      <c r="C1794" t="s">
        <v>838</v>
      </c>
      <c r="D1794" t="str">
        <f>IFERROR(VLOOKUP(C1794,APOYO!J:K,2,FALSE),C1794)</f>
        <v>MANAURE BALCÓN DEL CESAR</v>
      </c>
      <c r="E1794">
        <v>2015</v>
      </c>
    </row>
    <row r="1795" spans="1:5" hidden="1" x14ac:dyDescent="0.25">
      <c r="A1795" t="str">
        <f>_xlfn.XLOOKUP(C1795, 'Códigos DANE Municipios'!$B$2:$B$1123, 'Códigos DANE Municipios'!$A$2:$A$1123, "No encontrado")</f>
        <v>85139</v>
      </c>
      <c r="B1795" t="str">
        <f>IFERROR(VLOOKUP(D1795,APOYO!K:L,2,FALSE),A1795)</f>
        <v>85139</v>
      </c>
      <c r="C1795" t="s">
        <v>2058</v>
      </c>
      <c r="D1795" t="str">
        <f>IFERROR(VLOOKUP(C1795,APOYO!J:K,2,FALSE),C1795)</f>
        <v>MANÍ</v>
      </c>
      <c r="E1795">
        <v>2015</v>
      </c>
    </row>
    <row r="1796" spans="1:5" hidden="1" x14ac:dyDescent="0.25">
      <c r="A1796" t="str">
        <f>_xlfn.XLOOKUP(C1796, 'Códigos DANE Municipios'!$B$2:$B$1123, 'Códigos DANE Municipios'!$A$2:$A$1123, "No encontrado")</f>
        <v>17001</v>
      </c>
      <c r="B1796" t="str">
        <f>IFERROR(VLOOKUP(D1796,APOYO!K:L,2,FALSE),A1796)</f>
        <v>17001</v>
      </c>
      <c r="C1796" t="s">
        <v>644</v>
      </c>
      <c r="D1796" t="str">
        <f>IFERROR(VLOOKUP(C1796,APOYO!J:K,2,FALSE),C1796)</f>
        <v>MANIZALES</v>
      </c>
      <c r="E1796">
        <v>2015</v>
      </c>
    </row>
    <row r="1797" spans="1:5" hidden="1" x14ac:dyDescent="0.25">
      <c r="A1797" t="str">
        <f>_xlfn.XLOOKUP(C1797, 'Códigos DANE Municipios'!$B$2:$B$1123, 'Códigos DANE Municipios'!$A$2:$A$1123, "No encontrado")</f>
        <v>25436</v>
      </c>
      <c r="B1797" t="str">
        <f>IFERROR(VLOOKUP(D1797,APOYO!K:L,2,FALSE),A1797)</f>
        <v>25436</v>
      </c>
      <c r="C1797" t="s">
        <v>1023</v>
      </c>
      <c r="D1797" t="str">
        <f>IFERROR(VLOOKUP(C1797,APOYO!J:K,2,FALSE),C1797)</f>
        <v>MANTA</v>
      </c>
      <c r="E1797">
        <v>2015</v>
      </c>
    </row>
    <row r="1798" spans="1:5" hidden="1" x14ac:dyDescent="0.25">
      <c r="A1798" t="str">
        <f>_xlfn.XLOOKUP(C1798, 'Códigos DANE Municipios'!$B$2:$B$1123, 'Códigos DANE Municipios'!$A$2:$A$1123, "No encontrado")</f>
        <v>17433</v>
      </c>
      <c r="B1798" t="str">
        <f>IFERROR(VLOOKUP(D1798,APOYO!K:L,2,FALSE),A1798)</f>
        <v>17433</v>
      </c>
      <c r="C1798" t="s">
        <v>662</v>
      </c>
      <c r="D1798" t="str">
        <f>IFERROR(VLOOKUP(C1798,APOYO!J:K,2,FALSE),C1798)</f>
        <v>MANZANARES</v>
      </c>
      <c r="E1798">
        <v>2015</v>
      </c>
    </row>
    <row r="1799" spans="1:5" hidden="1" x14ac:dyDescent="0.25">
      <c r="A1799" t="str">
        <f>_xlfn.XLOOKUP(C1799, 'Códigos DANE Municipios'!$B$2:$B$1123, 'Códigos DANE Municipios'!$A$2:$A$1123, "No encontrado")</f>
        <v>50325</v>
      </c>
      <c r="B1799" t="str">
        <f>IFERROR(VLOOKUP(D1799,APOYO!K:L,2,FALSE),A1799)</f>
        <v>50325</v>
      </c>
      <c r="C1799" t="s">
        <v>1382</v>
      </c>
      <c r="D1799" t="str">
        <f>IFERROR(VLOOKUP(C1799,APOYO!J:K,2,FALSE),C1799)</f>
        <v>MAPIRIPÁN</v>
      </c>
      <c r="E1799">
        <v>2015</v>
      </c>
    </row>
    <row r="1800" spans="1:5" hidden="1" x14ac:dyDescent="0.25">
      <c r="A1800" t="str">
        <f>_xlfn.XLOOKUP(C1800, 'Códigos DANE Municipios'!$B$2:$B$1123, 'Códigos DANE Municipios'!$A$2:$A$1123, "No encontrado")</f>
        <v>05440</v>
      </c>
      <c r="B1800" t="str">
        <f>IFERROR(VLOOKUP(D1800,APOYO!K:L,2,FALSE),A1800)</f>
        <v>05440</v>
      </c>
      <c r="C1800" t="s">
        <v>148</v>
      </c>
      <c r="D1800" t="str">
        <f>IFERROR(VLOOKUP(C1800,APOYO!J:K,2,FALSE),C1800)</f>
        <v>MARINILLA</v>
      </c>
      <c r="E1800">
        <v>2015</v>
      </c>
    </row>
    <row r="1801" spans="1:5" hidden="1" x14ac:dyDescent="0.25">
      <c r="A1801" t="str">
        <f>_xlfn.XLOOKUP(C1801, 'Códigos DANE Municipios'!$B$2:$B$1123, 'Códigos DANE Municipios'!$A$2:$A$1123, "No encontrado")</f>
        <v>73443</v>
      </c>
      <c r="B1801" t="str">
        <f>IFERROR(VLOOKUP(D1801,APOYO!K:L,2,FALSE),A1801)</f>
        <v>73443</v>
      </c>
      <c r="C1801" t="s">
        <v>1915</v>
      </c>
      <c r="D1801" t="str">
        <f>IFERROR(VLOOKUP(C1801,APOYO!J:K,2,FALSE),C1801)</f>
        <v>SAN SEBASTIÁN DE MARIQUITA</v>
      </c>
      <c r="E1801">
        <v>2015</v>
      </c>
    </row>
    <row r="1802" spans="1:5" hidden="1" x14ac:dyDescent="0.25">
      <c r="A1802" t="str">
        <f>_xlfn.XLOOKUP(C1802, 'Códigos DANE Municipios'!$B$2:$B$1123, 'Códigos DANE Municipios'!$A$2:$A$1123, "No encontrado")</f>
        <v>17444</v>
      </c>
      <c r="B1802" t="str">
        <f>IFERROR(VLOOKUP(D1802,APOYO!K:L,2,FALSE),A1802)</f>
        <v>17444</v>
      </c>
      <c r="C1802" t="s">
        <v>666</v>
      </c>
      <c r="D1802" t="str">
        <f>IFERROR(VLOOKUP(C1802,APOYO!J:K,2,FALSE),C1802)</f>
        <v>MARQUETALIA</v>
      </c>
      <c r="E1802">
        <v>2015</v>
      </c>
    </row>
    <row r="1803" spans="1:5" hidden="1" x14ac:dyDescent="0.25">
      <c r="A1803" t="str">
        <f>_xlfn.XLOOKUP(C1803, 'Códigos DANE Municipios'!$B$2:$B$1123, 'Códigos DANE Municipios'!$A$2:$A$1123, "No encontrado")</f>
        <v>66440</v>
      </c>
      <c r="B1803" t="str">
        <f>IFERROR(VLOOKUP(D1803,APOYO!K:L,2,FALSE),A1803)</f>
        <v>66440</v>
      </c>
      <c r="C1803" t="s">
        <v>1643</v>
      </c>
      <c r="D1803" t="str">
        <f>IFERROR(VLOOKUP(C1803,APOYO!J:K,2,FALSE),C1803)</f>
        <v>MARSELLA</v>
      </c>
      <c r="E1803">
        <v>2015</v>
      </c>
    </row>
    <row r="1804" spans="1:5" hidden="1" x14ac:dyDescent="0.25">
      <c r="A1804" t="str">
        <f>_xlfn.XLOOKUP(C1804, 'Códigos DANE Municipios'!$B$2:$B$1123, 'Códigos DANE Municipios'!$A$2:$A$1123, "No encontrado")</f>
        <v>17446</v>
      </c>
      <c r="B1804" t="str">
        <f>IFERROR(VLOOKUP(D1804,APOYO!K:L,2,FALSE),A1804)</f>
        <v>17446</v>
      </c>
      <c r="C1804" t="s">
        <v>668</v>
      </c>
      <c r="D1804" t="str">
        <f>IFERROR(VLOOKUP(C1804,APOYO!J:K,2,FALSE),C1804)</f>
        <v>MARULANDA</v>
      </c>
      <c r="E1804">
        <v>2015</v>
      </c>
    </row>
    <row r="1805" spans="1:5" hidden="1" x14ac:dyDescent="0.25">
      <c r="A1805" t="str">
        <f>_xlfn.XLOOKUP(C1805, 'Códigos DANE Municipios'!$B$2:$B$1123, 'Códigos DANE Municipios'!$A$2:$A$1123, "No encontrado")</f>
        <v>68444</v>
      </c>
      <c r="B1805" t="str">
        <f>IFERROR(VLOOKUP(D1805,APOYO!K:L,2,FALSE),A1805)</f>
        <v>68444</v>
      </c>
      <c r="C1805" t="s">
        <v>1748</v>
      </c>
      <c r="D1805" t="str">
        <f>IFERROR(VLOOKUP(C1805,APOYO!J:K,2,FALSE),C1805)</f>
        <v>MATANZA</v>
      </c>
      <c r="E1805">
        <v>2015</v>
      </c>
    </row>
    <row r="1806" spans="1:5" hidden="1" x14ac:dyDescent="0.25">
      <c r="A1806" t="str">
        <f>_xlfn.XLOOKUP(C1806, 'Códigos DANE Municipios'!$B$2:$B$1123, 'Códigos DANE Municipios'!$A$2:$A$1123, "No encontrado")</f>
        <v>05001</v>
      </c>
      <c r="B1806" t="str">
        <f>IFERROR(VLOOKUP(D1806,APOYO!K:L,2,FALSE),A1806)</f>
        <v>05001</v>
      </c>
      <c r="C1806" t="s">
        <v>12</v>
      </c>
      <c r="D1806" t="str">
        <f>IFERROR(VLOOKUP(C1806,APOYO!J:K,2,FALSE),C1806)</f>
        <v>MEDELLÍN</v>
      </c>
      <c r="E1806">
        <v>2015</v>
      </c>
    </row>
    <row r="1807" spans="1:5" hidden="1" x14ac:dyDescent="0.25">
      <c r="A1807" t="str">
        <f>_xlfn.XLOOKUP(C1807, 'Códigos DANE Municipios'!$B$2:$B$1123, 'Códigos DANE Municipios'!$A$2:$A$1123, "No encontrado")</f>
        <v>25438</v>
      </c>
      <c r="B1807" t="str">
        <f>IFERROR(VLOOKUP(D1807,APOYO!K:L,2,FALSE),A1807)</f>
        <v>25438</v>
      </c>
      <c r="C1807" t="s">
        <v>1025</v>
      </c>
      <c r="D1807" t="str">
        <f>IFERROR(VLOOKUP(C1807,APOYO!J:K,2,FALSE),C1807)</f>
        <v>MEDINA</v>
      </c>
      <c r="E1807">
        <v>2015</v>
      </c>
    </row>
    <row r="1808" spans="1:5" hidden="1" x14ac:dyDescent="0.25">
      <c r="A1808" t="str">
        <f>_xlfn.XLOOKUP(C1808, 'Códigos DANE Municipios'!$B$2:$B$1123, 'Códigos DANE Municipios'!$A$2:$A$1123, "No encontrado")</f>
        <v>27430</v>
      </c>
      <c r="B1808" t="str">
        <f>IFERROR(VLOOKUP(D1808,APOYO!K:L,2,FALSE),A1808)</f>
        <v>27430</v>
      </c>
      <c r="C1808" t="s">
        <v>1178</v>
      </c>
      <c r="D1808" t="str">
        <f>IFERROR(VLOOKUP(C1808,APOYO!J:K,2,FALSE),C1808)</f>
        <v>MEDIO BAUDÓ</v>
      </c>
      <c r="E1808">
        <v>2015</v>
      </c>
    </row>
    <row r="1809" spans="1:5" hidden="1" x14ac:dyDescent="0.25">
      <c r="A1809" t="str">
        <f>_xlfn.XLOOKUP(C1809, 'Códigos DANE Municipios'!$B$2:$B$1123, 'Códigos DANE Municipios'!$A$2:$A$1123, "No encontrado")</f>
        <v>73449</v>
      </c>
      <c r="B1809" t="str">
        <f>IFERROR(VLOOKUP(D1809,APOYO!K:L,2,FALSE),A1809)</f>
        <v>73449</v>
      </c>
      <c r="C1809" t="s">
        <v>1917</v>
      </c>
      <c r="D1809" t="str">
        <f>IFERROR(VLOOKUP(C1809,APOYO!J:K,2,FALSE),C1809)</f>
        <v>MELGAR</v>
      </c>
      <c r="E1809">
        <v>2015</v>
      </c>
    </row>
    <row r="1810" spans="1:5" hidden="1" x14ac:dyDescent="0.25">
      <c r="A1810" t="str">
        <f>_xlfn.XLOOKUP(C1810, 'Códigos DANE Municipios'!$B$2:$B$1123, 'Códigos DANE Municipios'!$A$2:$A$1123, "No encontrado")</f>
        <v>50330</v>
      </c>
      <c r="B1810" t="str">
        <f>IFERROR(VLOOKUP(D1810,APOYO!K:L,2,FALSE),A1810)</f>
        <v>50330</v>
      </c>
      <c r="C1810" t="s">
        <v>1384</v>
      </c>
      <c r="D1810" t="str">
        <f>IFERROR(VLOOKUP(C1810,APOYO!J:K,2,FALSE),C1810)</f>
        <v>MESETAS</v>
      </c>
      <c r="E1810">
        <v>2015</v>
      </c>
    </row>
    <row r="1811" spans="1:5" hidden="1" x14ac:dyDescent="0.25">
      <c r="A1811" t="str">
        <f>_xlfn.XLOOKUP(C1811, 'Códigos DANE Municipios'!$B$2:$B$1123, 'Códigos DANE Municipios'!$A$2:$A$1123, "No encontrado")</f>
        <v>15455</v>
      </c>
      <c r="B1811" t="str">
        <f>IFERROR(VLOOKUP(D1811,APOYO!K:L,2,FALSE),A1811)</f>
        <v>15455</v>
      </c>
      <c r="C1811" t="s">
        <v>504</v>
      </c>
      <c r="D1811" t="str">
        <f>IFERROR(VLOOKUP(C1811,APOYO!J:K,2,FALSE),C1811)</f>
        <v>MIRAFLORES</v>
      </c>
      <c r="E1811">
        <v>2015</v>
      </c>
    </row>
    <row r="1812" spans="1:5" hidden="1" x14ac:dyDescent="0.25">
      <c r="A1812" t="str">
        <f>_xlfn.XLOOKUP(C1812, 'Códigos DANE Municipios'!$B$2:$B$1123, 'Códigos DANE Municipios'!$A$2:$A$1123, "No encontrado")</f>
        <v>19455</v>
      </c>
      <c r="B1812" t="str">
        <f>IFERROR(VLOOKUP(D1812,APOYO!K:L,2,FALSE),A1812)</f>
        <v>19455</v>
      </c>
      <c r="C1812" t="s">
        <v>767</v>
      </c>
      <c r="D1812" t="str">
        <f>IFERROR(VLOOKUP(C1812,APOYO!J:K,2,FALSE),C1812)</f>
        <v>MIRANDA</v>
      </c>
      <c r="E1812">
        <v>2015</v>
      </c>
    </row>
    <row r="1813" spans="1:5" hidden="1" x14ac:dyDescent="0.25">
      <c r="A1813" t="str">
        <f>_xlfn.XLOOKUP(C1813, 'Códigos DANE Municipios'!$B$2:$B$1123, 'Códigos DANE Municipios'!$A$2:$A$1123, "No encontrado")</f>
        <v>66456</v>
      </c>
      <c r="B1813" t="str">
        <f>IFERROR(VLOOKUP(D1813,APOYO!K:L,2,FALSE),A1813)</f>
        <v>66456</v>
      </c>
      <c r="C1813" t="s">
        <v>1645</v>
      </c>
      <c r="D1813" t="str">
        <f>IFERROR(VLOOKUP(C1813,APOYO!J:K,2,FALSE),C1813)</f>
        <v>MISTRATÓ</v>
      </c>
      <c r="E1813">
        <v>2015</v>
      </c>
    </row>
    <row r="1814" spans="1:5" hidden="1" x14ac:dyDescent="0.25">
      <c r="A1814" t="str">
        <f>_xlfn.XLOOKUP(C1814, 'Códigos DANE Municipios'!$B$2:$B$1123, 'Códigos DANE Municipios'!$A$2:$A$1123, "No encontrado")</f>
        <v>97001</v>
      </c>
      <c r="B1814" t="str">
        <f>IFERROR(VLOOKUP(D1814,APOYO!K:L,2,FALSE),A1814)</f>
        <v>97001</v>
      </c>
      <c r="C1814" t="s">
        <v>2151</v>
      </c>
      <c r="D1814" t="str">
        <f>IFERROR(VLOOKUP(C1814,APOYO!J:K,2,FALSE),C1814)</f>
        <v>MITÚ</v>
      </c>
      <c r="E1814">
        <v>2015</v>
      </c>
    </row>
    <row r="1815" spans="1:5" hidden="1" x14ac:dyDescent="0.25">
      <c r="A1815" t="str">
        <f>_xlfn.XLOOKUP(C1815, 'Códigos DANE Municipios'!$B$2:$B$1123, 'Códigos DANE Municipios'!$A$2:$A$1123, "No encontrado")</f>
        <v>86001</v>
      </c>
      <c r="B1815" t="str">
        <f>IFERROR(VLOOKUP(D1815,APOYO!K:L,2,FALSE),A1815)</f>
        <v>86001</v>
      </c>
      <c r="C1815" t="s">
        <v>2084</v>
      </c>
      <c r="D1815" t="str">
        <f>IFERROR(VLOOKUP(C1815,APOYO!J:K,2,FALSE),C1815)</f>
        <v>MOCOA</v>
      </c>
      <c r="E1815">
        <v>2015</v>
      </c>
    </row>
    <row r="1816" spans="1:5" hidden="1" x14ac:dyDescent="0.25">
      <c r="A1816" t="str">
        <f>_xlfn.XLOOKUP(C1816, 'Códigos DANE Municipios'!$B$2:$B$1123, 'Códigos DANE Municipios'!$A$2:$A$1123, "No encontrado")</f>
        <v>68464</v>
      </c>
      <c r="B1816" t="str">
        <f>IFERROR(VLOOKUP(D1816,APOYO!K:L,2,FALSE),A1816)</f>
        <v>68464</v>
      </c>
      <c r="C1816" t="s">
        <v>1750</v>
      </c>
      <c r="D1816" t="str">
        <f>IFERROR(VLOOKUP(C1816,APOYO!J:K,2,FALSE),C1816)</f>
        <v>MOGOTES</v>
      </c>
      <c r="E1816">
        <v>2015</v>
      </c>
    </row>
    <row r="1817" spans="1:5" hidden="1" x14ac:dyDescent="0.25">
      <c r="A1817" t="str">
        <f>_xlfn.XLOOKUP(C1817, 'Códigos DANE Municipios'!$B$2:$B$1123, 'Códigos DANE Municipios'!$A$2:$A$1123, "No encontrado")</f>
        <v>13468</v>
      </c>
      <c r="B1817" t="str">
        <f>IFERROR(VLOOKUP(D1817,APOYO!K:L,2,FALSE),A1817)</f>
        <v>13468</v>
      </c>
      <c r="C1817" t="s">
        <v>351</v>
      </c>
      <c r="D1817" t="str">
        <f>IFERROR(VLOOKUP(C1817,APOYO!J:K,2,FALSE),C1817)</f>
        <v>MOMPÓS</v>
      </c>
      <c r="E1817">
        <v>2015</v>
      </c>
    </row>
    <row r="1818" spans="1:5" hidden="1" x14ac:dyDescent="0.25">
      <c r="A1818" t="str">
        <f>_xlfn.XLOOKUP(C1818, 'Códigos DANE Municipios'!$B$2:$B$1123, 'Códigos DANE Municipios'!$A$2:$A$1123, "No encontrado")</f>
        <v>15469</v>
      </c>
      <c r="B1818" t="str">
        <f>IFERROR(VLOOKUP(D1818,APOYO!K:L,2,FALSE),A1818)</f>
        <v>15469</v>
      </c>
      <c r="C1818" t="s">
        <v>510</v>
      </c>
      <c r="D1818" t="str">
        <f>IFERROR(VLOOKUP(C1818,APOYO!J:K,2,FALSE),C1818)</f>
        <v>MONIQUIRÁ</v>
      </c>
      <c r="E1818">
        <v>2015</v>
      </c>
    </row>
    <row r="1819" spans="1:5" hidden="1" x14ac:dyDescent="0.25">
      <c r="A1819" t="str">
        <f>_xlfn.XLOOKUP(C1819, 'Códigos DANE Municipios'!$B$2:$B$1123, 'Códigos DANE Municipios'!$A$2:$A$1123, "No encontrado")</f>
        <v>23500</v>
      </c>
      <c r="B1819" t="str">
        <f>IFERROR(VLOOKUP(D1819,APOYO!K:L,2,FALSE),A1819)</f>
        <v>23500</v>
      </c>
      <c r="C1819" t="s">
        <v>885</v>
      </c>
      <c r="D1819" t="str">
        <f>IFERROR(VLOOKUP(C1819,APOYO!J:K,2,FALSE),C1819)</f>
        <v>MOÑITOS</v>
      </c>
      <c r="E1819">
        <v>2015</v>
      </c>
    </row>
    <row r="1820" spans="1:5" hidden="1" x14ac:dyDescent="0.25">
      <c r="A1820" t="str">
        <f>_xlfn.XLOOKUP(C1820, 'Códigos DANE Municipios'!$B$2:$B$1123, 'Códigos DANE Municipios'!$A$2:$A$1123, "No encontrado")</f>
        <v>05467</v>
      </c>
      <c r="B1820" t="str">
        <f>IFERROR(VLOOKUP(D1820,APOYO!K:L,2,FALSE),A1820)</f>
        <v>05467</v>
      </c>
      <c r="C1820" t="s">
        <v>150</v>
      </c>
      <c r="D1820" t="str">
        <f>IFERROR(VLOOKUP(C1820,APOYO!J:K,2,FALSE),C1820)</f>
        <v>MONTEBELLO</v>
      </c>
      <c r="E1820">
        <v>2015</v>
      </c>
    </row>
    <row r="1821" spans="1:5" hidden="1" x14ac:dyDescent="0.25">
      <c r="A1821" t="str">
        <f>_xlfn.XLOOKUP(C1821, 'Códigos DANE Municipios'!$B$2:$B$1123, 'Códigos DANE Municipios'!$A$2:$A$1123, "No encontrado")</f>
        <v>23466</v>
      </c>
      <c r="B1821" t="str">
        <f>IFERROR(VLOOKUP(D1821,APOYO!K:L,2,FALSE),A1821)</f>
        <v>23466</v>
      </c>
      <c r="C1821" t="s">
        <v>883</v>
      </c>
      <c r="D1821" t="str">
        <f>IFERROR(VLOOKUP(C1821,APOYO!J:K,2,FALSE),C1821)</f>
        <v>MONTELÍBANO</v>
      </c>
      <c r="E1821">
        <v>2015</v>
      </c>
    </row>
    <row r="1822" spans="1:5" hidden="1" x14ac:dyDescent="0.25">
      <c r="A1822" t="str">
        <f>_xlfn.XLOOKUP(C1822, 'Códigos DANE Municipios'!$B$2:$B$1123, 'Códigos DANE Municipios'!$A$2:$A$1123, "No encontrado")</f>
        <v>63470</v>
      </c>
      <c r="B1822" t="str">
        <f>IFERROR(VLOOKUP(D1822,APOYO!K:L,2,FALSE),A1822)</f>
        <v>63470</v>
      </c>
      <c r="C1822" t="s">
        <v>1620</v>
      </c>
      <c r="D1822" t="str">
        <f>IFERROR(VLOOKUP(C1822,APOYO!J:K,2,FALSE),C1822)</f>
        <v>MONTENEGRO</v>
      </c>
      <c r="E1822">
        <v>2015</v>
      </c>
    </row>
    <row r="1823" spans="1:5" hidden="1" x14ac:dyDescent="0.25">
      <c r="A1823" t="str">
        <f>_xlfn.XLOOKUP(C1823, 'Códigos DANE Municipios'!$B$2:$B$1123, 'Códigos DANE Municipios'!$A$2:$A$1123, "No encontrado")</f>
        <v>23001</v>
      </c>
      <c r="B1823" t="str">
        <f>IFERROR(VLOOKUP(D1823,APOYO!K:L,2,FALSE),A1823)</f>
        <v>23001</v>
      </c>
      <c r="C1823" t="s">
        <v>858</v>
      </c>
      <c r="D1823" t="str">
        <f>IFERROR(VLOOKUP(C1823,APOYO!J:K,2,FALSE),C1823)</f>
        <v>MONTERÍA</v>
      </c>
      <c r="E1823">
        <v>2015</v>
      </c>
    </row>
    <row r="1824" spans="1:5" hidden="1" x14ac:dyDescent="0.25">
      <c r="A1824" t="str">
        <f>_xlfn.XLOOKUP(C1824, 'Códigos DANE Municipios'!$B$2:$B$1123, 'Códigos DANE Municipios'!$A$2:$A$1123, "No encontrado")</f>
        <v>85162</v>
      </c>
      <c r="B1824" t="str">
        <f>IFERROR(VLOOKUP(D1824,APOYO!K:L,2,FALSE),A1824)</f>
        <v>85162</v>
      </c>
      <c r="C1824" t="s">
        <v>2060</v>
      </c>
      <c r="D1824" t="str">
        <f>IFERROR(VLOOKUP(C1824,APOYO!J:K,2,FALSE),C1824)</f>
        <v>MONTERREY</v>
      </c>
      <c r="E1824">
        <v>2015</v>
      </c>
    </row>
    <row r="1825" spans="1:5" hidden="1" x14ac:dyDescent="0.25">
      <c r="A1825" t="str">
        <f>_xlfn.XLOOKUP(C1825, 'Códigos DANE Municipios'!$B$2:$B$1123, 'Códigos DANE Municipios'!$A$2:$A$1123, "No encontrado")</f>
        <v>13473</v>
      </c>
      <c r="B1825" t="str">
        <f>IFERROR(VLOOKUP(D1825,APOYO!K:L,2,FALSE),A1825)</f>
        <v>13473</v>
      </c>
      <c r="C1825" t="s">
        <v>353</v>
      </c>
      <c r="D1825" t="str">
        <f>IFERROR(VLOOKUP(C1825,APOYO!J:K,2,FALSE),C1825)</f>
        <v>MORALES</v>
      </c>
      <c r="E1825">
        <v>2015</v>
      </c>
    </row>
    <row r="1826" spans="1:5" hidden="1" x14ac:dyDescent="0.25">
      <c r="A1826" t="str">
        <f>_xlfn.XLOOKUP(C1826, 'Códigos DANE Municipios'!$B$2:$B$1123, 'Códigos DANE Municipios'!$A$2:$A$1123, "No encontrado")</f>
        <v>70473</v>
      </c>
      <c r="B1826" t="str">
        <f>IFERROR(VLOOKUP(D1826,APOYO!K:L,2,FALSE),A1826)</f>
        <v>70473</v>
      </c>
      <c r="C1826" t="s">
        <v>1840</v>
      </c>
      <c r="D1826" t="str">
        <f>IFERROR(VLOOKUP(C1826,APOYO!J:K,2,FALSE),C1826)</f>
        <v>MORROA</v>
      </c>
      <c r="E1826">
        <v>2015</v>
      </c>
    </row>
    <row r="1827" spans="1:5" hidden="1" x14ac:dyDescent="0.25">
      <c r="A1827" t="str">
        <f>_xlfn.XLOOKUP(C1827, 'Códigos DANE Municipios'!$B$2:$B$1123, 'Códigos DANE Municipios'!$A$2:$A$1123, "No encontrado")</f>
        <v>18479</v>
      </c>
      <c r="B1827" t="str">
        <f>IFERROR(VLOOKUP(D1827,APOYO!K:L,2,FALSE),A1827)</f>
        <v>18479</v>
      </c>
      <c r="C1827" t="s">
        <v>716</v>
      </c>
      <c r="D1827" t="str">
        <f>IFERROR(VLOOKUP(C1827,APOYO!J:K,2,FALSE),C1827)</f>
        <v>MORELIA</v>
      </c>
      <c r="E1827">
        <v>2015</v>
      </c>
    </row>
    <row r="1828" spans="1:5" hidden="1" x14ac:dyDescent="0.25">
      <c r="A1828" t="str">
        <f>_xlfn.XLOOKUP(C1828, 'Códigos DANE Municipios'!$B$2:$B$1123, 'Códigos DANE Municipios'!$A$2:$A$1123, "No encontrado")</f>
        <v>25473</v>
      </c>
      <c r="B1828" t="str">
        <f>IFERROR(VLOOKUP(D1828,APOYO!K:L,2,FALSE),A1828)</f>
        <v>25473</v>
      </c>
      <c r="C1828" t="s">
        <v>1027</v>
      </c>
      <c r="D1828" t="str">
        <f>IFERROR(VLOOKUP(C1828,APOYO!J:K,2,FALSE),C1828)</f>
        <v>MOSQUERA</v>
      </c>
      <c r="E1828">
        <v>2015</v>
      </c>
    </row>
    <row r="1829" spans="1:5" hidden="1" x14ac:dyDescent="0.25">
      <c r="A1829" t="str">
        <f>_xlfn.XLOOKUP(C1829, 'Códigos DANE Municipios'!$B$2:$B$1123, 'Códigos DANE Municipios'!$A$2:$A$1123, "No encontrado")</f>
        <v>73461</v>
      </c>
      <c r="B1829" t="str">
        <f>IFERROR(VLOOKUP(D1829,APOYO!K:L,2,FALSE),A1829)</f>
        <v>73461</v>
      </c>
      <c r="C1829" t="s">
        <v>1919</v>
      </c>
      <c r="D1829" t="str">
        <f>IFERROR(VLOOKUP(C1829,APOYO!J:K,2,FALSE),C1829)</f>
        <v>MURILLO</v>
      </c>
      <c r="E1829">
        <v>2015</v>
      </c>
    </row>
    <row r="1830" spans="1:5" hidden="1" x14ac:dyDescent="0.25">
      <c r="A1830" t="str">
        <f>_xlfn.XLOOKUP(C1830, 'Códigos DANE Municipios'!$B$2:$B$1123, 'Códigos DANE Municipios'!$A$2:$A$1123, "No encontrado")</f>
        <v>05480</v>
      </c>
      <c r="B1830" t="str">
        <f>IFERROR(VLOOKUP(D1830,APOYO!K:L,2,FALSE),A1830)</f>
        <v>05480</v>
      </c>
      <c r="C1830" t="s">
        <v>154</v>
      </c>
      <c r="D1830" t="str">
        <f>IFERROR(VLOOKUP(C1830,APOYO!J:K,2,FALSE),C1830)</f>
        <v>MUTATÁ</v>
      </c>
      <c r="E1830">
        <v>2015</v>
      </c>
    </row>
    <row r="1831" spans="1:5" hidden="1" x14ac:dyDescent="0.25">
      <c r="A1831" t="str">
        <f>_xlfn.XLOOKUP(C1831, 'Códigos DANE Municipios'!$B$2:$B$1123, 'Códigos DANE Municipios'!$A$2:$A$1123, "No encontrado")</f>
        <v>15480</v>
      </c>
      <c r="B1831" t="str">
        <f>IFERROR(VLOOKUP(D1831,APOYO!K:L,2,FALSE),A1831)</f>
        <v>15480</v>
      </c>
      <c r="C1831" t="s">
        <v>514</v>
      </c>
      <c r="D1831" t="str">
        <f>IFERROR(VLOOKUP(C1831,APOYO!J:K,2,FALSE),C1831)</f>
        <v>MUZO</v>
      </c>
      <c r="E1831">
        <v>2015</v>
      </c>
    </row>
    <row r="1832" spans="1:5" hidden="1" x14ac:dyDescent="0.25">
      <c r="A1832" t="str">
        <f>_xlfn.XLOOKUP(C1832, 'Códigos DANE Municipios'!$B$2:$B$1123, 'Códigos DANE Municipios'!$A$2:$A$1123, "No encontrado")</f>
        <v>05483</v>
      </c>
      <c r="B1832" t="str">
        <f>IFERROR(VLOOKUP(D1832,APOYO!K:L,2,FALSE),A1832)</f>
        <v>05483</v>
      </c>
      <c r="C1832" t="s">
        <v>156</v>
      </c>
      <c r="D1832" t="str">
        <f>IFERROR(VLOOKUP(C1832,APOYO!J:K,2,FALSE),C1832)</f>
        <v>NARIÑO</v>
      </c>
      <c r="E1832">
        <v>2015</v>
      </c>
    </row>
    <row r="1833" spans="1:5" hidden="1" x14ac:dyDescent="0.25">
      <c r="A1833" t="str">
        <f>_xlfn.XLOOKUP(C1833, 'Códigos DANE Municipios'!$B$2:$B$1123, 'Códigos DANE Municipios'!$A$2:$A$1123, "No encontrado")</f>
        <v>41483</v>
      </c>
      <c r="B1833" t="str">
        <f>IFERROR(VLOOKUP(D1833,APOYO!K:L,2,FALSE),A1833)</f>
        <v>41483</v>
      </c>
      <c r="C1833" t="s">
        <v>1236</v>
      </c>
      <c r="D1833" t="str">
        <f>IFERROR(VLOOKUP(C1833,APOYO!J:K,2,FALSE),C1833)</f>
        <v>NÁTAGA</v>
      </c>
      <c r="E1833">
        <v>2015</v>
      </c>
    </row>
    <row r="1834" spans="1:5" hidden="1" x14ac:dyDescent="0.25">
      <c r="A1834" t="str">
        <f>_xlfn.XLOOKUP(C1834, 'Códigos DANE Municipios'!$B$2:$B$1123, 'Códigos DANE Municipios'!$A$2:$A$1123, "No encontrado")</f>
        <v>73483</v>
      </c>
      <c r="B1834" t="str">
        <f>IFERROR(VLOOKUP(D1834,APOYO!K:L,2,FALSE),A1834)</f>
        <v>73483</v>
      </c>
      <c r="C1834" t="s">
        <v>1921</v>
      </c>
      <c r="D1834" t="str">
        <f>IFERROR(VLOOKUP(C1834,APOYO!J:K,2,FALSE),C1834)</f>
        <v>NATAGAIMA</v>
      </c>
      <c r="E1834">
        <v>2015</v>
      </c>
    </row>
    <row r="1835" spans="1:5" hidden="1" x14ac:dyDescent="0.25">
      <c r="A1835" t="str">
        <f>_xlfn.XLOOKUP(C1835, 'Códigos DANE Municipios'!$B$2:$B$1123, 'Códigos DANE Municipios'!$A$2:$A$1123, "No encontrado")</f>
        <v>05490</v>
      </c>
      <c r="B1835" t="str">
        <f>IFERROR(VLOOKUP(D1835,APOYO!K:L,2,FALSE),A1835)</f>
        <v>05490</v>
      </c>
      <c r="C1835" t="s">
        <v>158</v>
      </c>
      <c r="D1835" t="str">
        <f>IFERROR(VLOOKUP(C1835,APOYO!J:K,2,FALSE),C1835)</f>
        <v>NECOCLÍ</v>
      </c>
      <c r="E1835">
        <v>2015</v>
      </c>
    </row>
    <row r="1836" spans="1:5" hidden="1" x14ac:dyDescent="0.25">
      <c r="A1836" t="str">
        <f>_xlfn.XLOOKUP(C1836, 'Códigos DANE Municipios'!$B$2:$B$1123, 'Códigos DANE Municipios'!$A$2:$A$1123, "No encontrado")</f>
        <v>17486</v>
      </c>
      <c r="B1836" t="str">
        <f>IFERROR(VLOOKUP(D1836,APOYO!K:L,2,FALSE),A1836)</f>
        <v>17486</v>
      </c>
      <c r="C1836" t="s">
        <v>670</v>
      </c>
      <c r="D1836" t="str">
        <f>IFERROR(VLOOKUP(C1836,APOYO!J:K,2,FALSE),C1836)</f>
        <v>NEIRA</v>
      </c>
      <c r="E1836">
        <v>2015</v>
      </c>
    </row>
    <row r="1837" spans="1:5" hidden="1" x14ac:dyDescent="0.25">
      <c r="A1837" t="str">
        <f>_xlfn.XLOOKUP(C1837, 'Códigos DANE Municipios'!$B$2:$B$1123, 'Códigos DANE Municipios'!$A$2:$A$1123, "No encontrado")</f>
        <v>41001</v>
      </c>
      <c r="B1837" t="str">
        <f>IFERROR(VLOOKUP(D1837,APOYO!K:L,2,FALSE),A1837)</f>
        <v>41001</v>
      </c>
      <c r="C1837" t="s">
        <v>1201</v>
      </c>
      <c r="D1837" t="str">
        <f>IFERROR(VLOOKUP(C1837,APOYO!J:K,2,FALSE),C1837)</f>
        <v>NEIVA</v>
      </c>
      <c r="E1837">
        <v>2015</v>
      </c>
    </row>
    <row r="1838" spans="1:5" hidden="1" x14ac:dyDescent="0.25">
      <c r="A1838" t="str">
        <f>_xlfn.XLOOKUP(C1838, 'Códigos DANE Municipios'!$B$2:$B$1123, 'Códigos DANE Municipios'!$A$2:$A$1123, "No encontrado")</f>
        <v>25486</v>
      </c>
      <c r="B1838" t="str">
        <f>IFERROR(VLOOKUP(D1838,APOYO!K:L,2,FALSE),A1838)</f>
        <v>25486</v>
      </c>
      <c r="C1838" t="s">
        <v>1030</v>
      </c>
      <c r="D1838" t="str">
        <f>IFERROR(VLOOKUP(C1838,APOYO!J:K,2,FALSE),C1838)</f>
        <v>NEMOCÓN</v>
      </c>
      <c r="E1838">
        <v>2015</v>
      </c>
    </row>
    <row r="1839" spans="1:5" hidden="1" x14ac:dyDescent="0.25">
      <c r="A1839" t="str">
        <f>_xlfn.XLOOKUP(C1839, 'Códigos DANE Municipios'!$B$2:$B$1123, 'Códigos DANE Municipios'!$A$2:$A$1123, "No encontrado")</f>
        <v>25488</v>
      </c>
      <c r="B1839" t="str">
        <f>IFERROR(VLOOKUP(D1839,APOYO!K:L,2,FALSE),A1839)</f>
        <v>25488</v>
      </c>
      <c r="C1839" t="s">
        <v>1032</v>
      </c>
      <c r="D1839" t="str">
        <f>IFERROR(VLOOKUP(C1839,APOYO!J:K,2,FALSE),C1839)</f>
        <v>NILO</v>
      </c>
      <c r="E1839">
        <v>2015</v>
      </c>
    </row>
    <row r="1840" spans="1:5" hidden="1" x14ac:dyDescent="0.25">
      <c r="A1840" t="str">
        <f>_xlfn.XLOOKUP(C1840, 'Códigos DANE Municipios'!$B$2:$B$1123, 'Códigos DANE Municipios'!$A$2:$A$1123, "No encontrado")</f>
        <v>25489</v>
      </c>
      <c r="B1840" t="str">
        <f>IFERROR(VLOOKUP(D1840,APOYO!K:L,2,FALSE),A1840)</f>
        <v>25489</v>
      </c>
      <c r="C1840" t="s">
        <v>1034</v>
      </c>
      <c r="D1840" t="str">
        <f>IFERROR(VLOOKUP(C1840,APOYO!J:K,2,FALSE),C1840)</f>
        <v>NIMAIMA</v>
      </c>
      <c r="E1840">
        <v>2015</v>
      </c>
    </row>
    <row r="1841" spans="1:5" hidden="1" x14ac:dyDescent="0.25">
      <c r="A1841" t="str">
        <f>_xlfn.XLOOKUP(C1841, 'Códigos DANE Municipios'!$B$2:$B$1123, 'Códigos DANE Municipios'!$A$2:$A$1123, "No encontrado")</f>
        <v>15491</v>
      </c>
      <c r="B1841" t="str">
        <f>IFERROR(VLOOKUP(D1841,APOYO!K:L,2,FALSE),A1841)</f>
        <v>15491</v>
      </c>
      <c r="C1841" t="s">
        <v>516</v>
      </c>
      <c r="D1841" t="str">
        <f>IFERROR(VLOOKUP(C1841,APOYO!J:K,2,FALSE),C1841)</f>
        <v>NOBSA</v>
      </c>
      <c r="E1841">
        <v>2015</v>
      </c>
    </row>
    <row r="1842" spans="1:5" hidden="1" x14ac:dyDescent="0.25">
      <c r="A1842" t="str">
        <f>_xlfn.XLOOKUP(C1842, 'Códigos DANE Municipios'!$B$2:$B$1123, 'Códigos DANE Municipios'!$A$2:$A$1123, "No encontrado")</f>
        <v>25491</v>
      </c>
      <c r="B1842" t="str">
        <f>IFERROR(VLOOKUP(D1842,APOYO!K:L,2,FALSE),A1842)</f>
        <v>25491</v>
      </c>
      <c r="C1842" t="s">
        <v>1036</v>
      </c>
      <c r="D1842" t="str">
        <f>IFERROR(VLOOKUP(C1842,APOYO!J:K,2,FALSE),C1842)</f>
        <v>NOCAIMA</v>
      </c>
      <c r="E1842">
        <v>2015</v>
      </c>
    </row>
    <row r="1843" spans="1:5" hidden="1" x14ac:dyDescent="0.25">
      <c r="A1843" t="str">
        <f>_xlfn.XLOOKUP(C1843, 'Códigos DANE Municipios'!$B$2:$B$1123, 'Códigos DANE Municipios'!$A$2:$A$1123, "No encontrado")</f>
        <v>17495</v>
      </c>
      <c r="B1843" t="str">
        <f>IFERROR(VLOOKUP(D1843,APOYO!K:L,2,FALSE),A1843)</f>
        <v>17495</v>
      </c>
      <c r="C1843" t="s">
        <v>672</v>
      </c>
      <c r="D1843" t="str">
        <f>IFERROR(VLOOKUP(C1843,APOYO!J:K,2,FALSE),C1843)</f>
        <v>NORCASIA</v>
      </c>
      <c r="E1843">
        <v>2015</v>
      </c>
    </row>
    <row r="1844" spans="1:5" hidden="1" x14ac:dyDescent="0.25">
      <c r="A1844" t="str">
        <f>_xlfn.XLOOKUP(C1844, 'Códigos DANE Municipios'!$B$2:$B$1123, 'Códigos DANE Municipios'!$A$2:$A$1123, "No encontrado")</f>
        <v>15494</v>
      </c>
      <c r="B1844" t="str">
        <f>IFERROR(VLOOKUP(D1844,APOYO!K:L,2,FALSE),A1844)</f>
        <v>15494</v>
      </c>
      <c r="C1844" t="s">
        <v>518</v>
      </c>
      <c r="D1844" t="str">
        <f>IFERROR(VLOOKUP(C1844,APOYO!J:K,2,FALSE),C1844)</f>
        <v>NUEVO COLÓN</v>
      </c>
      <c r="E1844">
        <v>2015</v>
      </c>
    </row>
    <row r="1845" spans="1:5" hidden="1" x14ac:dyDescent="0.25">
      <c r="A1845" t="str">
        <f>_xlfn.XLOOKUP(C1845, 'Códigos DANE Municipios'!$B$2:$B$1123, 'Códigos DANE Municipios'!$A$2:$A$1123, "No encontrado")</f>
        <v>85225</v>
      </c>
      <c r="B1845" t="str">
        <f>IFERROR(VLOOKUP(D1845,APOYO!K:L,2,FALSE),A1845)</f>
        <v>85225</v>
      </c>
      <c r="C1845" t="s">
        <v>2062</v>
      </c>
      <c r="D1845" t="str">
        <f>IFERROR(VLOOKUP(C1845,APOYO!J:K,2,FALSE),C1845)</f>
        <v>NUNCHÍA</v>
      </c>
      <c r="E1845">
        <v>2015</v>
      </c>
    </row>
    <row r="1846" spans="1:5" hidden="1" x14ac:dyDescent="0.25">
      <c r="A1846" t="str">
        <f>_xlfn.XLOOKUP(C1846, 'Códigos DANE Municipios'!$B$2:$B$1123, 'Códigos DANE Municipios'!$A$2:$A$1123, "No encontrado")</f>
        <v>27495</v>
      </c>
      <c r="B1846" t="str">
        <f>IFERROR(VLOOKUP(D1846,APOYO!K:L,2,FALSE),A1846)</f>
        <v>27495</v>
      </c>
      <c r="C1846" t="s">
        <v>1184</v>
      </c>
      <c r="D1846" t="str">
        <f>IFERROR(VLOOKUP(C1846,APOYO!J:K,2,FALSE),C1846)</f>
        <v>NUQUÍ</v>
      </c>
      <c r="E1846">
        <v>2015</v>
      </c>
    </row>
    <row r="1847" spans="1:5" hidden="1" x14ac:dyDescent="0.25">
      <c r="A1847" t="str">
        <f>_xlfn.XLOOKUP(C1847, 'Códigos DANE Municipios'!$B$2:$B$1123, 'Códigos DANE Municipios'!$A$2:$A$1123, "No encontrado")</f>
        <v>76497</v>
      </c>
      <c r="B1847" t="str">
        <f>IFERROR(VLOOKUP(D1847,APOYO!K:L,2,FALSE),A1847)</f>
        <v>76497</v>
      </c>
      <c r="C1847" t="s">
        <v>2002</v>
      </c>
      <c r="D1847" t="str">
        <f>IFERROR(VLOOKUP(C1847,APOYO!J:K,2,FALSE),C1847)</f>
        <v>OBANDO</v>
      </c>
      <c r="E1847">
        <v>2015</v>
      </c>
    </row>
    <row r="1848" spans="1:5" hidden="1" x14ac:dyDescent="0.25">
      <c r="A1848" t="str">
        <f>_xlfn.XLOOKUP(C1848, 'Códigos DANE Municipios'!$B$2:$B$1123, 'Códigos DANE Municipios'!$A$2:$A$1123, "No encontrado")</f>
        <v>68498</v>
      </c>
      <c r="B1848" t="str">
        <f>IFERROR(VLOOKUP(D1848,APOYO!K:L,2,FALSE),A1848)</f>
        <v>68498</v>
      </c>
      <c r="C1848" t="s">
        <v>1754</v>
      </c>
      <c r="D1848" t="str">
        <f>IFERROR(VLOOKUP(C1848,APOYO!J:K,2,FALSE),C1848)</f>
        <v>OCAMONTE</v>
      </c>
      <c r="E1848">
        <v>2015</v>
      </c>
    </row>
    <row r="1849" spans="1:5" hidden="1" x14ac:dyDescent="0.25">
      <c r="A1849" t="str">
        <f>_xlfn.XLOOKUP(C1849, 'Códigos DANE Municipios'!$B$2:$B$1123, 'Códigos DANE Municipios'!$A$2:$A$1123, "No encontrado")</f>
        <v>54498</v>
      </c>
      <c r="B1849" t="str">
        <f>IFERROR(VLOOKUP(D1849,APOYO!K:L,2,FALSE),A1849)</f>
        <v>54498</v>
      </c>
      <c r="C1849" t="s">
        <v>1577</v>
      </c>
      <c r="D1849" t="str">
        <f>IFERROR(VLOOKUP(C1849,APOYO!J:K,2,FALSE),C1849)</f>
        <v>OCAÑA</v>
      </c>
      <c r="E1849">
        <v>2015</v>
      </c>
    </row>
    <row r="1850" spans="1:5" hidden="1" x14ac:dyDescent="0.25">
      <c r="A1850" t="str">
        <f>_xlfn.XLOOKUP(C1850, 'Códigos DANE Municipios'!$B$2:$B$1123, 'Códigos DANE Municipios'!$A$2:$A$1123, "No encontrado")</f>
        <v>68500</v>
      </c>
      <c r="B1850" t="str">
        <f>IFERROR(VLOOKUP(D1850,APOYO!K:L,2,FALSE),A1850)</f>
        <v>68500</v>
      </c>
      <c r="C1850" t="s">
        <v>1756</v>
      </c>
      <c r="D1850" t="str">
        <f>IFERROR(VLOOKUP(C1850,APOYO!J:K,2,FALSE),C1850)</f>
        <v>OIBA</v>
      </c>
      <c r="E1850">
        <v>2015</v>
      </c>
    </row>
    <row r="1851" spans="1:5" hidden="1" x14ac:dyDescent="0.25">
      <c r="A1851" t="str">
        <f>_xlfn.XLOOKUP(C1851, 'Códigos DANE Municipios'!$B$2:$B$1123, 'Códigos DANE Municipios'!$A$2:$A$1123, "No encontrado")</f>
        <v>05501</v>
      </c>
      <c r="B1851" t="str">
        <f>IFERROR(VLOOKUP(D1851,APOYO!K:L,2,FALSE),A1851)</f>
        <v>05501</v>
      </c>
      <c r="C1851" t="s">
        <v>162</v>
      </c>
      <c r="D1851" t="str">
        <f>IFERROR(VLOOKUP(C1851,APOYO!J:K,2,FALSE),C1851)</f>
        <v>OLAYA</v>
      </c>
      <c r="E1851">
        <v>2015</v>
      </c>
    </row>
    <row r="1852" spans="1:5" hidden="1" x14ac:dyDescent="0.25">
      <c r="A1852" t="str">
        <f>_xlfn.XLOOKUP(C1852, 'Códigos DANE Municipios'!$B$2:$B$1123, 'Códigos DANE Municipios'!$A$2:$A$1123, "No encontrado")</f>
        <v>68502</v>
      </c>
      <c r="B1852" t="str">
        <f>IFERROR(VLOOKUP(D1852,APOYO!K:L,2,FALSE),A1852)</f>
        <v>68502</v>
      </c>
      <c r="C1852" t="s">
        <v>1758</v>
      </c>
      <c r="D1852" t="str">
        <f>IFERROR(VLOOKUP(C1852,APOYO!J:K,2,FALSE),C1852)</f>
        <v>ONZAGA</v>
      </c>
      <c r="E1852">
        <v>2015</v>
      </c>
    </row>
    <row r="1853" spans="1:5" hidden="1" x14ac:dyDescent="0.25">
      <c r="A1853" t="str">
        <f>_xlfn.XLOOKUP(C1853, 'Códigos DANE Municipios'!$B$2:$B$1123, 'Códigos DANE Municipios'!$A$2:$A$1123, "No encontrado")</f>
        <v>41503</v>
      </c>
      <c r="B1853" t="str">
        <f>IFERROR(VLOOKUP(D1853,APOYO!K:L,2,FALSE),A1853)</f>
        <v>41503</v>
      </c>
      <c r="C1853" t="s">
        <v>1238</v>
      </c>
      <c r="D1853" t="str">
        <f>IFERROR(VLOOKUP(C1853,APOYO!J:K,2,FALSE),C1853)</f>
        <v>OPORAPA</v>
      </c>
      <c r="E1853">
        <v>2015</v>
      </c>
    </row>
    <row r="1854" spans="1:5" hidden="1" x14ac:dyDescent="0.25">
      <c r="A1854" t="str">
        <f>_xlfn.XLOOKUP(C1854, 'Códigos DANE Municipios'!$B$2:$B$1123, 'Códigos DANE Municipios'!$A$2:$A$1123, "No encontrado")</f>
        <v>86320</v>
      </c>
      <c r="B1854" t="str">
        <f>IFERROR(VLOOKUP(D1854,APOYO!K:L,2,FALSE),A1854)</f>
        <v>86320</v>
      </c>
      <c r="C1854" t="s">
        <v>2087</v>
      </c>
      <c r="D1854" t="str">
        <f>IFERROR(VLOOKUP(C1854,APOYO!J:K,2,FALSE),C1854)</f>
        <v>ORITO</v>
      </c>
      <c r="E1854">
        <v>2015</v>
      </c>
    </row>
    <row r="1855" spans="1:5" hidden="1" x14ac:dyDescent="0.25">
      <c r="A1855" t="str">
        <f>_xlfn.XLOOKUP(C1855, 'Códigos DANE Municipios'!$B$2:$B$1123, 'Códigos DANE Municipios'!$A$2:$A$1123, "No encontrado")</f>
        <v>85230</v>
      </c>
      <c r="B1855" t="str">
        <f>IFERROR(VLOOKUP(D1855,APOYO!K:L,2,FALSE),A1855)</f>
        <v>85230</v>
      </c>
      <c r="C1855" t="s">
        <v>2064</v>
      </c>
      <c r="D1855" t="str">
        <f>IFERROR(VLOOKUP(C1855,APOYO!J:K,2,FALSE),C1855)</f>
        <v>OROCUÉ</v>
      </c>
      <c r="E1855">
        <v>2015</v>
      </c>
    </row>
    <row r="1856" spans="1:5" hidden="1" x14ac:dyDescent="0.25">
      <c r="A1856" t="str">
        <f>_xlfn.XLOOKUP(C1856, 'Códigos DANE Municipios'!$B$2:$B$1123, 'Códigos DANE Municipios'!$A$2:$A$1123, "No encontrado")</f>
        <v>73504</v>
      </c>
      <c r="B1856" t="str">
        <f>IFERROR(VLOOKUP(D1856,APOYO!K:L,2,FALSE),A1856)</f>
        <v>73504</v>
      </c>
      <c r="C1856" t="s">
        <v>1923</v>
      </c>
      <c r="D1856" t="str">
        <f>IFERROR(VLOOKUP(C1856,APOYO!J:K,2,FALSE),C1856)</f>
        <v>ORTEGA</v>
      </c>
      <c r="E1856">
        <v>2015</v>
      </c>
    </row>
    <row r="1857" spans="1:5" hidden="1" x14ac:dyDescent="0.25">
      <c r="A1857" t="str">
        <f>_xlfn.XLOOKUP(C1857, 'Códigos DANE Municipios'!$B$2:$B$1123, 'Códigos DANE Municipios'!$A$2:$A$1123, "No encontrado")</f>
        <v>15507</v>
      </c>
      <c r="B1857" t="str">
        <f>IFERROR(VLOOKUP(D1857,APOYO!K:L,2,FALSE),A1857)</f>
        <v>15507</v>
      </c>
      <c r="C1857" t="s">
        <v>522</v>
      </c>
      <c r="D1857" t="str">
        <f>IFERROR(VLOOKUP(C1857,APOYO!J:K,2,FALSE),C1857)</f>
        <v>OTANCHE</v>
      </c>
      <c r="E1857">
        <v>2015</v>
      </c>
    </row>
    <row r="1858" spans="1:5" hidden="1" x14ac:dyDescent="0.25">
      <c r="A1858" t="str">
        <f>_xlfn.XLOOKUP(C1858, 'Códigos DANE Municipios'!$B$2:$B$1123, 'Códigos DANE Municipios'!$A$2:$A$1123, "No encontrado")</f>
        <v>70508</v>
      </c>
      <c r="B1858" t="str">
        <f>IFERROR(VLOOKUP(D1858,APOYO!K:L,2,FALSE),A1858)</f>
        <v>70508</v>
      </c>
      <c r="C1858" t="s">
        <v>1842</v>
      </c>
      <c r="D1858" t="str">
        <f>IFERROR(VLOOKUP(C1858,APOYO!J:K,2,FALSE),C1858)</f>
        <v>OVEJAS</v>
      </c>
      <c r="E1858">
        <v>2015</v>
      </c>
    </row>
    <row r="1859" spans="1:5" hidden="1" x14ac:dyDescent="0.25">
      <c r="A1859" t="str">
        <f>_xlfn.XLOOKUP(C1859, 'Códigos DANE Municipios'!$B$2:$B$1123, 'Códigos DANE Municipios'!$A$2:$A$1123, "No encontrado")</f>
        <v>25513</v>
      </c>
      <c r="B1859" t="str">
        <f>IFERROR(VLOOKUP(D1859,APOYO!K:L,2,FALSE),A1859)</f>
        <v>25513</v>
      </c>
      <c r="C1859" t="s">
        <v>1039</v>
      </c>
      <c r="D1859" t="str">
        <f>IFERROR(VLOOKUP(C1859,APOYO!J:K,2,FALSE),C1859)</f>
        <v>PACHO</v>
      </c>
      <c r="E1859">
        <v>2015</v>
      </c>
    </row>
    <row r="1860" spans="1:5" hidden="1" x14ac:dyDescent="0.25">
      <c r="A1860" t="str">
        <f>_xlfn.XLOOKUP(C1860, 'Códigos DANE Municipios'!$B$2:$B$1123, 'Códigos DANE Municipios'!$A$2:$A$1123, "No encontrado")</f>
        <v>17513</v>
      </c>
      <c r="B1860" t="str">
        <f>IFERROR(VLOOKUP(D1860,APOYO!K:L,2,FALSE),A1860)</f>
        <v>17513</v>
      </c>
      <c r="C1860" t="s">
        <v>674</v>
      </c>
      <c r="D1860" t="str">
        <f>IFERROR(VLOOKUP(C1860,APOYO!J:K,2,FALSE),C1860)</f>
        <v>PÁCORA</v>
      </c>
      <c r="E1860">
        <v>2015</v>
      </c>
    </row>
    <row r="1861" spans="1:5" hidden="1" x14ac:dyDescent="0.25">
      <c r="A1861" t="str">
        <f>_xlfn.XLOOKUP(C1861, 'Códigos DANE Municipios'!$B$2:$B$1123, 'Códigos DANE Municipios'!$A$2:$A$1123, "No encontrado")</f>
        <v>19513</v>
      </c>
      <c r="B1861" t="str">
        <f>IFERROR(VLOOKUP(D1861,APOYO!K:L,2,FALSE),A1861)</f>
        <v>19513</v>
      </c>
      <c r="C1861" t="s">
        <v>770</v>
      </c>
      <c r="D1861" t="str">
        <f>IFERROR(VLOOKUP(C1861,APOYO!J:K,2,FALSE),C1861)</f>
        <v>PADILLA</v>
      </c>
      <c r="E1861">
        <v>2015</v>
      </c>
    </row>
    <row r="1862" spans="1:5" hidden="1" x14ac:dyDescent="0.25">
      <c r="A1862" t="str">
        <f>_xlfn.XLOOKUP(C1862, 'Códigos DANE Municipios'!$B$2:$B$1123, 'Códigos DANE Municipios'!$A$2:$A$1123, "No encontrado")</f>
        <v>20517</v>
      </c>
      <c r="B1862" t="str">
        <f>IFERROR(VLOOKUP(D1862,APOYO!K:L,2,FALSE),A1862)</f>
        <v>20517</v>
      </c>
      <c r="C1862" t="s">
        <v>840</v>
      </c>
      <c r="D1862" t="str">
        <f>IFERROR(VLOOKUP(C1862,APOYO!J:K,2,FALSE),C1862)</f>
        <v>PAILITAS</v>
      </c>
      <c r="E1862">
        <v>2015</v>
      </c>
    </row>
    <row r="1863" spans="1:5" hidden="1" x14ac:dyDescent="0.25">
      <c r="A1863" t="str">
        <f>_xlfn.XLOOKUP(C1863, 'Códigos DANE Municipios'!$B$2:$B$1123, 'Códigos DANE Municipios'!$A$2:$A$1123, "No encontrado")</f>
        <v>15516</v>
      </c>
      <c r="B1863" t="str">
        <f>IFERROR(VLOOKUP(D1863,APOYO!K:L,2,FALSE),A1863)</f>
        <v>15516</v>
      </c>
      <c r="C1863" t="s">
        <v>528</v>
      </c>
      <c r="D1863" t="str">
        <f>IFERROR(VLOOKUP(C1863,APOYO!J:K,2,FALSE),C1863)</f>
        <v>PAIPA</v>
      </c>
      <c r="E1863">
        <v>2015</v>
      </c>
    </row>
    <row r="1864" spans="1:5" hidden="1" x14ac:dyDescent="0.25">
      <c r="A1864" t="str">
        <f>_xlfn.XLOOKUP(C1864, 'Códigos DANE Municipios'!$B$2:$B$1123, 'Códigos DANE Municipios'!$A$2:$A$1123, "No encontrado")</f>
        <v>41524</v>
      </c>
      <c r="B1864" t="str">
        <f>IFERROR(VLOOKUP(D1864,APOYO!K:L,2,FALSE),A1864)</f>
        <v>41524</v>
      </c>
      <c r="C1864" t="s">
        <v>1242</v>
      </c>
      <c r="D1864" t="str">
        <f>IFERROR(VLOOKUP(C1864,APOYO!J:K,2,FALSE),C1864)</f>
        <v>PALERMO</v>
      </c>
      <c r="E1864">
        <v>2015</v>
      </c>
    </row>
    <row r="1865" spans="1:5" hidden="1" x14ac:dyDescent="0.25">
      <c r="A1865" t="str">
        <f>_xlfn.XLOOKUP(C1865, 'Códigos DANE Municipios'!$B$2:$B$1123, 'Códigos DANE Municipios'!$A$2:$A$1123, "No encontrado")</f>
        <v>17524</v>
      </c>
      <c r="B1865" t="str">
        <f>IFERROR(VLOOKUP(D1865,APOYO!K:L,2,FALSE),A1865)</f>
        <v>17524</v>
      </c>
      <c r="C1865" t="s">
        <v>676</v>
      </c>
      <c r="D1865" t="str">
        <f>IFERROR(VLOOKUP(C1865,APOYO!J:K,2,FALSE),C1865)</f>
        <v>PALESTINA</v>
      </c>
      <c r="E1865">
        <v>2015</v>
      </c>
    </row>
    <row r="1866" spans="1:5" hidden="1" x14ac:dyDescent="0.25">
      <c r="A1866" t="str">
        <f>_xlfn.XLOOKUP(C1866, 'Códigos DANE Municipios'!$B$2:$B$1123, 'Códigos DANE Municipios'!$A$2:$A$1123, "No encontrado")</f>
        <v>08520</v>
      </c>
      <c r="B1866" t="str">
        <f>IFERROR(VLOOKUP(D1866,APOYO!K:L,2,FALSE),A1866)</f>
        <v>08520</v>
      </c>
      <c r="C1866" t="s">
        <v>280</v>
      </c>
      <c r="D1866" t="str">
        <f>IFERROR(VLOOKUP(C1866,APOYO!J:K,2,FALSE),C1866)</f>
        <v>PALMAR DE VARELA</v>
      </c>
      <c r="E1866">
        <v>2015</v>
      </c>
    </row>
    <row r="1867" spans="1:5" hidden="1" x14ac:dyDescent="0.25">
      <c r="A1867" t="str">
        <f>_xlfn.XLOOKUP(C1867, 'Códigos DANE Municipios'!$B$2:$B$1123, 'Códigos DANE Municipios'!$A$2:$A$1123, "No encontrado")</f>
        <v>68524</v>
      </c>
      <c r="B1867" t="str">
        <f>IFERROR(VLOOKUP(D1867,APOYO!K:L,2,FALSE),A1867)</f>
        <v>68524</v>
      </c>
      <c r="C1867" t="s">
        <v>1762</v>
      </c>
      <c r="D1867" t="str">
        <f>IFERROR(VLOOKUP(C1867,APOYO!J:K,2,FALSE),C1867)</f>
        <v>PALMAS DEL SOCORRO</v>
      </c>
      <c r="E1867">
        <v>2015</v>
      </c>
    </row>
    <row r="1868" spans="1:5" hidden="1" x14ac:dyDescent="0.25">
      <c r="A1868" t="str">
        <f>_xlfn.XLOOKUP(C1868, 'Códigos DANE Municipios'!$B$2:$B$1123, 'Códigos DANE Municipios'!$A$2:$A$1123, "No encontrado")</f>
        <v>76520</v>
      </c>
      <c r="B1868" t="str">
        <f>IFERROR(VLOOKUP(D1868,APOYO!K:L,2,FALSE),A1868)</f>
        <v>76520</v>
      </c>
      <c r="C1868" t="s">
        <v>2004</v>
      </c>
      <c r="D1868" t="str">
        <f>IFERROR(VLOOKUP(C1868,APOYO!J:K,2,FALSE),C1868)</f>
        <v>PALMIRA</v>
      </c>
      <c r="E1868">
        <v>2015</v>
      </c>
    </row>
    <row r="1869" spans="1:5" hidden="1" x14ac:dyDescent="0.25">
      <c r="A1869" t="str">
        <f>_xlfn.XLOOKUP(C1869, 'Códigos DANE Municipios'!$B$2:$B$1123, 'Códigos DANE Municipios'!$A$2:$A$1123, "No encontrado")</f>
        <v>73520</v>
      </c>
      <c r="B1869" t="str">
        <f>IFERROR(VLOOKUP(D1869,APOYO!K:L,2,FALSE),A1869)</f>
        <v>73520</v>
      </c>
      <c r="C1869" t="s">
        <v>1925</v>
      </c>
      <c r="D1869" t="str">
        <f>IFERROR(VLOOKUP(C1869,APOYO!J:K,2,FALSE),C1869)</f>
        <v>PALOCABILDO</v>
      </c>
      <c r="E1869">
        <v>2015</v>
      </c>
    </row>
    <row r="1870" spans="1:5" hidden="1" x14ac:dyDescent="0.25">
      <c r="A1870" t="str">
        <f>_xlfn.XLOOKUP(C1870, 'Códigos DANE Municipios'!$B$2:$B$1123, 'Códigos DANE Municipios'!$A$2:$A$1123, "No encontrado")</f>
        <v>54518</v>
      </c>
      <c r="B1870" t="str">
        <f>IFERROR(VLOOKUP(D1870,APOYO!K:L,2,FALSE),A1870)</f>
        <v>54518</v>
      </c>
      <c r="C1870" t="s">
        <v>1579</v>
      </c>
      <c r="D1870" t="str">
        <f>IFERROR(VLOOKUP(C1870,APOYO!J:K,2,FALSE),C1870)</f>
        <v>PAMPLONA</v>
      </c>
      <c r="E1870">
        <v>2015</v>
      </c>
    </row>
    <row r="1871" spans="1:5" hidden="1" x14ac:dyDescent="0.25">
      <c r="A1871" t="str">
        <f>_xlfn.XLOOKUP(C1871, 'Códigos DANE Municipios'!$B$2:$B$1123, 'Códigos DANE Municipios'!$A$2:$A$1123, "No encontrado")</f>
        <v>54520</v>
      </c>
      <c r="B1871" t="str">
        <f>IFERROR(VLOOKUP(D1871,APOYO!K:L,2,FALSE),A1871)</f>
        <v>54520</v>
      </c>
      <c r="C1871" t="s">
        <v>1581</v>
      </c>
      <c r="D1871" t="str">
        <f>IFERROR(VLOOKUP(C1871,APOYO!J:K,2,FALSE),C1871)</f>
        <v>PAMPLONITA</v>
      </c>
      <c r="E1871">
        <v>2015</v>
      </c>
    </row>
    <row r="1872" spans="1:5" hidden="1" x14ac:dyDescent="0.25">
      <c r="A1872" t="str">
        <f>_xlfn.XLOOKUP(C1872, 'Códigos DANE Municipios'!$B$2:$B$1123, 'Códigos DANE Municipios'!$A$2:$A$1123, "No encontrado")</f>
        <v>25524</v>
      </c>
      <c r="B1872" t="str">
        <f>IFERROR(VLOOKUP(D1872,APOYO!K:L,2,FALSE),A1872)</f>
        <v>25524</v>
      </c>
      <c r="C1872" t="s">
        <v>1043</v>
      </c>
      <c r="D1872" t="str">
        <f>IFERROR(VLOOKUP(C1872,APOYO!J:K,2,FALSE),C1872)</f>
        <v>PANDI</v>
      </c>
      <c r="E1872">
        <v>2015</v>
      </c>
    </row>
    <row r="1873" spans="1:5" hidden="1" x14ac:dyDescent="0.25">
      <c r="A1873" t="str">
        <f>_xlfn.XLOOKUP(C1873, 'Códigos DANE Municipios'!$B$2:$B$1123, 'Códigos DANE Municipios'!$A$2:$A$1123, "No encontrado")</f>
        <v>25530</v>
      </c>
      <c r="B1873" t="str">
        <f>IFERROR(VLOOKUP(D1873,APOYO!K:L,2,FALSE),A1873)</f>
        <v>25530</v>
      </c>
      <c r="C1873" t="s">
        <v>1045</v>
      </c>
      <c r="D1873" t="str">
        <f>IFERROR(VLOOKUP(C1873,APOYO!J:K,2,FALSE),C1873)</f>
        <v>PARATEBUENO</v>
      </c>
      <c r="E1873">
        <v>2015</v>
      </c>
    </row>
    <row r="1874" spans="1:5" hidden="1" x14ac:dyDescent="0.25">
      <c r="A1874" t="str">
        <f>_xlfn.XLOOKUP(C1874, 'Códigos DANE Municipios'!$B$2:$B$1123, 'Códigos DANE Municipios'!$A$2:$A$1123, "No encontrado")</f>
        <v>25535</v>
      </c>
      <c r="B1874" t="str">
        <f>IFERROR(VLOOKUP(D1874,APOYO!K:L,2,FALSE),A1874)</f>
        <v>25535</v>
      </c>
      <c r="C1874" t="s">
        <v>1047</v>
      </c>
      <c r="D1874" t="str">
        <f>IFERROR(VLOOKUP(C1874,APOYO!J:K,2,FALSE),C1874)</f>
        <v>PASCA</v>
      </c>
      <c r="E1874">
        <v>2015</v>
      </c>
    </row>
    <row r="1875" spans="1:5" hidden="1" x14ac:dyDescent="0.25">
      <c r="A1875" t="str">
        <f>_xlfn.XLOOKUP(C1875, 'Códigos DANE Municipios'!$B$2:$B$1123, 'Códigos DANE Municipios'!$A$2:$A$1123, "No encontrado")</f>
        <v>52001</v>
      </c>
      <c r="B1875" t="str">
        <f>IFERROR(VLOOKUP(D1875,APOYO!K:L,2,FALSE),A1875)</f>
        <v>52001</v>
      </c>
      <c r="C1875" t="s">
        <v>1412</v>
      </c>
      <c r="D1875" t="str">
        <f>IFERROR(VLOOKUP(C1875,APOYO!J:K,2,FALSE),C1875)</f>
        <v>PASTO</v>
      </c>
      <c r="E1875">
        <v>2015</v>
      </c>
    </row>
    <row r="1876" spans="1:5" hidden="1" x14ac:dyDescent="0.25">
      <c r="A1876" t="str">
        <f>_xlfn.XLOOKUP(C1876, 'Códigos DANE Municipios'!$B$2:$B$1123, 'Códigos DANE Municipios'!$A$2:$A$1123, "No encontrado")</f>
        <v>19532</v>
      </c>
      <c r="B1876" t="str">
        <f>IFERROR(VLOOKUP(D1876,APOYO!K:L,2,FALSE),A1876)</f>
        <v>19532</v>
      </c>
      <c r="C1876" t="s">
        <v>773</v>
      </c>
      <c r="D1876" t="str">
        <f>IFERROR(VLOOKUP(C1876,APOYO!J:K,2,FALSE),C1876)</f>
        <v>PATÍA</v>
      </c>
      <c r="E1876">
        <v>2015</v>
      </c>
    </row>
    <row r="1877" spans="1:5" hidden="1" x14ac:dyDescent="0.25">
      <c r="A1877" t="str">
        <f>_xlfn.XLOOKUP(C1877, 'Códigos DANE Municipios'!$B$2:$B$1123, 'Códigos DANE Municipios'!$A$2:$A$1123, "No encontrado")</f>
        <v>15531</v>
      </c>
      <c r="B1877" t="str">
        <f>IFERROR(VLOOKUP(D1877,APOYO!K:L,2,FALSE),A1877)</f>
        <v>15531</v>
      </c>
      <c r="C1877" t="s">
        <v>534</v>
      </c>
      <c r="D1877" t="str">
        <f>IFERROR(VLOOKUP(C1877,APOYO!J:K,2,FALSE),C1877)</f>
        <v>PAUNA</v>
      </c>
      <c r="E1877">
        <v>2015</v>
      </c>
    </row>
    <row r="1878" spans="1:5" hidden="1" x14ac:dyDescent="0.25">
      <c r="A1878" t="str">
        <f>_xlfn.XLOOKUP(C1878, 'Códigos DANE Municipios'!$B$2:$B$1123, 'Códigos DANE Municipios'!$A$2:$A$1123, "No encontrado")</f>
        <v>15533</v>
      </c>
      <c r="B1878" t="str">
        <f>IFERROR(VLOOKUP(D1878,APOYO!K:L,2,FALSE),A1878)</f>
        <v>15533</v>
      </c>
      <c r="C1878" t="s">
        <v>536</v>
      </c>
      <c r="D1878" t="str">
        <f>IFERROR(VLOOKUP(C1878,APOYO!J:K,2,FALSE),C1878)</f>
        <v>PAYA</v>
      </c>
      <c r="E1878">
        <v>2015</v>
      </c>
    </row>
    <row r="1879" spans="1:5" hidden="1" x14ac:dyDescent="0.25">
      <c r="A1879" t="str">
        <f>_xlfn.XLOOKUP(C1879, 'Códigos DANE Municipios'!$B$2:$B$1123, 'Códigos DANE Municipios'!$A$2:$A$1123, "No encontrado")</f>
        <v>85250</v>
      </c>
      <c r="B1879" t="str">
        <f>IFERROR(VLOOKUP(D1879,APOYO!K:L,2,FALSE),A1879)</f>
        <v>85250</v>
      </c>
      <c r="C1879" t="s">
        <v>2066</v>
      </c>
      <c r="D1879" t="str">
        <f>IFERROR(VLOOKUP(C1879,APOYO!J:K,2,FALSE),C1879)</f>
        <v>PAZ DE ARIPORO</v>
      </c>
      <c r="E1879">
        <v>2015</v>
      </c>
    </row>
    <row r="1880" spans="1:5" hidden="1" x14ac:dyDescent="0.25">
      <c r="A1880" t="str">
        <f>_xlfn.XLOOKUP(C1880, 'Códigos DANE Municipios'!$B$2:$B$1123, 'Códigos DANE Municipios'!$A$2:$A$1123, "No encontrado")</f>
        <v>15537</v>
      </c>
      <c r="B1880" t="str">
        <f>IFERROR(VLOOKUP(D1880,APOYO!K:L,2,FALSE),A1880)</f>
        <v>15537</v>
      </c>
      <c r="C1880" t="s">
        <v>538</v>
      </c>
      <c r="D1880" t="str">
        <f>IFERROR(VLOOKUP(C1880,APOYO!J:K,2,FALSE),C1880)</f>
        <v>PAZ DE RÍO</v>
      </c>
      <c r="E1880">
        <v>2015</v>
      </c>
    </row>
    <row r="1881" spans="1:5" hidden="1" x14ac:dyDescent="0.25">
      <c r="A1881" t="str">
        <f>_xlfn.XLOOKUP(C1881, 'Códigos DANE Municipios'!$B$2:$B$1123, 'Códigos DANE Municipios'!$A$2:$A$1123, "No encontrado")</f>
        <v>20550</v>
      </c>
      <c r="B1881" t="str">
        <f>IFERROR(VLOOKUP(D1881,APOYO!K:L,2,FALSE),A1881)</f>
        <v>20550</v>
      </c>
      <c r="C1881" t="s">
        <v>842</v>
      </c>
      <c r="D1881" t="str">
        <f>IFERROR(VLOOKUP(C1881,APOYO!J:K,2,FALSE),C1881)</f>
        <v>PELAYA</v>
      </c>
      <c r="E1881">
        <v>2015</v>
      </c>
    </row>
    <row r="1882" spans="1:5" hidden="1" x14ac:dyDescent="0.25">
      <c r="A1882" t="str">
        <f>_xlfn.XLOOKUP(C1882, 'Códigos DANE Municipios'!$B$2:$B$1123, 'Códigos DANE Municipios'!$A$2:$A$1123, "No encontrado")</f>
        <v>17541</v>
      </c>
      <c r="B1882" t="str">
        <f>IFERROR(VLOOKUP(D1882,APOYO!K:L,2,FALSE),A1882)</f>
        <v>17541</v>
      </c>
      <c r="C1882" t="s">
        <v>678</v>
      </c>
      <c r="D1882" t="str">
        <f>IFERROR(VLOOKUP(C1882,APOYO!J:K,2,FALSE),C1882)</f>
        <v>PENSILVANIA</v>
      </c>
      <c r="E1882">
        <v>2015</v>
      </c>
    </row>
    <row r="1883" spans="1:5" hidden="1" x14ac:dyDescent="0.25">
      <c r="A1883" t="str">
        <f>_xlfn.XLOOKUP(C1883, 'Códigos DANE Municipios'!$B$2:$B$1123, 'Códigos DANE Municipios'!$A$2:$A$1123, "No encontrado")</f>
        <v>05541</v>
      </c>
      <c r="B1883" t="str">
        <f>IFERROR(VLOOKUP(D1883,APOYO!K:L,2,FALSE),A1883)</f>
        <v>05541</v>
      </c>
      <c r="C1883" t="s">
        <v>164</v>
      </c>
      <c r="D1883" t="str">
        <f>IFERROR(VLOOKUP(C1883,APOYO!J:K,2,FALSE),C1883)</f>
        <v>PEÑOL</v>
      </c>
      <c r="E1883">
        <v>2015</v>
      </c>
    </row>
    <row r="1884" spans="1:5" hidden="1" x14ac:dyDescent="0.25">
      <c r="A1884" t="str">
        <f>_xlfn.XLOOKUP(C1884, 'Códigos DANE Municipios'!$B$2:$B$1123, 'Códigos DANE Municipios'!$A$2:$A$1123, "No encontrado")</f>
        <v>66001</v>
      </c>
      <c r="B1884" t="str">
        <f>IFERROR(VLOOKUP(D1884,APOYO!K:L,2,FALSE),A1884)</f>
        <v>66001</v>
      </c>
      <c r="C1884" t="s">
        <v>1628</v>
      </c>
      <c r="D1884" t="str">
        <f>IFERROR(VLOOKUP(C1884,APOYO!J:K,2,FALSE),C1884)</f>
        <v>PEREIRA</v>
      </c>
      <c r="E1884">
        <v>2015</v>
      </c>
    </row>
    <row r="1885" spans="1:5" hidden="1" x14ac:dyDescent="0.25">
      <c r="A1885" t="str">
        <f>_xlfn.XLOOKUP(C1885, 'Códigos DANE Municipios'!$B$2:$B$1123, 'Códigos DANE Municipios'!$A$2:$A$1123, "No encontrado")</f>
        <v>15542</v>
      </c>
      <c r="B1885" t="str">
        <f>IFERROR(VLOOKUP(D1885,APOYO!K:L,2,FALSE),A1885)</f>
        <v>15542</v>
      </c>
      <c r="C1885" t="s">
        <v>540</v>
      </c>
      <c r="D1885" t="str">
        <f>IFERROR(VLOOKUP(C1885,APOYO!J:K,2,FALSE),C1885)</f>
        <v>PESCA</v>
      </c>
      <c r="E1885">
        <v>2015</v>
      </c>
    </row>
    <row r="1886" spans="1:5" hidden="1" x14ac:dyDescent="0.25">
      <c r="A1886" t="str">
        <f>_xlfn.XLOOKUP(C1886, 'Códigos DANE Municipios'!$B$2:$B$1123, 'Códigos DANE Municipios'!$A$2:$A$1123, "No encontrado")</f>
        <v>68547</v>
      </c>
      <c r="B1886" t="str">
        <f>IFERROR(VLOOKUP(D1886,APOYO!K:L,2,FALSE),A1886)</f>
        <v>68547</v>
      </c>
      <c r="C1886" t="s">
        <v>1766</v>
      </c>
      <c r="D1886" t="str">
        <f>IFERROR(VLOOKUP(C1886,APOYO!J:K,2,FALSE),C1886)</f>
        <v>PIEDECUESTA</v>
      </c>
      <c r="E1886">
        <v>2015</v>
      </c>
    </row>
    <row r="1887" spans="1:5" hidden="1" x14ac:dyDescent="0.25">
      <c r="A1887" t="str">
        <f>_xlfn.XLOOKUP(C1887, 'Códigos DANE Municipios'!$B$2:$B$1123, 'Códigos DANE Municipios'!$A$2:$A$1123, "No encontrado")</f>
        <v>73547</v>
      </c>
      <c r="B1887" t="str">
        <f>IFERROR(VLOOKUP(D1887,APOYO!K:L,2,FALSE),A1887)</f>
        <v>73547</v>
      </c>
      <c r="C1887" t="s">
        <v>1927</v>
      </c>
      <c r="D1887" t="str">
        <f>IFERROR(VLOOKUP(C1887,APOYO!J:K,2,FALSE),C1887)</f>
        <v>PIEDRAS</v>
      </c>
      <c r="E1887">
        <v>2015</v>
      </c>
    </row>
    <row r="1888" spans="1:5" hidden="1" x14ac:dyDescent="0.25">
      <c r="A1888" t="str">
        <f>_xlfn.XLOOKUP(C1888, 'Códigos DANE Municipios'!$B$2:$B$1123, 'Códigos DANE Municipios'!$A$2:$A$1123, "No encontrado")</f>
        <v>19548</v>
      </c>
      <c r="B1888" t="str">
        <f>IFERROR(VLOOKUP(D1888,APOYO!K:L,2,FALSE),A1888)</f>
        <v>19548</v>
      </c>
      <c r="C1888" t="s">
        <v>777</v>
      </c>
      <c r="D1888" t="str">
        <f>IFERROR(VLOOKUP(C1888,APOYO!J:K,2,FALSE),C1888)</f>
        <v>PIENDAMÓ</v>
      </c>
      <c r="E1888">
        <v>2015</v>
      </c>
    </row>
    <row r="1889" spans="1:5" hidden="1" x14ac:dyDescent="0.25">
      <c r="A1889" t="str">
        <f>_xlfn.XLOOKUP(C1889, 'Códigos DANE Municipios'!$B$2:$B$1123, 'Códigos DANE Municipios'!$A$2:$A$1123, "No encontrado")</f>
        <v>63548</v>
      </c>
      <c r="B1889" t="str">
        <f>IFERROR(VLOOKUP(D1889,APOYO!K:L,2,FALSE),A1889)</f>
        <v>63548</v>
      </c>
      <c r="C1889" t="s">
        <v>1622</v>
      </c>
      <c r="D1889" t="str">
        <f>IFERROR(VLOOKUP(C1889,APOYO!J:K,2,FALSE),C1889)</f>
        <v>PIJAO</v>
      </c>
      <c r="E1889">
        <v>2015</v>
      </c>
    </row>
    <row r="1890" spans="1:5" hidden="1" x14ac:dyDescent="0.25">
      <c r="A1890" t="str">
        <f>_xlfn.XLOOKUP(C1890, 'Códigos DANE Municipios'!$B$2:$B$1123, 'Códigos DANE Municipios'!$A$2:$A$1123, "No encontrado")</f>
        <v>68549</v>
      </c>
      <c r="B1890" t="str">
        <f>IFERROR(VLOOKUP(D1890,APOYO!K:L,2,FALSE),A1890)</f>
        <v>68549</v>
      </c>
      <c r="C1890" t="s">
        <v>1768</v>
      </c>
      <c r="D1890" t="str">
        <f>IFERROR(VLOOKUP(C1890,APOYO!J:K,2,FALSE),C1890)</f>
        <v>PINCHOTE</v>
      </c>
      <c r="E1890">
        <v>2015</v>
      </c>
    </row>
    <row r="1891" spans="1:5" hidden="1" x14ac:dyDescent="0.25">
      <c r="A1891" t="str">
        <f>_xlfn.XLOOKUP(C1891, 'Códigos DANE Municipios'!$B$2:$B$1123, 'Códigos DANE Municipios'!$A$2:$A$1123, "No encontrado")</f>
        <v>08549</v>
      </c>
      <c r="B1891" t="str">
        <f>IFERROR(VLOOKUP(D1891,APOYO!K:L,2,FALSE),A1891)</f>
        <v>08549</v>
      </c>
      <c r="C1891" t="s">
        <v>282</v>
      </c>
      <c r="D1891" t="str">
        <f>IFERROR(VLOOKUP(C1891,APOYO!J:K,2,FALSE),C1891)</f>
        <v>PIOJÓ</v>
      </c>
      <c r="E1891">
        <v>2015</v>
      </c>
    </row>
    <row r="1892" spans="1:5" hidden="1" x14ac:dyDescent="0.25">
      <c r="A1892" t="str">
        <f>_xlfn.XLOOKUP(C1892, 'Códigos DANE Municipios'!$B$2:$B$1123, 'Códigos DANE Municipios'!$A$2:$A$1123, "No encontrado")</f>
        <v>41548</v>
      </c>
      <c r="B1892" t="str">
        <f>IFERROR(VLOOKUP(D1892,APOYO!K:L,2,FALSE),A1892)</f>
        <v>41548</v>
      </c>
      <c r="C1892" t="s">
        <v>1245</v>
      </c>
      <c r="D1892" t="str">
        <f>IFERROR(VLOOKUP(C1892,APOYO!J:K,2,FALSE),C1892)</f>
        <v>PITAL</v>
      </c>
      <c r="E1892">
        <v>2015</v>
      </c>
    </row>
    <row r="1893" spans="1:5" hidden="1" x14ac:dyDescent="0.25">
      <c r="A1893" t="str">
        <f>_xlfn.XLOOKUP(C1893, 'Códigos DANE Municipios'!$B$2:$B$1123, 'Códigos DANE Municipios'!$A$2:$A$1123, "No encontrado")</f>
        <v>41551</v>
      </c>
      <c r="B1893" t="str">
        <f>IFERROR(VLOOKUP(D1893,APOYO!K:L,2,FALSE),A1893)</f>
        <v>41551</v>
      </c>
      <c r="C1893" t="s">
        <v>1247</v>
      </c>
      <c r="D1893" t="str">
        <f>IFERROR(VLOOKUP(C1893,APOYO!J:K,2,FALSE),C1893)</f>
        <v>PITALITO</v>
      </c>
      <c r="E1893">
        <v>2015</v>
      </c>
    </row>
    <row r="1894" spans="1:5" hidden="1" x14ac:dyDescent="0.25">
      <c r="A1894" t="str">
        <f>_xlfn.XLOOKUP(C1894, 'Códigos DANE Municipios'!$B$2:$B$1123, 'Códigos DANE Municipios'!$A$2:$A$1123, "No encontrado")</f>
        <v>47551</v>
      </c>
      <c r="B1894" t="str">
        <f>IFERROR(VLOOKUP(D1894,APOYO!K:L,2,FALSE),A1894)</f>
        <v>47551</v>
      </c>
      <c r="C1894" t="s">
        <v>1331</v>
      </c>
      <c r="D1894" t="str">
        <f>IFERROR(VLOOKUP(C1894,APOYO!J:K,2,FALSE),C1894)</f>
        <v>PIVIJAY</v>
      </c>
      <c r="E1894">
        <v>2015</v>
      </c>
    </row>
    <row r="1895" spans="1:5" hidden="1" x14ac:dyDescent="0.25">
      <c r="A1895" t="str">
        <f>_xlfn.XLOOKUP(C1895, 'Códigos DANE Municipios'!$B$2:$B$1123, 'Códigos DANE Municipios'!$A$2:$A$1123, "No encontrado")</f>
        <v>73555</v>
      </c>
      <c r="B1895" t="str">
        <f>IFERROR(VLOOKUP(D1895,APOYO!K:L,2,FALSE),A1895)</f>
        <v>73555</v>
      </c>
      <c r="C1895" t="s">
        <v>1929</v>
      </c>
      <c r="D1895" t="str">
        <f>IFERROR(VLOOKUP(C1895,APOYO!J:K,2,FALSE),C1895)</f>
        <v>PLANADAS</v>
      </c>
      <c r="E1895">
        <v>2015</v>
      </c>
    </row>
    <row r="1896" spans="1:5" hidden="1" x14ac:dyDescent="0.25">
      <c r="A1896" t="str">
        <f>_xlfn.XLOOKUP(C1896, 'Códigos DANE Municipios'!$B$2:$B$1123, 'Códigos DANE Municipios'!$A$2:$A$1123, "No encontrado")</f>
        <v>23555</v>
      </c>
      <c r="B1896" t="str">
        <f>IFERROR(VLOOKUP(D1896,APOYO!K:L,2,FALSE),A1896)</f>
        <v>23555</v>
      </c>
      <c r="C1896" t="s">
        <v>887</v>
      </c>
      <c r="D1896" t="str">
        <f>IFERROR(VLOOKUP(C1896,APOYO!J:K,2,FALSE),C1896)</f>
        <v>PLANETA RICA</v>
      </c>
      <c r="E1896">
        <v>2015</v>
      </c>
    </row>
    <row r="1897" spans="1:5" hidden="1" x14ac:dyDescent="0.25">
      <c r="A1897" t="str">
        <f>_xlfn.XLOOKUP(C1897, 'Códigos DANE Municipios'!$B$2:$B$1123, 'Códigos DANE Municipios'!$A$2:$A$1123, "No encontrado")</f>
        <v>47555</v>
      </c>
      <c r="B1897" t="str">
        <f>IFERROR(VLOOKUP(D1897,APOYO!K:L,2,FALSE),A1897)</f>
        <v>47555</v>
      </c>
      <c r="C1897" t="s">
        <v>1333</v>
      </c>
      <c r="D1897" t="str">
        <f>IFERROR(VLOOKUP(C1897,APOYO!J:K,2,FALSE),C1897)</f>
        <v>PLATO</v>
      </c>
      <c r="E1897">
        <v>2015</v>
      </c>
    </row>
    <row r="1898" spans="1:5" hidden="1" x14ac:dyDescent="0.25">
      <c r="A1898" t="str">
        <f>_xlfn.XLOOKUP(C1898, 'Códigos DANE Municipios'!$B$2:$B$1123, 'Códigos DANE Municipios'!$A$2:$A$1123, "No encontrado")</f>
        <v>52540</v>
      </c>
      <c r="B1898" t="str">
        <f>IFERROR(VLOOKUP(D1898,APOYO!K:L,2,FALSE),A1898)</f>
        <v>52540</v>
      </c>
      <c r="C1898" t="s">
        <v>1491</v>
      </c>
      <c r="D1898" t="str">
        <f>IFERROR(VLOOKUP(C1898,APOYO!J:K,2,FALSE),C1898)</f>
        <v>POLICARPA</v>
      </c>
      <c r="E1898">
        <v>2015</v>
      </c>
    </row>
    <row r="1899" spans="1:5" hidden="1" x14ac:dyDescent="0.25">
      <c r="A1899" t="str">
        <f>_xlfn.XLOOKUP(C1899, 'Códigos DANE Municipios'!$B$2:$B$1123, 'Códigos DANE Municipios'!$A$2:$A$1123, "No encontrado")</f>
        <v>08558</v>
      </c>
      <c r="B1899" t="str">
        <f>IFERROR(VLOOKUP(D1899,APOYO!K:L,2,FALSE),A1899)</f>
        <v>08558</v>
      </c>
      <c r="C1899" t="s">
        <v>284</v>
      </c>
      <c r="D1899" t="str">
        <f>IFERROR(VLOOKUP(C1899,APOYO!J:K,2,FALSE),C1899)</f>
        <v>POLONUEVO</v>
      </c>
      <c r="E1899">
        <v>2015</v>
      </c>
    </row>
    <row r="1900" spans="1:5" hidden="1" x14ac:dyDescent="0.25">
      <c r="A1900" t="str">
        <f>_xlfn.XLOOKUP(C1900, 'Códigos DANE Municipios'!$B$2:$B$1123, 'Códigos DANE Municipios'!$A$2:$A$1123, "No encontrado")</f>
        <v>08560</v>
      </c>
      <c r="B1900" t="str">
        <f>IFERROR(VLOOKUP(D1900,APOYO!K:L,2,FALSE),A1900)</f>
        <v>08560</v>
      </c>
      <c r="C1900" t="s">
        <v>286</v>
      </c>
      <c r="D1900" t="str">
        <f>IFERROR(VLOOKUP(C1900,APOYO!J:K,2,FALSE),C1900)</f>
        <v>PONEDERA</v>
      </c>
      <c r="E1900">
        <v>2015</v>
      </c>
    </row>
    <row r="1901" spans="1:5" hidden="1" x14ac:dyDescent="0.25">
      <c r="A1901" t="str">
        <f>_xlfn.XLOOKUP(C1901, 'Códigos DANE Municipios'!$B$2:$B$1123, 'Códigos DANE Municipios'!$A$2:$A$1123, "No encontrado")</f>
        <v>19001</v>
      </c>
      <c r="B1901" t="str">
        <f>IFERROR(VLOOKUP(D1901,APOYO!K:L,2,FALSE),A1901)</f>
        <v>19001</v>
      </c>
      <c r="C1901" t="s">
        <v>729</v>
      </c>
      <c r="D1901" t="str">
        <f>IFERROR(VLOOKUP(C1901,APOYO!J:K,2,FALSE),C1901)</f>
        <v>POPAYÁN</v>
      </c>
      <c r="E1901">
        <v>2015</v>
      </c>
    </row>
    <row r="1902" spans="1:5" hidden="1" x14ac:dyDescent="0.25">
      <c r="A1902" t="str">
        <f>_xlfn.XLOOKUP(C1902, 'Códigos DANE Municipios'!$B$2:$B$1123, 'Códigos DANE Municipios'!$A$2:$A$1123, "No encontrado")</f>
        <v>85263</v>
      </c>
      <c r="B1902" t="str">
        <f>IFERROR(VLOOKUP(D1902,APOYO!K:L,2,FALSE),A1902)</f>
        <v>85263</v>
      </c>
      <c r="C1902" t="s">
        <v>2068</v>
      </c>
      <c r="D1902" t="str">
        <f>IFERROR(VLOOKUP(C1902,APOYO!J:K,2,FALSE),C1902)</f>
        <v>PORE</v>
      </c>
      <c r="E1902">
        <v>2015</v>
      </c>
    </row>
    <row r="1903" spans="1:5" hidden="1" x14ac:dyDescent="0.25">
      <c r="A1903" t="str">
        <f>_xlfn.XLOOKUP(C1903, 'Códigos DANE Municipios'!$B$2:$B$1123, 'Códigos DANE Municipios'!$A$2:$A$1123, "No encontrado")</f>
        <v>76563</v>
      </c>
      <c r="B1903" t="str">
        <f>IFERROR(VLOOKUP(D1903,APOYO!K:L,2,FALSE),A1903)</f>
        <v>76563</v>
      </c>
      <c r="C1903" t="s">
        <v>2006</v>
      </c>
      <c r="D1903" t="str">
        <f>IFERROR(VLOOKUP(C1903,APOYO!J:K,2,FALSE),C1903)</f>
        <v>PRADERA</v>
      </c>
      <c r="E1903">
        <v>2015</v>
      </c>
    </row>
    <row r="1904" spans="1:5" hidden="1" x14ac:dyDescent="0.25">
      <c r="A1904" t="str">
        <f>_xlfn.XLOOKUP(C1904, 'Códigos DANE Municipios'!$B$2:$B$1123, 'Códigos DANE Municipios'!$A$2:$A$1123, "No encontrado")</f>
        <v>73563</v>
      </c>
      <c r="B1904" t="str">
        <f>IFERROR(VLOOKUP(D1904,APOYO!K:L,2,FALSE),A1904)</f>
        <v>73563</v>
      </c>
      <c r="C1904" t="s">
        <v>1931</v>
      </c>
      <c r="D1904" t="str">
        <f>IFERROR(VLOOKUP(C1904,APOYO!J:K,2,FALSE),C1904)</f>
        <v>PRADO</v>
      </c>
      <c r="E1904">
        <v>2015</v>
      </c>
    </row>
    <row r="1905" spans="1:5" hidden="1" x14ac:dyDescent="0.25">
      <c r="A1905" t="str">
        <f>_xlfn.XLOOKUP(C1905, 'Códigos DANE Municipios'!$B$2:$B$1123, 'Códigos DANE Municipios'!$A$2:$A$1123, "No encontrado")</f>
        <v>52565</v>
      </c>
      <c r="B1905" t="str">
        <f>IFERROR(VLOOKUP(D1905,APOYO!K:L,2,FALSE),A1905)</f>
        <v>52565</v>
      </c>
      <c r="C1905" t="s">
        <v>1495</v>
      </c>
      <c r="D1905" t="str">
        <f>IFERROR(VLOOKUP(C1905,APOYO!J:K,2,FALSE),C1905)</f>
        <v>PROVIDENCIA</v>
      </c>
      <c r="E1905">
        <v>2015</v>
      </c>
    </row>
    <row r="1906" spans="1:5" hidden="1" x14ac:dyDescent="0.25">
      <c r="A1906" t="str">
        <f>_xlfn.XLOOKUP(C1906, 'Códigos DANE Municipios'!$B$2:$B$1123, 'Códigos DANE Municipios'!$A$2:$A$1123, "No encontrado")</f>
        <v>05585</v>
      </c>
      <c r="B1906" t="str">
        <f>IFERROR(VLOOKUP(D1906,APOYO!K:L,2,FALSE),A1906)</f>
        <v>05585</v>
      </c>
      <c r="C1906" t="s">
        <v>172</v>
      </c>
      <c r="D1906" t="str">
        <f>IFERROR(VLOOKUP(C1906,APOYO!J:K,2,FALSE),C1906)</f>
        <v>PUERTO NARE</v>
      </c>
      <c r="E1906">
        <v>2015</v>
      </c>
    </row>
    <row r="1907" spans="1:5" hidden="1" x14ac:dyDescent="0.25">
      <c r="A1907" t="str">
        <f>_xlfn.XLOOKUP(C1907, 'Códigos DANE Municipios'!$B$2:$B$1123, 'Códigos DANE Municipios'!$A$2:$A$1123, "No encontrado")</f>
        <v>66572</v>
      </c>
      <c r="B1907" t="str">
        <f>IFERROR(VLOOKUP(D1907,APOYO!K:L,2,FALSE),A1907)</f>
        <v>66572</v>
      </c>
      <c r="C1907" t="s">
        <v>1647</v>
      </c>
      <c r="D1907" t="str">
        <f>IFERROR(VLOOKUP(C1907,APOYO!J:K,2,FALSE),C1907)</f>
        <v>PUEBLO RICO</v>
      </c>
      <c r="E1907">
        <v>2015</v>
      </c>
    </row>
    <row r="1908" spans="1:5" hidden="1" x14ac:dyDescent="0.25">
      <c r="A1908" t="str">
        <f>_xlfn.XLOOKUP(C1908, 'Códigos DANE Municipios'!$B$2:$B$1123, 'Códigos DANE Municipios'!$A$2:$A$1123, "No encontrado")</f>
        <v>05576</v>
      </c>
      <c r="B1908" t="str">
        <f>IFERROR(VLOOKUP(D1908,APOYO!K:L,2,FALSE),A1908)</f>
        <v>05576</v>
      </c>
      <c r="C1908" t="s">
        <v>168</v>
      </c>
      <c r="D1908" t="str">
        <f>IFERROR(VLOOKUP(C1908,APOYO!J:K,2,FALSE),C1908)</f>
        <v>PUEBLORRICO</v>
      </c>
      <c r="E1908">
        <v>2015</v>
      </c>
    </row>
    <row r="1909" spans="1:5" hidden="1" x14ac:dyDescent="0.25">
      <c r="A1909" t="str">
        <f>_xlfn.XLOOKUP(C1909, 'Códigos DANE Municipios'!$B$2:$B$1123, 'Códigos DANE Municipios'!$A$2:$A$1123, "No encontrado")</f>
        <v>47570</v>
      </c>
      <c r="B1909" t="str">
        <f>IFERROR(VLOOKUP(D1909,APOYO!K:L,2,FALSE),A1909)</f>
        <v>47570</v>
      </c>
      <c r="C1909" t="s">
        <v>1335</v>
      </c>
      <c r="D1909" t="str">
        <f>IFERROR(VLOOKUP(C1909,APOYO!J:K,2,FALSE),C1909)</f>
        <v>PUEBLOVIEJO</v>
      </c>
      <c r="E1909">
        <v>2015</v>
      </c>
    </row>
    <row r="1910" spans="1:5" hidden="1" x14ac:dyDescent="0.25">
      <c r="A1910" t="str">
        <f>_xlfn.XLOOKUP(C1910, 'Códigos DANE Municipios'!$B$2:$B$1123, 'Códigos DANE Municipios'!$A$2:$A$1123, "No encontrado")</f>
        <v>68572</v>
      </c>
      <c r="B1910" t="str">
        <f>IFERROR(VLOOKUP(D1910,APOYO!K:L,2,FALSE),A1910)</f>
        <v>68572</v>
      </c>
      <c r="C1910" t="s">
        <v>1770</v>
      </c>
      <c r="D1910" t="str">
        <f>IFERROR(VLOOKUP(C1910,APOYO!J:K,2,FALSE),C1910)</f>
        <v>PUENTE NACIONAL</v>
      </c>
      <c r="E1910">
        <v>2015</v>
      </c>
    </row>
    <row r="1911" spans="1:5" hidden="1" x14ac:dyDescent="0.25">
      <c r="A1911" t="str">
        <f>_xlfn.XLOOKUP(C1911, 'Códigos DANE Municipios'!$B$2:$B$1123, 'Códigos DANE Municipios'!$A$2:$A$1123, "No encontrado")</f>
        <v>52573</v>
      </c>
      <c r="B1911" t="str">
        <f>IFERROR(VLOOKUP(D1911,APOYO!K:L,2,FALSE),A1911)</f>
        <v>52573</v>
      </c>
      <c r="C1911" t="s">
        <v>1497</v>
      </c>
      <c r="D1911" t="str">
        <f>IFERROR(VLOOKUP(C1911,APOYO!J:K,2,FALSE),C1911)</f>
        <v>PUERRES</v>
      </c>
      <c r="E1911">
        <v>2015</v>
      </c>
    </row>
    <row r="1912" spans="1:5" hidden="1" x14ac:dyDescent="0.25">
      <c r="A1912" t="str">
        <f>_xlfn.XLOOKUP(C1912, 'Códigos DANE Municipios'!$B$2:$B$1123, 'Códigos DANE Municipios'!$A$2:$A$1123, "No encontrado")</f>
        <v>86568</v>
      </c>
      <c r="B1912" t="str">
        <f>IFERROR(VLOOKUP(D1912,APOYO!K:L,2,FALSE),A1912)</f>
        <v>86568</v>
      </c>
      <c r="C1912" t="s">
        <v>2089</v>
      </c>
      <c r="D1912" t="str">
        <f>IFERROR(VLOOKUP(C1912,APOYO!J:K,2,FALSE),C1912)</f>
        <v>PUERTO ASÍS</v>
      </c>
      <c r="E1912">
        <v>2015</v>
      </c>
    </row>
    <row r="1913" spans="1:5" hidden="1" x14ac:dyDescent="0.25">
      <c r="A1913" t="str">
        <f>_xlfn.XLOOKUP(C1913, 'Códigos DANE Municipios'!$B$2:$B$1123, 'Códigos DANE Municipios'!$A$2:$A$1123, "No encontrado")</f>
        <v>05579</v>
      </c>
      <c r="B1913" t="str">
        <f>IFERROR(VLOOKUP(D1913,APOYO!K:L,2,FALSE),A1913)</f>
        <v>05579</v>
      </c>
      <c r="C1913" t="s">
        <v>170</v>
      </c>
      <c r="D1913" t="str">
        <f>IFERROR(VLOOKUP(C1913,APOYO!J:K,2,FALSE),C1913)</f>
        <v>PUERTO BERRÍO</v>
      </c>
      <c r="E1913">
        <v>2015</v>
      </c>
    </row>
    <row r="1914" spans="1:5" hidden="1" x14ac:dyDescent="0.25">
      <c r="A1914" t="str">
        <f>_xlfn.XLOOKUP(C1914, 'Códigos DANE Municipios'!$B$2:$B$1123, 'Códigos DANE Municipios'!$A$2:$A$1123, "No encontrado")</f>
        <v>15572</v>
      </c>
      <c r="B1914" t="str">
        <f>IFERROR(VLOOKUP(D1914,APOYO!K:L,2,FALSE),A1914)</f>
        <v>15572</v>
      </c>
      <c r="C1914" t="s">
        <v>544</v>
      </c>
      <c r="D1914" t="str">
        <f>IFERROR(VLOOKUP(C1914,APOYO!J:K,2,FALSE),C1914)</f>
        <v>PUERTO BOYACÁ</v>
      </c>
      <c r="E1914">
        <v>2015</v>
      </c>
    </row>
    <row r="1915" spans="1:5" hidden="1" x14ac:dyDescent="0.25">
      <c r="A1915" t="str">
        <f>_xlfn.XLOOKUP(C1915, 'Códigos DANE Municipios'!$B$2:$B$1123, 'Códigos DANE Municipios'!$A$2:$A$1123, "No encontrado")</f>
        <v>86569</v>
      </c>
      <c r="B1915" t="str">
        <f>IFERROR(VLOOKUP(D1915,APOYO!K:L,2,FALSE),A1915)</f>
        <v>86569</v>
      </c>
      <c r="C1915" t="s">
        <v>2091</v>
      </c>
      <c r="D1915" t="str">
        <f>IFERROR(VLOOKUP(C1915,APOYO!J:K,2,FALSE),C1915)</f>
        <v>PUERTO CAICEDO</v>
      </c>
      <c r="E1915">
        <v>2015</v>
      </c>
    </row>
    <row r="1916" spans="1:5" hidden="1" x14ac:dyDescent="0.25">
      <c r="A1916" t="str">
        <f>_xlfn.XLOOKUP(C1916, 'Códigos DANE Municipios'!$B$2:$B$1123, 'Códigos DANE Municipios'!$A$2:$A$1123, "No encontrado")</f>
        <v>99001</v>
      </c>
      <c r="B1916" t="str">
        <f>IFERROR(VLOOKUP(D1916,APOYO!K:L,2,FALSE),A1916)</f>
        <v>99001</v>
      </c>
      <c r="C1916" t="s">
        <v>2163</v>
      </c>
      <c r="D1916" t="str">
        <f>IFERROR(VLOOKUP(C1916,APOYO!J:K,2,FALSE),C1916)</f>
        <v>PUERTO CARREÑO</v>
      </c>
      <c r="E1916">
        <v>2015</v>
      </c>
    </row>
    <row r="1917" spans="1:5" hidden="1" x14ac:dyDescent="0.25">
      <c r="A1917" t="str">
        <f>_xlfn.XLOOKUP(C1917, 'Códigos DANE Municipios'!$B$2:$B$1123, 'Códigos DANE Municipios'!$A$2:$A$1123, "No encontrado")</f>
        <v>08573</v>
      </c>
      <c r="B1917" t="str">
        <f>IFERROR(VLOOKUP(D1917,APOYO!K:L,2,FALSE),A1917)</f>
        <v>08573</v>
      </c>
      <c r="C1917" t="s">
        <v>288</v>
      </c>
      <c r="D1917" t="str">
        <f>IFERROR(VLOOKUP(C1917,APOYO!J:K,2,FALSE),C1917)</f>
        <v>PUERTO COLOMBIA</v>
      </c>
      <c r="E1917">
        <v>2015</v>
      </c>
    </row>
    <row r="1918" spans="1:5" hidden="1" x14ac:dyDescent="0.25">
      <c r="A1918" t="str">
        <f>_xlfn.XLOOKUP(C1918, 'Códigos DANE Municipios'!$B$2:$B$1123, 'Códigos DANE Municipios'!$A$2:$A$1123, "No encontrado")</f>
        <v>50450</v>
      </c>
      <c r="B1918" t="str">
        <f>IFERROR(VLOOKUP(D1918,APOYO!K:L,2,FALSE),A1918)</f>
        <v>50450</v>
      </c>
      <c r="C1918" t="s">
        <v>1392</v>
      </c>
      <c r="D1918" t="str">
        <f>IFERROR(VLOOKUP(C1918,APOYO!J:K,2,FALSE),C1918)</f>
        <v>PUERTO CONCORDIA</v>
      </c>
      <c r="E1918">
        <v>2015</v>
      </c>
    </row>
    <row r="1919" spans="1:5" hidden="1" x14ac:dyDescent="0.25">
      <c r="A1919" t="str">
        <f>_xlfn.XLOOKUP(C1919, 'Códigos DANE Municipios'!$B$2:$B$1123, 'Códigos DANE Municipios'!$A$2:$A$1123, "No encontrado")</f>
        <v>50568</v>
      </c>
      <c r="B1919" t="str">
        <f>IFERROR(VLOOKUP(D1919,APOYO!K:L,2,FALSE),A1919)</f>
        <v>50568</v>
      </c>
      <c r="C1919" t="s">
        <v>1394</v>
      </c>
      <c r="D1919" t="str">
        <f>IFERROR(VLOOKUP(C1919,APOYO!J:K,2,FALSE),C1919)</f>
        <v>PUERTO GAITÁN</v>
      </c>
      <c r="E1919">
        <v>2015</v>
      </c>
    </row>
    <row r="1920" spans="1:5" hidden="1" x14ac:dyDescent="0.25">
      <c r="A1920" t="str">
        <f>_xlfn.XLOOKUP(C1920, 'Códigos DANE Municipios'!$B$2:$B$1123, 'Códigos DANE Municipios'!$A$2:$A$1123, "No encontrado")</f>
        <v>94001</v>
      </c>
      <c r="B1920" t="str">
        <f>IFERROR(VLOOKUP(D1920,APOYO!K:L,2,FALSE),A1920)</f>
        <v>94001</v>
      </c>
      <c r="C1920" t="s">
        <v>2128</v>
      </c>
      <c r="D1920" t="str">
        <f>IFERROR(VLOOKUP(C1920,APOYO!J:K,2,FALSE),C1920)</f>
        <v>INÍRIDA</v>
      </c>
      <c r="E1920">
        <v>2015</v>
      </c>
    </row>
    <row r="1921" spans="1:5" hidden="1" x14ac:dyDescent="0.25">
      <c r="A1921" t="str">
        <f>_xlfn.XLOOKUP(C1921, 'Códigos DANE Municipios'!$B$2:$B$1123, 'Códigos DANE Municipios'!$A$2:$A$1123, "No encontrado")</f>
        <v>86573</v>
      </c>
      <c r="B1921" t="str">
        <f>IFERROR(VLOOKUP(D1921,APOYO!K:L,2,FALSE),A1921)</f>
        <v>86573</v>
      </c>
      <c r="C1921" t="s">
        <v>2095</v>
      </c>
      <c r="D1921" t="str">
        <f>IFERROR(VLOOKUP(C1921,APOYO!J:K,2,FALSE),C1921)</f>
        <v>PUERTO LEGUÍZAMO</v>
      </c>
      <c r="E1921">
        <v>2015</v>
      </c>
    </row>
    <row r="1922" spans="1:5" hidden="1" x14ac:dyDescent="0.25">
      <c r="A1922" t="str">
        <f>_xlfn.XLOOKUP(C1922, 'Códigos DANE Municipios'!$B$2:$B$1123, 'Códigos DANE Municipios'!$A$2:$A$1123, "No encontrado")</f>
        <v>23580</v>
      </c>
      <c r="B1922" t="str">
        <f>IFERROR(VLOOKUP(D1922,APOYO!K:L,2,FALSE),A1922)</f>
        <v>23580</v>
      </c>
      <c r="C1922" t="s">
        <v>893</v>
      </c>
      <c r="D1922" t="str">
        <f>IFERROR(VLOOKUP(C1922,APOYO!J:K,2,FALSE),C1922)</f>
        <v>PUERTO LIBERTADOR</v>
      </c>
      <c r="E1922">
        <v>2015</v>
      </c>
    </row>
    <row r="1923" spans="1:5" hidden="1" x14ac:dyDescent="0.25">
      <c r="A1923" t="str">
        <f>_xlfn.XLOOKUP(C1923, 'Códigos DANE Municipios'!$B$2:$B$1123, 'Códigos DANE Municipios'!$A$2:$A$1123, "No encontrado")</f>
        <v>50577</v>
      </c>
      <c r="B1923" t="str">
        <f>IFERROR(VLOOKUP(D1923,APOYO!K:L,2,FALSE),A1923)</f>
        <v>50577</v>
      </c>
      <c r="C1923" t="s">
        <v>1398</v>
      </c>
      <c r="D1923" t="str">
        <f>IFERROR(VLOOKUP(C1923,APOYO!J:K,2,FALSE),C1923)</f>
        <v>PUERTO LLERAS</v>
      </c>
      <c r="E1923">
        <v>2015</v>
      </c>
    </row>
    <row r="1924" spans="1:5" hidden="1" x14ac:dyDescent="0.25">
      <c r="A1924" t="str">
        <f>_xlfn.XLOOKUP(C1924, 'Códigos DANE Municipios'!$B$2:$B$1123, 'Códigos DANE Municipios'!$A$2:$A$1123, "No encontrado")</f>
        <v>50573</v>
      </c>
      <c r="B1924" t="str">
        <f>IFERROR(VLOOKUP(D1924,APOYO!K:L,2,FALSE),A1924)</f>
        <v>50573</v>
      </c>
      <c r="C1924" t="s">
        <v>1396</v>
      </c>
      <c r="D1924" t="str">
        <f>IFERROR(VLOOKUP(C1924,APOYO!J:K,2,FALSE),C1924)</f>
        <v>PUERTO LÓPEZ</v>
      </c>
      <c r="E1924">
        <v>2015</v>
      </c>
    </row>
    <row r="1925" spans="1:5" hidden="1" x14ac:dyDescent="0.25">
      <c r="A1925" t="str">
        <f>_xlfn.XLOOKUP(C1925, 'Códigos DANE Municipios'!$B$2:$B$1123, 'Códigos DANE Municipios'!$A$2:$A$1123, "No encontrado")</f>
        <v>91540</v>
      </c>
      <c r="B1925" t="str">
        <f>IFERROR(VLOOKUP(D1925,APOYO!K:L,2,FALSE),A1925)</f>
        <v>91540</v>
      </c>
      <c r="C1925" t="s">
        <v>2123</v>
      </c>
      <c r="D1925" t="str">
        <f>IFERROR(VLOOKUP(C1925,APOYO!J:K,2,FALSE),C1925)</f>
        <v>PUERTO NARIÑO</v>
      </c>
      <c r="E1925">
        <v>2015</v>
      </c>
    </row>
    <row r="1926" spans="1:5" hidden="1" x14ac:dyDescent="0.25">
      <c r="A1926" t="str">
        <f>_xlfn.XLOOKUP(C1926, 'Códigos DANE Municipios'!$B$2:$B$1123, 'Códigos DANE Municipios'!$A$2:$A$1123, "No encontrado")</f>
        <v>18592</v>
      </c>
      <c r="B1926" t="str">
        <f>IFERROR(VLOOKUP(D1926,APOYO!K:L,2,FALSE),A1926)</f>
        <v>18592</v>
      </c>
      <c r="C1926" t="s">
        <v>718</v>
      </c>
      <c r="D1926" t="str">
        <f>IFERROR(VLOOKUP(C1926,APOYO!J:K,2,FALSE),C1926)</f>
        <v>PUERTO RICO</v>
      </c>
      <c r="E1926">
        <v>2015</v>
      </c>
    </row>
    <row r="1927" spans="1:5" hidden="1" x14ac:dyDescent="0.25">
      <c r="A1927" t="str">
        <f>_xlfn.XLOOKUP(C1927, 'Códigos DANE Municipios'!$B$2:$B$1123, 'Códigos DANE Municipios'!$A$2:$A$1123, "No encontrado")</f>
        <v>25572</v>
      </c>
      <c r="B1927" t="str">
        <f>IFERROR(VLOOKUP(D1927,APOYO!K:L,2,FALSE),A1927)</f>
        <v>25572</v>
      </c>
      <c r="C1927" t="s">
        <v>1049</v>
      </c>
      <c r="D1927" t="str">
        <f>IFERROR(VLOOKUP(C1927,APOYO!J:K,2,FALSE),C1927)</f>
        <v>PUERTO SALGAR</v>
      </c>
      <c r="E1927">
        <v>2015</v>
      </c>
    </row>
    <row r="1928" spans="1:5" hidden="1" x14ac:dyDescent="0.25">
      <c r="A1928" t="str">
        <f>_xlfn.XLOOKUP(C1928, 'Códigos DANE Municipios'!$B$2:$B$1123, 'Códigos DANE Municipios'!$A$2:$A$1123, "No encontrado")</f>
        <v>54553</v>
      </c>
      <c r="B1928" t="str">
        <f>IFERROR(VLOOKUP(D1928,APOYO!K:L,2,FALSE),A1928)</f>
        <v>54553</v>
      </c>
      <c r="C1928" t="s">
        <v>1583</v>
      </c>
      <c r="D1928" t="str">
        <f>IFERROR(VLOOKUP(C1928,APOYO!J:K,2,FALSE),C1928)</f>
        <v>PUERTO SANTANDER</v>
      </c>
      <c r="E1928">
        <v>2015</v>
      </c>
    </row>
    <row r="1929" spans="1:5" hidden="1" x14ac:dyDescent="0.25">
      <c r="A1929" t="str">
        <f>_xlfn.XLOOKUP(C1929, 'Códigos DANE Municipios'!$B$2:$B$1123, 'Códigos DANE Municipios'!$A$2:$A$1123, "No encontrado")</f>
        <v>19573</v>
      </c>
      <c r="B1929" t="str">
        <f>IFERROR(VLOOKUP(D1929,APOYO!K:L,2,FALSE),A1929)</f>
        <v>19573</v>
      </c>
      <c r="C1929" t="s">
        <v>779</v>
      </c>
      <c r="D1929" t="str">
        <f>IFERROR(VLOOKUP(C1929,APOYO!J:K,2,FALSE),C1929)</f>
        <v>PUERTO TEJADA</v>
      </c>
      <c r="E1929">
        <v>2015</v>
      </c>
    </row>
    <row r="1930" spans="1:5" hidden="1" x14ac:dyDescent="0.25">
      <c r="A1930" t="str">
        <f>_xlfn.XLOOKUP(C1930, 'Códigos DANE Municipios'!$B$2:$B$1123, 'Códigos DANE Municipios'!$A$2:$A$1123, "No encontrado")</f>
        <v>05591</v>
      </c>
      <c r="B1930" t="str">
        <f>IFERROR(VLOOKUP(D1930,APOYO!K:L,2,FALSE),A1930)</f>
        <v>05591</v>
      </c>
      <c r="C1930" t="s">
        <v>174</v>
      </c>
      <c r="D1930" t="str">
        <f>IFERROR(VLOOKUP(C1930,APOYO!J:K,2,FALSE),C1930)</f>
        <v>PUERTO TRIUNFO</v>
      </c>
      <c r="E1930">
        <v>2015</v>
      </c>
    </row>
    <row r="1931" spans="1:5" hidden="1" x14ac:dyDescent="0.25">
      <c r="A1931" t="str">
        <f>_xlfn.XLOOKUP(C1931, 'Códigos DANE Municipios'!$B$2:$B$1123, 'Códigos DANE Municipios'!$A$2:$A$1123, "No encontrado")</f>
        <v>68575</v>
      </c>
      <c r="B1931" t="str">
        <f>IFERROR(VLOOKUP(D1931,APOYO!K:L,2,FALSE),A1931)</f>
        <v>68575</v>
      </c>
      <c r="C1931" t="s">
        <v>1774</v>
      </c>
      <c r="D1931" t="str">
        <f>IFERROR(VLOOKUP(C1931,APOYO!J:K,2,FALSE),C1931)</f>
        <v>PUERTO WILCHES</v>
      </c>
      <c r="E1931">
        <v>2015</v>
      </c>
    </row>
    <row r="1932" spans="1:5" hidden="1" x14ac:dyDescent="0.25">
      <c r="A1932" t="str">
        <f>_xlfn.XLOOKUP(C1932, 'Códigos DANE Municipios'!$B$2:$B$1123, 'Códigos DANE Municipios'!$A$2:$A$1123, "No encontrado")</f>
        <v>52585</v>
      </c>
      <c r="B1932" t="str">
        <f>IFERROR(VLOOKUP(D1932,APOYO!K:L,2,FALSE),A1932)</f>
        <v>52585</v>
      </c>
      <c r="C1932" t="s">
        <v>1499</v>
      </c>
      <c r="D1932" t="str">
        <f>IFERROR(VLOOKUP(C1932,APOYO!J:K,2,FALSE),C1932)</f>
        <v>PUPIALES</v>
      </c>
      <c r="E1932">
        <v>2015</v>
      </c>
    </row>
    <row r="1933" spans="1:5" hidden="1" x14ac:dyDescent="0.25">
      <c r="A1933" t="str">
        <f>_xlfn.XLOOKUP(C1933, 'Códigos DANE Municipios'!$B$2:$B$1123, 'Códigos DANE Municipios'!$A$2:$A$1123, "No encontrado")</f>
        <v>19585</v>
      </c>
      <c r="B1933" t="str">
        <f>IFERROR(VLOOKUP(D1933,APOYO!K:L,2,FALSE),A1933)</f>
        <v>19585</v>
      </c>
      <c r="C1933" t="s">
        <v>781</v>
      </c>
      <c r="D1933" t="str">
        <f>IFERROR(VLOOKUP(C1933,APOYO!J:K,2,FALSE),C1933)</f>
        <v>PURACÉ</v>
      </c>
      <c r="E1933">
        <v>2015</v>
      </c>
    </row>
    <row r="1934" spans="1:5" hidden="1" x14ac:dyDescent="0.25">
      <c r="A1934" t="str">
        <f>_xlfn.XLOOKUP(C1934, 'Códigos DANE Municipios'!$B$2:$B$1123, 'Códigos DANE Municipios'!$A$2:$A$1123, "No encontrado")</f>
        <v>73585</v>
      </c>
      <c r="B1934" t="str">
        <f>IFERROR(VLOOKUP(D1934,APOYO!K:L,2,FALSE),A1934)</f>
        <v>73585</v>
      </c>
      <c r="C1934" t="s">
        <v>1933</v>
      </c>
      <c r="D1934" t="str">
        <f>IFERROR(VLOOKUP(C1934,APOYO!J:K,2,FALSE),C1934)</f>
        <v>PURIFICACIÓN</v>
      </c>
      <c r="E1934">
        <v>2015</v>
      </c>
    </row>
    <row r="1935" spans="1:5" hidden="1" x14ac:dyDescent="0.25">
      <c r="A1935" t="str">
        <f>_xlfn.XLOOKUP(C1935, 'Códigos DANE Municipios'!$B$2:$B$1123, 'Códigos DANE Municipios'!$A$2:$A$1123, "No encontrado")</f>
        <v>25592</v>
      </c>
      <c r="B1935" t="str">
        <f>IFERROR(VLOOKUP(D1935,APOYO!K:L,2,FALSE),A1935)</f>
        <v>25592</v>
      </c>
      <c r="C1935" t="s">
        <v>1053</v>
      </c>
      <c r="D1935" t="str">
        <f>IFERROR(VLOOKUP(C1935,APOYO!J:K,2,FALSE),C1935)</f>
        <v>QUEBRADANEGRA</v>
      </c>
      <c r="E1935">
        <v>2015</v>
      </c>
    </row>
    <row r="1936" spans="1:5" hidden="1" x14ac:dyDescent="0.25">
      <c r="A1936" t="str">
        <f>_xlfn.XLOOKUP(C1936, 'Códigos DANE Municipios'!$B$2:$B$1123, 'Códigos DANE Municipios'!$A$2:$A$1123, "No encontrado")</f>
        <v>25594</v>
      </c>
      <c r="B1936" t="str">
        <f>IFERROR(VLOOKUP(D1936,APOYO!K:L,2,FALSE),A1936)</f>
        <v>25594</v>
      </c>
      <c r="C1936" t="s">
        <v>1055</v>
      </c>
      <c r="D1936" t="str">
        <f>IFERROR(VLOOKUP(C1936,APOYO!J:K,2,FALSE),C1936)</f>
        <v>QUETAME</v>
      </c>
      <c r="E1936">
        <v>2015</v>
      </c>
    </row>
    <row r="1937" spans="1:5" hidden="1" x14ac:dyDescent="0.25">
      <c r="A1937" t="str">
        <f>_xlfn.XLOOKUP(C1937, 'Códigos DANE Municipios'!$B$2:$B$1123, 'Códigos DANE Municipios'!$A$2:$A$1123, "No encontrado")</f>
        <v>27001</v>
      </c>
      <c r="B1937" t="str">
        <f>IFERROR(VLOOKUP(D1937,APOYO!K:L,2,FALSE),A1937)</f>
        <v>27001</v>
      </c>
      <c r="C1937" t="s">
        <v>1142</v>
      </c>
      <c r="D1937" t="str">
        <f>IFERROR(VLOOKUP(C1937,APOYO!J:K,2,FALSE),C1937)</f>
        <v>QUIBDÓ</v>
      </c>
      <c r="E1937">
        <v>2015</v>
      </c>
    </row>
    <row r="1938" spans="1:5" hidden="1" x14ac:dyDescent="0.25">
      <c r="A1938" t="str">
        <f>_xlfn.XLOOKUP(C1938, 'Códigos DANE Municipios'!$B$2:$B$1123, 'Códigos DANE Municipios'!$A$2:$A$1123, "No encontrado")</f>
        <v>63594</v>
      </c>
      <c r="B1938" t="str">
        <f>IFERROR(VLOOKUP(D1938,APOYO!K:L,2,FALSE),A1938)</f>
        <v>63594</v>
      </c>
      <c r="C1938" t="s">
        <v>1624</v>
      </c>
      <c r="D1938" t="str">
        <f>IFERROR(VLOOKUP(C1938,APOYO!J:K,2,FALSE),C1938)</f>
        <v>QUIMBAYA</v>
      </c>
      <c r="E1938">
        <v>2015</v>
      </c>
    </row>
    <row r="1939" spans="1:5" hidden="1" x14ac:dyDescent="0.25">
      <c r="A1939" t="str">
        <f>_xlfn.XLOOKUP(C1939, 'Códigos DANE Municipios'!$B$2:$B$1123, 'Códigos DANE Municipios'!$A$2:$A$1123, "No encontrado")</f>
        <v>66594</v>
      </c>
      <c r="B1939" t="str">
        <f>IFERROR(VLOOKUP(D1939,APOYO!K:L,2,FALSE),A1939)</f>
        <v>66594</v>
      </c>
      <c r="C1939" t="s">
        <v>1649</v>
      </c>
      <c r="D1939" t="str">
        <f>IFERROR(VLOOKUP(C1939,APOYO!J:K,2,FALSE),C1939)</f>
        <v>QUINCHÍA</v>
      </c>
      <c r="E1939">
        <v>2015</v>
      </c>
    </row>
    <row r="1940" spans="1:5" hidden="1" x14ac:dyDescent="0.25">
      <c r="A1940" t="str">
        <f>_xlfn.XLOOKUP(C1940, 'Códigos DANE Municipios'!$B$2:$B$1123, 'Códigos DANE Municipios'!$A$2:$A$1123, "No encontrado")</f>
        <v>15580</v>
      </c>
      <c r="B1940" t="str">
        <f>IFERROR(VLOOKUP(D1940,APOYO!K:L,2,FALSE),A1940)</f>
        <v>15580</v>
      </c>
      <c r="C1940" t="s">
        <v>546</v>
      </c>
      <c r="D1940" t="str">
        <f>IFERROR(VLOOKUP(C1940,APOYO!J:K,2,FALSE),C1940)</f>
        <v>QUÍPAMA</v>
      </c>
      <c r="E1940">
        <v>2015</v>
      </c>
    </row>
    <row r="1941" spans="1:5" hidden="1" x14ac:dyDescent="0.25">
      <c r="A1941" t="str">
        <f>_xlfn.XLOOKUP(C1941, 'Códigos DANE Municipios'!$B$2:$B$1123, 'Códigos DANE Municipios'!$A$2:$A$1123, "No encontrado")</f>
        <v>25596</v>
      </c>
      <c r="B1941" t="str">
        <f>IFERROR(VLOOKUP(D1941,APOYO!K:L,2,FALSE),A1941)</f>
        <v>25596</v>
      </c>
      <c r="C1941" t="s">
        <v>1057</v>
      </c>
      <c r="D1941" t="str">
        <f>IFERROR(VLOOKUP(C1941,APOYO!J:K,2,FALSE),C1941)</f>
        <v>QUIPILE</v>
      </c>
      <c r="E1941">
        <v>2015</v>
      </c>
    </row>
    <row r="1942" spans="1:5" hidden="1" x14ac:dyDescent="0.25">
      <c r="A1942" t="str">
        <f>_xlfn.XLOOKUP(C1942, 'Códigos DANE Municipios'!$B$2:$B$1123, 'Códigos DANE Municipios'!$A$2:$A$1123, "No encontrado")</f>
        <v>81794</v>
      </c>
      <c r="B1942" t="str">
        <f>IFERROR(VLOOKUP(D1942,APOYO!K:L,2,FALSE),A1942)</f>
        <v>81794</v>
      </c>
      <c r="C1942" t="s">
        <v>2046</v>
      </c>
      <c r="D1942" t="str">
        <f>IFERROR(VLOOKUP(C1942,APOYO!J:K,2,FALSE),C1942)</f>
        <v>TAME</v>
      </c>
      <c r="E1942">
        <v>2015</v>
      </c>
    </row>
    <row r="1943" spans="1:5" hidden="1" x14ac:dyDescent="0.25">
      <c r="A1943" t="str">
        <f>_xlfn.XLOOKUP(C1943, 'Códigos DANE Municipios'!$B$2:$B$1123, 'Códigos DANE Municipios'!$A$2:$A$1123, "No encontrado")</f>
        <v>15599</v>
      </c>
      <c r="B1943" t="str">
        <f>IFERROR(VLOOKUP(D1943,APOYO!K:L,2,FALSE),A1943)</f>
        <v>15599</v>
      </c>
      <c r="C1943" t="s">
        <v>548</v>
      </c>
      <c r="D1943" t="str">
        <f>IFERROR(VLOOKUP(C1943,APOYO!J:K,2,FALSE),C1943)</f>
        <v>RAMIRIQUÍ</v>
      </c>
      <c r="E1943">
        <v>2015</v>
      </c>
    </row>
    <row r="1944" spans="1:5" hidden="1" x14ac:dyDescent="0.25">
      <c r="A1944" t="str">
        <f>_xlfn.XLOOKUP(C1944, 'Códigos DANE Municipios'!$B$2:$B$1123, 'Códigos DANE Municipios'!$A$2:$A$1123, "No encontrado")</f>
        <v>15600</v>
      </c>
      <c r="B1944" t="str">
        <f>IFERROR(VLOOKUP(D1944,APOYO!K:L,2,FALSE),A1944)</f>
        <v>15600</v>
      </c>
      <c r="C1944" t="s">
        <v>550</v>
      </c>
      <c r="D1944" t="str">
        <f>IFERROR(VLOOKUP(C1944,APOYO!J:K,2,FALSE),C1944)</f>
        <v>RÁQUIRA</v>
      </c>
      <c r="E1944">
        <v>2015</v>
      </c>
    </row>
    <row r="1945" spans="1:5" hidden="1" x14ac:dyDescent="0.25">
      <c r="A1945" t="str">
        <f>_xlfn.XLOOKUP(C1945, 'Códigos DANE Municipios'!$B$2:$B$1123, 'Códigos DANE Municipios'!$A$2:$A$1123, "No encontrado")</f>
        <v>05604</v>
      </c>
      <c r="B1945" t="str">
        <f>IFERROR(VLOOKUP(D1945,APOYO!K:L,2,FALSE),A1945)</f>
        <v>05604</v>
      </c>
      <c r="C1945" t="s">
        <v>176</v>
      </c>
      <c r="D1945" t="str">
        <f>IFERROR(VLOOKUP(C1945,APOYO!J:K,2,FALSE),C1945)</f>
        <v>REMEDIOS</v>
      </c>
      <c r="E1945">
        <v>2015</v>
      </c>
    </row>
    <row r="1946" spans="1:5" hidden="1" x14ac:dyDescent="0.25">
      <c r="A1946" t="str">
        <f>_xlfn.XLOOKUP(C1946, 'Códigos DANE Municipios'!$B$2:$B$1123, 'Códigos DANE Municipios'!$A$2:$A$1123, "No encontrado")</f>
        <v>50606</v>
      </c>
      <c r="B1946" t="str">
        <f>IFERROR(VLOOKUP(D1946,APOYO!K:L,2,FALSE),A1946)</f>
        <v>50606</v>
      </c>
      <c r="C1946" t="s">
        <v>1401</v>
      </c>
      <c r="D1946" t="str">
        <f>IFERROR(VLOOKUP(C1946,APOYO!J:K,2,FALSE),C1946)</f>
        <v>RESTREPO</v>
      </c>
      <c r="E1946">
        <v>2015</v>
      </c>
    </row>
    <row r="1947" spans="1:5" hidden="1" x14ac:dyDescent="0.25">
      <c r="A1947" t="str">
        <f>_xlfn.XLOOKUP(C1947, 'Códigos DANE Municipios'!$B$2:$B$1123, 'Códigos DANE Municipios'!$A$2:$A$1123, "No encontrado")</f>
        <v>05607</v>
      </c>
      <c r="B1947" t="str">
        <f>IFERROR(VLOOKUP(D1947,APOYO!K:L,2,FALSE),A1947)</f>
        <v>05607</v>
      </c>
      <c r="C1947" t="s">
        <v>178</v>
      </c>
      <c r="D1947" t="str">
        <f>IFERROR(VLOOKUP(C1947,APOYO!J:K,2,FALSE),C1947)</f>
        <v>RETIRO</v>
      </c>
      <c r="E1947">
        <v>2015</v>
      </c>
    </row>
    <row r="1948" spans="1:5" hidden="1" x14ac:dyDescent="0.25">
      <c r="A1948" t="str">
        <f>_xlfn.XLOOKUP(C1948, 'Códigos DANE Municipios'!$B$2:$B$1123, 'Códigos DANE Municipios'!$A$2:$A$1123, "No encontrado")</f>
        <v>25612</v>
      </c>
      <c r="B1948" t="str">
        <f>IFERROR(VLOOKUP(D1948,APOYO!K:L,2,FALSE),A1948)</f>
        <v>25612</v>
      </c>
      <c r="C1948" t="s">
        <v>1061</v>
      </c>
      <c r="D1948" t="str">
        <f>IFERROR(VLOOKUP(C1948,APOYO!J:K,2,FALSE),C1948)</f>
        <v>RICAURTE</v>
      </c>
      <c r="E1948">
        <v>2015</v>
      </c>
    </row>
    <row r="1949" spans="1:5" hidden="1" x14ac:dyDescent="0.25">
      <c r="A1949" t="str">
        <f>_xlfn.XLOOKUP(C1949, 'Códigos DANE Municipios'!$B$2:$B$1123, 'Códigos DANE Municipios'!$A$2:$A$1123, "No encontrado")</f>
        <v>20614</v>
      </c>
      <c r="B1949" t="str">
        <f>IFERROR(VLOOKUP(D1949,APOYO!K:L,2,FALSE),A1949)</f>
        <v>20614</v>
      </c>
      <c r="C1949" t="s">
        <v>846</v>
      </c>
      <c r="D1949" t="str">
        <f>IFERROR(VLOOKUP(C1949,APOYO!J:K,2,FALSE),C1949)</f>
        <v>RÍO DE ORO</v>
      </c>
      <c r="E1949">
        <v>2015</v>
      </c>
    </row>
    <row r="1950" spans="1:5" hidden="1" x14ac:dyDescent="0.25">
      <c r="A1950" t="str">
        <f>_xlfn.XLOOKUP(C1950, 'Códigos DANE Municipios'!$B$2:$B$1123, 'Códigos DANE Municipios'!$A$2:$A$1123, "No encontrado")</f>
        <v>76616</v>
      </c>
      <c r="B1950" t="str">
        <f>IFERROR(VLOOKUP(D1950,APOYO!K:L,2,FALSE),A1950)</f>
        <v>76616</v>
      </c>
      <c r="C1950" t="s">
        <v>2009</v>
      </c>
      <c r="D1950" t="str">
        <f>IFERROR(VLOOKUP(C1950,APOYO!J:K,2,FALSE),C1950)</f>
        <v>RIOFRÍO</v>
      </c>
      <c r="E1950">
        <v>2015</v>
      </c>
    </row>
    <row r="1951" spans="1:5" hidden="1" x14ac:dyDescent="0.25">
      <c r="A1951" t="str">
        <f>_xlfn.XLOOKUP(C1951, 'Códigos DANE Municipios'!$B$2:$B$1123, 'Códigos DANE Municipios'!$A$2:$A$1123, "No encontrado")</f>
        <v>44001</v>
      </c>
      <c r="B1951" t="str">
        <f>IFERROR(VLOOKUP(D1951,APOYO!K:L,2,FALSE),A1951)</f>
        <v>44001</v>
      </c>
      <c r="C1951" t="s">
        <v>1272</v>
      </c>
      <c r="D1951" t="str">
        <f>IFERROR(VLOOKUP(C1951,APOYO!J:K,2,FALSE),C1951)</f>
        <v>RIOHACHA</v>
      </c>
      <c r="E1951">
        <v>2015</v>
      </c>
    </row>
    <row r="1952" spans="1:5" hidden="1" x14ac:dyDescent="0.25">
      <c r="A1952" t="str">
        <f>_xlfn.XLOOKUP(C1952, 'Códigos DANE Municipios'!$B$2:$B$1123, 'Códigos DANE Municipios'!$A$2:$A$1123, "No encontrado")</f>
        <v>05615</v>
      </c>
      <c r="B1952" t="str">
        <f>IFERROR(VLOOKUP(D1952,APOYO!K:L,2,FALSE),A1952)</f>
        <v>05615</v>
      </c>
      <c r="C1952" t="s">
        <v>180</v>
      </c>
      <c r="D1952" t="str">
        <f>IFERROR(VLOOKUP(C1952,APOYO!J:K,2,FALSE),C1952)</f>
        <v>RIONEGRO</v>
      </c>
      <c r="E1952">
        <v>2015</v>
      </c>
    </row>
    <row r="1953" spans="1:5" hidden="1" x14ac:dyDescent="0.25">
      <c r="A1953" t="str">
        <f>_xlfn.XLOOKUP(C1953, 'Códigos DANE Municipios'!$B$2:$B$1123, 'Códigos DANE Municipios'!$A$2:$A$1123, "No encontrado")</f>
        <v>17614</v>
      </c>
      <c r="B1953" t="str">
        <f>IFERROR(VLOOKUP(D1953,APOYO!K:L,2,FALSE),A1953)</f>
        <v>17614</v>
      </c>
      <c r="C1953" t="s">
        <v>680</v>
      </c>
      <c r="D1953" t="str">
        <f>IFERROR(VLOOKUP(C1953,APOYO!J:K,2,FALSE),C1953)</f>
        <v>RIOSUCIO</v>
      </c>
      <c r="E1953">
        <v>2015</v>
      </c>
    </row>
    <row r="1954" spans="1:5" hidden="1" x14ac:dyDescent="0.25">
      <c r="A1954" t="str">
        <f>_xlfn.XLOOKUP(C1954, 'Códigos DANE Municipios'!$B$2:$B$1123, 'Códigos DANE Municipios'!$A$2:$A$1123, "No encontrado")</f>
        <v>17616</v>
      </c>
      <c r="B1954" t="str">
        <f>IFERROR(VLOOKUP(D1954,APOYO!K:L,2,FALSE),A1954)</f>
        <v>17616</v>
      </c>
      <c r="C1954" t="s">
        <v>682</v>
      </c>
      <c r="D1954" t="str">
        <f>IFERROR(VLOOKUP(C1954,APOYO!J:K,2,FALSE),C1954)</f>
        <v>RISARALDA</v>
      </c>
      <c r="E1954">
        <v>2015</v>
      </c>
    </row>
    <row r="1955" spans="1:5" hidden="1" x14ac:dyDescent="0.25">
      <c r="A1955" t="str">
        <f>_xlfn.XLOOKUP(C1955, 'Códigos DANE Municipios'!$B$2:$B$1123, 'Códigos DANE Municipios'!$A$2:$A$1123, "No encontrado")</f>
        <v>41615</v>
      </c>
      <c r="B1955" t="str">
        <f>IFERROR(VLOOKUP(D1955,APOYO!K:L,2,FALSE),A1955)</f>
        <v>41615</v>
      </c>
      <c r="C1955" t="s">
        <v>1249</v>
      </c>
      <c r="D1955" t="str">
        <f>IFERROR(VLOOKUP(C1955,APOYO!J:K,2,FALSE),C1955)</f>
        <v>RIVERA</v>
      </c>
      <c r="E1955">
        <v>2015</v>
      </c>
    </row>
    <row r="1956" spans="1:5" hidden="1" x14ac:dyDescent="0.25">
      <c r="A1956" t="str">
        <f>_xlfn.XLOOKUP(C1956, 'Códigos DANE Municipios'!$B$2:$B$1123, 'Códigos DANE Municipios'!$A$2:$A$1123, "No encontrado")</f>
        <v>20621</v>
      </c>
      <c r="B1956" t="str">
        <f>IFERROR(VLOOKUP(D1956,APOYO!K:L,2,FALSE),A1956)</f>
        <v>20621</v>
      </c>
      <c r="C1956" t="s">
        <v>848</v>
      </c>
      <c r="D1956" t="str">
        <f>IFERROR(VLOOKUP(C1956,APOYO!J:K,2,FALSE),C1956)</f>
        <v>LA PAZ</v>
      </c>
      <c r="E1956">
        <v>2015</v>
      </c>
    </row>
    <row r="1957" spans="1:5" hidden="1" x14ac:dyDescent="0.25">
      <c r="A1957" t="str">
        <f>_xlfn.XLOOKUP(C1957, 'Códigos DANE Municipios'!$B$2:$B$1123, 'Códigos DANE Municipios'!$A$2:$A$1123, "No encontrado")</f>
        <v>76622</v>
      </c>
      <c r="B1957" t="str">
        <f>IFERROR(VLOOKUP(D1957,APOYO!K:L,2,FALSE),A1957)</f>
        <v>76622</v>
      </c>
      <c r="C1957" t="s">
        <v>2011</v>
      </c>
      <c r="D1957" t="str">
        <f>IFERROR(VLOOKUP(C1957,APOYO!J:K,2,FALSE),C1957)</f>
        <v>ROLDANILLO</v>
      </c>
      <c r="E1957">
        <v>2015</v>
      </c>
    </row>
    <row r="1958" spans="1:5" hidden="1" x14ac:dyDescent="0.25">
      <c r="A1958" t="str">
        <f>_xlfn.XLOOKUP(C1958, 'Códigos DANE Municipios'!$B$2:$B$1123, 'Códigos DANE Municipios'!$A$2:$A$1123, "No encontrado")</f>
        <v>73622</v>
      </c>
      <c r="B1958" t="str">
        <f>IFERROR(VLOOKUP(D1958,APOYO!K:L,2,FALSE),A1958)</f>
        <v>73622</v>
      </c>
      <c r="C1958" t="s">
        <v>1937</v>
      </c>
      <c r="D1958" t="str">
        <f>IFERROR(VLOOKUP(C1958,APOYO!J:K,2,FALSE),C1958)</f>
        <v>RONCESVALLES</v>
      </c>
      <c r="E1958">
        <v>2015</v>
      </c>
    </row>
    <row r="1959" spans="1:5" hidden="1" x14ac:dyDescent="0.25">
      <c r="A1959" t="str">
        <f>_xlfn.XLOOKUP(C1959, 'Códigos DANE Municipios'!$B$2:$B$1123, 'Códigos DANE Municipios'!$A$2:$A$1123, "No encontrado")</f>
        <v>73624</v>
      </c>
      <c r="B1959" t="str">
        <f>IFERROR(VLOOKUP(D1959,APOYO!K:L,2,FALSE),A1959)</f>
        <v>73624</v>
      </c>
      <c r="C1959" t="s">
        <v>1939</v>
      </c>
      <c r="D1959" t="str">
        <f>IFERROR(VLOOKUP(C1959,APOYO!J:K,2,FALSE),C1959)</f>
        <v>ROVIRA</v>
      </c>
      <c r="E1959">
        <v>2015</v>
      </c>
    </row>
    <row r="1960" spans="1:5" hidden="1" x14ac:dyDescent="0.25">
      <c r="A1960" t="str">
        <f>_xlfn.XLOOKUP(C1960, 'Códigos DANE Municipios'!$B$2:$B$1123, 'Códigos DANE Municipios'!$A$2:$A$1123, "No encontrado")</f>
        <v>68655</v>
      </c>
      <c r="B1960" t="str">
        <f>IFERROR(VLOOKUP(D1960,APOYO!K:L,2,FALSE),A1960)</f>
        <v>68655</v>
      </c>
      <c r="C1960" t="s">
        <v>1777</v>
      </c>
      <c r="D1960" t="str">
        <f>IFERROR(VLOOKUP(C1960,APOYO!J:K,2,FALSE),C1960)</f>
        <v>SABANA DE TORRES</v>
      </c>
      <c r="E1960">
        <v>2015</v>
      </c>
    </row>
    <row r="1961" spans="1:5" hidden="1" x14ac:dyDescent="0.25">
      <c r="A1961" t="str">
        <f>_xlfn.XLOOKUP(C1961, 'Códigos DANE Municipios'!$B$2:$B$1123, 'Códigos DANE Municipios'!$A$2:$A$1123, "No encontrado")</f>
        <v>08634</v>
      </c>
      <c r="B1961" t="str">
        <f>IFERROR(VLOOKUP(D1961,APOYO!K:L,2,FALSE),A1961)</f>
        <v>08634</v>
      </c>
      <c r="C1961" t="s">
        <v>292</v>
      </c>
      <c r="D1961" t="str">
        <f>IFERROR(VLOOKUP(C1961,APOYO!J:K,2,FALSE),C1961)</f>
        <v>SABANAGRANDE</v>
      </c>
      <c r="E1961">
        <v>2015</v>
      </c>
    </row>
    <row r="1962" spans="1:5" hidden="1" x14ac:dyDescent="0.25">
      <c r="A1962" t="str">
        <f>_xlfn.XLOOKUP(C1962, 'Códigos DANE Municipios'!$B$2:$B$1123, 'Códigos DANE Municipios'!$A$2:$A$1123, "No encontrado")</f>
        <v>05628</v>
      </c>
      <c r="B1962" t="str">
        <f>IFERROR(VLOOKUP(D1962,APOYO!K:L,2,FALSE),A1962)</f>
        <v>05628</v>
      </c>
      <c r="C1962" t="s">
        <v>182</v>
      </c>
      <c r="D1962" t="str">
        <f>IFERROR(VLOOKUP(C1962,APOYO!J:K,2,FALSE),C1962)</f>
        <v>SABANALARGA</v>
      </c>
      <c r="E1962">
        <v>2015</v>
      </c>
    </row>
    <row r="1963" spans="1:5" hidden="1" x14ac:dyDescent="0.25">
      <c r="A1963" t="str">
        <f>_xlfn.XLOOKUP(C1963, 'Códigos DANE Municipios'!$B$2:$B$1123, 'Códigos DANE Municipios'!$A$2:$A$1123, "No encontrado")</f>
        <v>05631</v>
      </c>
      <c r="B1963" t="str">
        <f>IFERROR(VLOOKUP(D1963,APOYO!K:L,2,FALSE),A1963)</f>
        <v>05631</v>
      </c>
      <c r="C1963" t="s">
        <v>184</v>
      </c>
      <c r="D1963" t="str">
        <f>IFERROR(VLOOKUP(C1963,APOYO!J:K,2,FALSE),C1963)</f>
        <v>SABANETA</v>
      </c>
      <c r="E1963">
        <v>2015</v>
      </c>
    </row>
    <row r="1964" spans="1:5" hidden="1" x14ac:dyDescent="0.25">
      <c r="A1964" t="str">
        <f>_xlfn.XLOOKUP(C1964, 'Códigos DANE Municipios'!$B$2:$B$1123, 'Códigos DANE Municipios'!$A$2:$A$1123, "No encontrado")</f>
        <v>15632</v>
      </c>
      <c r="B1964" t="str">
        <f>IFERROR(VLOOKUP(D1964,APOYO!K:L,2,FALSE),A1964)</f>
        <v>15632</v>
      </c>
      <c r="C1964" t="s">
        <v>554</v>
      </c>
      <c r="D1964" t="str">
        <f>IFERROR(VLOOKUP(C1964,APOYO!J:K,2,FALSE),C1964)</f>
        <v>SABOYÁ</v>
      </c>
      <c r="E1964">
        <v>2015</v>
      </c>
    </row>
    <row r="1965" spans="1:5" hidden="1" x14ac:dyDescent="0.25">
      <c r="A1965" t="str">
        <f>_xlfn.XLOOKUP(C1965, 'Códigos DANE Municipios'!$B$2:$B$1123, 'Códigos DANE Municipios'!$A$2:$A$1123, "No encontrado")</f>
        <v>15638</v>
      </c>
      <c r="B1965" t="str">
        <f>IFERROR(VLOOKUP(D1965,APOYO!K:L,2,FALSE),A1965)</f>
        <v>15638</v>
      </c>
      <c r="C1965" t="s">
        <v>556</v>
      </c>
      <c r="D1965" t="str">
        <f>IFERROR(VLOOKUP(C1965,APOYO!J:K,2,FALSE),C1965)</f>
        <v>SÁCHICA</v>
      </c>
      <c r="E1965">
        <v>2015</v>
      </c>
    </row>
    <row r="1966" spans="1:5" hidden="1" x14ac:dyDescent="0.25">
      <c r="A1966" t="str">
        <f>_xlfn.XLOOKUP(C1966, 'Códigos DANE Municipios'!$B$2:$B$1123, 'Códigos DANE Municipios'!$A$2:$A$1123, "No encontrado")</f>
        <v>23660</v>
      </c>
      <c r="B1966" t="str">
        <f>IFERROR(VLOOKUP(D1966,APOYO!K:L,2,FALSE),A1966)</f>
        <v>23660</v>
      </c>
      <c r="C1966" t="s">
        <v>897</v>
      </c>
      <c r="D1966" t="str">
        <f>IFERROR(VLOOKUP(C1966,APOYO!J:K,2,FALSE),C1966)</f>
        <v>SAHAGÚN</v>
      </c>
      <c r="E1966">
        <v>2015</v>
      </c>
    </row>
    <row r="1967" spans="1:5" hidden="1" x14ac:dyDescent="0.25">
      <c r="A1967" t="str">
        <f>_xlfn.XLOOKUP(C1967, 'Códigos DANE Municipios'!$B$2:$B$1123, 'Códigos DANE Municipios'!$A$2:$A$1123, "No encontrado")</f>
        <v>41660</v>
      </c>
      <c r="B1967" t="str">
        <f>IFERROR(VLOOKUP(D1967,APOYO!K:L,2,FALSE),A1967)</f>
        <v>41660</v>
      </c>
      <c r="C1967" t="s">
        <v>1251</v>
      </c>
      <c r="D1967" t="str">
        <f>IFERROR(VLOOKUP(C1967,APOYO!J:K,2,FALSE),C1967)</f>
        <v>SALADOBLANCO</v>
      </c>
      <c r="E1967">
        <v>2015</v>
      </c>
    </row>
    <row r="1968" spans="1:5" hidden="1" x14ac:dyDescent="0.25">
      <c r="A1968" t="str">
        <f>_xlfn.XLOOKUP(C1968, 'Códigos DANE Municipios'!$B$2:$B$1123, 'Códigos DANE Municipios'!$A$2:$A$1123, "No encontrado")</f>
        <v>17653</v>
      </c>
      <c r="B1968" t="str">
        <f>IFERROR(VLOOKUP(D1968,APOYO!K:L,2,FALSE),A1968)</f>
        <v>17653</v>
      </c>
      <c r="C1968" t="s">
        <v>684</v>
      </c>
      <c r="D1968" t="str">
        <f>IFERROR(VLOOKUP(C1968,APOYO!J:K,2,FALSE),C1968)</f>
        <v>SALAMINA</v>
      </c>
      <c r="E1968">
        <v>2015</v>
      </c>
    </row>
    <row r="1969" spans="1:5" hidden="1" x14ac:dyDescent="0.25">
      <c r="A1969" t="str">
        <f>_xlfn.XLOOKUP(C1969, 'Códigos DANE Municipios'!$B$2:$B$1123, 'Códigos DANE Municipios'!$A$2:$A$1123, "No encontrado")</f>
        <v>54660</v>
      </c>
      <c r="B1969" t="str">
        <f>IFERROR(VLOOKUP(D1969,APOYO!K:L,2,FALSE),A1969)</f>
        <v>54660</v>
      </c>
      <c r="C1969" t="s">
        <v>1587</v>
      </c>
      <c r="D1969" t="str">
        <f>IFERROR(VLOOKUP(C1969,APOYO!J:K,2,FALSE),C1969)</f>
        <v>SALAZAR</v>
      </c>
      <c r="E1969">
        <v>2015</v>
      </c>
    </row>
    <row r="1970" spans="1:5" hidden="1" x14ac:dyDescent="0.25">
      <c r="A1970" t="str">
        <f>_xlfn.XLOOKUP(C1970, 'Códigos DANE Municipios'!$B$2:$B$1123, 'Códigos DANE Municipios'!$A$2:$A$1123, "No encontrado")</f>
        <v>73671</v>
      </c>
      <c r="B1970" t="str">
        <f>IFERROR(VLOOKUP(D1970,APOYO!K:L,2,FALSE),A1970)</f>
        <v>73671</v>
      </c>
      <c r="C1970" t="s">
        <v>1941</v>
      </c>
      <c r="D1970" t="str">
        <f>IFERROR(VLOOKUP(C1970,APOYO!J:K,2,FALSE),C1970)</f>
        <v>SALDAÑA</v>
      </c>
      <c r="E1970">
        <v>2015</v>
      </c>
    </row>
    <row r="1971" spans="1:5" hidden="1" x14ac:dyDescent="0.25">
      <c r="A1971" t="str">
        <f>_xlfn.XLOOKUP(C1971, 'Códigos DANE Municipios'!$B$2:$B$1123, 'Códigos DANE Municipios'!$A$2:$A$1123, "No encontrado")</f>
        <v>63690</v>
      </c>
      <c r="B1971" t="str">
        <f>IFERROR(VLOOKUP(D1971,APOYO!K:L,2,FALSE),A1971)</f>
        <v>63690</v>
      </c>
      <c r="C1971" t="s">
        <v>1626</v>
      </c>
      <c r="D1971" t="str">
        <f>IFERROR(VLOOKUP(C1971,APOYO!J:K,2,FALSE),C1971)</f>
        <v>SALENTO</v>
      </c>
      <c r="E1971">
        <v>2015</v>
      </c>
    </row>
    <row r="1972" spans="1:5" hidden="1" x14ac:dyDescent="0.25">
      <c r="A1972" t="str">
        <f>_xlfn.XLOOKUP(C1972, 'Códigos DANE Municipios'!$B$2:$B$1123, 'Códigos DANE Municipios'!$A$2:$A$1123, "No encontrado")</f>
        <v>05642</v>
      </c>
      <c r="B1972" t="str">
        <f>IFERROR(VLOOKUP(D1972,APOYO!K:L,2,FALSE),A1972)</f>
        <v>05642</v>
      </c>
      <c r="C1972" t="s">
        <v>186</v>
      </c>
      <c r="D1972" t="str">
        <f>IFERROR(VLOOKUP(C1972,APOYO!J:K,2,FALSE),C1972)</f>
        <v>SALGAR</v>
      </c>
      <c r="E1972">
        <v>2015</v>
      </c>
    </row>
    <row r="1973" spans="1:5" hidden="1" x14ac:dyDescent="0.25">
      <c r="A1973" t="str">
        <f>_xlfn.XLOOKUP(C1973, 'Códigos DANE Municipios'!$B$2:$B$1123, 'Códigos DANE Municipios'!$A$2:$A$1123, "No encontrado")</f>
        <v>15646</v>
      </c>
      <c r="B1973" t="str">
        <f>IFERROR(VLOOKUP(D1973,APOYO!K:L,2,FALSE),A1973)</f>
        <v>15646</v>
      </c>
      <c r="C1973" t="s">
        <v>558</v>
      </c>
      <c r="D1973" t="str">
        <f>IFERROR(VLOOKUP(C1973,APOYO!J:K,2,FALSE),C1973)</f>
        <v>SAMACÁ</v>
      </c>
      <c r="E1973">
        <v>2015</v>
      </c>
    </row>
    <row r="1974" spans="1:5" hidden="1" x14ac:dyDescent="0.25">
      <c r="A1974" t="str">
        <f>_xlfn.XLOOKUP(C1974, 'Códigos DANE Municipios'!$B$2:$B$1123, 'Códigos DANE Municipios'!$A$2:$A$1123, "No encontrado")</f>
        <v>17662</v>
      </c>
      <c r="B1974" t="str">
        <f>IFERROR(VLOOKUP(D1974,APOYO!K:L,2,FALSE),A1974)</f>
        <v>17662</v>
      </c>
      <c r="C1974" t="s">
        <v>686</v>
      </c>
      <c r="D1974" t="str">
        <f>IFERROR(VLOOKUP(C1974,APOYO!J:K,2,FALSE),C1974)</f>
        <v>SAMANÁ</v>
      </c>
      <c r="E1974">
        <v>2015</v>
      </c>
    </row>
    <row r="1975" spans="1:5" hidden="1" x14ac:dyDescent="0.25">
      <c r="A1975" t="str">
        <f>_xlfn.XLOOKUP(C1975, 'Códigos DANE Municipios'!$B$2:$B$1123, 'Códigos DANE Municipios'!$A$2:$A$1123, "No encontrado")</f>
        <v>52678</v>
      </c>
      <c r="B1975" t="str">
        <f>IFERROR(VLOOKUP(D1975,APOYO!K:L,2,FALSE),A1975)</f>
        <v>52678</v>
      </c>
      <c r="C1975" t="s">
        <v>1504</v>
      </c>
      <c r="D1975" t="str">
        <f>IFERROR(VLOOKUP(C1975,APOYO!J:K,2,FALSE),C1975)</f>
        <v>SAMANIEGO</v>
      </c>
      <c r="E1975">
        <v>2015</v>
      </c>
    </row>
    <row r="1976" spans="1:5" hidden="1" x14ac:dyDescent="0.25">
      <c r="A1976" t="str">
        <f>_xlfn.XLOOKUP(C1976, 'Códigos DANE Municipios'!$B$2:$B$1123, 'Códigos DANE Municipios'!$A$2:$A$1123, "No encontrado")</f>
        <v>70670</v>
      </c>
      <c r="B1976" t="str">
        <f>IFERROR(VLOOKUP(D1976,APOYO!K:L,2,FALSE),A1976)</f>
        <v>70670</v>
      </c>
      <c r="C1976" t="s">
        <v>1846</v>
      </c>
      <c r="D1976" t="str">
        <f>IFERROR(VLOOKUP(C1976,APOYO!J:K,2,FALSE),C1976)</f>
        <v>SAMPUÉS</v>
      </c>
      <c r="E1976">
        <v>2015</v>
      </c>
    </row>
    <row r="1977" spans="1:5" hidden="1" x14ac:dyDescent="0.25">
      <c r="A1977" t="str">
        <f>_xlfn.XLOOKUP(C1977, 'Códigos DANE Municipios'!$B$2:$B$1123, 'Códigos DANE Municipios'!$A$2:$A$1123, "No encontrado")</f>
        <v>41668</v>
      </c>
      <c r="B1977" t="str">
        <f>IFERROR(VLOOKUP(D1977,APOYO!K:L,2,FALSE),A1977)</f>
        <v>41668</v>
      </c>
      <c r="C1977" t="s">
        <v>1253</v>
      </c>
      <c r="D1977" t="str">
        <f>IFERROR(VLOOKUP(C1977,APOYO!J:K,2,FALSE),C1977)</f>
        <v>SAN AGUSTÍN</v>
      </c>
      <c r="E1977">
        <v>2015</v>
      </c>
    </row>
    <row r="1978" spans="1:5" hidden="1" x14ac:dyDescent="0.25">
      <c r="A1978" t="str">
        <f>_xlfn.XLOOKUP(C1978, 'Códigos DANE Municipios'!$B$2:$B$1123, 'Códigos DANE Municipios'!$A$2:$A$1123, "No encontrado")</f>
        <v>20710</v>
      </c>
      <c r="B1978" t="str">
        <f>IFERROR(VLOOKUP(D1978,APOYO!K:L,2,FALSE),A1978)</f>
        <v>20710</v>
      </c>
      <c r="C1978" t="s">
        <v>850</v>
      </c>
      <c r="D1978" t="str">
        <f>IFERROR(VLOOKUP(C1978,APOYO!J:K,2,FALSE),C1978)</f>
        <v>SAN ALBERTO</v>
      </c>
      <c r="E1978">
        <v>2015</v>
      </c>
    </row>
    <row r="1979" spans="1:5" hidden="1" x14ac:dyDescent="0.25">
      <c r="A1979" t="str">
        <f>_xlfn.XLOOKUP(C1979, 'Códigos DANE Municipios'!$B$2:$B$1123, 'Códigos DANE Municipios'!$A$2:$A$1123, "No encontrado")</f>
        <v>68669</v>
      </c>
      <c r="B1979" t="str">
        <f>IFERROR(VLOOKUP(D1979,APOYO!K:L,2,FALSE),A1979)</f>
        <v>68669</v>
      </c>
      <c r="C1979" t="s">
        <v>1779</v>
      </c>
      <c r="D1979" t="str">
        <f>IFERROR(VLOOKUP(C1979,APOYO!J:K,2,FALSE),C1979)</f>
        <v>SAN ANDRÉS</v>
      </c>
      <c r="E1979">
        <v>2015</v>
      </c>
    </row>
    <row r="1980" spans="1:5" hidden="1" x14ac:dyDescent="0.25">
      <c r="A1980" t="str">
        <f>_xlfn.XLOOKUP(C1980, 'Códigos DANE Municipios'!$B$2:$B$1123, 'Códigos DANE Municipios'!$A$2:$A$1123, "No encontrado")</f>
        <v>23670</v>
      </c>
      <c r="B1980" t="str">
        <f>IFERROR(VLOOKUP(D1980,APOYO!K:L,2,FALSE),A1980)</f>
        <v>23670</v>
      </c>
      <c r="C1980" t="s">
        <v>899</v>
      </c>
      <c r="D1980" t="str">
        <f>IFERROR(VLOOKUP(C1980,APOYO!J:K,2,FALSE),C1980)</f>
        <v>SAN ANDRÉS DE SOTAVENTO</v>
      </c>
      <c r="E1980">
        <v>2015</v>
      </c>
    </row>
    <row r="1981" spans="1:5" hidden="1" x14ac:dyDescent="0.25">
      <c r="A1981" t="str">
        <f>_xlfn.XLOOKUP(C1981, 'Códigos DANE Municipios'!$B$2:$B$1123, 'Códigos DANE Municipios'!$A$2:$A$1123, "No encontrado")</f>
        <v>23672</v>
      </c>
      <c r="B1981" t="str">
        <f>IFERROR(VLOOKUP(D1981,APOYO!K:L,2,FALSE),A1981)</f>
        <v>23672</v>
      </c>
      <c r="C1981" t="s">
        <v>901</v>
      </c>
      <c r="D1981" t="str">
        <f>IFERROR(VLOOKUP(C1981,APOYO!J:K,2,FALSE),C1981)</f>
        <v>SAN ANTERO</v>
      </c>
      <c r="E1981">
        <v>2015</v>
      </c>
    </row>
    <row r="1982" spans="1:5" hidden="1" x14ac:dyDescent="0.25">
      <c r="A1982" t="str">
        <f>_xlfn.XLOOKUP(C1982, 'Códigos DANE Municipios'!$B$2:$B$1123, 'Códigos DANE Municipios'!$A$2:$A$1123, "No encontrado")</f>
        <v>73675</v>
      </c>
      <c r="B1982" t="str">
        <f>IFERROR(VLOOKUP(D1982,APOYO!K:L,2,FALSE),A1982)</f>
        <v>73675</v>
      </c>
      <c r="C1982" t="s">
        <v>1943</v>
      </c>
      <c r="D1982" t="str">
        <f>IFERROR(VLOOKUP(C1982,APOYO!J:K,2,FALSE),C1982)</f>
        <v>SAN ANTONIO</v>
      </c>
      <c r="E1982">
        <v>2015</v>
      </c>
    </row>
    <row r="1983" spans="1:5" hidden="1" x14ac:dyDescent="0.25">
      <c r="A1983" t="str">
        <f>_xlfn.XLOOKUP(C1983, 'Códigos DANE Municipios'!$B$2:$B$1123, 'Códigos DANE Municipios'!$A$2:$A$1123, "No encontrado")</f>
        <v>25649</v>
      </c>
      <c r="B1983" t="str">
        <f>IFERROR(VLOOKUP(D1983,APOYO!K:L,2,FALSE),A1983)</f>
        <v>25649</v>
      </c>
      <c r="C1983" t="s">
        <v>1065</v>
      </c>
      <c r="D1983" t="str">
        <f>IFERROR(VLOOKUP(C1983,APOYO!J:K,2,FALSE),C1983)</f>
        <v>SAN BERNARDO</v>
      </c>
      <c r="E1983">
        <v>2015</v>
      </c>
    </row>
    <row r="1984" spans="1:5" hidden="1" x14ac:dyDescent="0.25">
      <c r="A1984" t="str">
        <f>_xlfn.XLOOKUP(C1984, 'Códigos DANE Municipios'!$B$2:$B$1123, 'Códigos DANE Municipios'!$A$2:$A$1123, "No encontrado")</f>
        <v>25649</v>
      </c>
      <c r="B1984" t="str">
        <f>IFERROR(VLOOKUP(D1984,APOYO!K:L,2,FALSE),A1984)</f>
        <v>25649</v>
      </c>
      <c r="C1984" t="s">
        <v>1065</v>
      </c>
      <c r="D1984" t="str">
        <f>IFERROR(VLOOKUP(C1984,APOYO!J:K,2,FALSE),C1984)</f>
        <v>SAN BERNARDO</v>
      </c>
      <c r="E1984">
        <v>2015</v>
      </c>
    </row>
    <row r="1985" spans="1:5" hidden="1" x14ac:dyDescent="0.25">
      <c r="A1985" t="str">
        <f>_xlfn.XLOOKUP(C1985, 'Códigos DANE Municipios'!$B$2:$B$1123, 'Códigos DANE Municipios'!$A$2:$A$1123, "No encontrado")</f>
        <v>05649</v>
      </c>
      <c r="B1985" t="str">
        <f>IFERROR(VLOOKUP(D1985,APOYO!K:L,2,FALSE),A1985)</f>
        <v>05649</v>
      </c>
      <c r="C1985" t="s">
        <v>190</v>
      </c>
      <c r="D1985" t="str">
        <f>IFERROR(VLOOKUP(C1985,APOYO!J:K,2,FALSE),C1985)</f>
        <v>SAN CARLOS</v>
      </c>
      <c r="E1985">
        <v>2015</v>
      </c>
    </row>
    <row r="1986" spans="1:5" hidden="1" x14ac:dyDescent="0.25">
      <c r="A1986" t="str">
        <f>_xlfn.XLOOKUP(C1986, 'Códigos DANE Municipios'!$B$2:$B$1123, 'Códigos DANE Municipios'!$A$2:$A$1123, "No encontrado")</f>
        <v>05649</v>
      </c>
      <c r="B1986" t="str">
        <f>IFERROR(VLOOKUP(D1986,APOYO!K:L,2,FALSE),A1986)</f>
        <v>05649</v>
      </c>
      <c r="C1986" t="s">
        <v>190</v>
      </c>
      <c r="D1986" t="str">
        <f>IFERROR(VLOOKUP(C1986,APOYO!J:K,2,FALSE),C1986)</f>
        <v>SAN CARLOS</v>
      </c>
      <c r="E1986">
        <v>2015</v>
      </c>
    </row>
    <row r="1987" spans="1:5" hidden="1" x14ac:dyDescent="0.25">
      <c r="A1987" t="str">
        <f>_xlfn.XLOOKUP(C1987, 'Códigos DANE Municipios'!$B$2:$B$1123, 'Códigos DANE Municipios'!$A$2:$A$1123, "No encontrado")</f>
        <v>20750</v>
      </c>
      <c r="B1987" t="str">
        <f>IFERROR(VLOOKUP(D1987,APOYO!K:L,2,FALSE),A1987)</f>
        <v>20750</v>
      </c>
      <c r="C1987" t="s">
        <v>852</v>
      </c>
      <c r="D1987" t="str">
        <f>IFERROR(VLOOKUP(C1987,APOYO!J:K,2,FALSE),C1987)</f>
        <v>SAN DIEGO</v>
      </c>
      <c r="E1987">
        <v>2015</v>
      </c>
    </row>
    <row r="1988" spans="1:5" hidden="1" x14ac:dyDescent="0.25">
      <c r="A1988" t="str">
        <f>_xlfn.XLOOKUP(C1988, 'Códigos DANE Municipios'!$B$2:$B$1123, 'Códigos DANE Municipios'!$A$2:$A$1123, "No encontrado")</f>
        <v>13647</v>
      </c>
      <c r="B1988" t="str">
        <f>IFERROR(VLOOKUP(D1988,APOYO!K:L,2,FALSE),A1988)</f>
        <v>13647</v>
      </c>
      <c r="C1988" t="s">
        <v>365</v>
      </c>
      <c r="D1988" t="str">
        <f>IFERROR(VLOOKUP(C1988,APOYO!J:K,2,FALSE),C1988)</f>
        <v>SAN ESTANISLAO</v>
      </c>
      <c r="E1988">
        <v>2015</v>
      </c>
    </row>
    <row r="1989" spans="1:5" hidden="1" x14ac:dyDescent="0.25">
      <c r="A1989" t="str">
        <f>_xlfn.XLOOKUP(C1989, 'Códigos DANE Municipios'!$B$2:$B$1123, 'Códigos DANE Municipios'!$A$2:$A$1123, "No encontrado")</f>
        <v>05652</v>
      </c>
      <c r="B1989" t="str">
        <f>IFERROR(VLOOKUP(D1989,APOYO!K:L,2,FALSE),A1989)</f>
        <v>05652</v>
      </c>
      <c r="C1989" t="s">
        <v>192</v>
      </c>
      <c r="D1989" t="str">
        <f>IFERROR(VLOOKUP(C1989,APOYO!J:K,2,FALSE),C1989)</f>
        <v>SAN FRANCISCO</v>
      </c>
      <c r="E1989">
        <v>2015</v>
      </c>
    </row>
    <row r="1990" spans="1:5" hidden="1" x14ac:dyDescent="0.25">
      <c r="A1990" t="str">
        <f>_xlfn.XLOOKUP(C1990, 'Códigos DANE Municipios'!$B$2:$B$1123, 'Códigos DANE Municipios'!$A$2:$A$1123, "No encontrado")</f>
        <v>68679</v>
      </c>
      <c r="B1990" t="str">
        <f>IFERROR(VLOOKUP(D1990,APOYO!K:L,2,FALSE),A1990)</f>
        <v>68679</v>
      </c>
      <c r="C1990" t="s">
        <v>1783</v>
      </c>
      <c r="D1990" t="str">
        <f>IFERROR(VLOOKUP(C1990,APOYO!J:K,2,FALSE),C1990)</f>
        <v>SAN GIL</v>
      </c>
      <c r="E1990">
        <v>2015</v>
      </c>
    </row>
    <row r="1991" spans="1:5" hidden="1" x14ac:dyDescent="0.25">
      <c r="A1991" t="str">
        <f>_xlfn.XLOOKUP(C1991, 'Códigos DANE Municipios'!$B$2:$B$1123, 'Códigos DANE Municipios'!$A$2:$A$1123, "No encontrado")</f>
        <v>13654</v>
      </c>
      <c r="B1991" t="str">
        <f>IFERROR(VLOOKUP(D1991,APOYO!K:L,2,FALSE),A1991)</f>
        <v>13654</v>
      </c>
      <c r="C1991" t="s">
        <v>369</v>
      </c>
      <c r="D1991" t="str">
        <f>IFERROR(VLOOKUP(C1991,APOYO!J:K,2,FALSE),C1991)</f>
        <v>SAN JACINTO</v>
      </c>
      <c r="E1991">
        <v>2015</v>
      </c>
    </row>
    <row r="1992" spans="1:5" hidden="1" x14ac:dyDescent="0.25">
      <c r="A1992" t="str">
        <f>_xlfn.XLOOKUP(C1992, 'Códigos DANE Municipios'!$B$2:$B$1123, 'Códigos DANE Municipios'!$A$2:$A$1123, "No encontrado")</f>
        <v>05656</v>
      </c>
      <c r="B1992" t="str">
        <f>IFERROR(VLOOKUP(D1992,APOYO!K:L,2,FALSE),A1992)</f>
        <v>05656</v>
      </c>
      <c r="C1992" t="s">
        <v>194</v>
      </c>
      <c r="D1992" t="str">
        <f>IFERROR(VLOOKUP(C1992,APOYO!J:K,2,FALSE),C1992)</f>
        <v>SAN JERÓNIMO</v>
      </c>
      <c r="E1992">
        <v>2015</v>
      </c>
    </row>
    <row r="1993" spans="1:5" hidden="1" x14ac:dyDescent="0.25">
      <c r="A1993" t="str">
        <f>_xlfn.XLOOKUP(C1993, 'Códigos DANE Municipios'!$B$2:$B$1123, 'Códigos DANE Municipios'!$A$2:$A$1123, "No encontrado")</f>
        <v>17665</v>
      </c>
      <c r="B1993" t="str">
        <f>IFERROR(VLOOKUP(D1993,APOYO!K:L,2,FALSE),A1993)</f>
        <v>17748</v>
      </c>
      <c r="C1993" t="s">
        <v>688</v>
      </c>
      <c r="D1993" t="str">
        <f>IFERROR(VLOOKUP(C1993,APOYO!J:K,2,FALSE),C1993)</f>
        <v>SAN JOSÉ</v>
      </c>
      <c r="E1993">
        <v>2015</v>
      </c>
    </row>
    <row r="1994" spans="1:5" hidden="1" x14ac:dyDescent="0.25">
      <c r="A1994" t="str">
        <f>_xlfn.XLOOKUP(C1994, 'Códigos DANE Municipios'!$B$2:$B$1123, 'Códigos DANE Municipios'!$A$2:$A$1123, "No encontrado")</f>
        <v>95001</v>
      </c>
      <c r="B1994" t="str">
        <f>IFERROR(VLOOKUP(D1994,APOYO!K:L,2,FALSE),A1994)</f>
        <v>95001</v>
      </c>
      <c r="C1994" t="s">
        <v>2145</v>
      </c>
      <c r="D1994" t="str">
        <f>IFERROR(VLOOKUP(C1994,APOYO!J:K,2,FALSE),C1994)</f>
        <v>SAN JOSÉ DEL GUAVIARE</v>
      </c>
      <c r="E1994">
        <v>2015</v>
      </c>
    </row>
    <row r="1995" spans="1:5" hidden="1" x14ac:dyDescent="0.25">
      <c r="A1995" t="str">
        <f>_xlfn.XLOOKUP(C1995, 'Códigos DANE Municipios'!$B$2:$B$1123, 'Códigos DANE Municipios'!$A$2:$A$1123, "No encontrado")</f>
        <v>23682</v>
      </c>
      <c r="B1995" t="str">
        <f>IFERROR(VLOOKUP(D1995,APOYO!K:L,2,FALSE),A1995)</f>
        <v>23682</v>
      </c>
      <c r="C1995" t="s">
        <v>906</v>
      </c>
      <c r="D1995" t="str">
        <f>IFERROR(VLOOKUP(C1995,APOYO!J:K,2,FALSE),C1995)</f>
        <v>SAN JOSÉ DE URÉ</v>
      </c>
      <c r="E1995">
        <v>2015</v>
      </c>
    </row>
    <row r="1996" spans="1:5" hidden="1" x14ac:dyDescent="0.25">
      <c r="A1996" t="str">
        <f>_xlfn.XLOOKUP(C1996, 'Códigos DANE Municipios'!$B$2:$B$1123, 'Códigos DANE Municipios'!$A$2:$A$1123, "No encontrado")</f>
        <v>44650</v>
      </c>
      <c r="B1996" t="str">
        <f>IFERROR(VLOOKUP(D1996,APOYO!K:L,2,FALSE),A1996)</f>
        <v>44650</v>
      </c>
      <c r="C1996" t="s">
        <v>1293</v>
      </c>
      <c r="D1996" t="str">
        <f>IFERROR(VLOOKUP(C1996,APOYO!J:K,2,FALSE),C1996)</f>
        <v>SAN JUAN DEL CESAR</v>
      </c>
      <c r="E1996">
        <v>2015</v>
      </c>
    </row>
    <row r="1997" spans="1:5" hidden="1" x14ac:dyDescent="0.25">
      <c r="A1997" t="str">
        <f>_xlfn.XLOOKUP(C1997, 'Códigos DANE Municipios'!$B$2:$B$1123, 'Códigos DANE Municipios'!$A$2:$A$1123, "No encontrado")</f>
        <v>13657</v>
      </c>
      <c r="B1997" t="str">
        <f>IFERROR(VLOOKUP(D1997,APOYO!K:L,2,FALSE),A1997)</f>
        <v>13657</v>
      </c>
      <c r="C1997" t="s">
        <v>373</v>
      </c>
      <c r="D1997" t="str">
        <f>IFERROR(VLOOKUP(C1997,APOYO!J:K,2,FALSE),C1997)</f>
        <v>SAN JUAN NEPOMUCENO</v>
      </c>
      <c r="E1997">
        <v>2015</v>
      </c>
    </row>
    <row r="1998" spans="1:5" hidden="1" x14ac:dyDescent="0.25">
      <c r="A1998" t="str">
        <f>_xlfn.XLOOKUP(C1998, 'Códigos DANE Municipios'!$B$2:$B$1123, 'Códigos DANE Municipios'!$A$2:$A$1123, "No encontrado")</f>
        <v>05660</v>
      </c>
      <c r="B1998" t="str">
        <f>IFERROR(VLOOKUP(D1998,APOYO!K:L,2,FALSE),A1998)</f>
        <v>05660</v>
      </c>
      <c r="C1998" t="s">
        <v>200</v>
      </c>
      <c r="D1998" t="str">
        <f>IFERROR(VLOOKUP(C1998,APOYO!J:K,2,FALSE),C1998)</f>
        <v>SAN LUIS</v>
      </c>
      <c r="E1998">
        <v>2015</v>
      </c>
    </row>
    <row r="1999" spans="1:5" hidden="1" x14ac:dyDescent="0.25">
      <c r="A1999" t="str">
        <f>_xlfn.XLOOKUP(C1999, 'Códigos DANE Municipios'!$B$2:$B$1123, 'Códigos DANE Municipios'!$A$2:$A$1123, "No encontrado")</f>
        <v>15667</v>
      </c>
      <c r="B1999" t="str">
        <f>IFERROR(VLOOKUP(D1999,APOYO!K:L,2,FALSE),A1999)</f>
        <v>15667</v>
      </c>
      <c r="C1999" t="s">
        <v>564</v>
      </c>
      <c r="D1999" t="str">
        <f>IFERROR(VLOOKUP(C1999,APOYO!J:K,2,FALSE),C1999)</f>
        <v>SAN LUIS DE GACENO</v>
      </c>
      <c r="E1999">
        <v>2015</v>
      </c>
    </row>
    <row r="2000" spans="1:5" hidden="1" x14ac:dyDescent="0.25">
      <c r="A2000" t="str">
        <f>_xlfn.XLOOKUP(C2000, 'Códigos DANE Municipios'!$B$2:$B$1123, 'Códigos DANE Municipios'!$A$2:$A$1123, "No encontrado")</f>
        <v>85325</v>
      </c>
      <c r="B2000" t="str">
        <f>IFERROR(VLOOKUP(D2000,APOYO!K:L,2,FALSE),A2000)</f>
        <v>85325</v>
      </c>
      <c r="C2000" t="s">
        <v>2075</v>
      </c>
      <c r="D2000" t="str">
        <f>IFERROR(VLOOKUP(C2000,APOYO!J:K,2,FALSE),C2000)</f>
        <v>SAN LUIS DE PALENQUE</v>
      </c>
      <c r="E2000">
        <v>2015</v>
      </c>
    </row>
    <row r="2001" spans="1:5" hidden="1" x14ac:dyDescent="0.25">
      <c r="A2001" t="str">
        <f>_xlfn.XLOOKUP(C2001, 'Códigos DANE Municipios'!$B$2:$B$1123, 'Códigos DANE Municipios'!$A$2:$A$1123, "No encontrado")</f>
        <v>70708</v>
      </c>
      <c r="B2001" t="str">
        <f>IFERROR(VLOOKUP(D2001,APOYO!K:L,2,FALSE),A2001)</f>
        <v>70708</v>
      </c>
      <c r="C2001" t="s">
        <v>1852</v>
      </c>
      <c r="D2001" t="str">
        <f>IFERROR(VLOOKUP(C2001,APOYO!J:K,2,FALSE),C2001)</f>
        <v>SAN MARCOS</v>
      </c>
      <c r="E2001">
        <v>2015</v>
      </c>
    </row>
    <row r="2002" spans="1:5" hidden="1" x14ac:dyDescent="0.25">
      <c r="A2002" t="str">
        <f>_xlfn.XLOOKUP(C2002, 'Códigos DANE Municipios'!$B$2:$B$1123, 'Códigos DANE Municipios'!$A$2:$A$1123, "No encontrado")</f>
        <v>20770</v>
      </c>
      <c r="B2002" t="str">
        <f>IFERROR(VLOOKUP(D2002,APOYO!K:L,2,FALSE),A2002)</f>
        <v>20770</v>
      </c>
      <c r="C2002" t="s">
        <v>854</v>
      </c>
      <c r="D2002" t="str">
        <f>IFERROR(VLOOKUP(C2002,APOYO!J:K,2,FALSE),C2002)</f>
        <v>SAN MARTÍN</v>
      </c>
      <c r="E2002">
        <v>2015</v>
      </c>
    </row>
    <row r="2003" spans="1:5" hidden="1" x14ac:dyDescent="0.25">
      <c r="A2003" t="str">
        <f>_xlfn.XLOOKUP(C2003, 'Códigos DANE Municipios'!$B$2:$B$1123, 'Códigos DANE Municipios'!$A$2:$A$1123, "No encontrado")</f>
        <v>68686</v>
      </c>
      <c r="B2003" t="str">
        <f>IFERROR(VLOOKUP(D2003,APOYO!K:L,2,FALSE),A2003)</f>
        <v>68686</v>
      </c>
      <c r="C2003" t="s">
        <v>1789</v>
      </c>
      <c r="D2003" t="str">
        <f>IFERROR(VLOOKUP(C2003,APOYO!J:K,2,FALSE),C2003)</f>
        <v>SAN MIGUEL</v>
      </c>
      <c r="E2003">
        <v>2015</v>
      </c>
    </row>
    <row r="2004" spans="1:5" hidden="1" x14ac:dyDescent="0.25">
      <c r="A2004" t="str">
        <f>_xlfn.XLOOKUP(C2004, 'Códigos DANE Municipios'!$B$2:$B$1123, 'Códigos DANE Municipios'!$A$2:$A$1123, "No encontrado")</f>
        <v>70713</v>
      </c>
      <c r="B2004" t="str">
        <f>IFERROR(VLOOKUP(D2004,APOYO!K:L,2,FALSE),A2004)</f>
        <v>70713</v>
      </c>
      <c r="C2004" t="s">
        <v>1854</v>
      </c>
      <c r="D2004" t="str">
        <f>IFERROR(VLOOKUP(C2004,APOYO!J:K,2,FALSE),C2004)</f>
        <v>SAN ONOFRE</v>
      </c>
      <c r="E2004">
        <v>2015</v>
      </c>
    </row>
    <row r="2005" spans="1:5" hidden="1" x14ac:dyDescent="0.25">
      <c r="A2005" t="str">
        <f>_xlfn.XLOOKUP(C2005, 'Códigos DANE Municipios'!$B$2:$B$1123, 'Códigos DANE Municipios'!$A$2:$A$1123, "No encontrado")</f>
        <v>13670</v>
      </c>
      <c r="B2005" t="str">
        <f>IFERROR(VLOOKUP(D2005,APOYO!K:L,2,FALSE),A2005)</f>
        <v>13670</v>
      </c>
      <c r="C2005" t="s">
        <v>377</v>
      </c>
      <c r="D2005" t="str">
        <f>IFERROR(VLOOKUP(C2005,APOYO!J:K,2,FALSE),C2005)</f>
        <v>SAN PABLO</v>
      </c>
      <c r="E2005">
        <v>2015</v>
      </c>
    </row>
    <row r="2006" spans="1:5" hidden="1" x14ac:dyDescent="0.25">
      <c r="A2006" t="str">
        <f>_xlfn.XLOOKUP(C2006, 'Códigos DANE Municipios'!$B$2:$B$1123, 'Códigos DANE Municipios'!$A$2:$A$1123, "No encontrado")</f>
        <v>70717</v>
      </c>
      <c r="B2006" t="str">
        <f>IFERROR(VLOOKUP(D2006,APOYO!K:L,2,FALSE),A2006)</f>
        <v>70717</v>
      </c>
      <c r="C2006" t="s">
        <v>1856</v>
      </c>
      <c r="D2006" t="str">
        <f>IFERROR(VLOOKUP(C2006,APOYO!J:K,2,FALSE),C2006)</f>
        <v>SAN PEDRO</v>
      </c>
      <c r="E2006">
        <v>2015</v>
      </c>
    </row>
    <row r="2007" spans="1:5" hidden="1" x14ac:dyDescent="0.25">
      <c r="A2007" t="str">
        <f>_xlfn.XLOOKUP(C2007, 'Códigos DANE Municipios'!$B$2:$B$1123, 'Códigos DANE Municipios'!$A$2:$A$1123, "No encontrado")</f>
        <v>05665</v>
      </c>
      <c r="B2007" t="str">
        <f>IFERROR(VLOOKUP(D2007,APOYO!K:L,2,FALSE),A2007)</f>
        <v>05665</v>
      </c>
      <c r="C2007" t="s">
        <v>204</v>
      </c>
      <c r="D2007" t="str">
        <f>IFERROR(VLOOKUP(C2007,APOYO!J:K,2,FALSE),C2007)</f>
        <v>SAN PEDRO DE URABÁ</v>
      </c>
      <c r="E2007">
        <v>2015</v>
      </c>
    </row>
    <row r="2008" spans="1:5" hidden="1" x14ac:dyDescent="0.25">
      <c r="A2008" t="str">
        <f>_xlfn.XLOOKUP(C2008, 'Códigos DANE Municipios'!$B$2:$B$1123, 'Códigos DANE Municipios'!$A$2:$A$1123, "No encontrado")</f>
        <v>05667</v>
      </c>
      <c r="B2008" t="str">
        <f>IFERROR(VLOOKUP(D2008,APOYO!K:L,2,FALSE),A2008)</f>
        <v>05667</v>
      </c>
      <c r="C2008" t="s">
        <v>206</v>
      </c>
      <c r="D2008" t="str">
        <f>IFERROR(VLOOKUP(C2008,APOYO!J:K,2,FALSE),C2008)</f>
        <v>SAN RAFAEL</v>
      </c>
      <c r="E2008">
        <v>2015</v>
      </c>
    </row>
    <row r="2009" spans="1:5" hidden="1" x14ac:dyDescent="0.25">
      <c r="A2009" t="str">
        <f>_xlfn.XLOOKUP(C2009, 'Códigos DANE Municipios'!$B$2:$B$1123, 'Códigos DANE Municipios'!$A$2:$A$1123, "No encontrado")</f>
        <v>05670</v>
      </c>
      <c r="B2009" t="str">
        <f>IFERROR(VLOOKUP(D2009,APOYO!K:L,2,FALSE),A2009)</f>
        <v>05670</v>
      </c>
      <c r="C2009" t="s">
        <v>208</v>
      </c>
      <c r="D2009" t="str">
        <f>IFERROR(VLOOKUP(C2009,APOYO!J:K,2,FALSE),C2009)</f>
        <v>SAN ROQUE</v>
      </c>
      <c r="E2009">
        <v>2015</v>
      </c>
    </row>
    <row r="2010" spans="1:5" hidden="1" x14ac:dyDescent="0.25">
      <c r="A2010" t="str">
        <f>_xlfn.XLOOKUP(C2010, 'Códigos DANE Municipios'!$B$2:$B$1123, 'Códigos DANE Municipios'!$A$2:$A$1123, "No encontrado")</f>
        <v>19693</v>
      </c>
      <c r="B2010" t="str">
        <f>IFERROR(VLOOKUP(D2010,APOYO!K:L,2,FALSE),A2010)</f>
        <v>19693</v>
      </c>
      <c r="C2010" t="s">
        <v>785</v>
      </c>
      <c r="D2010" t="str">
        <f>IFERROR(VLOOKUP(C2010,APOYO!J:K,2,FALSE),C2010)</f>
        <v>SAN SEBASTIÁN</v>
      </c>
      <c r="E2010">
        <v>2015</v>
      </c>
    </row>
    <row r="2011" spans="1:5" hidden="1" x14ac:dyDescent="0.25">
      <c r="A2011" t="str">
        <f>_xlfn.XLOOKUP(C2011, 'Códigos DANE Municipios'!$B$2:$B$1123, 'Códigos DANE Municipios'!$A$2:$A$1123, "No encontrado")</f>
        <v>47692</v>
      </c>
      <c r="B2011" t="str">
        <f>IFERROR(VLOOKUP(D2011,APOYO!K:L,2,FALSE),A2011)</f>
        <v>47692</v>
      </c>
      <c r="C2011" t="s">
        <v>1342</v>
      </c>
      <c r="D2011" t="str">
        <f>IFERROR(VLOOKUP(C2011,APOYO!J:K,2,FALSE),C2011)</f>
        <v>SAN SEBASTIÁN DE BUENAVISTA</v>
      </c>
      <c r="E2011">
        <v>2015</v>
      </c>
    </row>
    <row r="2012" spans="1:5" hidden="1" x14ac:dyDescent="0.25">
      <c r="A2012" t="str">
        <f>_xlfn.XLOOKUP(C2012, 'Códigos DANE Municipios'!$B$2:$B$1123, 'Códigos DANE Municipios'!$A$2:$A$1123, "No encontrado")</f>
        <v>05674</v>
      </c>
      <c r="B2012" t="str">
        <f>IFERROR(VLOOKUP(D2012,APOYO!K:L,2,FALSE),A2012)</f>
        <v>05674</v>
      </c>
      <c r="C2012" t="s">
        <v>210</v>
      </c>
      <c r="D2012" t="str">
        <f>IFERROR(VLOOKUP(C2012,APOYO!J:K,2,FALSE),C2012)</f>
        <v>SAN VICENTE FERRER</v>
      </c>
      <c r="E2012">
        <v>2015</v>
      </c>
    </row>
    <row r="2013" spans="1:5" hidden="1" x14ac:dyDescent="0.25">
      <c r="A2013" t="str">
        <f>_xlfn.XLOOKUP(C2013, 'Códigos DANE Municipios'!$B$2:$B$1123, 'Códigos DANE Municipios'!$A$2:$A$1123, "No encontrado")</f>
        <v>68689</v>
      </c>
      <c r="B2013" t="str">
        <f>IFERROR(VLOOKUP(D2013,APOYO!K:L,2,FALSE),A2013)</f>
        <v>68689</v>
      </c>
      <c r="C2013" t="s">
        <v>1791</v>
      </c>
      <c r="D2013" t="str">
        <f>IFERROR(VLOOKUP(C2013,APOYO!J:K,2,FALSE),C2013)</f>
        <v>SAN VICENTE DE CHUCURÍ</v>
      </c>
      <c r="E2013">
        <v>2015</v>
      </c>
    </row>
    <row r="2014" spans="1:5" hidden="1" x14ac:dyDescent="0.25">
      <c r="A2014" t="str">
        <f>_xlfn.XLOOKUP(C2014, 'Códigos DANE Municipios'!$B$2:$B$1123, 'Códigos DANE Municipios'!$A$2:$A$1123, "No encontrado")</f>
        <v>18753</v>
      </c>
      <c r="B2014" t="str">
        <f>IFERROR(VLOOKUP(D2014,APOYO!K:L,2,FALSE),A2014)</f>
        <v>18753</v>
      </c>
      <c r="C2014" t="s">
        <v>722</v>
      </c>
      <c r="D2014" t="str">
        <f>IFERROR(VLOOKUP(C2014,APOYO!J:K,2,FALSE),C2014)</f>
        <v>SAN VICENTE DEL CAGUÁN</v>
      </c>
      <c r="E2014">
        <v>2015</v>
      </c>
    </row>
    <row r="2015" spans="1:5" hidden="1" x14ac:dyDescent="0.25">
      <c r="A2015" t="str">
        <f>_xlfn.XLOOKUP(C2015, 'Códigos DANE Municipios'!$B$2:$B$1123, 'Códigos DANE Municipios'!$A$2:$A$1123, "No encontrado")</f>
        <v>52683</v>
      </c>
      <c r="B2015" t="str">
        <f>IFERROR(VLOOKUP(D2015,APOYO!K:L,2,FALSE),A2015)</f>
        <v>52683</v>
      </c>
      <c r="C2015" t="s">
        <v>1506</v>
      </c>
      <c r="D2015" t="str">
        <f>IFERROR(VLOOKUP(C2015,APOYO!J:K,2,FALSE),C2015)</f>
        <v>SANDONÁ</v>
      </c>
      <c r="E2015">
        <v>2015</v>
      </c>
    </row>
    <row r="2016" spans="1:5" hidden="1" x14ac:dyDescent="0.25">
      <c r="A2016" t="str">
        <f>_xlfn.XLOOKUP(C2016, 'Códigos DANE Municipios'!$B$2:$B$1123, 'Códigos DANE Municipios'!$A$2:$A$1123, "No encontrado")</f>
        <v>47707</v>
      </c>
      <c r="B2016" t="str">
        <f>IFERROR(VLOOKUP(D2016,APOYO!K:L,2,FALSE),A2016)</f>
        <v>47707</v>
      </c>
      <c r="C2016" t="s">
        <v>1346</v>
      </c>
      <c r="D2016" t="str">
        <f>IFERROR(VLOOKUP(C2016,APOYO!J:K,2,FALSE),C2016)</f>
        <v>SANTA ANA</v>
      </c>
      <c r="E2016">
        <v>2015</v>
      </c>
    </row>
    <row r="2017" spans="1:5" hidden="1" x14ac:dyDescent="0.25">
      <c r="A2017" t="str">
        <f>_xlfn.XLOOKUP(C2017, 'Códigos DANE Municipios'!$B$2:$B$1123, 'Códigos DANE Municipios'!$A$2:$A$1123, "No encontrado")</f>
        <v>05679</v>
      </c>
      <c r="B2017" t="str">
        <f>IFERROR(VLOOKUP(D2017,APOYO!K:L,2,FALSE),A2017)</f>
        <v>05679</v>
      </c>
      <c r="C2017" t="s">
        <v>212</v>
      </c>
      <c r="D2017" t="str">
        <f>IFERROR(VLOOKUP(C2017,APOYO!J:K,2,FALSE),C2017)</f>
        <v>SANTA BÁRBARA</v>
      </c>
      <c r="E2017">
        <v>2015</v>
      </c>
    </row>
    <row r="2018" spans="1:5" hidden="1" x14ac:dyDescent="0.25">
      <c r="A2018" t="str">
        <f>_xlfn.XLOOKUP(C2018, 'Códigos DANE Municipios'!$B$2:$B$1123, 'Códigos DANE Municipios'!$A$2:$A$1123, "No encontrado")</f>
        <v>13673</v>
      </c>
      <c r="B2018" t="str">
        <f>IFERROR(VLOOKUP(D2018,APOYO!K:L,2,FALSE),A2018)</f>
        <v>13673</v>
      </c>
      <c r="C2018" t="s">
        <v>379</v>
      </c>
      <c r="D2018" t="str">
        <f>IFERROR(VLOOKUP(C2018,APOYO!J:K,2,FALSE),C2018)</f>
        <v>SANTA CATALINA</v>
      </c>
      <c r="E2018">
        <v>2015</v>
      </c>
    </row>
    <row r="2019" spans="1:5" hidden="1" x14ac:dyDescent="0.25">
      <c r="A2019" t="str">
        <f>_xlfn.XLOOKUP(C2019, 'Códigos DANE Municipios'!$B$2:$B$1123, 'Códigos DANE Municipios'!$A$2:$A$1123, "No encontrado")</f>
        <v>73686</v>
      </c>
      <c r="B2019" t="str">
        <f>IFERROR(VLOOKUP(D2019,APOYO!K:L,2,FALSE),A2019)</f>
        <v>73686</v>
      </c>
      <c r="C2019" t="s">
        <v>1946</v>
      </c>
      <c r="D2019" t="str">
        <f>IFERROR(VLOOKUP(C2019,APOYO!J:K,2,FALSE),C2019)</f>
        <v>SANTA ISABEL</v>
      </c>
      <c r="E2019">
        <v>2015</v>
      </c>
    </row>
    <row r="2020" spans="1:5" hidden="1" x14ac:dyDescent="0.25">
      <c r="A2020" t="str">
        <f>_xlfn.XLOOKUP(C2020, 'Códigos DANE Municipios'!$B$2:$B$1123, 'Códigos DANE Municipios'!$A$2:$A$1123, "No encontrado")</f>
        <v>15690</v>
      </c>
      <c r="B2020" t="str">
        <f>IFERROR(VLOOKUP(D2020,APOYO!K:L,2,FALSE),A2020)</f>
        <v>15690</v>
      </c>
      <c r="C2020" t="s">
        <v>574</v>
      </c>
      <c r="D2020" t="str">
        <f>IFERROR(VLOOKUP(C2020,APOYO!J:K,2,FALSE),C2020)</f>
        <v>SANTA MARÍA</v>
      </c>
      <c r="E2020">
        <v>2015</v>
      </c>
    </row>
    <row r="2021" spans="1:5" hidden="1" x14ac:dyDescent="0.25">
      <c r="A2021" t="str">
        <f>_xlfn.XLOOKUP(C2021, 'Códigos DANE Municipios'!$B$2:$B$1123, 'Códigos DANE Municipios'!$A$2:$A$1123, "No encontrado")</f>
        <v>47001</v>
      </c>
      <c r="B2021" t="str">
        <f>IFERROR(VLOOKUP(D2021,APOYO!K:L,2,FALSE),A2021)</f>
        <v>47001</v>
      </c>
      <c r="C2021" t="s">
        <v>1300</v>
      </c>
      <c r="D2021" t="str">
        <f>IFERROR(VLOOKUP(C2021,APOYO!J:K,2,FALSE),C2021)</f>
        <v>SANTA MARTA</v>
      </c>
      <c r="E2021">
        <v>2015</v>
      </c>
    </row>
    <row r="2022" spans="1:5" hidden="1" x14ac:dyDescent="0.25">
      <c r="A2022" t="str">
        <f>_xlfn.XLOOKUP(C2022, 'Códigos DANE Municipios'!$B$2:$B$1123, 'Códigos DANE Municipios'!$A$2:$A$1123, "No encontrado")</f>
        <v>13683</v>
      </c>
      <c r="B2022" t="str">
        <f>IFERROR(VLOOKUP(D2022,APOYO!K:L,2,FALSE),A2022)</f>
        <v>13683</v>
      </c>
      <c r="C2022" t="s">
        <v>381</v>
      </c>
      <c r="D2022" t="str">
        <f>IFERROR(VLOOKUP(C2022,APOYO!J:K,2,FALSE),C2022)</f>
        <v>SANTA ROSA</v>
      </c>
      <c r="E2022">
        <v>2015</v>
      </c>
    </row>
    <row r="2023" spans="1:5" hidden="1" x14ac:dyDescent="0.25">
      <c r="A2023" t="str">
        <f>_xlfn.XLOOKUP(C2023, 'Códigos DANE Municipios'!$B$2:$B$1123, 'Códigos DANE Municipios'!$A$2:$A$1123, "No encontrado")</f>
        <v>66682</v>
      </c>
      <c r="B2023" t="str">
        <f>IFERROR(VLOOKUP(D2023,APOYO!K:L,2,FALSE),A2023)</f>
        <v>66682</v>
      </c>
      <c r="C2023" t="s">
        <v>1651</v>
      </c>
      <c r="D2023" t="str">
        <f>IFERROR(VLOOKUP(C2023,APOYO!J:K,2,FALSE),C2023)</f>
        <v>SANTA ROSA DE CABAL</v>
      </c>
      <c r="E2023">
        <v>2015</v>
      </c>
    </row>
    <row r="2024" spans="1:5" hidden="1" x14ac:dyDescent="0.25">
      <c r="A2024" t="str">
        <f>_xlfn.XLOOKUP(C2024, 'Códigos DANE Municipios'!$B$2:$B$1123, 'Códigos DANE Municipios'!$A$2:$A$1123, "No encontrado")</f>
        <v>15693</v>
      </c>
      <c r="B2024" t="str">
        <f>IFERROR(VLOOKUP(D2024,APOYO!K:L,2,FALSE),A2024)</f>
        <v>15693</v>
      </c>
      <c r="C2024" t="s">
        <v>576</v>
      </c>
      <c r="D2024" t="str">
        <f>IFERROR(VLOOKUP(C2024,APOYO!J:K,2,FALSE),C2024)</f>
        <v>SANTA ROSA DE VITERBO</v>
      </c>
      <c r="E2024">
        <v>2015</v>
      </c>
    </row>
    <row r="2025" spans="1:5" hidden="1" x14ac:dyDescent="0.25">
      <c r="A2025" t="str">
        <f>_xlfn.XLOOKUP(C2025, 'Códigos DANE Municipios'!$B$2:$B$1123, 'Códigos DANE Municipios'!$A$2:$A$1123, "No encontrado")</f>
        <v>13688</v>
      </c>
      <c r="B2025" t="str">
        <f>IFERROR(VLOOKUP(D2025,APOYO!K:L,2,FALSE),A2025)</f>
        <v>13688</v>
      </c>
      <c r="C2025" t="s">
        <v>383</v>
      </c>
      <c r="D2025" t="str">
        <f>IFERROR(VLOOKUP(C2025,APOYO!J:K,2,FALSE),C2025)</f>
        <v>SANTA ROSA DEL SUR</v>
      </c>
      <c r="E2025">
        <v>2015</v>
      </c>
    </row>
    <row r="2026" spans="1:5" hidden="1" x14ac:dyDescent="0.25">
      <c r="A2026" t="str">
        <f>_xlfn.XLOOKUP(C2026, 'Códigos DANE Municipios'!$B$2:$B$1123, 'Códigos DANE Municipios'!$A$2:$A$1123, "No encontrado")</f>
        <v>15686</v>
      </c>
      <c r="B2026" t="str">
        <f>IFERROR(VLOOKUP(D2026,APOYO!K:L,2,FALSE),A2026)</f>
        <v>15686</v>
      </c>
      <c r="C2026" t="s">
        <v>572</v>
      </c>
      <c r="D2026" t="str">
        <f>IFERROR(VLOOKUP(C2026,APOYO!J:K,2,FALSE),C2026)</f>
        <v>SANTANA</v>
      </c>
      <c r="E2026">
        <v>2015</v>
      </c>
    </row>
    <row r="2027" spans="1:5" hidden="1" x14ac:dyDescent="0.25">
      <c r="A2027" t="str">
        <f>_xlfn.XLOOKUP(C2027, 'Códigos DANE Municipios'!$B$2:$B$1123, 'Códigos DANE Municipios'!$A$2:$A$1123, "No encontrado")</f>
        <v>19698</v>
      </c>
      <c r="B2027" t="str">
        <f>IFERROR(VLOOKUP(D2027,APOYO!K:L,2,FALSE),A2027)</f>
        <v>19698</v>
      </c>
      <c r="C2027" t="s">
        <v>787</v>
      </c>
      <c r="D2027" t="str">
        <f>IFERROR(VLOOKUP(C2027,APOYO!J:K,2,FALSE),C2027)</f>
        <v>SANTANDER DE QUILICHAO</v>
      </c>
      <c r="E2027">
        <v>2015</v>
      </c>
    </row>
    <row r="2028" spans="1:5" hidden="1" x14ac:dyDescent="0.25">
      <c r="A2028" t="str">
        <f>_xlfn.XLOOKUP(C2028, 'Códigos DANE Municipios'!$B$2:$B$1123, 'Códigos DANE Municipios'!$A$2:$A$1123, "No encontrado")</f>
        <v>08685</v>
      </c>
      <c r="B2028" t="str">
        <f>IFERROR(VLOOKUP(D2028,APOYO!K:L,2,FALSE),A2028)</f>
        <v>08685</v>
      </c>
      <c r="C2028" t="s">
        <v>297</v>
      </c>
      <c r="D2028" t="str">
        <f>IFERROR(VLOOKUP(C2028,APOYO!J:K,2,FALSE),C2028)</f>
        <v>SANTO TOMÁS</v>
      </c>
      <c r="E2028">
        <v>2015</v>
      </c>
    </row>
    <row r="2029" spans="1:5" hidden="1" x14ac:dyDescent="0.25">
      <c r="A2029" t="str">
        <f>_xlfn.XLOOKUP(C2029, 'Códigos DANE Municipios'!$B$2:$B$1123, 'Códigos DANE Municipios'!$A$2:$A$1123, "No encontrado")</f>
        <v>66687</v>
      </c>
      <c r="B2029" t="str">
        <f>IFERROR(VLOOKUP(D2029,APOYO!K:L,2,FALSE),A2029)</f>
        <v>66687</v>
      </c>
      <c r="C2029" t="s">
        <v>1653</v>
      </c>
      <c r="D2029" t="str">
        <f>IFERROR(VLOOKUP(C2029,APOYO!J:K,2,FALSE),C2029)</f>
        <v>SANTUARIO</v>
      </c>
      <c r="E2029">
        <v>2015</v>
      </c>
    </row>
    <row r="2030" spans="1:5" hidden="1" x14ac:dyDescent="0.25">
      <c r="A2030" t="str">
        <f>_xlfn.XLOOKUP(C2030, 'Códigos DANE Municipios'!$B$2:$B$1123, 'Códigos DANE Municipios'!$A$2:$A$1123, "No encontrado")</f>
        <v>81736</v>
      </c>
      <c r="B2030" t="str">
        <f>IFERROR(VLOOKUP(D2030,APOYO!K:L,2,FALSE),A2030)</f>
        <v>81736</v>
      </c>
      <c r="C2030" t="s">
        <v>2044</v>
      </c>
      <c r="D2030" t="str">
        <f>IFERROR(VLOOKUP(C2030,APOYO!J:K,2,FALSE),C2030)</f>
        <v>SARAVENA</v>
      </c>
      <c r="E2030">
        <v>2015</v>
      </c>
    </row>
    <row r="2031" spans="1:5" hidden="1" x14ac:dyDescent="0.25">
      <c r="A2031" t="str">
        <f>_xlfn.XLOOKUP(C2031, 'Códigos DANE Municipios'!$B$2:$B$1123, 'Códigos DANE Municipios'!$A$2:$A$1123, "No encontrado")</f>
        <v>54720</v>
      </c>
      <c r="B2031" t="str">
        <f>IFERROR(VLOOKUP(D2031,APOYO!K:L,2,FALSE),A2031)</f>
        <v>54720</v>
      </c>
      <c r="C2031" t="s">
        <v>1594</v>
      </c>
      <c r="D2031" t="str">
        <f>IFERROR(VLOOKUP(C2031,APOYO!J:K,2,FALSE),C2031)</f>
        <v>SARDINATA</v>
      </c>
      <c r="E2031">
        <v>2015</v>
      </c>
    </row>
    <row r="2032" spans="1:5" hidden="1" x14ac:dyDescent="0.25">
      <c r="A2032" t="str">
        <f>_xlfn.XLOOKUP(C2032, 'Códigos DANE Municipios'!$B$2:$B$1123, 'Códigos DANE Municipios'!$A$2:$A$1123, "No encontrado")</f>
        <v>25718</v>
      </c>
      <c r="B2032" t="str">
        <f>IFERROR(VLOOKUP(D2032,APOYO!K:L,2,FALSE),A2032)</f>
        <v>25718</v>
      </c>
      <c r="C2032" t="s">
        <v>1072</v>
      </c>
      <c r="D2032" t="str">
        <f>IFERROR(VLOOKUP(C2032,APOYO!J:K,2,FALSE),C2032)</f>
        <v>SASAIMA</v>
      </c>
      <c r="E2032">
        <v>2015</v>
      </c>
    </row>
    <row r="2033" spans="1:5" hidden="1" x14ac:dyDescent="0.25">
      <c r="A2033" t="str">
        <f>_xlfn.XLOOKUP(C2033, 'Códigos DANE Municipios'!$B$2:$B$1123, 'Códigos DANE Municipios'!$A$2:$A$1123, "No encontrado")</f>
        <v>05736</v>
      </c>
      <c r="B2033" t="str">
        <f>IFERROR(VLOOKUP(D2033,APOYO!K:L,2,FALSE),A2033)</f>
        <v>05736</v>
      </c>
      <c r="C2033" t="s">
        <v>220</v>
      </c>
      <c r="D2033" t="str">
        <f>IFERROR(VLOOKUP(C2033,APOYO!J:K,2,FALSE),C2033)</f>
        <v>SEGOVIA</v>
      </c>
      <c r="E2033">
        <v>2015</v>
      </c>
    </row>
    <row r="2034" spans="1:5" hidden="1" x14ac:dyDescent="0.25">
      <c r="A2034" t="str">
        <f>_xlfn.XLOOKUP(C2034, 'Códigos DANE Municipios'!$B$2:$B$1123, 'Códigos DANE Municipios'!$A$2:$A$1123, "No encontrado")</f>
        <v>25736</v>
      </c>
      <c r="B2034" t="str">
        <f>IFERROR(VLOOKUP(D2034,APOYO!K:L,2,FALSE),A2034)</f>
        <v>25736</v>
      </c>
      <c r="C2034" t="s">
        <v>1074</v>
      </c>
      <c r="D2034" t="str">
        <f>IFERROR(VLOOKUP(C2034,APOYO!J:K,2,FALSE),C2034)</f>
        <v>SESQUILÉ</v>
      </c>
      <c r="E2034">
        <v>2015</v>
      </c>
    </row>
    <row r="2035" spans="1:5" hidden="1" x14ac:dyDescent="0.25">
      <c r="A2035" t="str">
        <f>_xlfn.XLOOKUP(C2035, 'Códigos DANE Municipios'!$B$2:$B$1123, 'Códigos DANE Municipios'!$A$2:$A$1123, "No encontrado")</f>
        <v>76736</v>
      </c>
      <c r="B2035" t="str">
        <f>IFERROR(VLOOKUP(D2035,APOYO!K:L,2,FALSE),A2035)</f>
        <v>76736</v>
      </c>
      <c r="C2035" t="s">
        <v>2014</v>
      </c>
      <c r="D2035" t="str">
        <f>IFERROR(VLOOKUP(C2035,APOYO!J:K,2,FALSE),C2035)</f>
        <v>SEVILLA</v>
      </c>
      <c r="E2035">
        <v>2015</v>
      </c>
    </row>
    <row r="2036" spans="1:5" hidden="1" x14ac:dyDescent="0.25">
      <c r="A2036" t="str">
        <f>_xlfn.XLOOKUP(C2036, 'Códigos DANE Municipios'!$B$2:$B$1123, 'Códigos DANE Municipios'!$A$2:$A$1123, "No encontrado")</f>
        <v>25740</v>
      </c>
      <c r="B2036" t="str">
        <f>IFERROR(VLOOKUP(D2036,APOYO!K:L,2,FALSE),A2036)</f>
        <v>25740</v>
      </c>
      <c r="C2036" t="s">
        <v>1076</v>
      </c>
      <c r="D2036" t="str">
        <f>IFERROR(VLOOKUP(C2036,APOYO!J:K,2,FALSE),C2036)</f>
        <v>SIBATÉ</v>
      </c>
      <c r="E2036">
        <v>2015</v>
      </c>
    </row>
    <row r="2037" spans="1:5" hidden="1" x14ac:dyDescent="0.25">
      <c r="A2037" t="str">
        <f>_xlfn.XLOOKUP(C2037, 'Códigos DANE Municipios'!$B$2:$B$1123, 'Códigos DANE Municipios'!$A$2:$A$1123, "No encontrado")</f>
        <v>86749</v>
      </c>
      <c r="B2037" t="str">
        <f>IFERROR(VLOOKUP(D2037,APOYO!K:L,2,FALSE),A2037)</f>
        <v>86749</v>
      </c>
      <c r="C2037" t="s">
        <v>2097</v>
      </c>
      <c r="D2037" t="str">
        <f>IFERROR(VLOOKUP(C2037,APOYO!J:K,2,FALSE),C2037)</f>
        <v>SIBUNDOY</v>
      </c>
      <c r="E2037">
        <v>2015</v>
      </c>
    </row>
    <row r="2038" spans="1:5" hidden="1" x14ac:dyDescent="0.25">
      <c r="A2038" t="str">
        <f>_xlfn.XLOOKUP(C2038, 'Códigos DANE Municipios'!$B$2:$B$1123, 'Códigos DANE Municipios'!$A$2:$A$1123, "No encontrado")</f>
        <v>25743</v>
      </c>
      <c r="B2038" t="str">
        <f>IFERROR(VLOOKUP(D2038,APOYO!K:L,2,FALSE),A2038)</f>
        <v>25743</v>
      </c>
      <c r="C2038" t="s">
        <v>1078</v>
      </c>
      <c r="D2038" t="str">
        <f>IFERROR(VLOOKUP(C2038,APOYO!J:K,2,FALSE),C2038)</f>
        <v>SILVANIA</v>
      </c>
      <c r="E2038">
        <v>2015</v>
      </c>
    </row>
    <row r="2039" spans="1:5" hidden="1" x14ac:dyDescent="0.25">
      <c r="A2039" t="str">
        <f>_xlfn.XLOOKUP(C2039, 'Códigos DANE Municipios'!$B$2:$B$1123, 'Códigos DANE Municipios'!$A$2:$A$1123, "No encontrado")</f>
        <v>19743</v>
      </c>
      <c r="B2039" t="str">
        <f>IFERROR(VLOOKUP(D2039,APOYO!K:L,2,FALSE),A2039)</f>
        <v>19743</v>
      </c>
      <c r="C2039" t="s">
        <v>790</v>
      </c>
      <c r="D2039" t="str">
        <f>IFERROR(VLOOKUP(C2039,APOYO!J:K,2,FALSE),C2039)</f>
        <v>SILVIA</v>
      </c>
      <c r="E2039">
        <v>2015</v>
      </c>
    </row>
    <row r="2040" spans="1:5" hidden="1" x14ac:dyDescent="0.25">
      <c r="A2040" t="str">
        <f>_xlfn.XLOOKUP(C2040, 'Códigos DANE Municipios'!$B$2:$B$1123, 'Códigos DANE Municipios'!$A$2:$A$1123, "No encontrado")</f>
        <v>25745</v>
      </c>
      <c r="B2040" t="str">
        <f>IFERROR(VLOOKUP(D2040,APOYO!K:L,2,FALSE),A2040)</f>
        <v>25745</v>
      </c>
      <c r="C2040" t="s">
        <v>1080</v>
      </c>
      <c r="D2040" t="str">
        <f>IFERROR(VLOOKUP(C2040,APOYO!J:K,2,FALSE),C2040)</f>
        <v>SIMIJACA</v>
      </c>
      <c r="E2040">
        <v>2015</v>
      </c>
    </row>
    <row r="2041" spans="1:5" hidden="1" x14ac:dyDescent="0.25">
      <c r="A2041" t="str">
        <f>_xlfn.XLOOKUP(C2041, 'Códigos DANE Municipios'!$B$2:$B$1123, 'Códigos DANE Municipios'!$A$2:$A$1123, "No encontrado")</f>
        <v>70742</v>
      </c>
      <c r="B2041" t="str">
        <f>IFERROR(VLOOKUP(D2041,APOYO!K:L,2,FALSE),A2041)</f>
        <v>70742</v>
      </c>
      <c r="C2041" t="s">
        <v>1858</v>
      </c>
      <c r="D2041" t="str">
        <f>IFERROR(VLOOKUP(C2041,APOYO!J:K,2,FALSE),C2041)</f>
        <v>SAN LUIS DE SINCÉ</v>
      </c>
      <c r="E2041">
        <v>2015</v>
      </c>
    </row>
    <row r="2042" spans="1:5" hidden="1" x14ac:dyDescent="0.25">
      <c r="A2042" t="str">
        <f>_xlfn.XLOOKUP(C2042, 'Códigos DANE Municipios'!$B$2:$B$1123, 'Códigos DANE Municipios'!$A$2:$A$1123, "No encontrado")</f>
        <v>70001</v>
      </c>
      <c r="B2042" t="str">
        <f>IFERROR(VLOOKUP(D2042,APOYO!K:L,2,FALSE),A2042)</f>
        <v>70001</v>
      </c>
      <c r="C2042" t="s">
        <v>1816</v>
      </c>
      <c r="D2042" t="str">
        <f>IFERROR(VLOOKUP(C2042,APOYO!J:K,2,FALSE),C2042)</f>
        <v>SINCELEJO</v>
      </c>
      <c r="E2042">
        <v>2015</v>
      </c>
    </row>
    <row r="2043" spans="1:5" hidden="1" x14ac:dyDescent="0.25">
      <c r="A2043" t="str">
        <f>_xlfn.XLOOKUP(C2043, 'Códigos DANE Municipios'!$B$2:$B$1123, 'Códigos DANE Municipios'!$A$2:$A$1123, "No encontrado")</f>
        <v>47745</v>
      </c>
      <c r="B2043" t="str">
        <f>IFERROR(VLOOKUP(D2043,APOYO!K:L,2,FALSE),A2043)</f>
        <v>47745</v>
      </c>
      <c r="C2043" t="s">
        <v>1350</v>
      </c>
      <c r="D2043" t="str">
        <f>IFERROR(VLOOKUP(C2043,APOYO!J:K,2,FALSE),C2043)</f>
        <v>SITIONUEVO</v>
      </c>
      <c r="E2043">
        <v>2015</v>
      </c>
    </row>
    <row r="2044" spans="1:5" hidden="1" x14ac:dyDescent="0.25">
      <c r="A2044" t="str">
        <f>_xlfn.XLOOKUP(C2044, 'Códigos DANE Municipios'!$B$2:$B$1123, 'Códigos DANE Municipios'!$A$2:$A$1123, "No encontrado")</f>
        <v>25754</v>
      </c>
      <c r="B2044" t="str">
        <f>IFERROR(VLOOKUP(D2044,APOYO!K:L,2,FALSE),A2044)</f>
        <v>25754</v>
      </c>
      <c r="C2044" t="s">
        <v>1082</v>
      </c>
      <c r="D2044" t="str">
        <f>IFERROR(VLOOKUP(C2044,APOYO!J:K,2,FALSE),C2044)</f>
        <v>SOACHA</v>
      </c>
      <c r="E2044">
        <v>2015</v>
      </c>
    </row>
    <row r="2045" spans="1:5" hidden="1" x14ac:dyDescent="0.25">
      <c r="A2045" t="str">
        <f>_xlfn.XLOOKUP(C2045, 'Códigos DANE Municipios'!$B$2:$B$1123, 'Códigos DANE Municipios'!$A$2:$A$1123, "No encontrado")</f>
        <v>15757</v>
      </c>
      <c r="B2045" t="str">
        <f>IFERROR(VLOOKUP(D2045,APOYO!K:L,2,FALSE),A2045)</f>
        <v>15757</v>
      </c>
      <c r="C2045" t="s">
        <v>590</v>
      </c>
      <c r="D2045" t="str">
        <f>IFERROR(VLOOKUP(C2045,APOYO!J:K,2,FALSE),C2045)</f>
        <v>SOCHA</v>
      </c>
      <c r="E2045">
        <v>2015</v>
      </c>
    </row>
    <row r="2046" spans="1:5" hidden="1" x14ac:dyDescent="0.25">
      <c r="A2046" t="str">
        <f>_xlfn.XLOOKUP(C2046, 'Códigos DANE Municipios'!$B$2:$B$1123, 'Códigos DANE Municipios'!$A$2:$A$1123, "No encontrado")</f>
        <v>68755</v>
      </c>
      <c r="B2046" t="str">
        <f>IFERROR(VLOOKUP(D2046,APOYO!K:L,2,FALSE),A2046)</f>
        <v>68755</v>
      </c>
      <c r="C2046" t="s">
        <v>1798</v>
      </c>
      <c r="D2046" t="str">
        <f>IFERROR(VLOOKUP(C2046,APOYO!J:K,2,FALSE),C2046)</f>
        <v>SOCORRO</v>
      </c>
      <c r="E2046">
        <v>2015</v>
      </c>
    </row>
    <row r="2047" spans="1:5" hidden="1" x14ac:dyDescent="0.25">
      <c r="A2047" t="str">
        <f>_xlfn.XLOOKUP(C2047, 'Códigos DANE Municipios'!$B$2:$B$1123, 'Códigos DANE Municipios'!$A$2:$A$1123, "No encontrado")</f>
        <v>15759</v>
      </c>
      <c r="B2047" t="str">
        <f>IFERROR(VLOOKUP(D2047,APOYO!K:L,2,FALSE),A2047)</f>
        <v>15759</v>
      </c>
      <c r="C2047" t="s">
        <v>592</v>
      </c>
      <c r="D2047" t="str">
        <f>IFERROR(VLOOKUP(C2047,APOYO!J:K,2,FALSE),C2047)</f>
        <v>SOGAMOSO</v>
      </c>
      <c r="E2047">
        <v>2015</v>
      </c>
    </row>
    <row r="2048" spans="1:5" hidden="1" x14ac:dyDescent="0.25">
      <c r="A2048" t="str">
        <f>_xlfn.XLOOKUP(C2048, 'Códigos DANE Municipios'!$B$2:$B$1123, 'Códigos DANE Municipios'!$A$2:$A$1123, "No encontrado")</f>
        <v>18756</v>
      </c>
      <c r="B2048" t="str">
        <f>IFERROR(VLOOKUP(D2048,APOYO!K:L,2,FALSE),A2048)</f>
        <v>18756</v>
      </c>
      <c r="C2048" t="s">
        <v>724</v>
      </c>
      <c r="D2048" t="str">
        <f>IFERROR(VLOOKUP(C2048,APOYO!J:K,2,FALSE),C2048)</f>
        <v>SOLANO</v>
      </c>
      <c r="E2048">
        <v>2015</v>
      </c>
    </row>
    <row r="2049" spans="1:5" hidden="1" x14ac:dyDescent="0.25">
      <c r="A2049" t="str">
        <f>_xlfn.XLOOKUP(C2049, 'Códigos DANE Municipios'!$B$2:$B$1123, 'Códigos DANE Municipios'!$A$2:$A$1123, "No encontrado")</f>
        <v>08758</v>
      </c>
      <c r="B2049" t="str">
        <f>IFERROR(VLOOKUP(D2049,APOYO!K:L,2,FALSE),A2049)</f>
        <v>08758</v>
      </c>
      <c r="C2049" t="s">
        <v>299</v>
      </c>
      <c r="D2049" t="str">
        <f>IFERROR(VLOOKUP(C2049,APOYO!J:K,2,FALSE),C2049)</f>
        <v>SOLEDAD</v>
      </c>
      <c r="E2049">
        <v>2015</v>
      </c>
    </row>
    <row r="2050" spans="1:5" hidden="1" x14ac:dyDescent="0.25">
      <c r="A2050" t="str">
        <f>_xlfn.XLOOKUP(C2050, 'Códigos DANE Municipios'!$B$2:$B$1123, 'Códigos DANE Municipios'!$A$2:$A$1123, "No encontrado")</f>
        <v>15761</v>
      </c>
      <c r="B2050" t="str">
        <f>IFERROR(VLOOKUP(D2050,APOYO!K:L,2,FALSE),A2050)</f>
        <v>15761</v>
      </c>
      <c r="C2050" t="s">
        <v>594</v>
      </c>
      <c r="D2050" t="str">
        <f>IFERROR(VLOOKUP(C2050,APOYO!J:K,2,FALSE),C2050)</f>
        <v>SOMONDOCO</v>
      </c>
      <c r="E2050">
        <v>2015</v>
      </c>
    </row>
    <row r="2051" spans="1:5" hidden="1" x14ac:dyDescent="0.25">
      <c r="A2051" t="str">
        <f>_xlfn.XLOOKUP(C2051, 'Códigos DANE Municipios'!$B$2:$B$1123, 'Códigos DANE Municipios'!$A$2:$A$1123, "No encontrado")</f>
        <v>05756</v>
      </c>
      <c r="B2051" t="str">
        <f>IFERROR(VLOOKUP(D2051,APOYO!K:L,2,FALSE),A2051)</f>
        <v>05756</v>
      </c>
      <c r="C2051" t="s">
        <v>222</v>
      </c>
      <c r="D2051" t="str">
        <f>IFERROR(VLOOKUP(C2051,APOYO!J:K,2,FALSE),C2051)</f>
        <v>SONSÓN</v>
      </c>
      <c r="E2051">
        <v>2015</v>
      </c>
    </row>
    <row r="2052" spans="1:5" hidden="1" x14ac:dyDescent="0.25">
      <c r="A2052" t="str">
        <f>_xlfn.XLOOKUP(C2052, 'Códigos DANE Municipios'!$B$2:$B$1123, 'Códigos DANE Municipios'!$A$2:$A$1123, "No encontrado")</f>
        <v>05761</v>
      </c>
      <c r="B2052" t="str">
        <f>IFERROR(VLOOKUP(D2052,APOYO!K:L,2,FALSE),A2052)</f>
        <v>05761</v>
      </c>
      <c r="C2052" t="s">
        <v>224</v>
      </c>
      <c r="D2052" t="str">
        <f>IFERROR(VLOOKUP(C2052,APOYO!J:K,2,FALSE),C2052)</f>
        <v>SOPETRÁN</v>
      </c>
      <c r="E2052">
        <v>2015</v>
      </c>
    </row>
    <row r="2053" spans="1:5" hidden="1" x14ac:dyDescent="0.25">
      <c r="A2053" t="str">
        <f>_xlfn.XLOOKUP(C2053, 'Códigos DANE Municipios'!$B$2:$B$1123, 'Códigos DANE Municipios'!$A$2:$A$1123, "No encontrado")</f>
        <v>25758</v>
      </c>
      <c r="B2053" t="str">
        <f>IFERROR(VLOOKUP(D2053,APOYO!K:L,2,FALSE),A2053)</f>
        <v>25758</v>
      </c>
      <c r="C2053" t="s">
        <v>1084</v>
      </c>
      <c r="D2053" t="str">
        <f>IFERROR(VLOOKUP(C2053,APOYO!J:K,2,FALSE),C2053)</f>
        <v>SOPÓ</v>
      </c>
      <c r="E2053">
        <v>2015</v>
      </c>
    </row>
    <row r="2054" spans="1:5" hidden="1" x14ac:dyDescent="0.25">
      <c r="A2054" t="str">
        <f>_xlfn.XLOOKUP(C2054, 'Códigos DANE Municipios'!$B$2:$B$1123, 'Códigos DANE Municipios'!$A$2:$A$1123, "No encontrado")</f>
        <v>15762</v>
      </c>
      <c r="B2054" t="str">
        <f>IFERROR(VLOOKUP(D2054,APOYO!K:L,2,FALSE),A2054)</f>
        <v>15762</v>
      </c>
      <c r="C2054" t="s">
        <v>596</v>
      </c>
      <c r="D2054" t="str">
        <f>IFERROR(VLOOKUP(C2054,APOYO!J:K,2,FALSE),C2054)</f>
        <v>SORA</v>
      </c>
      <c r="E2054">
        <v>2015</v>
      </c>
    </row>
    <row r="2055" spans="1:5" hidden="1" x14ac:dyDescent="0.25">
      <c r="A2055" t="str">
        <f>_xlfn.XLOOKUP(C2055, 'Códigos DANE Municipios'!$B$2:$B$1123, 'Códigos DANE Municipios'!$A$2:$A$1123, "No encontrado")</f>
        <v>15763</v>
      </c>
      <c r="B2055" t="str">
        <f>IFERROR(VLOOKUP(D2055,APOYO!K:L,2,FALSE),A2055)</f>
        <v>15763</v>
      </c>
      <c r="C2055" t="s">
        <v>598</v>
      </c>
      <c r="D2055" t="str">
        <f>IFERROR(VLOOKUP(C2055,APOYO!J:K,2,FALSE),C2055)</f>
        <v>SOTAQUIRÁ</v>
      </c>
      <c r="E2055">
        <v>2015</v>
      </c>
    </row>
    <row r="2056" spans="1:5" hidden="1" x14ac:dyDescent="0.25">
      <c r="A2056" t="str">
        <f>_xlfn.XLOOKUP(C2056, 'Códigos DANE Municipios'!$B$2:$B$1123, 'Códigos DANE Municipios'!$A$2:$A$1123, "No encontrado")</f>
        <v>05686</v>
      </c>
      <c r="B2056" t="str">
        <f>IFERROR(VLOOKUP(D2056,APOYO!K:L,2,FALSE),A2056)</f>
        <v>05686</v>
      </c>
      <c r="C2056" t="s">
        <v>214</v>
      </c>
      <c r="D2056" t="str">
        <f>IFERROR(VLOOKUP(C2056,APOYO!J:K,2,FALSE),C2056)</f>
        <v>SANTA ROSA DE OSOS</v>
      </c>
      <c r="E2056">
        <v>2015</v>
      </c>
    </row>
    <row r="2057" spans="1:5" hidden="1" x14ac:dyDescent="0.25">
      <c r="A2057" t="str">
        <f>_xlfn.XLOOKUP(C2057, 'Códigos DANE Municipios'!$B$2:$B$1123, 'Códigos DANE Municipios'!$A$2:$A$1123, "No encontrado")</f>
        <v>68770</v>
      </c>
      <c r="B2057" t="str">
        <f>IFERROR(VLOOKUP(D2057,APOYO!K:L,2,FALSE),A2057)</f>
        <v>68770</v>
      </c>
      <c r="C2057" t="s">
        <v>1800</v>
      </c>
      <c r="D2057" t="str">
        <f>IFERROR(VLOOKUP(C2057,APOYO!J:K,2,FALSE),C2057)</f>
        <v>SUAITA</v>
      </c>
      <c r="E2057">
        <v>2015</v>
      </c>
    </row>
    <row r="2058" spans="1:5" hidden="1" x14ac:dyDescent="0.25">
      <c r="A2058" t="str">
        <f>_xlfn.XLOOKUP(C2058, 'Códigos DANE Municipios'!$B$2:$B$1123, 'Códigos DANE Municipios'!$A$2:$A$1123, "No encontrado")</f>
        <v>08770</v>
      </c>
      <c r="B2058" t="str">
        <f>IFERROR(VLOOKUP(D2058,APOYO!K:L,2,FALSE),A2058)</f>
        <v>08770</v>
      </c>
      <c r="C2058" t="s">
        <v>301</v>
      </c>
      <c r="D2058" t="str">
        <f>IFERROR(VLOOKUP(C2058,APOYO!J:K,2,FALSE),C2058)</f>
        <v>SUAN</v>
      </c>
      <c r="E2058">
        <v>2015</v>
      </c>
    </row>
    <row r="2059" spans="1:5" hidden="1" x14ac:dyDescent="0.25">
      <c r="A2059" t="str">
        <f>_xlfn.XLOOKUP(C2059, 'Códigos DANE Municipios'!$B$2:$B$1123, 'Códigos DANE Municipios'!$A$2:$A$1123, "No encontrado")</f>
        <v>41770</v>
      </c>
      <c r="B2059" t="str">
        <f>IFERROR(VLOOKUP(D2059,APOYO!K:L,2,FALSE),A2059)</f>
        <v>41770</v>
      </c>
      <c r="C2059" t="s">
        <v>1256</v>
      </c>
      <c r="D2059" t="str">
        <f>IFERROR(VLOOKUP(C2059,APOYO!J:K,2,FALSE),C2059)</f>
        <v>SUAZA</v>
      </c>
      <c r="E2059">
        <v>2015</v>
      </c>
    </row>
    <row r="2060" spans="1:5" hidden="1" x14ac:dyDescent="0.25">
      <c r="A2060" t="str">
        <f>_xlfn.XLOOKUP(C2060, 'Códigos DANE Municipios'!$B$2:$B$1123, 'Códigos DANE Municipios'!$A$2:$A$1123, "No encontrado")</f>
        <v>25769</v>
      </c>
      <c r="B2060" t="str">
        <f>IFERROR(VLOOKUP(D2060,APOYO!K:L,2,FALSE),A2060)</f>
        <v>25769</v>
      </c>
      <c r="C2060" t="s">
        <v>1086</v>
      </c>
      <c r="D2060" t="str">
        <f>IFERROR(VLOOKUP(C2060,APOYO!J:K,2,FALSE),C2060)</f>
        <v>SUBACHOQUE</v>
      </c>
      <c r="E2060">
        <v>2015</v>
      </c>
    </row>
    <row r="2061" spans="1:5" hidden="1" x14ac:dyDescent="0.25">
      <c r="A2061" t="str">
        <f>_xlfn.XLOOKUP(C2061, 'Códigos DANE Municipios'!$B$2:$B$1123, 'Códigos DANE Municipios'!$A$2:$A$1123, "No encontrado")</f>
        <v>19785</v>
      </c>
      <c r="B2061" t="str">
        <f>IFERROR(VLOOKUP(D2061,APOYO!K:L,2,FALSE),A2061)</f>
        <v>19785</v>
      </c>
      <c r="C2061" t="s">
        <v>796</v>
      </c>
      <c r="D2061" t="str">
        <f>IFERROR(VLOOKUP(C2061,APOYO!J:K,2,FALSE),C2061)</f>
        <v>SUCRE</v>
      </c>
      <c r="E2061">
        <v>2015</v>
      </c>
    </row>
    <row r="2062" spans="1:5" hidden="1" x14ac:dyDescent="0.25">
      <c r="A2062" t="str">
        <f>_xlfn.XLOOKUP(C2062, 'Códigos DANE Municipios'!$B$2:$B$1123, 'Códigos DANE Municipios'!$A$2:$A$1123, "No encontrado")</f>
        <v>25772</v>
      </c>
      <c r="B2062" t="str">
        <f>IFERROR(VLOOKUP(D2062,APOYO!K:L,2,FALSE),A2062)</f>
        <v>25772</v>
      </c>
      <c r="C2062" t="s">
        <v>1088</v>
      </c>
      <c r="D2062" t="str">
        <f>IFERROR(VLOOKUP(C2062,APOYO!J:K,2,FALSE),C2062)</f>
        <v>SUESCA</v>
      </c>
      <c r="E2062">
        <v>2015</v>
      </c>
    </row>
    <row r="2063" spans="1:5" hidden="1" x14ac:dyDescent="0.25">
      <c r="A2063" t="str">
        <f>_xlfn.XLOOKUP(C2063, 'Códigos DANE Municipios'!$B$2:$B$1123, 'Códigos DANE Municipios'!$A$2:$A$1123, "No encontrado")</f>
        <v>17777</v>
      </c>
      <c r="B2063" t="str">
        <f>IFERROR(VLOOKUP(D2063,APOYO!K:L,2,FALSE),A2063)</f>
        <v>17777</v>
      </c>
      <c r="C2063" t="s">
        <v>690</v>
      </c>
      <c r="D2063" t="str">
        <f>IFERROR(VLOOKUP(C2063,APOYO!J:K,2,FALSE),C2063)</f>
        <v>SUPÍA</v>
      </c>
      <c r="E2063">
        <v>2015</v>
      </c>
    </row>
    <row r="2064" spans="1:5" hidden="1" x14ac:dyDescent="0.25">
      <c r="A2064" t="str">
        <f>_xlfn.XLOOKUP(C2064, 'Códigos DANE Municipios'!$B$2:$B$1123, 'Códigos DANE Municipios'!$A$2:$A$1123, "No encontrado")</f>
        <v>25779</v>
      </c>
      <c r="B2064" t="str">
        <f>IFERROR(VLOOKUP(D2064,APOYO!K:L,2,FALSE),A2064)</f>
        <v>25779</v>
      </c>
      <c r="C2064" t="s">
        <v>1092</v>
      </c>
      <c r="D2064" t="str">
        <f>IFERROR(VLOOKUP(C2064,APOYO!J:K,2,FALSE),C2064)</f>
        <v>SUSA</v>
      </c>
      <c r="E2064">
        <v>2015</v>
      </c>
    </row>
    <row r="2065" spans="1:5" hidden="1" x14ac:dyDescent="0.25">
      <c r="A2065" t="str">
        <f>_xlfn.XLOOKUP(C2065, 'Códigos DANE Municipios'!$B$2:$B$1123, 'Códigos DANE Municipios'!$A$2:$A$1123, "No encontrado")</f>
        <v>15776</v>
      </c>
      <c r="B2065" t="str">
        <f>IFERROR(VLOOKUP(D2065,APOYO!K:L,2,FALSE),A2065)</f>
        <v>15776</v>
      </c>
      <c r="C2065" t="s">
        <v>604</v>
      </c>
      <c r="D2065" t="str">
        <f>IFERROR(VLOOKUP(C2065,APOYO!J:K,2,FALSE),C2065)</f>
        <v>SUTAMARCHÁN</v>
      </c>
      <c r="E2065">
        <v>2015</v>
      </c>
    </row>
    <row r="2066" spans="1:5" hidden="1" x14ac:dyDescent="0.25">
      <c r="A2066" t="str">
        <f>_xlfn.XLOOKUP(C2066, 'Códigos DANE Municipios'!$B$2:$B$1123, 'Códigos DANE Municipios'!$A$2:$A$1123, "No encontrado")</f>
        <v>15778</v>
      </c>
      <c r="B2066" t="str">
        <f>IFERROR(VLOOKUP(D2066,APOYO!K:L,2,FALSE),A2066)</f>
        <v>15778</v>
      </c>
      <c r="C2066" t="s">
        <v>606</v>
      </c>
      <c r="D2066" t="str">
        <f>IFERROR(VLOOKUP(C2066,APOYO!J:K,2,FALSE),C2066)</f>
        <v>SUTATENZA</v>
      </c>
      <c r="E2066">
        <v>2015</v>
      </c>
    </row>
    <row r="2067" spans="1:5" hidden="1" x14ac:dyDescent="0.25">
      <c r="A2067" t="str">
        <f>_xlfn.XLOOKUP(C2067, 'Códigos DANE Municipios'!$B$2:$B$1123, 'Códigos DANE Municipios'!$A$2:$A$1123, "No encontrado")</f>
        <v>25785</v>
      </c>
      <c r="B2067" t="str">
        <f>IFERROR(VLOOKUP(D2067,APOYO!K:L,2,FALSE),A2067)</f>
        <v>25785</v>
      </c>
      <c r="C2067" t="s">
        <v>1096</v>
      </c>
      <c r="D2067" t="str">
        <f>IFERROR(VLOOKUP(C2067,APOYO!J:K,2,FALSE),C2067)</f>
        <v>TABIO</v>
      </c>
      <c r="E2067">
        <v>2015</v>
      </c>
    </row>
    <row r="2068" spans="1:5" hidden="1" x14ac:dyDescent="0.25">
      <c r="A2068" t="str">
        <f>_xlfn.XLOOKUP(C2068, 'Códigos DANE Municipios'!$B$2:$B$1123, 'Códigos DANE Municipios'!$A$2:$A$1123, "No encontrado")</f>
        <v>85400</v>
      </c>
      <c r="B2068" t="str">
        <f>IFERROR(VLOOKUP(D2068,APOYO!K:L,2,FALSE),A2068)</f>
        <v>85400</v>
      </c>
      <c r="C2068" t="s">
        <v>2077</v>
      </c>
      <c r="D2068" t="str">
        <f>IFERROR(VLOOKUP(C2068,APOYO!J:K,2,FALSE),C2068)</f>
        <v>TÁMARA</v>
      </c>
      <c r="E2068">
        <v>2015</v>
      </c>
    </row>
    <row r="2069" spans="1:5" hidden="1" x14ac:dyDescent="0.25">
      <c r="A2069" t="str">
        <f>_xlfn.XLOOKUP(C2069, 'Códigos DANE Municipios'!$B$2:$B$1123, 'Códigos DANE Municipios'!$A$2:$A$1123, "No encontrado")</f>
        <v>81794</v>
      </c>
      <c r="B2069" t="str">
        <f>IFERROR(VLOOKUP(D2069,APOYO!K:L,2,FALSE),A2069)</f>
        <v>81794</v>
      </c>
      <c r="C2069" t="s">
        <v>2046</v>
      </c>
      <c r="D2069" t="str">
        <f>IFERROR(VLOOKUP(C2069,APOYO!J:K,2,FALSE),C2069)</f>
        <v>TAME</v>
      </c>
      <c r="E2069">
        <v>2015</v>
      </c>
    </row>
    <row r="2070" spans="1:5" hidden="1" x14ac:dyDescent="0.25">
      <c r="A2070" t="str">
        <f>_xlfn.XLOOKUP(C2070, 'Códigos DANE Municipios'!$B$2:$B$1123, 'Códigos DANE Municipios'!$A$2:$A$1123, "No encontrado")</f>
        <v>52786</v>
      </c>
      <c r="B2070" t="str">
        <f>IFERROR(VLOOKUP(D2070,APOYO!K:L,2,FALSE),A2070)</f>
        <v>52786</v>
      </c>
      <c r="C2070" t="s">
        <v>1519</v>
      </c>
      <c r="D2070" t="str">
        <f>IFERROR(VLOOKUP(C2070,APOYO!J:K,2,FALSE),C2070)</f>
        <v>TAMINANGO</v>
      </c>
      <c r="E2070">
        <v>2015</v>
      </c>
    </row>
    <row r="2071" spans="1:5" hidden="1" x14ac:dyDescent="0.25">
      <c r="A2071" t="str">
        <f>_xlfn.XLOOKUP(C2071, 'Códigos DANE Municipios'!$B$2:$B$1123, 'Códigos DANE Municipios'!$A$2:$A$1123, "No encontrado")</f>
        <v>41791</v>
      </c>
      <c r="B2071" t="str">
        <f>IFERROR(VLOOKUP(D2071,APOYO!K:L,2,FALSE),A2071)</f>
        <v>41791</v>
      </c>
      <c r="C2071" t="s">
        <v>1258</v>
      </c>
      <c r="D2071" t="str">
        <f>IFERROR(VLOOKUP(C2071,APOYO!J:K,2,FALSE),C2071)</f>
        <v>TARQUI</v>
      </c>
      <c r="E2071">
        <v>2015</v>
      </c>
    </row>
    <row r="2072" spans="1:5" hidden="1" x14ac:dyDescent="0.25">
      <c r="A2072" t="str">
        <f>_xlfn.XLOOKUP(C2072, 'Códigos DANE Municipios'!$B$2:$B$1123, 'Códigos DANE Municipios'!$A$2:$A$1123, "No encontrado")</f>
        <v>85410</v>
      </c>
      <c r="B2072" t="str">
        <f>IFERROR(VLOOKUP(D2072,APOYO!K:L,2,FALSE),A2072)</f>
        <v>85410</v>
      </c>
      <c r="C2072" t="s">
        <v>2079</v>
      </c>
      <c r="D2072" t="str">
        <f>IFERROR(VLOOKUP(C2072,APOYO!J:K,2,FALSE),C2072)</f>
        <v>TAURAMENA</v>
      </c>
      <c r="E2072">
        <v>2015</v>
      </c>
    </row>
    <row r="2073" spans="1:5" hidden="1" x14ac:dyDescent="0.25">
      <c r="A2073" t="str">
        <f>_xlfn.XLOOKUP(C2073, 'Códigos DANE Municipios'!$B$2:$B$1123, 'Códigos DANE Municipios'!$A$2:$A$1123, "No encontrado")</f>
        <v>41799</v>
      </c>
      <c r="B2073" t="str">
        <f>IFERROR(VLOOKUP(D2073,APOYO!K:L,2,FALSE),A2073)</f>
        <v>41799</v>
      </c>
      <c r="C2073" t="s">
        <v>1262</v>
      </c>
      <c r="D2073" t="str">
        <f>IFERROR(VLOOKUP(C2073,APOYO!J:K,2,FALSE),C2073)</f>
        <v>TELLO</v>
      </c>
      <c r="E2073">
        <v>2015</v>
      </c>
    </row>
    <row r="2074" spans="1:5" hidden="1" x14ac:dyDescent="0.25">
      <c r="A2074" t="str">
        <f>_xlfn.XLOOKUP(C2074, 'Códigos DANE Municipios'!$B$2:$B$1123, 'Códigos DANE Municipios'!$A$2:$A$1123, "No encontrado")</f>
        <v>25797</v>
      </c>
      <c r="B2074" t="str">
        <f>IFERROR(VLOOKUP(D2074,APOYO!K:L,2,FALSE),A2074)</f>
        <v>25797</v>
      </c>
      <c r="C2074" t="s">
        <v>1100</v>
      </c>
      <c r="D2074" t="str">
        <f>IFERROR(VLOOKUP(C2074,APOYO!J:K,2,FALSE),C2074)</f>
        <v>TENA</v>
      </c>
      <c r="E2074">
        <v>2015</v>
      </c>
    </row>
    <row r="2075" spans="1:5" hidden="1" x14ac:dyDescent="0.25">
      <c r="A2075" t="str">
        <f>_xlfn.XLOOKUP(C2075, 'Códigos DANE Municipios'!$B$2:$B$1123, 'Códigos DANE Municipios'!$A$2:$A$1123, "No encontrado")</f>
        <v>25799</v>
      </c>
      <c r="B2075" t="str">
        <f>IFERROR(VLOOKUP(D2075,APOYO!K:L,2,FALSE),A2075)</f>
        <v>25799</v>
      </c>
      <c r="C2075" t="s">
        <v>1102</v>
      </c>
      <c r="D2075" t="str">
        <f>IFERROR(VLOOKUP(C2075,APOYO!J:K,2,FALSE),C2075)</f>
        <v>TENJO</v>
      </c>
      <c r="E2075">
        <v>2015</v>
      </c>
    </row>
    <row r="2076" spans="1:5" hidden="1" x14ac:dyDescent="0.25">
      <c r="A2076" t="str">
        <f>_xlfn.XLOOKUP(C2076, 'Códigos DANE Municipios'!$B$2:$B$1123, 'Códigos DANE Municipios'!$A$2:$A$1123, "No encontrado")</f>
        <v>15798</v>
      </c>
      <c r="B2076" t="str">
        <f>IFERROR(VLOOKUP(D2076,APOYO!K:L,2,FALSE),A2076)</f>
        <v>15798</v>
      </c>
      <c r="C2076" t="s">
        <v>610</v>
      </c>
      <c r="D2076" t="str">
        <f>IFERROR(VLOOKUP(C2076,APOYO!J:K,2,FALSE),C2076)</f>
        <v>TENZA</v>
      </c>
      <c r="E2076">
        <v>2015</v>
      </c>
    </row>
    <row r="2077" spans="1:5" hidden="1" x14ac:dyDescent="0.25">
      <c r="A2077" t="str">
        <f>_xlfn.XLOOKUP(C2077, 'Códigos DANE Municipios'!$B$2:$B$1123, 'Códigos DANE Municipios'!$A$2:$A$1123, "No encontrado")</f>
        <v>41801</v>
      </c>
      <c r="B2077" t="str">
        <f>IFERROR(VLOOKUP(D2077,APOYO!K:L,2,FALSE),A2077)</f>
        <v>41801</v>
      </c>
      <c r="C2077" t="s">
        <v>1264</v>
      </c>
      <c r="D2077" t="str">
        <f>IFERROR(VLOOKUP(C2077,APOYO!J:K,2,FALSE),C2077)</f>
        <v>TERUEL</v>
      </c>
      <c r="E2077">
        <v>2015</v>
      </c>
    </row>
    <row r="2078" spans="1:5" hidden="1" x14ac:dyDescent="0.25">
      <c r="A2078" t="str">
        <f>_xlfn.XLOOKUP(C2078, 'Códigos DANE Municipios'!$B$2:$B$1123, 'Códigos DANE Municipios'!$A$2:$A$1123, "No encontrado")</f>
        <v>41797</v>
      </c>
      <c r="B2078" t="str">
        <f>IFERROR(VLOOKUP(D2078,APOYO!K:L,2,FALSE),A2078)</f>
        <v>41797</v>
      </c>
      <c r="C2078" t="s">
        <v>1260</v>
      </c>
      <c r="D2078" t="str">
        <f>IFERROR(VLOOKUP(C2078,APOYO!J:K,2,FALSE),C2078)</f>
        <v>TESALIA</v>
      </c>
      <c r="E2078">
        <v>2015</v>
      </c>
    </row>
    <row r="2079" spans="1:5" hidden="1" x14ac:dyDescent="0.25">
      <c r="A2079" t="str">
        <f>_xlfn.XLOOKUP(C2079, 'Códigos DANE Municipios'!$B$2:$B$1123, 'Códigos DANE Municipios'!$A$2:$A$1123, "No encontrado")</f>
        <v>25805</v>
      </c>
      <c r="B2079" t="str">
        <f>IFERROR(VLOOKUP(D2079,APOYO!K:L,2,FALSE),A2079)</f>
        <v>25805</v>
      </c>
      <c r="C2079" t="s">
        <v>1104</v>
      </c>
      <c r="D2079" t="str">
        <f>IFERROR(VLOOKUP(C2079,APOYO!J:K,2,FALSE),C2079)</f>
        <v>TIBACUY</v>
      </c>
      <c r="E2079">
        <v>2015</v>
      </c>
    </row>
    <row r="2080" spans="1:5" hidden="1" x14ac:dyDescent="0.25">
      <c r="A2080" t="str">
        <f>_xlfn.XLOOKUP(C2080, 'Códigos DANE Municipios'!$B$2:$B$1123, 'Códigos DANE Municipios'!$A$2:$A$1123, "No encontrado")</f>
        <v>15804</v>
      </c>
      <c r="B2080" t="str">
        <f>IFERROR(VLOOKUP(D2080,APOYO!K:L,2,FALSE),A2080)</f>
        <v>15804</v>
      </c>
      <c r="C2080" t="s">
        <v>612</v>
      </c>
      <c r="D2080" t="str">
        <f>IFERROR(VLOOKUP(C2080,APOYO!J:K,2,FALSE),C2080)</f>
        <v>TIBANÁ</v>
      </c>
      <c r="E2080">
        <v>2015</v>
      </c>
    </row>
    <row r="2081" spans="1:5" hidden="1" x14ac:dyDescent="0.25">
      <c r="A2081" t="str">
        <f>_xlfn.XLOOKUP(C2081, 'Códigos DANE Municipios'!$B$2:$B$1123, 'Códigos DANE Municipios'!$A$2:$A$1123, "No encontrado")</f>
        <v>15806</v>
      </c>
      <c r="B2081" t="str">
        <f>IFERROR(VLOOKUP(D2081,APOYO!K:L,2,FALSE),A2081)</f>
        <v>15806</v>
      </c>
      <c r="C2081" t="s">
        <v>614</v>
      </c>
      <c r="D2081" t="str">
        <f>IFERROR(VLOOKUP(C2081,APOYO!J:K,2,FALSE),C2081)</f>
        <v>TIBASOSA</v>
      </c>
      <c r="E2081">
        <v>2015</v>
      </c>
    </row>
    <row r="2082" spans="1:5" hidden="1" x14ac:dyDescent="0.25">
      <c r="A2082" t="str">
        <f>_xlfn.XLOOKUP(C2082, 'Códigos DANE Municipios'!$B$2:$B$1123, 'Códigos DANE Municipios'!$A$2:$A$1123, "No encontrado")</f>
        <v>25807</v>
      </c>
      <c r="B2082" t="str">
        <f>IFERROR(VLOOKUP(D2082,APOYO!K:L,2,FALSE),A2082)</f>
        <v>25807</v>
      </c>
      <c r="C2082" t="s">
        <v>1106</v>
      </c>
      <c r="D2082" t="str">
        <f>IFERROR(VLOOKUP(C2082,APOYO!J:K,2,FALSE),C2082)</f>
        <v>TIBIRITA</v>
      </c>
      <c r="E2082">
        <v>2015</v>
      </c>
    </row>
    <row r="2083" spans="1:5" hidden="1" x14ac:dyDescent="0.25">
      <c r="A2083" t="str">
        <f>_xlfn.XLOOKUP(C2083, 'Códigos DANE Municipios'!$B$2:$B$1123, 'Códigos DANE Municipios'!$A$2:$A$1123, "No encontrado")</f>
        <v>54810</v>
      </c>
      <c r="B2083" t="str">
        <f>IFERROR(VLOOKUP(D2083,APOYO!K:L,2,FALSE),A2083)</f>
        <v>54810</v>
      </c>
      <c r="C2083" t="s">
        <v>1600</v>
      </c>
      <c r="D2083" t="str">
        <f>IFERROR(VLOOKUP(C2083,APOYO!J:K,2,FALSE),C2083)</f>
        <v>TIBÚ</v>
      </c>
      <c r="E2083">
        <v>2015</v>
      </c>
    </row>
    <row r="2084" spans="1:5" hidden="1" x14ac:dyDescent="0.25">
      <c r="A2084" t="str">
        <f>_xlfn.XLOOKUP(C2084, 'Códigos DANE Municipios'!$B$2:$B$1123, 'Códigos DANE Municipios'!$A$2:$A$1123, "No encontrado")</f>
        <v>23807</v>
      </c>
      <c r="B2084" t="str">
        <f>IFERROR(VLOOKUP(D2084,APOYO!K:L,2,FALSE),A2084)</f>
        <v>23807</v>
      </c>
      <c r="C2084" t="s">
        <v>910</v>
      </c>
      <c r="D2084" t="str">
        <f>IFERROR(VLOOKUP(C2084,APOYO!J:K,2,FALSE),C2084)</f>
        <v>TIERRALTA</v>
      </c>
      <c r="E2084">
        <v>2015</v>
      </c>
    </row>
    <row r="2085" spans="1:5" hidden="1" x14ac:dyDescent="0.25">
      <c r="A2085" t="str">
        <f>_xlfn.XLOOKUP(C2085, 'Códigos DANE Municipios'!$B$2:$B$1123, 'Códigos DANE Municipios'!$A$2:$A$1123, "No encontrado")</f>
        <v>41807</v>
      </c>
      <c r="B2085" t="str">
        <f>IFERROR(VLOOKUP(D2085,APOYO!K:L,2,FALSE),A2085)</f>
        <v>41807</v>
      </c>
      <c r="C2085" t="s">
        <v>1266</v>
      </c>
      <c r="D2085" t="str">
        <f>IFERROR(VLOOKUP(C2085,APOYO!J:K,2,FALSE),C2085)</f>
        <v>TIMANÁ</v>
      </c>
      <c r="E2085">
        <v>2015</v>
      </c>
    </row>
    <row r="2086" spans="1:5" hidden="1" x14ac:dyDescent="0.25">
      <c r="A2086" t="str">
        <f>_xlfn.XLOOKUP(C2086, 'Códigos DANE Municipios'!$B$2:$B$1123, 'Códigos DANE Municipios'!$A$2:$A$1123, "No encontrado")</f>
        <v>19807</v>
      </c>
      <c r="B2086" t="str">
        <f>IFERROR(VLOOKUP(D2086,APOYO!K:L,2,FALSE),A2086)</f>
        <v>19807</v>
      </c>
      <c r="C2086" t="s">
        <v>798</v>
      </c>
      <c r="D2086" t="str">
        <f>IFERROR(VLOOKUP(C2086,APOYO!J:K,2,FALSE),C2086)</f>
        <v>TIMBÍO</v>
      </c>
      <c r="E2086">
        <v>2015</v>
      </c>
    </row>
    <row r="2087" spans="1:5" hidden="1" x14ac:dyDescent="0.25">
      <c r="A2087" t="str">
        <f>_xlfn.XLOOKUP(C2087, 'Códigos DANE Municipios'!$B$2:$B$1123, 'Códigos DANE Municipios'!$A$2:$A$1123, "No encontrado")</f>
        <v>19809</v>
      </c>
      <c r="B2087" t="str">
        <f>IFERROR(VLOOKUP(D2087,APOYO!K:L,2,FALSE),A2087)</f>
        <v>19809</v>
      </c>
      <c r="C2087" t="s">
        <v>800</v>
      </c>
      <c r="D2087" t="str">
        <f>IFERROR(VLOOKUP(C2087,APOYO!J:K,2,FALSE),C2087)</f>
        <v>TIMBIQUÍ</v>
      </c>
      <c r="E2087">
        <v>2015</v>
      </c>
    </row>
    <row r="2088" spans="1:5" hidden="1" x14ac:dyDescent="0.25">
      <c r="A2088" t="str">
        <f>_xlfn.XLOOKUP(C2088, 'Códigos DANE Municipios'!$B$2:$B$1123, 'Códigos DANE Municipios'!$A$2:$A$1123, "No encontrado")</f>
        <v>15808</v>
      </c>
      <c r="B2088" t="str">
        <f>IFERROR(VLOOKUP(D2088,APOYO!K:L,2,FALSE),A2088)</f>
        <v>15808</v>
      </c>
      <c r="C2088" t="s">
        <v>616</v>
      </c>
      <c r="D2088" t="str">
        <f>IFERROR(VLOOKUP(C2088,APOYO!J:K,2,FALSE),C2088)</f>
        <v>TINJACÁ</v>
      </c>
      <c r="E2088">
        <v>2015</v>
      </c>
    </row>
    <row r="2089" spans="1:5" hidden="1" x14ac:dyDescent="0.25">
      <c r="A2089" t="str">
        <f>_xlfn.XLOOKUP(C2089, 'Códigos DANE Municipios'!$B$2:$B$1123, 'Códigos DANE Municipios'!$A$2:$A$1123, "No encontrado")</f>
        <v>05809</v>
      </c>
      <c r="B2089" t="str">
        <f>IFERROR(VLOOKUP(D2089,APOYO!K:L,2,FALSE),A2089)</f>
        <v>05809</v>
      </c>
      <c r="C2089" t="s">
        <v>232</v>
      </c>
      <c r="D2089" t="str">
        <f>IFERROR(VLOOKUP(C2089,APOYO!J:K,2,FALSE),C2089)</f>
        <v>TITIRIBÍ</v>
      </c>
      <c r="E2089">
        <v>2015</v>
      </c>
    </row>
    <row r="2090" spans="1:5" hidden="1" x14ac:dyDescent="0.25">
      <c r="A2090" t="str">
        <f>_xlfn.XLOOKUP(C2090, 'Códigos DANE Municipios'!$B$2:$B$1123, 'Códigos DANE Municipios'!$A$2:$A$1123, "No encontrado")</f>
        <v>15814</v>
      </c>
      <c r="B2090" t="str">
        <f>IFERROR(VLOOKUP(D2090,APOYO!K:L,2,FALSE),A2090)</f>
        <v>15814</v>
      </c>
      <c r="C2090" t="s">
        <v>620</v>
      </c>
      <c r="D2090" t="str">
        <f>IFERROR(VLOOKUP(C2090,APOYO!J:K,2,FALSE),C2090)</f>
        <v>TOCA</v>
      </c>
      <c r="E2090">
        <v>2015</v>
      </c>
    </row>
    <row r="2091" spans="1:5" hidden="1" x14ac:dyDescent="0.25">
      <c r="A2091" t="str">
        <f>_xlfn.XLOOKUP(C2091, 'Códigos DANE Municipios'!$B$2:$B$1123, 'Códigos DANE Municipios'!$A$2:$A$1123, "No encontrado")</f>
        <v>25815</v>
      </c>
      <c r="B2091" t="str">
        <f>IFERROR(VLOOKUP(D2091,APOYO!K:L,2,FALSE),A2091)</f>
        <v>25815</v>
      </c>
      <c r="C2091" t="s">
        <v>1108</v>
      </c>
      <c r="D2091" t="str">
        <f>IFERROR(VLOOKUP(C2091,APOYO!J:K,2,FALSE),C2091)</f>
        <v>TOCAIMA</v>
      </c>
      <c r="E2091">
        <v>2015</v>
      </c>
    </row>
    <row r="2092" spans="1:5" hidden="1" x14ac:dyDescent="0.25">
      <c r="A2092" t="str">
        <f>_xlfn.XLOOKUP(C2092, 'Códigos DANE Municipios'!$B$2:$B$1123, 'Códigos DANE Municipios'!$A$2:$A$1123, "No encontrado")</f>
        <v>25817</v>
      </c>
      <c r="B2092" t="str">
        <f>IFERROR(VLOOKUP(D2092,APOYO!K:L,2,FALSE),A2092)</f>
        <v>25817</v>
      </c>
      <c r="C2092" t="s">
        <v>1110</v>
      </c>
      <c r="D2092" t="str">
        <f>IFERROR(VLOOKUP(C2092,APOYO!J:K,2,FALSE),C2092)</f>
        <v>TOCANCIPÁ</v>
      </c>
      <c r="E2092">
        <v>2015</v>
      </c>
    </row>
    <row r="2093" spans="1:5" hidden="1" x14ac:dyDescent="0.25">
      <c r="A2093" t="str">
        <f>_xlfn.XLOOKUP(C2093, 'Códigos DANE Municipios'!$B$2:$B$1123, 'Códigos DANE Municipios'!$A$2:$A$1123, "No encontrado")</f>
        <v>05819</v>
      </c>
      <c r="B2093" t="str">
        <f>IFERROR(VLOOKUP(D2093,APOYO!K:L,2,FALSE),A2093)</f>
        <v>05819</v>
      </c>
      <c r="C2093" t="s">
        <v>234</v>
      </c>
      <c r="D2093" t="str">
        <f>IFERROR(VLOOKUP(C2093,APOYO!J:K,2,FALSE),C2093)</f>
        <v>TOLEDO</v>
      </c>
      <c r="E2093">
        <v>2015</v>
      </c>
    </row>
    <row r="2094" spans="1:5" hidden="1" x14ac:dyDescent="0.25">
      <c r="A2094" t="str">
        <f>_xlfn.XLOOKUP(C2094, 'Códigos DANE Municipios'!$B$2:$B$1123, 'Códigos DANE Municipios'!$A$2:$A$1123, "No encontrado")</f>
        <v>70820</v>
      </c>
      <c r="B2094" t="str">
        <f>IFERROR(VLOOKUP(D2094,APOYO!K:L,2,FALSE),A2094)</f>
        <v>70820</v>
      </c>
      <c r="C2094" t="s">
        <v>1861</v>
      </c>
      <c r="D2094" t="str">
        <f>IFERROR(VLOOKUP(C2094,APOYO!J:K,2,FALSE),C2094)</f>
        <v>SANTIAGO DE TOLÚ</v>
      </c>
      <c r="E2094">
        <v>2015</v>
      </c>
    </row>
    <row r="2095" spans="1:5" hidden="1" x14ac:dyDescent="0.25">
      <c r="A2095" t="str">
        <f>_xlfn.XLOOKUP(C2095, 'Códigos DANE Municipios'!$B$2:$B$1123, 'Códigos DANE Municipios'!$A$2:$A$1123, "No encontrado")</f>
        <v>70823</v>
      </c>
      <c r="B2095" t="str">
        <f>IFERROR(VLOOKUP(D2095,APOYO!K:L,2,FALSE),A2095)</f>
        <v>70823</v>
      </c>
      <c r="C2095" t="s">
        <v>1863</v>
      </c>
      <c r="D2095" t="str">
        <f>IFERROR(VLOOKUP(C2095,APOYO!J:K,2,FALSE),C2095)</f>
        <v>TOLÚ VIEJO</v>
      </c>
      <c r="E2095">
        <v>2015</v>
      </c>
    </row>
    <row r="2096" spans="1:5" hidden="1" x14ac:dyDescent="0.25">
      <c r="A2096" t="str">
        <f>_xlfn.XLOOKUP(C2096, 'Códigos DANE Municipios'!$B$2:$B$1123, 'Códigos DANE Municipios'!$A$2:$A$1123, "No encontrado")</f>
        <v>68820</v>
      </c>
      <c r="B2096" t="str">
        <f>IFERROR(VLOOKUP(D2096,APOYO!K:L,2,FALSE),A2096)</f>
        <v>68820</v>
      </c>
      <c r="C2096" t="s">
        <v>1805</v>
      </c>
      <c r="D2096" t="str">
        <f>IFERROR(VLOOKUP(C2096,APOYO!J:K,2,FALSE),C2096)</f>
        <v>TONA</v>
      </c>
      <c r="E2096">
        <v>2015</v>
      </c>
    </row>
    <row r="2097" spans="1:5" hidden="1" x14ac:dyDescent="0.25">
      <c r="A2097" t="str">
        <f>_xlfn.XLOOKUP(C2097, 'Códigos DANE Municipios'!$B$2:$B$1123, 'Códigos DANE Municipios'!$A$2:$A$1123, "No encontrado")</f>
        <v>76823</v>
      </c>
      <c r="B2097" t="str">
        <f>IFERROR(VLOOKUP(D2097,APOYO!K:L,2,FALSE),A2097)</f>
        <v>76823</v>
      </c>
      <c r="C2097" t="s">
        <v>2016</v>
      </c>
      <c r="D2097" t="str">
        <f>IFERROR(VLOOKUP(C2097,APOYO!J:K,2,FALSE),C2097)</f>
        <v>TORO</v>
      </c>
      <c r="E2097">
        <v>2015</v>
      </c>
    </row>
    <row r="2098" spans="1:5" hidden="1" x14ac:dyDescent="0.25">
      <c r="A2098" t="str">
        <f>_xlfn.XLOOKUP(C2098, 'Códigos DANE Municipios'!$B$2:$B$1123, 'Códigos DANE Municipios'!$A$2:$A$1123, "No encontrado")</f>
        <v>19824</v>
      </c>
      <c r="B2098" t="str">
        <f>IFERROR(VLOOKUP(D2098,APOYO!K:L,2,FALSE),A2098)</f>
        <v>19824</v>
      </c>
      <c r="C2098" t="s">
        <v>804</v>
      </c>
      <c r="D2098" t="str">
        <f>IFERROR(VLOOKUP(C2098,APOYO!J:K,2,FALSE),C2098)</f>
        <v>TOTORÓ</v>
      </c>
      <c r="E2098">
        <v>2015</v>
      </c>
    </row>
    <row r="2099" spans="1:5" hidden="1" x14ac:dyDescent="0.25">
      <c r="A2099" t="str">
        <f>_xlfn.XLOOKUP(C2099, 'Códigos DANE Municipios'!$B$2:$B$1123, 'Códigos DANE Municipios'!$A$2:$A$1123, "No encontrado")</f>
        <v>85430</v>
      </c>
      <c r="B2099" t="str">
        <f>IFERROR(VLOOKUP(D2099,APOYO!K:L,2,FALSE),A2099)</f>
        <v>85430</v>
      </c>
      <c r="C2099" t="s">
        <v>2081</v>
      </c>
      <c r="D2099" t="str">
        <f>IFERROR(VLOOKUP(C2099,APOYO!J:K,2,FALSE),C2099)</f>
        <v>TRINIDAD</v>
      </c>
      <c r="E2099">
        <v>2015</v>
      </c>
    </row>
    <row r="2100" spans="1:5" hidden="1" x14ac:dyDescent="0.25">
      <c r="A2100" t="str">
        <f>_xlfn.XLOOKUP(C2100, 'Códigos DANE Municipios'!$B$2:$B$1123, 'Códigos DANE Municipios'!$A$2:$A$1123, "No encontrado")</f>
        <v>76828</v>
      </c>
      <c r="B2100" t="str">
        <f>IFERROR(VLOOKUP(D2100,APOYO!K:L,2,FALSE),A2100)</f>
        <v>76828</v>
      </c>
      <c r="C2100" t="s">
        <v>2018</v>
      </c>
      <c r="D2100" t="str">
        <f>IFERROR(VLOOKUP(C2100,APOYO!J:K,2,FALSE),C2100)</f>
        <v>TRUJILLO</v>
      </c>
      <c r="E2100">
        <v>2015</v>
      </c>
    </row>
    <row r="2101" spans="1:5" hidden="1" x14ac:dyDescent="0.25">
      <c r="A2101" t="str">
        <f>_xlfn.XLOOKUP(C2101, 'Códigos DANE Municipios'!$B$2:$B$1123, 'Códigos DANE Municipios'!$A$2:$A$1123, "No encontrado")</f>
        <v>08832</v>
      </c>
      <c r="B2101" t="str">
        <f>IFERROR(VLOOKUP(D2101,APOYO!K:L,2,FALSE),A2101)</f>
        <v>08832</v>
      </c>
      <c r="C2101" t="s">
        <v>303</v>
      </c>
      <c r="D2101" t="str">
        <f>IFERROR(VLOOKUP(C2101,APOYO!J:K,2,FALSE),C2101)</f>
        <v>TUBARÁ</v>
      </c>
      <c r="E2101">
        <v>2015</v>
      </c>
    </row>
    <row r="2102" spans="1:5" hidden="1" x14ac:dyDescent="0.25">
      <c r="A2102" t="str">
        <f>_xlfn.XLOOKUP(C2102, 'Códigos DANE Municipios'!$B$2:$B$1123, 'Códigos DANE Municipios'!$A$2:$A$1123, "No encontrado")</f>
        <v>76834</v>
      </c>
      <c r="B2102" t="str">
        <f>IFERROR(VLOOKUP(D2102,APOYO!K:L,2,FALSE),A2102)</f>
        <v>76834</v>
      </c>
      <c r="C2102" t="s">
        <v>2020</v>
      </c>
      <c r="D2102" t="str">
        <f>IFERROR(VLOOKUP(C2102,APOYO!J:K,2,FALSE),C2102)</f>
        <v>TULUÁ</v>
      </c>
      <c r="E2102">
        <v>2015</v>
      </c>
    </row>
    <row r="2103" spans="1:5" hidden="1" x14ac:dyDescent="0.25">
      <c r="A2103" t="str">
        <f>_xlfn.XLOOKUP(C2103, 'Códigos DANE Municipios'!$B$2:$B$1123, 'Códigos DANE Municipios'!$A$2:$A$1123, "No encontrado")</f>
        <v>52835</v>
      </c>
      <c r="B2103" t="str">
        <f>IFERROR(VLOOKUP(D2103,APOYO!K:L,2,FALSE),A2103)</f>
        <v>52835</v>
      </c>
      <c r="C2103" t="s">
        <v>1523</v>
      </c>
      <c r="D2103" t="str">
        <f>IFERROR(VLOOKUP(C2103,APOYO!J:K,2,FALSE),C2103)</f>
        <v>SAN ANDRÉS DE TUMACO</v>
      </c>
      <c r="E2103">
        <v>2015</v>
      </c>
    </row>
    <row r="2104" spans="1:5" hidden="1" x14ac:dyDescent="0.25">
      <c r="A2104" t="str">
        <f>_xlfn.XLOOKUP(C2104, 'Códigos DANE Municipios'!$B$2:$B$1123, 'Códigos DANE Municipios'!$A$2:$A$1123, "No encontrado")</f>
        <v>15001</v>
      </c>
      <c r="B2104" t="str">
        <f>IFERROR(VLOOKUP(D2104,APOYO!K:L,2,FALSE),A2104)</f>
        <v>15001</v>
      </c>
      <c r="C2104" t="s">
        <v>401</v>
      </c>
      <c r="D2104" t="str">
        <f>IFERROR(VLOOKUP(C2104,APOYO!J:K,2,FALSE),C2104)</f>
        <v>TUNJA</v>
      </c>
      <c r="E2104">
        <v>2015</v>
      </c>
    </row>
    <row r="2105" spans="1:5" hidden="1" x14ac:dyDescent="0.25">
      <c r="A2105" t="str">
        <f>_xlfn.XLOOKUP(C2105, 'Códigos DANE Municipios'!$B$2:$B$1123, 'Códigos DANE Municipios'!$A$2:$A$1123, "No encontrado")</f>
        <v>52838</v>
      </c>
      <c r="B2105" t="str">
        <f>IFERROR(VLOOKUP(D2105,APOYO!K:L,2,FALSE),A2105)</f>
        <v>52838</v>
      </c>
      <c r="C2105" t="s">
        <v>1525</v>
      </c>
      <c r="D2105" t="str">
        <f>IFERROR(VLOOKUP(C2105,APOYO!J:K,2,FALSE),C2105)</f>
        <v>TÚQUERRES</v>
      </c>
      <c r="E2105">
        <v>2015</v>
      </c>
    </row>
    <row r="2106" spans="1:5" hidden="1" x14ac:dyDescent="0.25">
      <c r="A2106" t="str">
        <f>_xlfn.XLOOKUP(C2106, 'Códigos DANE Municipios'!$B$2:$B$1123, 'Códigos DANE Municipios'!$A$2:$A$1123, "No encontrado")</f>
        <v>13836</v>
      </c>
      <c r="B2106" t="str">
        <f>IFERROR(VLOOKUP(D2106,APOYO!K:L,2,FALSE),A2106)</f>
        <v>13836</v>
      </c>
      <c r="C2106" t="s">
        <v>393</v>
      </c>
      <c r="D2106" t="str">
        <f>IFERROR(VLOOKUP(C2106,APOYO!J:K,2,FALSE),C2106)</f>
        <v>TURBACO</v>
      </c>
      <c r="E2106">
        <v>2015</v>
      </c>
    </row>
    <row r="2107" spans="1:5" hidden="1" x14ac:dyDescent="0.25">
      <c r="A2107" t="str">
        <f>_xlfn.XLOOKUP(C2107, 'Códigos DANE Municipios'!$B$2:$B$1123, 'Códigos DANE Municipios'!$A$2:$A$1123, "No encontrado")</f>
        <v>13838</v>
      </c>
      <c r="B2107" t="str">
        <f>IFERROR(VLOOKUP(D2107,APOYO!K:L,2,FALSE),A2107)</f>
        <v>13838</v>
      </c>
      <c r="C2107" t="s">
        <v>395</v>
      </c>
      <c r="D2107" t="str">
        <f>IFERROR(VLOOKUP(C2107,APOYO!J:K,2,FALSE),C2107)</f>
        <v>TURBANÁ</v>
      </c>
      <c r="E2107">
        <v>2015</v>
      </c>
    </row>
    <row r="2108" spans="1:5" hidden="1" x14ac:dyDescent="0.25">
      <c r="A2108" t="str">
        <f>_xlfn.XLOOKUP(C2108, 'Códigos DANE Municipios'!$B$2:$B$1123, 'Códigos DANE Municipios'!$A$2:$A$1123, "No encontrado")</f>
        <v>05837</v>
      </c>
      <c r="B2108" t="str">
        <f>IFERROR(VLOOKUP(D2108,APOYO!K:L,2,FALSE),A2108)</f>
        <v>05837</v>
      </c>
      <c r="C2108" t="s">
        <v>236</v>
      </c>
      <c r="D2108" t="str">
        <f>IFERROR(VLOOKUP(C2108,APOYO!J:K,2,FALSE),C2108)</f>
        <v>TURBO</v>
      </c>
      <c r="E2108">
        <v>2015</v>
      </c>
    </row>
    <row r="2109" spans="1:5" hidden="1" x14ac:dyDescent="0.25">
      <c r="A2109" t="str">
        <f>_xlfn.XLOOKUP(C2109, 'Códigos DANE Municipios'!$B$2:$B$1123, 'Códigos DANE Municipios'!$A$2:$A$1123, "No encontrado")</f>
        <v>15835</v>
      </c>
      <c r="B2109" t="str">
        <f>IFERROR(VLOOKUP(D2109,APOYO!K:L,2,FALSE),A2109)</f>
        <v>15835</v>
      </c>
      <c r="C2109" t="s">
        <v>630</v>
      </c>
      <c r="D2109" t="str">
        <f>IFERROR(VLOOKUP(C2109,APOYO!J:K,2,FALSE),C2109)</f>
        <v>TURMEQUÉ</v>
      </c>
      <c r="E2109">
        <v>2015</v>
      </c>
    </row>
    <row r="2110" spans="1:5" hidden="1" x14ac:dyDescent="0.25">
      <c r="A2110" t="str">
        <f>_xlfn.XLOOKUP(C2110, 'Códigos DANE Municipios'!$B$2:$B$1123, 'Códigos DANE Municipios'!$A$2:$A$1123, "No encontrado")</f>
        <v>15837</v>
      </c>
      <c r="B2110" t="str">
        <f>IFERROR(VLOOKUP(D2110,APOYO!K:L,2,FALSE),A2110)</f>
        <v>15837</v>
      </c>
      <c r="C2110" t="s">
        <v>632</v>
      </c>
      <c r="D2110" t="str">
        <f>IFERROR(VLOOKUP(C2110,APOYO!J:K,2,FALSE),C2110)</f>
        <v>TUTA</v>
      </c>
      <c r="E2110">
        <v>2015</v>
      </c>
    </row>
    <row r="2111" spans="1:5" hidden="1" x14ac:dyDescent="0.25">
      <c r="A2111" t="str">
        <f>_xlfn.XLOOKUP(C2111, 'Códigos DANE Municipios'!$B$2:$B$1123, 'Códigos DANE Municipios'!$A$2:$A$1123, "No encontrado")</f>
        <v>25839</v>
      </c>
      <c r="B2111" t="str">
        <f>IFERROR(VLOOKUP(D2111,APOYO!K:L,2,FALSE),A2111)</f>
        <v>25839</v>
      </c>
      <c r="C2111" t="s">
        <v>1114</v>
      </c>
      <c r="D2111" t="str">
        <f>IFERROR(VLOOKUP(C2111,APOYO!J:K,2,FALSE),C2111)</f>
        <v>UBALÁ</v>
      </c>
      <c r="E2111">
        <v>2015</v>
      </c>
    </row>
    <row r="2112" spans="1:5" hidden="1" x14ac:dyDescent="0.25">
      <c r="A2112" t="str">
        <f>_xlfn.XLOOKUP(C2112, 'Códigos DANE Municipios'!$B$2:$B$1123, 'Códigos DANE Municipios'!$A$2:$A$1123, "No encontrado")</f>
        <v>25841</v>
      </c>
      <c r="B2112" t="str">
        <f>IFERROR(VLOOKUP(D2112,APOYO!K:L,2,FALSE),A2112)</f>
        <v>25841</v>
      </c>
      <c r="C2112" t="s">
        <v>1116</v>
      </c>
      <c r="D2112" t="str">
        <f>IFERROR(VLOOKUP(C2112,APOYO!J:K,2,FALSE),C2112)</f>
        <v>UBAQUE</v>
      </c>
      <c r="E2112">
        <v>2015</v>
      </c>
    </row>
    <row r="2113" spans="1:5" hidden="1" x14ac:dyDescent="0.25">
      <c r="A2113" t="str">
        <f>_xlfn.XLOOKUP(C2113, 'Códigos DANE Municipios'!$B$2:$B$1123, 'Códigos DANE Municipios'!$A$2:$A$1123, "No encontrado")</f>
        <v>25843</v>
      </c>
      <c r="B2113" t="str">
        <f>IFERROR(VLOOKUP(D2113,APOYO!K:L,2,FALSE),A2113)</f>
        <v>25843</v>
      </c>
      <c r="C2113" t="s">
        <v>1118</v>
      </c>
      <c r="D2113" t="str">
        <f>IFERROR(VLOOKUP(C2113,APOYO!J:K,2,FALSE),C2113)</f>
        <v>VILLA DE SAN DIEGO DE UBATÉ</v>
      </c>
      <c r="E2113">
        <v>2015</v>
      </c>
    </row>
    <row r="2114" spans="1:5" hidden="1" x14ac:dyDescent="0.25">
      <c r="A2114" t="str">
        <f>_xlfn.XLOOKUP(C2114, 'Códigos DANE Municipios'!$B$2:$B$1123, 'Códigos DANE Municipios'!$A$2:$A$1123, "No encontrado")</f>
        <v>76845</v>
      </c>
      <c r="B2114" t="str">
        <f>IFERROR(VLOOKUP(D2114,APOYO!K:L,2,FALSE),A2114)</f>
        <v>76845</v>
      </c>
      <c r="C2114" t="s">
        <v>2022</v>
      </c>
      <c r="D2114" t="str">
        <f>IFERROR(VLOOKUP(C2114,APOYO!J:K,2,FALSE),C2114)</f>
        <v>ULLOA</v>
      </c>
      <c r="E2114">
        <v>2015</v>
      </c>
    </row>
    <row r="2115" spans="1:5" hidden="1" x14ac:dyDescent="0.25">
      <c r="A2115" t="str">
        <f>_xlfn.XLOOKUP(C2115, 'Códigos DANE Municipios'!$B$2:$B$1123, 'Códigos DANE Municipios'!$A$2:$A$1123, "No encontrado")</f>
        <v>15842</v>
      </c>
      <c r="B2115" t="str">
        <f>IFERROR(VLOOKUP(D2115,APOYO!K:L,2,FALSE),A2115)</f>
        <v>15842</v>
      </c>
      <c r="C2115" t="s">
        <v>636</v>
      </c>
      <c r="D2115" t="str">
        <f>IFERROR(VLOOKUP(C2115,APOYO!J:K,2,FALSE),C2115)</f>
        <v>ÚMBITA</v>
      </c>
      <c r="E2115">
        <v>2015</v>
      </c>
    </row>
    <row r="2116" spans="1:5" hidden="1" x14ac:dyDescent="0.25">
      <c r="A2116" t="str">
        <f>_xlfn.XLOOKUP(C2116, 'Códigos DANE Municipios'!$B$2:$B$1123, 'Códigos DANE Municipios'!$A$2:$A$1123, "No encontrado")</f>
        <v>25845</v>
      </c>
      <c r="B2116" t="str">
        <f>IFERROR(VLOOKUP(D2116,APOYO!K:L,2,FALSE),A2116)</f>
        <v>25845</v>
      </c>
      <c r="C2116" t="s">
        <v>1120</v>
      </c>
      <c r="D2116" t="str">
        <f>IFERROR(VLOOKUP(C2116,APOYO!J:K,2,FALSE),C2116)</f>
        <v>UNE</v>
      </c>
      <c r="E2116">
        <v>2015</v>
      </c>
    </row>
    <row r="2117" spans="1:5" hidden="1" x14ac:dyDescent="0.25">
      <c r="A2117" t="str">
        <f>_xlfn.XLOOKUP(C2117, 'Códigos DANE Municipios'!$B$2:$B$1123, 'Códigos DANE Municipios'!$A$2:$A$1123, "No encontrado")</f>
        <v>27800</v>
      </c>
      <c r="B2117" t="str">
        <f>IFERROR(VLOOKUP(D2117,APOYO!K:L,2,FALSE),A2117)</f>
        <v>27800</v>
      </c>
      <c r="C2117" t="s">
        <v>1197</v>
      </c>
      <c r="D2117" t="str">
        <f>IFERROR(VLOOKUP(C2117,APOYO!J:K,2,FALSE),C2117)</f>
        <v>UNGUÍA</v>
      </c>
      <c r="E2117">
        <v>2015</v>
      </c>
    </row>
    <row r="2118" spans="1:5" hidden="1" x14ac:dyDescent="0.25">
      <c r="A2118" t="str">
        <f>_xlfn.XLOOKUP(C2118, 'Códigos DANE Municipios'!$B$2:$B$1123, 'Códigos DANE Municipios'!$A$2:$A$1123, "No encontrado")</f>
        <v>44847</v>
      </c>
      <c r="B2118" t="str">
        <f>IFERROR(VLOOKUP(D2118,APOYO!K:L,2,FALSE),A2118)</f>
        <v>44847</v>
      </c>
      <c r="C2118" t="s">
        <v>1295</v>
      </c>
      <c r="D2118" t="str">
        <f>IFERROR(VLOOKUP(C2118,APOYO!J:K,2,FALSE),C2118)</f>
        <v>URIBIA</v>
      </c>
      <c r="E2118">
        <v>2015</v>
      </c>
    </row>
    <row r="2119" spans="1:5" hidden="1" x14ac:dyDescent="0.25">
      <c r="A2119" t="str">
        <f>_xlfn.XLOOKUP(C2119, 'Códigos DANE Municipios'!$B$2:$B$1123, 'Códigos DANE Municipios'!$A$2:$A$1123, "No encontrado")</f>
        <v>05847</v>
      </c>
      <c r="B2119" t="str">
        <f>IFERROR(VLOOKUP(D2119,APOYO!K:L,2,FALSE),A2119)</f>
        <v>05847</v>
      </c>
      <c r="C2119" t="s">
        <v>240</v>
      </c>
      <c r="D2119" t="str">
        <f>IFERROR(VLOOKUP(C2119,APOYO!J:K,2,FALSE),C2119)</f>
        <v>URRAO</v>
      </c>
      <c r="E2119">
        <v>2015</v>
      </c>
    </row>
    <row r="2120" spans="1:5" hidden="1" x14ac:dyDescent="0.25">
      <c r="A2120" t="str">
        <f>_xlfn.XLOOKUP(C2120, 'Códigos DANE Municipios'!$B$2:$B$1123, 'Códigos DANE Municipios'!$A$2:$A$1123, "No encontrado")</f>
        <v>44855</v>
      </c>
      <c r="B2120" t="str">
        <f>IFERROR(VLOOKUP(D2120,APOYO!K:L,2,FALSE),A2120)</f>
        <v>44855</v>
      </c>
      <c r="C2120" t="s">
        <v>1297</v>
      </c>
      <c r="D2120" t="str">
        <f>IFERROR(VLOOKUP(C2120,APOYO!J:K,2,FALSE),C2120)</f>
        <v>URUMITA</v>
      </c>
      <c r="E2120">
        <v>2015</v>
      </c>
    </row>
    <row r="2121" spans="1:5" hidden="1" x14ac:dyDescent="0.25">
      <c r="A2121" t="str">
        <f>_xlfn.XLOOKUP(C2121, 'Códigos DANE Municipios'!$B$2:$B$1123, 'Códigos DANE Municipios'!$A$2:$A$1123, "No encontrado")</f>
        <v>08849</v>
      </c>
      <c r="B2121" t="str">
        <f>IFERROR(VLOOKUP(D2121,APOYO!K:L,2,FALSE),A2121)</f>
        <v>08849</v>
      </c>
      <c r="C2121" t="s">
        <v>305</v>
      </c>
      <c r="D2121" t="str">
        <f>IFERROR(VLOOKUP(C2121,APOYO!J:K,2,FALSE),C2121)</f>
        <v>USIACURÍ</v>
      </c>
      <c r="E2121">
        <v>2015</v>
      </c>
    </row>
    <row r="2122" spans="1:5" hidden="1" x14ac:dyDescent="0.25">
      <c r="A2122" t="str">
        <f>_xlfn.XLOOKUP(C2122, 'Códigos DANE Municipios'!$B$2:$B$1123, 'Códigos DANE Municipios'!$A$2:$A$1123, "No encontrado")</f>
        <v>25851</v>
      </c>
      <c r="B2122" t="str">
        <f>IFERROR(VLOOKUP(D2122,APOYO!K:L,2,FALSE),A2122)</f>
        <v>25851</v>
      </c>
      <c r="C2122" t="s">
        <v>1122</v>
      </c>
      <c r="D2122" t="str">
        <f>IFERROR(VLOOKUP(C2122,APOYO!J:K,2,FALSE),C2122)</f>
        <v>ÚTICA</v>
      </c>
      <c r="E2122">
        <v>2015</v>
      </c>
    </row>
    <row r="2123" spans="1:5" hidden="1" x14ac:dyDescent="0.25">
      <c r="A2123" t="str">
        <f>_xlfn.XLOOKUP(C2123, 'Códigos DANE Municipios'!$B$2:$B$1123, 'Códigos DANE Municipios'!$A$2:$A$1123, "No encontrado")</f>
        <v>23855</v>
      </c>
      <c r="B2123" t="str">
        <f>IFERROR(VLOOKUP(D2123,APOYO!K:L,2,FALSE),A2123)</f>
        <v>23855</v>
      </c>
      <c r="C2123" t="s">
        <v>914</v>
      </c>
      <c r="D2123" t="str">
        <f>IFERROR(VLOOKUP(C2123,APOYO!J:K,2,FALSE),C2123)</f>
        <v>VALENCIA</v>
      </c>
      <c r="E2123">
        <v>2015</v>
      </c>
    </row>
    <row r="2124" spans="1:5" hidden="1" x14ac:dyDescent="0.25">
      <c r="A2124" t="str">
        <f>_xlfn.XLOOKUP(C2124, 'Códigos DANE Municipios'!$B$2:$B$1123, 'Códigos DANE Municipios'!$A$2:$A$1123, "No encontrado")</f>
        <v>68855</v>
      </c>
      <c r="B2124" t="str">
        <f>IFERROR(VLOOKUP(D2124,APOYO!K:L,2,FALSE),A2124)</f>
        <v>68855</v>
      </c>
      <c r="C2124" t="s">
        <v>1807</v>
      </c>
      <c r="D2124" t="str">
        <f>IFERROR(VLOOKUP(C2124,APOYO!J:K,2,FALSE),C2124)</f>
        <v>VALLE DE SAN JOSÉ</v>
      </c>
      <c r="E2124">
        <v>2015</v>
      </c>
    </row>
    <row r="2125" spans="1:5" hidden="1" x14ac:dyDescent="0.25">
      <c r="A2125" t="str">
        <f>_xlfn.XLOOKUP(C2125, 'Códigos DANE Municipios'!$B$2:$B$1123, 'Códigos DANE Municipios'!$A$2:$A$1123, "No encontrado")</f>
        <v>20001</v>
      </c>
      <c r="B2125" t="str">
        <f>IFERROR(VLOOKUP(D2125,APOYO!K:L,2,FALSE),A2125)</f>
        <v>20001</v>
      </c>
      <c r="C2125" t="s">
        <v>808</v>
      </c>
      <c r="D2125" t="str">
        <f>IFERROR(VLOOKUP(C2125,APOYO!J:K,2,FALSE),C2125)</f>
        <v>VALLEDUPAR</v>
      </c>
      <c r="E2125">
        <v>2015</v>
      </c>
    </row>
    <row r="2126" spans="1:5" hidden="1" x14ac:dyDescent="0.25">
      <c r="A2126" t="str">
        <f>_xlfn.XLOOKUP(C2126, 'Códigos DANE Municipios'!$B$2:$B$1123, 'Códigos DANE Municipios'!$A$2:$A$1123, "No encontrado")</f>
        <v>68861</v>
      </c>
      <c r="B2126" t="str">
        <f>IFERROR(VLOOKUP(D2126,APOYO!K:L,2,FALSE),A2126)</f>
        <v>68861</v>
      </c>
      <c r="C2126" t="s">
        <v>1809</v>
      </c>
      <c r="D2126" t="str">
        <f>IFERROR(VLOOKUP(C2126,APOYO!J:K,2,FALSE),C2126)</f>
        <v>VÉLEZ</v>
      </c>
      <c r="E2126">
        <v>2015</v>
      </c>
    </row>
    <row r="2127" spans="1:5" hidden="1" x14ac:dyDescent="0.25">
      <c r="A2127" t="str">
        <f>_xlfn.XLOOKUP(C2127, 'Códigos DANE Municipios'!$B$2:$B$1123, 'Códigos DANE Municipios'!$A$2:$A$1123, "No encontrado")</f>
        <v>73861</v>
      </c>
      <c r="B2127" t="str">
        <f>IFERROR(VLOOKUP(D2127,APOYO!K:L,2,FALSE),A2127)</f>
        <v>73861</v>
      </c>
      <c r="C2127" t="s">
        <v>1951</v>
      </c>
      <c r="D2127" t="str">
        <f>IFERROR(VLOOKUP(C2127,APOYO!J:K,2,FALSE),C2127)</f>
        <v>VENADILLO</v>
      </c>
      <c r="E2127">
        <v>2015</v>
      </c>
    </row>
    <row r="2128" spans="1:5" hidden="1" x14ac:dyDescent="0.25">
      <c r="A2128" t="str">
        <f>_xlfn.XLOOKUP(C2128, 'Códigos DANE Municipios'!$B$2:$B$1123, 'Códigos DANE Municipios'!$A$2:$A$1123, "No encontrado")</f>
        <v>05861</v>
      </c>
      <c r="B2128" t="str">
        <f>IFERROR(VLOOKUP(D2128,APOYO!K:L,2,FALSE),A2128)</f>
        <v>05861</v>
      </c>
      <c r="C2128" t="s">
        <v>248</v>
      </c>
      <c r="D2128" t="str">
        <f>IFERROR(VLOOKUP(C2128,APOYO!J:K,2,FALSE),C2128)</f>
        <v>VENECIA</v>
      </c>
      <c r="E2128">
        <v>2015</v>
      </c>
    </row>
    <row r="2129" spans="1:5" hidden="1" x14ac:dyDescent="0.25">
      <c r="A2129" t="str">
        <f>_xlfn.XLOOKUP(C2129, 'Códigos DANE Municipios'!$B$2:$B$1123, 'Códigos DANE Municipios'!$A$2:$A$1123, "No encontrado")</f>
        <v>15861</v>
      </c>
      <c r="B2129" t="str">
        <f>IFERROR(VLOOKUP(D2129,APOYO!K:L,2,FALSE),A2129)</f>
        <v>15861</v>
      </c>
      <c r="C2129" t="s">
        <v>638</v>
      </c>
      <c r="D2129" t="str">
        <f>IFERROR(VLOOKUP(C2129,APOYO!J:K,2,FALSE),C2129)</f>
        <v>VENTAQUEMADA</v>
      </c>
      <c r="E2129">
        <v>2015</v>
      </c>
    </row>
    <row r="2130" spans="1:5" hidden="1" x14ac:dyDescent="0.25">
      <c r="A2130" t="str">
        <f>_xlfn.XLOOKUP(C2130, 'Códigos DANE Municipios'!$B$2:$B$1123, 'Códigos DANE Municipios'!$A$2:$A$1123, "No encontrado")</f>
        <v>76863</v>
      </c>
      <c r="B2130" t="str">
        <f>IFERROR(VLOOKUP(D2130,APOYO!K:L,2,FALSE),A2130)</f>
        <v>76863</v>
      </c>
      <c r="C2130" t="s">
        <v>2024</v>
      </c>
      <c r="D2130" t="str">
        <f>IFERROR(VLOOKUP(C2130,APOYO!J:K,2,FALSE),C2130)</f>
        <v>VERSALLES</v>
      </c>
      <c r="E2130">
        <v>2015</v>
      </c>
    </row>
    <row r="2131" spans="1:5" hidden="1" x14ac:dyDescent="0.25">
      <c r="A2131" t="str">
        <f>_xlfn.XLOOKUP(C2131, 'Códigos DANE Municipios'!$B$2:$B$1123, 'Códigos DANE Municipios'!$A$2:$A$1123, "No encontrado")</f>
        <v>25867</v>
      </c>
      <c r="B2131" t="str">
        <f>IFERROR(VLOOKUP(D2131,APOYO!K:L,2,FALSE),A2131)</f>
        <v>25867</v>
      </c>
      <c r="C2131" t="s">
        <v>1126</v>
      </c>
      <c r="D2131" t="str">
        <f>IFERROR(VLOOKUP(C2131,APOYO!J:K,2,FALSE),C2131)</f>
        <v>VIANÍ</v>
      </c>
      <c r="E2131">
        <v>2015</v>
      </c>
    </row>
    <row r="2132" spans="1:5" hidden="1" x14ac:dyDescent="0.25">
      <c r="A2132" t="str">
        <f>_xlfn.XLOOKUP(C2132, 'Códigos DANE Municipios'!$B$2:$B$1123, 'Códigos DANE Municipios'!$A$2:$A$1123, "No encontrado")</f>
        <v>17867</v>
      </c>
      <c r="B2132" t="str">
        <f>IFERROR(VLOOKUP(D2132,APOYO!K:L,2,FALSE),A2132)</f>
        <v>17867</v>
      </c>
      <c r="C2132" t="s">
        <v>692</v>
      </c>
      <c r="D2132" t="str">
        <f>IFERROR(VLOOKUP(C2132,APOYO!J:K,2,FALSE),C2132)</f>
        <v>VICTORIA</v>
      </c>
      <c r="E2132">
        <v>2015</v>
      </c>
    </row>
    <row r="2133" spans="1:5" hidden="1" x14ac:dyDescent="0.25">
      <c r="A2133" t="str">
        <f>_xlfn.XLOOKUP(C2133, 'Códigos DANE Municipios'!$B$2:$B$1123, 'Códigos DANE Municipios'!$A$2:$A$1123, "No encontrado")</f>
        <v>76869</v>
      </c>
      <c r="B2133" t="str">
        <f>IFERROR(VLOOKUP(D2133,APOYO!K:L,2,FALSE),A2133)</f>
        <v>76869</v>
      </c>
      <c r="C2133" t="s">
        <v>2026</v>
      </c>
      <c r="D2133" t="str">
        <f>IFERROR(VLOOKUP(C2133,APOYO!J:K,2,FALSE),C2133)</f>
        <v>VIJES</v>
      </c>
      <c r="E2133">
        <v>2015</v>
      </c>
    </row>
    <row r="2134" spans="1:5" hidden="1" x14ac:dyDescent="0.25">
      <c r="A2134" t="str">
        <f>_xlfn.XLOOKUP(C2134, 'Códigos DANE Municipios'!$B$2:$B$1123, 'Códigos DANE Municipios'!$A$2:$A$1123, "No encontrado")</f>
        <v>15407</v>
      </c>
      <c r="B2134" t="str">
        <f>IFERROR(VLOOKUP(D2134,APOYO!K:L,2,FALSE),A2134)</f>
        <v>15407</v>
      </c>
      <c r="C2134" t="s">
        <v>498</v>
      </c>
      <c r="D2134" t="str">
        <f>IFERROR(VLOOKUP(C2134,APOYO!J:K,2,FALSE),C2134)</f>
        <v>VILLA DE LEYVA</v>
      </c>
      <c r="E2134">
        <v>2015</v>
      </c>
    </row>
    <row r="2135" spans="1:5" hidden="1" x14ac:dyDescent="0.25">
      <c r="A2135" t="str">
        <f>_xlfn.XLOOKUP(C2135, 'Códigos DANE Municipios'!$B$2:$B$1123, 'Códigos DANE Municipios'!$A$2:$A$1123, "No encontrado")</f>
        <v>19845</v>
      </c>
      <c r="B2135" t="str">
        <f>IFERROR(VLOOKUP(D2135,APOYO!K:L,2,FALSE),A2135)</f>
        <v>19845</v>
      </c>
      <c r="C2135" t="s">
        <v>806</v>
      </c>
      <c r="D2135" t="str">
        <f>IFERROR(VLOOKUP(C2135,APOYO!J:K,2,FALSE),C2135)</f>
        <v>VILLA RICA</v>
      </c>
      <c r="E2135">
        <v>2015</v>
      </c>
    </row>
    <row r="2136" spans="1:5" hidden="1" x14ac:dyDescent="0.25">
      <c r="A2136" t="str">
        <f>_xlfn.XLOOKUP(C2136, 'Códigos DANE Municipios'!$B$2:$B$1123, 'Códigos DANE Municipios'!$A$2:$A$1123, "No encontrado")</f>
        <v>54874</v>
      </c>
      <c r="B2136" t="str">
        <f>IFERROR(VLOOKUP(D2136,APOYO!K:L,2,FALSE),A2136)</f>
        <v>54874</v>
      </c>
      <c r="C2136" t="s">
        <v>1605</v>
      </c>
      <c r="D2136" t="str">
        <f>IFERROR(VLOOKUP(C2136,APOYO!J:K,2,FALSE),C2136)</f>
        <v>VILLA DEL ROSARIO</v>
      </c>
      <c r="E2136">
        <v>2015</v>
      </c>
    </row>
    <row r="2137" spans="1:5" hidden="1" x14ac:dyDescent="0.25">
      <c r="A2137" t="str">
        <f>_xlfn.XLOOKUP(C2137, 'Códigos DANE Municipios'!$B$2:$B$1123, 'Códigos DANE Municipios'!$A$2:$A$1123, "No encontrado")</f>
        <v>86885</v>
      </c>
      <c r="B2137" t="str">
        <f>IFERROR(VLOOKUP(D2137,APOYO!K:L,2,FALSE),A2137)</f>
        <v>86885</v>
      </c>
      <c r="C2137" t="s">
        <v>2104</v>
      </c>
      <c r="D2137" t="str">
        <f>IFERROR(VLOOKUP(C2137,APOYO!J:K,2,FALSE),C2137)</f>
        <v>VILLAGARZÓN</v>
      </c>
      <c r="E2137">
        <v>2015</v>
      </c>
    </row>
    <row r="2138" spans="1:5" hidden="1" x14ac:dyDescent="0.25">
      <c r="A2138" t="str">
        <f>_xlfn.XLOOKUP(C2138, 'Códigos DANE Municipios'!$B$2:$B$1123, 'Códigos DANE Municipios'!$A$2:$A$1123, "No encontrado")</f>
        <v>17873</v>
      </c>
      <c r="B2138" t="str">
        <f>IFERROR(VLOOKUP(D2138,APOYO!K:L,2,FALSE),A2138)</f>
        <v>17873</v>
      </c>
      <c r="C2138" t="s">
        <v>694</v>
      </c>
      <c r="D2138" t="str">
        <f>IFERROR(VLOOKUP(C2138,APOYO!J:K,2,FALSE),C2138)</f>
        <v>VILLAMARÍA</v>
      </c>
      <c r="E2138">
        <v>2015</v>
      </c>
    </row>
    <row r="2139" spans="1:5" hidden="1" x14ac:dyDescent="0.25">
      <c r="A2139" t="str">
        <f>_xlfn.XLOOKUP(C2139, 'Códigos DANE Municipios'!$B$2:$B$1123, 'Códigos DANE Municipios'!$A$2:$A$1123, "No encontrado")</f>
        <v>13873</v>
      </c>
      <c r="B2139" t="str">
        <f>IFERROR(VLOOKUP(D2139,APOYO!K:L,2,FALSE),A2139)</f>
        <v>13873</v>
      </c>
      <c r="C2139" t="s">
        <v>397</v>
      </c>
      <c r="D2139" t="str">
        <f>IFERROR(VLOOKUP(C2139,APOYO!J:K,2,FALSE),C2139)</f>
        <v>VILLANUEVA</v>
      </c>
      <c r="E2139">
        <v>2015</v>
      </c>
    </row>
    <row r="2140" spans="1:5" hidden="1" x14ac:dyDescent="0.25">
      <c r="A2140" t="str">
        <f>_xlfn.XLOOKUP(C2140, 'Códigos DANE Municipios'!$B$2:$B$1123, 'Códigos DANE Municipios'!$A$2:$A$1123, "No encontrado")</f>
        <v>25873</v>
      </c>
      <c r="B2140" t="str">
        <f>IFERROR(VLOOKUP(D2140,APOYO!K:L,2,FALSE),A2140)</f>
        <v>25873</v>
      </c>
      <c r="C2140" t="s">
        <v>1130</v>
      </c>
      <c r="D2140" t="str">
        <f>IFERROR(VLOOKUP(C2140,APOYO!J:K,2,FALSE),C2140)</f>
        <v>VILLAPINZÓN</v>
      </c>
      <c r="E2140">
        <v>2015</v>
      </c>
    </row>
    <row r="2141" spans="1:5" hidden="1" x14ac:dyDescent="0.25">
      <c r="A2141" t="str">
        <f>_xlfn.XLOOKUP(C2141, 'Códigos DANE Municipios'!$B$2:$B$1123, 'Códigos DANE Municipios'!$A$2:$A$1123, "No encontrado")</f>
        <v>50001</v>
      </c>
      <c r="B2141" t="str">
        <f>IFERROR(VLOOKUP(D2141,APOYO!K:L,2,FALSE),A2141)</f>
        <v>50001</v>
      </c>
      <c r="C2141" t="s">
        <v>1358</v>
      </c>
      <c r="D2141" t="str">
        <f>IFERROR(VLOOKUP(C2141,APOYO!J:K,2,FALSE),C2141)</f>
        <v>VILLAVICENCIO</v>
      </c>
      <c r="E2141">
        <v>2015</v>
      </c>
    </row>
    <row r="2142" spans="1:5" hidden="1" x14ac:dyDescent="0.25">
      <c r="A2142" t="str">
        <f>_xlfn.XLOOKUP(C2142, 'Códigos DANE Municipios'!$B$2:$B$1123, 'Códigos DANE Municipios'!$A$2:$A$1123, "No encontrado")</f>
        <v>41872</v>
      </c>
      <c r="B2142" t="str">
        <f>IFERROR(VLOOKUP(D2142,APOYO!K:L,2,FALSE),A2142)</f>
        <v>41872</v>
      </c>
      <c r="C2142" t="s">
        <v>1268</v>
      </c>
      <c r="D2142" t="str">
        <f>IFERROR(VLOOKUP(C2142,APOYO!J:K,2,FALSE),C2142)</f>
        <v>VILLAVIEJA</v>
      </c>
      <c r="E2142">
        <v>2015</v>
      </c>
    </row>
    <row r="2143" spans="1:5" hidden="1" x14ac:dyDescent="0.25">
      <c r="A2143" t="str">
        <f>_xlfn.XLOOKUP(C2143, 'Códigos DANE Municipios'!$B$2:$B$1123, 'Códigos DANE Municipios'!$A$2:$A$1123, "No encontrado")</f>
        <v>25875</v>
      </c>
      <c r="B2143" t="str">
        <f>IFERROR(VLOOKUP(D2143,APOYO!K:L,2,FALSE),A2143)</f>
        <v>25875</v>
      </c>
      <c r="C2143" t="s">
        <v>1132</v>
      </c>
      <c r="D2143" t="str">
        <f>IFERROR(VLOOKUP(C2143,APOYO!J:K,2,FALSE),C2143)</f>
        <v>VILLETA</v>
      </c>
      <c r="E2143">
        <v>2015</v>
      </c>
    </row>
    <row r="2144" spans="1:5" hidden="1" x14ac:dyDescent="0.25">
      <c r="A2144" t="str">
        <f>_xlfn.XLOOKUP(C2144, 'Códigos DANE Municipios'!$B$2:$B$1123, 'Códigos DANE Municipios'!$A$2:$A$1123, "No encontrado")</f>
        <v>25878</v>
      </c>
      <c r="B2144" t="str">
        <f>IFERROR(VLOOKUP(D2144,APOYO!K:L,2,FALSE),A2144)</f>
        <v>25878</v>
      </c>
      <c r="C2144" t="s">
        <v>1134</v>
      </c>
      <c r="D2144" t="str">
        <f>IFERROR(VLOOKUP(C2144,APOYO!J:K,2,FALSE),C2144)</f>
        <v>VIOTÁ</v>
      </c>
      <c r="E2144">
        <v>2015</v>
      </c>
    </row>
    <row r="2145" spans="1:5" hidden="1" x14ac:dyDescent="0.25">
      <c r="A2145" t="str">
        <f>_xlfn.XLOOKUP(C2145, 'Códigos DANE Municipios'!$B$2:$B$1123, 'Códigos DANE Municipios'!$A$2:$A$1123, "No encontrado")</f>
        <v>15879</v>
      </c>
      <c r="B2145" t="str">
        <f>IFERROR(VLOOKUP(D2145,APOYO!K:L,2,FALSE),A2145)</f>
        <v>15879</v>
      </c>
      <c r="C2145" t="s">
        <v>640</v>
      </c>
      <c r="D2145" t="str">
        <f>IFERROR(VLOOKUP(C2145,APOYO!J:K,2,FALSE),C2145)</f>
        <v>VIRACACHÁ</v>
      </c>
      <c r="E2145">
        <v>2015</v>
      </c>
    </row>
    <row r="2146" spans="1:5" hidden="1" x14ac:dyDescent="0.25">
      <c r="A2146" t="str">
        <f>_xlfn.XLOOKUP(C2146, 'Códigos DANE Municipios'!$B$2:$B$1123, 'Códigos DANE Municipios'!$A$2:$A$1123, "No encontrado")</f>
        <v>50711</v>
      </c>
      <c r="B2146" t="str">
        <f>IFERROR(VLOOKUP(D2146,APOYO!K:L,2,FALSE),A2146)</f>
        <v>50711</v>
      </c>
      <c r="C2146" t="s">
        <v>1410</v>
      </c>
      <c r="D2146" t="str">
        <f>IFERROR(VLOOKUP(C2146,APOYO!J:K,2,FALSE),C2146)</f>
        <v>VISTAHERMOSA</v>
      </c>
      <c r="E2146">
        <v>2015</v>
      </c>
    </row>
    <row r="2147" spans="1:5" hidden="1" x14ac:dyDescent="0.25">
      <c r="A2147" t="str">
        <f>_xlfn.XLOOKUP(C2147, 'Códigos DANE Municipios'!$B$2:$B$1123, 'Códigos DANE Municipios'!$A$2:$A$1123, "No encontrado")</f>
        <v>17877</v>
      </c>
      <c r="B2147" t="str">
        <f>IFERROR(VLOOKUP(D2147,APOYO!K:L,2,FALSE),A2147)</f>
        <v>17877</v>
      </c>
      <c r="C2147" t="s">
        <v>696</v>
      </c>
      <c r="D2147" t="str">
        <f>IFERROR(VLOOKUP(C2147,APOYO!J:K,2,FALSE),C2147)</f>
        <v>VITERBO</v>
      </c>
      <c r="E2147">
        <v>2015</v>
      </c>
    </row>
    <row r="2148" spans="1:5" hidden="1" x14ac:dyDescent="0.25">
      <c r="A2148" t="str">
        <f>_xlfn.XLOOKUP(C2148, 'Códigos DANE Municipios'!$B$2:$B$1123, 'Códigos DANE Municipios'!$A$2:$A$1123, "No encontrado")</f>
        <v>41885</v>
      </c>
      <c r="B2148" t="str">
        <f>IFERROR(VLOOKUP(D2148,APOYO!K:L,2,FALSE),A2148)</f>
        <v>41885</v>
      </c>
      <c r="C2148" t="s">
        <v>1270</v>
      </c>
      <c r="D2148" t="str">
        <f>IFERROR(VLOOKUP(C2148,APOYO!J:K,2,FALSE),C2148)</f>
        <v>YAGUARÁ</v>
      </c>
      <c r="E2148">
        <v>2015</v>
      </c>
    </row>
    <row r="2149" spans="1:5" hidden="1" x14ac:dyDescent="0.25">
      <c r="A2149" t="str">
        <f>_xlfn.XLOOKUP(C2149, 'Códigos DANE Municipios'!$B$2:$B$1123, 'Códigos DANE Municipios'!$A$2:$A$1123, "No encontrado")</f>
        <v>05887</v>
      </c>
      <c r="B2149" t="str">
        <f>IFERROR(VLOOKUP(D2149,APOYO!K:L,2,FALSE),A2149)</f>
        <v>05887</v>
      </c>
      <c r="C2149" t="s">
        <v>254</v>
      </c>
      <c r="D2149" t="str">
        <f>IFERROR(VLOOKUP(C2149,APOYO!J:K,2,FALSE),C2149)</f>
        <v>YARUMAL</v>
      </c>
      <c r="E2149">
        <v>2015</v>
      </c>
    </row>
    <row r="2150" spans="1:5" hidden="1" x14ac:dyDescent="0.25">
      <c r="A2150" t="str">
        <f>_xlfn.XLOOKUP(C2150, 'Códigos DANE Municipios'!$B$2:$B$1123, 'Códigos DANE Municipios'!$A$2:$A$1123, "No encontrado")</f>
        <v>05890</v>
      </c>
      <c r="B2150" t="str">
        <f>IFERROR(VLOOKUP(D2150,APOYO!K:L,2,FALSE),A2150)</f>
        <v>05890</v>
      </c>
      <c r="C2150" t="s">
        <v>256</v>
      </c>
      <c r="D2150" t="str">
        <f>IFERROR(VLOOKUP(C2150,APOYO!J:K,2,FALSE),C2150)</f>
        <v>YOLOMBÓ</v>
      </c>
      <c r="E2150">
        <v>2015</v>
      </c>
    </row>
    <row r="2151" spans="1:5" hidden="1" x14ac:dyDescent="0.25">
      <c r="A2151" t="str">
        <f>_xlfn.XLOOKUP(C2151, 'Códigos DANE Municipios'!$B$2:$B$1123, 'Códigos DANE Municipios'!$A$2:$A$1123, "No encontrado")</f>
        <v>05893</v>
      </c>
      <c r="B2151" t="str">
        <f>IFERROR(VLOOKUP(D2151,APOYO!K:L,2,FALSE),A2151)</f>
        <v>05893</v>
      </c>
      <c r="C2151" t="s">
        <v>258</v>
      </c>
      <c r="D2151" t="str">
        <f>IFERROR(VLOOKUP(C2151,APOYO!J:K,2,FALSE),C2151)</f>
        <v>YONDÓ</v>
      </c>
      <c r="E2151">
        <v>2015</v>
      </c>
    </row>
    <row r="2152" spans="1:5" hidden="1" x14ac:dyDescent="0.25">
      <c r="A2152" t="str">
        <f>_xlfn.XLOOKUP(C2152, 'Códigos DANE Municipios'!$B$2:$B$1123, 'Códigos DANE Municipios'!$A$2:$A$1123, "No encontrado")</f>
        <v>85001</v>
      </c>
      <c r="B2152" t="str">
        <f>IFERROR(VLOOKUP(D2152,APOYO!K:L,2,FALSE),A2152)</f>
        <v>85001</v>
      </c>
      <c r="C2152" t="s">
        <v>2048</v>
      </c>
      <c r="D2152" t="str">
        <f>IFERROR(VLOOKUP(C2152,APOYO!J:K,2,FALSE),C2152)</f>
        <v>YOPAL</v>
      </c>
      <c r="E2152">
        <v>2015</v>
      </c>
    </row>
    <row r="2153" spans="1:5" hidden="1" x14ac:dyDescent="0.25">
      <c r="A2153" t="str">
        <f>_xlfn.XLOOKUP(C2153, 'Códigos DANE Municipios'!$B$2:$B$1123, 'Códigos DANE Municipios'!$A$2:$A$1123, "No encontrado")</f>
        <v>76890</v>
      </c>
      <c r="B2153" t="str">
        <f>IFERROR(VLOOKUP(D2153,APOYO!K:L,2,FALSE),A2153)</f>
        <v>76890</v>
      </c>
      <c r="C2153" t="s">
        <v>2028</v>
      </c>
      <c r="D2153" t="str">
        <f>IFERROR(VLOOKUP(C2153,APOYO!J:K,2,FALSE),C2153)</f>
        <v>YOTOCO</v>
      </c>
      <c r="E2153">
        <v>2015</v>
      </c>
    </row>
    <row r="2154" spans="1:5" hidden="1" x14ac:dyDescent="0.25">
      <c r="A2154" t="str">
        <f>_xlfn.XLOOKUP(C2154, 'Códigos DANE Municipios'!$B$2:$B$1123, 'Códigos DANE Municipios'!$A$2:$A$1123, "No encontrado")</f>
        <v>76892</v>
      </c>
      <c r="B2154" t="str">
        <f>IFERROR(VLOOKUP(D2154,APOYO!K:L,2,FALSE),A2154)</f>
        <v>76892</v>
      </c>
      <c r="C2154" t="s">
        <v>2030</v>
      </c>
      <c r="D2154" t="str">
        <f>IFERROR(VLOOKUP(C2154,APOYO!J:K,2,FALSE),C2154)</f>
        <v>YUMBO</v>
      </c>
      <c r="E2154">
        <v>2015</v>
      </c>
    </row>
    <row r="2155" spans="1:5" hidden="1" x14ac:dyDescent="0.25">
      <c r="A2155" t="str">
        <f>_xlfn.XLOOKUP(C2155, 'Códigos DANE Municipios'!$B$2:$B$1123, 'Códigos DANE Municipios'!$A$2:$A$1123, "No encontrado")</f>
        <v>68895</v>
      </c>
      <c r="B2155" t="str">
        <f>IFERROR(VLOOKUP(D2155,APOYO!K:L,2,FALSE),A2155)</f>
        <v>68895</v>
      </c>
      <c r="C2155" t="s">
        <v>1814</v>
      </c>
      <c r="D2155" t="str">
        <f>IFERROR(VLOOKUP(C2155,APOYO!J:K,2,FALSE),C2155)</f>
        <v>ZAPATOCA</v>
      </c>
      <c r="E2155">
        <v>2015</v>
      </c>
    </row>
    <row r="2156" spans="1:5" hidden="1" x14ac:dyDescent="0.25">
      <c r="A2156" t="str">
        <f>_xlfn.XLOOKUP(C2156, 'Códigos DANE Municipios'!$B$2:$B$1123, 'Códigos DANE Municipios'!$A$2:$A$1123, "No encontrado")</f>
        <v>05895</v>
      </c>
      <c r="B2156" t="str">
        <f>IFERROR(VLOOKUP(D2156,APOYO!K:L,2,FALSE),A2156)</f>
        <v>05895</v>
      </c>
      <c r="C2156" t="s">
        <v>260</v>
      </c>
      <c r="D2156" t="str">
        <f>IFERROR(VLOOKUP(C2156,APOYO!J:K,2,FALSE),C2156)</f>
        <v>ZARAGOZA</v>
      </c>
      <c r="E2156">
        <v>2015</v>
      </c>
    </row>
    <row r="2157" spans="1:5" hidden="1" x14ac:dyDescent="0.25">
      <c r="A2157" t="str">
        <f>_xlfn.XLOOKUP(C2157, 'Códigos DANE Municipios'!$B$2:$B$1123, 'Códigos DANE Municipios'!$A$2:$A$1123, "No encontrado")</f>
        <v>76895</v>
      </c>
      <c r="B2157" t="str">
        <f>IFERROR(VLOOKUP(D2157,APOYO!K:L,2,FALSE),A2157)</f>
        <v>76895</v>
      </c>
      <c r="C2157" t="s">
        <v>2032</v>
      </c>
      <c r="D2157" t="str">
        <f>IFERROR(VLOOKUP(C2157,APOYO!J:K,2,FALSE),C2157)</f>
        <v>ZARZAL</v>
      </c>
      <c r="E2157">
        <v>2015</v>
      </c>
    </row>
    <row r="2158" spans="1:5" hidden="1" x14ac:dyDescent="0.25">
      <c r="A2158" t="str">
        <f>_xlfn.XLOOKUP(C2158, 'Códigos DANE Municipios'!$B$2:$B$1123, 'Códigos DANE Municipios'!$A$2:$A$1123, "No encontrado")</f>
        <v>15897</v>
      </c>
      <c r="B2158" t="str">
        <f>IFERROR(VLOOKUP(D2158,APOYO!K:L,2,FALSE),A2158)</f>
        <v>15897</v>
      </c>
      <c r="C2158" t="s">
        <v>642</v>
      </c>
      <c r="D2158" t="str">
        <f>IFERROR(VLOOKUP(C2158,APOYO!J:K,2,FALSE),C2158)</f>
        <v>ZETAQUIRA</v>
      </c>
      <c r="E2158">
        <v>2015</v>
      </c>
    </row>
    <row r="2159" spans="1:5" hidden="1" x14ac:dyDescent="0.25">
      <c r="A2159" t="str">
        <f>_xlfn.XLOOKUP(C2159, 'Códigos DANE Municipios'!$B$2:$B$1123, 'Códigos DANE Municipios'!$A$2:$A$1123, "No encontrado")</f>
        <v>25898</v>
      </c>
      <c r="B2159" t="str">
        <f>IFERROR(VLOOKUP(D2159,APOYO!K:L,2,FALSE),A2159)</f>
        <v>25898</v>
      </c>
      <c r="C2159" t="s">
        <v>1138</v>
      </c>
      <c r="D2159" t="str">
        <f>IFERROR(VLOOKUP(C2159,APOYO!J:K,2,FALSE),C2159)</f>
        <v>ZIPACÓN</v>
      </c>
      <c r="E2159">
        <v>2015</v>
      </c>
    </row>
    <row r="2160" spans="1:5" hidden="1" x14ac:dyDescent="0.25">
      <c r="A2160" t="str">
        <f>_xlfn.XLOOKUP(C2160, 'Códigos DANE Municipios'!$B$2:$B$1123, 'Códigos DANE Municipios'!$A$2:$A$1123, "No encontrado")</f>
        <v>25899</v>
      </c>
      <c r="B2160" t="str">
        <f>IFERROR(VLOOKUP(D2160,APOYO!K:L,2,FALSE),A2160)</f>
        <v>25899</v>
      </c>
      <c r="C2160" t="s">
        <v>1140</v>
      </c>
      <c r="D2160" t="str">
        <f>IFERROR(VLOOKUP(C2160,APOYO!J:K,2,FALSE),C2160)</f>
        <v>ZIPAQUIRÁ</v>
      </c>
      <c r="E2160">
        <v>2015</v>
      </c>
    </row>
    <row r="2161" spans="1:9" hidden="1" x14ac:dyDescent="0.25">
      <c r="A2161" t="str">
        <f>_xlfn.XLOOKUP(C2161, 'Códigos DANE Municipios'!$B$2:$B$1123, 'Códigos DANE Municipios'!$A$2:$A$1123, "No encontrado")</f>
        <v>20570</v>
      </c>
      <c r="B2161" t="str">
        <f>IFERROR(VLOOKUP(D2161,APOYO!K:L,2,FALSE),A2161)</f>
        <v>20570</v>
      </c>
      <c r="C2161" t="s">
        <v>844</v>
      </c>
      <c r="D2161" t="str">
        <f>IFERROR(VLOOKUP(C2161,APOYO!J:K,2,FALSE),C2161)</f>
        <v>PUEBLO BELLO</v>
      </c>
      <c r="E2161">
        <v>2016</v>
      </c>
      <c r="H2161">
        <v>2</v>
      </c>
    </row>
    <row r="2162" spans="1:9" hidden="1" x14ac:dyDescent="0.25">
      <c r="A2162" t="str">
        <f>_xlfn.XLOOKUP(C2162, 'Códigos DANE Municipios'!$B$2:$B$1123, 'Códigos DANE Municipios'!$A$2:$A$1123, "No encontrado")</f>
        <v>44378</v>
      </c>
      <c r="B2162" t="str">
        <f>IFERROR(VLOOKUP(D2162,APOYO!K:L,2,FALSE),A2162)</f>
        <v>44378</v>
      </c>
      <c r="C2162" t="s">
        <v>1285</v>
      </c>
      <c r="D2162" t="str">
        <f>IFERROR(VLOOKUP(C2162,APOYO!J:K,2,FALSE),C2162)</f>
        <v>HATONUEVO</v>
      </c>
      <c r="E2162">
        <v>2016</v>
      </c>
    </row>
    <row r="2163" spans="1:9" hidden="1" x14ac:dyDescent="0.25">
      <c r="A2163" t="str">
        <f>_xlfn.XLOOKUP(C2163, 'Códigos DANE Municipios'!$B$2:$B$1123, 'Códigos DANE Municipios'!$A$2:$A$1123, "No encontrado")</f>
        <v>No encontrado</v>
      </c>
      <c r="B2163" t="str">
        <f>IFERROR(VLOOKUP(D2163,APOYO!K:L,2,FALSE),A2163)</f>
        <v>99624</v>
      </c>
      <c r="C2163" t="s">
        <v>2170</v>
      </c>
      <c r="D2163" t="str">
        <f>IFERROR(VLOOKUP(C2163,APOYO!J:K,2,FALSE),C2163)</f>
        <v>SANTA ROSALÍA</v>
      </c>
      <c r="E2163">
        <v>2016</v>
      </c>
      <c r="F2163">
        <v>34</v>
      </c>
    </row>
    <row r="2164" spans="1:9" hidden="1" x14ac:dyDescent="0.25">
      <c r="A2164" t="str">
        <f>_xlfn.XLOOKUP(C2164, 'Códigos DANE Municipios'!$B$2:$B$1123, 'Códigos DANE Municipios'!$A$2:$A$1123, "No encontrado")</f>
        <v>05002</v>
      </c>
      <c r="B2164" t="str">
        <f>IFERROR(VLOOKUP(D2164,APOYO!K:L,2,FALSE),A2164)</f>
        <v>05002</v>
      </c>
      <c r="C2164" t="s">
        <v>14</v>
      </c>
      <c r="D2164" t="str">
        <f>IFERROR(VLOOKUP(C2164,APOYO!J:K,2,FALSE),C2164)</f>
        <v>ABEJORRAL</v>
      </c>
      <c r="E2164">
        <v>2016</v>
      </c>
      <c r="H2164">
        <v>492</v>
      </c>
    </row>
    <row r="2165" spans="1:9" hidden="1" x14ac:dyDescent="0.25">
      <c r="A2165" t="str">
        <f>_xlfn.XLOOKUP(C2165, 'Códigos DANE Municipios'!$B$2:$B$1123, 'Códigos DANE Municipios'!$A$2:$A$1123, "No encontrado")</f>
        <v>No encontrado</v>
      </c>
      <c r="B2165" t="str">
        <f>IFERROR(VLOOKUP(D2165,APOYO!K:L,2,FALSE),A2165)</f>
        <v>No encontrado</v>
      </c>
      <c r="C2165" t="s">
        <v>2171</v>
      </c>
      <c r="D2165" t="str">
        <f>IFERROR(VLOOKUP(C2165,APOYO!J:K,2,FALSE),C2165)</f>
        <v>ABREGO</v>
      </c>
      <c r="E2165">
        <v>2016</v>
      </c>
      <c r="H2165">
        <v>21</v>
      </c>
    </row>
    <row r="2166" spans="1:9" hidden="1" x14ac:dyDescent="0.25">
      <c r="A2166" t="str">
        <f>_xlfn.XLOOKUP(C2166, 'Códigos DANE Municipios'!$B$2:$B$1123, 'Códigos DANE Municipios'!$A$2:$A$1123, "No encontrado")</f>
        <v>No encontrado</v>
      </c>
      <c r="B2166" t="str">
        <f>IFERROR(VLOOKUP(D2166,APOYO!K:L,2,FALSE),A2166)</f>
        <v>05004</v>
      </c>
      <c r="C2166" t="s">
        <v>2172</v>
      </c>
      <c r="D2166" t="str">
        <f>IFERROR(VLOOKUP(C2166,APOYO!J:K,2,FALSE),C2166)</f>
        <v>ABRIAQUÍ</v>
      </c>
      <c r="E2166">
        <v>2016</v>
      </c>
      <c r="H2166">
        <v>19</v>
      </c>
    </row>
    <row r="2167" spans="1:9" hidden="1" x14ac:dyDescent="0.25">
      <c r="A2167" t="str">
        <f>_xlfn.XLOOKUP(C2167, 'Códigos DANE Municipios'!$B$2:$B$1123, 'Códigos DANE Municipios'!$A$2:$A$1123, "No encontrado")</f>
        <v>No encontrado</v>
      </c>
      <c r="B2167" t="str">
        <f>IFERROR(VLOOKUP(D2167,APOYO!K:L,2,FALSE),A2167)</f>
        <v>50006</v>
      </c>
      <c r="C2167" t="s">
        <v>2173</v>
      </c>
      <c r="D2167" t="str">
        <f>IFERROR(VLOOKUP(C2167,APOYO!J:K,2,FALSE),C2167)</f>
        <v>ACACÍAS</v>
      </c>
      <c r="E2167">
        <v>2016</v>
      </c>
      <c r="H2167">
        <v>154</v>
      </c>
    </row>
    <row r="2168" spans="1:9" hidden="1" x14ac:dyDescent="0.25">
      <c r="A2168" t="str">
        <f>_xlfn.XLOOKUP(C2168, 'Códigos DANE Municipios'!$B$2:$B$1123, 'Códigos DANE Municipios'!$A$2:$A$1123, "No encontrado")</f>
        <v>No encontrado</v>
      </c>
      <c r="B2168" t="str">
        <f>IFERROR(VLOOKUP(D2168,APOYO!K:L,2,FALSE),A2168)</f>
        <v>27006</v>
      </c>
      <c r="C2168" t="s">
        <v>2174</v>
      </c>
      <c r="D2168" t="str">
        <f>IFERROR(VLOOKUP(C2168,APOYO!J:K,2,FALSE),C2168)</f>
        <v>ACANDÍ</v>
      </c>
      <c r="E2168">
        <v>2016</v>
      </c>
      <c r="F2168">
        <v>6541</v>
      </c>
      <c r="H2168">
        <v>2716</v>
      </c>
    </row>
    <row r="2169" spans="1:9" hidden="1" x14ac:dyDescent="0.25">
      <c r="A2169" t="str">
        <f>_xlfn.XLOOKUP(C2169, 'Códigos DANE Municipios'!$B$2:$B$1123, 'Códigos DANE Municipios'!$A$2:$A$1123, "No encontrado")</f>
        <v>41006</v>
      </c>
      <c r="B2169" t="str">
        <f>IFERROR(VLOOKUP(D2169,APOYO!K:L,2,FALSE),A2169)</f>
        <v>41006</v>
      </c>
      <c r="C2169" t="s">
        <v>1203</v>
      </c>
      <c r="D2169" t="str">
        <f>IFERROR(VLOOKUP(C2169,APOYO!J:K,2,FALSE),C2169)</f>
        <v>ACEVEDO</v>
      </c>
      <c r="E2169">
        <v>2016</v>
      </c>
      <c r="H2169">
        <v>17</v>
      </c>
      <c r="I2169">
        <v>757</v>
      </c>
    </row>
    <row r="2170" spans="1:9" hidden="1" x14ac:dyDescent="0.25">
      <c r="A2170" t="str">
        <f>_xlfn.XLOOKUP(C2170, 'Códigos DANE Municipios'!$B$2:$B$1123, 'Códigos DANE Municipios'!$A$2:$A$1123, "No encontrado")</f>
        <v>No encontrado</v>
      </c>
      <c r="B2170" t="str">
        <f>IFERROR(VLOOKUP(D2170,APOYO!K:L,2,FALSE),A2170)</f>
        <v>13006</v>
      </c>
      <c r="C2170" t="s">
        <v>2175</v>
      </c>
      <c r="D2170" t="str">
        <f>IFERROR(VLOOKUP(C2170,APOYO!J:K,2,FALSE),C2170)</f>
        <v>ACHÍ</v>
      </c>
      <c r="E2170">
        <v>2016</v>
      </c>
      <c r="H2170">
        <v>243</v>
      </c>
    </row>
    <row r="2171" spans="1:9" hidden="1" x14ac:dyDescent="0.25">
      <c r="A2171" t="str">
        <f>_xlfn.XLOOKUP(C2171, 'Códigos DANE Municipios'!$B$2:$B$1123, 'Códigos DANE Municipios'!$A$2:$A$1123, "No encontrado")</f>
        <v>41013</v>
      </c>
      <c r="B2171" t="str">
        <f>IFERROR(VLOOKUP(D2171,APOYO!K:L,2,FALSE),A2171)</f>
        <v>41013</v>
      </c>
      <c r="C2171" t="s">
        <v>1205</v>
      </c>
      <c r="D2171" t="str">
        <f>IFERROR(VLOOKUP(C2171,APOYO!J:K,2,FALSE),C2171)</f>
        <v>AGRADO</v>
      </c>
      <c r="E2171">
        <v>2016</v>
      </c>
      <c r="H2171">
        <v>5</v>
      </c>
    </row>
    <row r="2172" spans="1:9" hidden="1" x14ac:dyDescent="0.25">
      <c r="A2172" t="str">
        <f>_xlfn.XLOOKUP(C2172, 'Códigos DANE Municipios'!$B$2:$B$1123, 'Códigos DANE Municipios'!$A$2:$A$1123, "No encontrado")</f>
        <v>25001</v>
      </c>
      <c r="B2172" t="str">
        <f>IFERROR(VLOOKUP(D2172,APOYO!K:L,2,FALSE),A2172)</f>
        <v>25001</v>
      </c>
      <c r="C2172" t="s">
        <v>916</v>
      </c>
      <c r="D2172" t="str">
        <f>IFERROR(VLOOKUP(C2172,APOYO!J:K,2,FALSE),C2172)</f>
        <v>AGUA DE DIOS</v>
      </c>
      <c r="E2172">
        <v>2016</v>
      </c>
      <c r="H2172">
        <v>151</v>
      </c>
    </row>
    <row r="2173" spans="1:9" hidden="1" x14ac:dyDescent="0.25">
      <c r="A2173" t="str">
        <f>_xlfn.XLOOKUP(C2173, 'Códigos DANE Municipios'!$B$2:$B$1123, 'Códigos DANE Municipios'!$A$2:$A$1123, "No encontrado")</f>
        <v>20011</v>
      </c>
      <c r="B2173" t="str">
        <f>IFERROR(VLOOKUP(D2173,APOYO!K:L,2,FALSE),A2173)</f>
        <v>20011</v>
      </c>
      <c r="C2173" t="s">
        <v>810</v>
      </c>
      <c r="D2173" t="str">
        <f>IFERROR(VLOOKUP(C2173,APOYO!J:K,2,FALSE),C2173)</f>
        <v>AGUACHICA</v>
      </c>
      <c r="E2173">
        <v>2016</v>
      </c>
      <c r="H2173">
        <v>99</v>
      </c>
    </row>
    <row r="2174" spans="1:9" hidden="1" x14ac:dyDescent="0.25">
      <c r="A2174" t="str">
        <f>_xlfn.XLOOKUP(C2174, 'Códigos DANE Municipios'!$B$2:$B$1123, 'Códigos DANE Municipios'!$A$2:$A$1123, "No encontrado")</f>
        <v>68013</v>
      </c>
      <c r="B2174" t="str">
        <f>IFERROR(VLOOKUP(D2174,APOYO!K:L,2,FALSE),A2174)</f>
        <v>68013</v>
      </c>
      <c r="C2174" t="s">
        <v>1657</v>
      </c>
      <c r="D2174" t="str">
        <f>IFERROR(VLOOKUP(C2174,APOYO!J:K,2,FALSE),C2174)</f>
        <v>AGUADA</v>
      </c>
      <c r="E2174">
        <v>2016</v>
      </c>
      <c r="H2174">
        <v>21</v>
      </c>
    </row>
    <row r="2175" spans="1:9" hidden="1" x14ac:dyDescent="0.25">
      <c r="A2175" t="str">
        <f>_xlfn.XLOOKUP(C2175, 'Códigos DANE Municipios'!$B$2:$B$1123, 'Códigos DANE Municipios'!$A$2:$A$1123, "No encontrado")</f>
        <v>17013</v>
      </c>
      <c r="B2175" t="str">
        <f>IFERROR(VLOOKUP(D2175,APOYO!K:L,2,FALSE),A2175)</f>
        <v>17013</v>
      </c>
      <c r="C2175" t="s">
        <v>646</v>
      </c>
      <c r="D2175" t="str">
        <f>IFERROR(VLOOKUP(C2175,APOYO!J:K,2,FALSE),C2175)</f>
        <v>AGUADAS</v>
      </c>
      <c r="E2175">
        <v>2016</v>
      </c>
      <c r="H2175">
        <v>17</v>
      </c>
    </row>
    <row r="2176" spans="1:9" hidden="1" x14ac:dyDescent="0.25">
      <c r="A2176" t="str">
        <f>_xlfn.XLOOKUP(C2176, 'Códigos DANE Municipios'!$B$2:$B$1123, 'Códigos DANE Municipios'!$A$2:$A$1123, "No encontrado")</f>
        <v>85010</v>
      </c>
      <c r="B2176" t="str">
        <f>IFERROR(VLOOKUP(D2176,APOYO!K:L,2,FALSE),A2176)</f>
        <v>85010</v>
      </c>
      <c r="C2176" t="s">
        <v>2050</v>
      </c>
      <c r="D2176" t="str">
        <f>IFERROR(VLOOKUP(C2176,APOYO!J:K,2,FALSE),C2176)</f>
        <v>AGUAZUL</v>
      </c>
      <c r="E2176">
        <v>2016</v>
      </c>
      <c r="H2176">
        <v>26</v>
      </c>
    </row>
    <row r="2177" spans="1:8" hidden="1" x14ac:dyDescent="0.25">
      <c r="A2177" t="str">
        <f>_xlfn.XLOOKUP(C2177, 'Códigos DANE Municipios'!$B$2:$B$1123, 'Códigos DANE Municipios'!$A$2:$A$1123, "No encontrado")</f>
        <v>No encontrado</v>
      </c>
      <c r="B2177" t="str">
        <f>IFERROR(VLOOKUP(D2177,APOYO!K:L,2,FALSE),A2177)</f>
        <v>20013</v>
      </c>
      <c r="C2177" t="s">
        <v>2176</v>
      </c>
      <c r="D2177" t="str">
        <f>IFERROR(VLOOKUP(C2177,APOYO!J:K,2,FALSE),C2177)</f>
        <v>AGUSTÍN CODAZZI</v>
      </c>
      <c r="E2177">
        <v>2016</v>
      </c>
      <c r="H2177">
        <v>18</v>
      </c>
    </row>
    <row r="2178" spans="1:8" hidden="1" x14ac:dyDescent="0.25">
      <c r="A2178" t="str">
        <f>_xlfn.XLOOKUP(C2178, 'Códigos DANE Municipios'!$B$2:$B$1123, 'Códigos DANE Municipios'!$A$2:$A$1123, "No encontrado")</f>
        <v>41016</v>
      </c>
      <c r="B2178" t="str">
        <f>IFERROR(VLOOKUP(D2178,APOYO!K:L,2,FALSE),A2178)</f>
        <v>41016</v>
      </c>
      <c r="C2178" t="s">
        <v>1207</v>
      </c>
      <c r="D2178" t="str">
        <f>IFERROR(VLOOKUP(C2178,APOYO!J:K,2,FALSE),C2178)</f>
        <v>AIPE</v>
      </c>
      <c r="E2178">
        <v>2016</v>
      </c>
      <c r="H2178">
        <v>13</v>
      </c>
    </row>
    <row r="2179" spans="1:8" hidden="1" x14ac:dyDescent="0.25">
      <c r="A2179" t="str">
        <f>_xlfn.XLOOKUP(C2179, 'Códigos DANE Municipios'!$B$2:$B$1123, 'Códigos DANE Municipios'!$A$2:$A$1123, "No encontrado")</f>
        <v>No encontrado</v>
      </c>
      <c r="B2179" t="str">
        <f>IFERROR(VLOOKUP(D2179,APOYO!K:L,2,FALSE),A2179)</f>
        <v>25019</v>
      </c>
      <c r="C2179" t="s">
        <v>2177</v>
      </c>
      <c r="D2179" t="str">
        <f>IFERROR(VLOOKUP(C2179,APOYO!J:K,2,FALSE),C2179)</f>
        <v>ALBÁN</v>
      </c>
      <c r="E2179">
        <v>2016</v>
      </c>
      <c r="H2179">
        <v>7</v>
      </c>
    </row>
    <row r="2180" spans="1:8" hidden="1" x14ac:dyDescent="0.25">
      <c r="A2180" t="str">
        <f>_xlfn.XLOOKUP(C2180, 'Códigos DANE Municipios'!$B$2:$B$1123, 'Códigos DANE Municipios'!$A$2:$A$1123, "No encontrado")</f>
        <v>18029</v>
      </c>
      <c r="B2180" t="str">
        <f>IFERROR(VLOOKUP(D2180,APOYO!K:L,2,FALSE),A2180)</f>
        <v>18029</v>
      </c>
      <c r="C2180" t="s">
        <v>700</v>
      </c>
      <c r="D2180" t="str">
        <f>IFERROR(VLOOKUP(C2180,APOYO!J:K,2,FALSE),C2180)</f>
        <v>ALBANIA</v>
      </c>
      <c r="E2180">
        <v>2016</v>
      </c>
      <c r="H2180">
        <v>70</v>
      </c>
    </row>
    <row r="2181" spans="1:8" hidden="1" x14ac:dyDescent="0.25">
      <c r="A2181" t="str">
        <f>_xlfn.XLOOKUP(C2181, 'Códigos DANE Municipios'!$B$2:$B$1123, 'Códigos DANE Municipios'!$A$2:$A$1123, "No encontrado")</f>
        <v>No encontrado</v>
      </c>
      <c r="B2181" t="str">
        <f>IFERROR(VLOOKUP(D2181,APOYO!K:L,2,FALSE),A2181)</f>
        <v>76020</v>
      </c>
      <c r="C2181" t="s">
        <v>2178</v>
      </c>
      <c r="D2181" t="str">
        <f>IFERROR(VLOOKUP(C2181,APOYO!J:K,2,FALSE),C2181)</f>
        <v>ALCALÁ</v>
      </c>
      <c r="E2181">
        <v>2016</v>
      </c>
      <c r="H2181">
        <v>275</v>
      </c>
    </row>
    <row r="2182" spans="1:8" hidden="1" x14ac:dyDescent="0.25">
      <c r="A2182" t="str">
        <f>_xlfn.XLOOKUP(C2182, 'Códigos DANE Municipios'!$B$2:$B$1123, 'Códigos DANE Municipios'!$A$2:$A$1123, "No encontrado")</f>
        <v>No encontrado</v>
      </c>
      <c r="B2182" t="str">
        <f>IFERROR(VLOOKUP(D2182,APOYO!K:L,2,FALSE),A2182)</f>
        <v>05021</v>
      </c>
      <c r="C2182" t="s">
        <v>2179</v>
      </c>
      <c r="D2182" t="str">
        <f>IFERROR(VLOOKUP(C2182,APOYO!J:K,2,FALSE),C2182)</f>
        <v>ALEJANDRÍA</v>
      </c>
      <c r="E2182">
        <v>2016</v>
      </c>
      <c r="H2182">
        <v>7</v>
      </c>
    </row>
    <row r="2183" spans="1:8" hidden="1" x14ac:dyDescent="0.25">
      <c r="A2183" t="str">
        <f>_xlfn.XLOOKUP(C2183, 'Códigos DANE Municipios'!$B$2:$B$1123, 'Códigos DANE Municipios'!$A$2:$A$1123, "No encontrado")</f>
        <v>41020</v>
      </c>
      <c r="B2183" t="str">
        <f>IFERROR(VLOOKUP(D2183,APOYO!K:L,2,FALSE),A2183)</f>
        <v>41020</v>
      </c>
      <c r="C2183" t="s">
        <v>1209</v>
      </c>
      <c r="D2183" t="str">
        <f>IFERROR(VLOOKUP(C2183,APOYO!J:K,2,FALSE),C2183)</f>
        <v>ALGECIRAS</v>
      </c>
      <c r="E2183">
        <v>2016</v>
      </c>
      <c r="H2183">
        <v>3</v>
      </c>
    </row>
    <row r="2184" spans="1:8" hidden="1" x14ac:dyDescent="0.25">
      <c r="A2184" t="str">
        <f>_xlfn.XLOOKUP(C2184, 'Códigos DANE Municipios'!$B$2:$B$1123, 'Códigos DANE Municipios'!$A$2:$A$1123, "No encontrado")</f>
        <v>73024</v>
      </c>
      <c r="B2184" t="str">
        <f>IFERROR(VLOOKUP(D2184,APOYO!K:L,2,FALSE),A2184)</f>
        <v>73024</v>
      </c>
      <c r="C2184" t="s">
        <v>1867</v>
      </c>
      <c r="D2184" t="str">
        <f>IFERROR(VLOOKUP(C2184,APOYO!J:K,2,FALSE),C2184)</f>
        <v>ALPUJARRA</v>
      </c>
      <c r="E2184">
        <v>2016</v>
      </c>
      <c r="H2184">
        <v>8</v>
      </c>
    </row>
    <row r="2185" spans="1:8" hidden="1" x14ac:dyDescent="0.25">
      <c r="A2185" t="str">
        <f>_xlfn.XLOOKUP(C2185, 'Códigos DANE Municipios'!$B$2:$B$1123, 'Códigos DANE Municipios'!$A$2:$A$1123, "No encontrado")</f>
        <v>73026</v>
      </c>
      <c r="B2185" t="str">
        <f>IFERROR(VLOOKUP(D2185,APOYO!K:L,2,FALSE),A2185)</f>
        <v>73026</v>
      </c>
      <c r="C2185" t="s">
        <v>1869</v>
      </c>
      <c r="D2185" t="str">
        <f>IFERROR(VLOOKUP(C2185,APOYO!J:K,2,FALSE),C2185)</f>
        <v>ALVARADO</v>
      </c>
      <c r="E2185">
        <v>2016</v>
      </c>
    </row>
    <row r="2186" spans="1:8" hidden="1" x14ac:dyDescent="0.25">
      <c r="A2186" t="str">
        <f>_xlfn.XLOOKUP(C2186, 'Códigos DANE Municipios'!$B$2:$B$1123, 'Códigos DANE Municipios'!$A$2:$A$1123, "No encontrado")</f>
        <v>No encontrado</v>
      </c>
      <c r="B2186" t="str">
        <f>IFERROR(VLOOKUP(D2186,APOYO!K:L,2,FALSE),A2186)</f>
        <v>05030</v>
      </c>
      <c r="C2186" t="s">
        <v>2180</v>
      </c>
      <c r="D2186" t="str">
        <f>IFERROR(VLOOKUP(C2186,APOYO!J:K,2,FALSE),C2186)</f>
        <v>AMAGÁ</v>
      </c>
      <c r="E2186">
        <v>2016</v>
      </c>
      <c r="H2186">
        <v>10</v>
      </c>
    </row>
    <row r="2187" spans="1:8" hidden="1" x14ac:dyDescent="0.25">
      <c r="A2187" t="str">
        <f>_xlfn.XLOOKUP(C2187, 'Códigos DANE Municipios'!$B$2:$B$1123, 'Códigos DANE Municipios'!$A$2:$A$1123, "No encontrado")</f>
        <v>05031</v>
      </c>
      <c r="B2187" t="str">
        <f>IFERROR(VLOOKUP(D2187,APOYO!K:L,2,FALSE),A2187)</f>
        <v>05031</v>
      </c>
      <c r="C2187" t="s">
        <v>22</v>
      </c>
      <c r="D2187" t="str">
        <f>IFERROR(VLOOKUP(C2187,APOYO!J:K,2,FALSE),C2187)</f>
        <v>AMALFI</v>
      </c>
      <c r="E2187">
        <v>2016</v>
      </c>
      <c r="H2187">
        <v>9</v>
      </c>
    </row>
    <row r="2188" spans="1:8" hidden="1" x14ac:dyDescent="0.25">
      <c r="A2188" t="str">
        <f>_xlfn.XLOOKUP(C2188, 'Códigos DANE Municipios'!$B$2:$B$1123, 'Códigos DANE Municipios'!$A$2:$A$1123, "No encontrado")</f>
        <v>73030</v>
      </c>
      <c r="B2188" t="str">
        <f>IFERROR(VLOOKUP(D2188,APOYO!K:L,2,FALSE),A2188)</f>
        <v>73030</v>
      </c>
      <c r="C2188" t="s">
        <v>1871</v>
      </c>
      <c r="D2188" t="str">
        <f>IFERROR(VLOOKUP(C2188,APOYO!J:K,2,FALSE),C2188)</f>
        <v>AMBALEMA</v>
      </c>
      <c r="E2188">
        <v>2016</v>
      </c>
    </row>
    <row r="2189" spans="1:8" hidden="1" x14ac:dyDescent="0.25">
      <c r="A2189" t="str">
        <f>_xlfn.XLOOKUP(C2189, 'Códigos DANE Municipios'!$B$2:$B$1123, 'Códigos DANE Municipios'!$A$2:$A$1123, "No encontrado")</f>
        <v>25035</v>
      </c>
      <c r="B2189" t="str">
        <f>IFERROR(VLOOKUP(D2189,APOYO!K:L,2,FALSE),A2189)</f>
        <v>25035</v>
      </c>
      <c r="C2189" t="s">
        <v>920</v>
      </c>
      <c r="D2189" t="str">
        <f>IFERROR(VLOOKUP(C2189,APOYO!J:K,2,FALSE),C2189)</f>
        <v>ANAPOIMA</v>
      </c>
      <c r="E2189">
        <v>2016</v>
      </c>
      <c r="H2189">
        <v>101</v>
      </c>
    </row>
    <row r="2190" spans="1:8" hidden="1" x14ac:dyDescent="0.25">
      <c r="A2190" t="str">
        <f>_xlfn.XLOOKUP(C2190, 'Códigos DANE Municipios'!$B$2:$B$1123, 'Códigos DANE Municipios'!$A$2:$A$1123, "No encontrado")</f>
        <v>No encontrado</v>
      </c>
      <c r="B2190" t="str">
        <f>IFERROR(VLOOKUP(D2190,APOYO!K:L,2,FALSE),A2190)</f>
        <v>76036</v>
      </c>
      <c r="C2190" t="s">
        <v>2181</v>
      </c>
      <c r="D2190" t="str">
        <f>IFERROR(VLOOKUP(C2190,APOYO!J:K,2,FALSE),C2190)</f>
        <v>ANDALUCÍA</v>
      </c>
      <c r="E2190">
        <v>2016</v>
      </c>
      <c r="H2190">
        <v>54</v>
      </c>
    </row>
    <row r="2191" spans="1:8" hidden="1" x14ac:dyDescent="0.25">
      <c r="A2191" t="str">
        <f>_xlfn.XLOOKUP(C2191, 'Códigos DANE Municipios'!$B$2:$B$1123, 'Códigos DANE Municipios'!$A$2:$A$1123, "No encontrado")</f>
        <v>05034</v>
      </c>
      <c r="B2191" t="str">
        <f>IFERROR(VLOOKUP(D2191,APOYO!K:L,2,FALSE),A2191)</f>
        <v>05034</v>
      </c>
      <c r="C2191" t="s">
        <v>24</v>
      </c>
      <c r="D2191" t="str">
        <f>IFERROR(VLOOKUP(C2191,APOYO!J:K,2,FALSE),C2191)</f>
        <v>ANDES</v>
      </c>
      <c r="E2191">
        <v>2016</v>
      </c>
      <c r="H2191">
        <v>9</v>
      </c>
    </row>
    <row r="2192" spans="1:8" hidden="1" x14ac:dyDescent="0.25">
      <c r="A2192" t="str">
        <f>_xlfn.XLOOKUP(C2192, 'Códigos DANE Municipios'!$B$2:$B$1123, 'Códigos DANE Municipios'!$A$2:$A$1123, "No encontrado")</f>
        <v>No encontrado</v>
      </c>
      <c r="B2192" t="str">
        <f>IFERROR(VLOOKUP(D2192,APOYO!K:L,2,FALSE),A2192)</f>
        <v>No encontrado</v>
      </c>
      <c r="C2192" t="s">
        <v>2423</v>
      </c>
      <c r="D2192" t="str">
        <f>IFERROR(VLOOKUP(C2192,APOYO!J:K,2,FALSE),C2192)</f>
        <v>ANGELOPOLIS</v>
      </c>
      <c r="E2192">
        <v>2016</v>
      </c>
      <c r="H2192">
        <v>6</v>
      </c>
    </row>
    <row r="2193" spans="1:8" hidden="1" x14ac:dyDescent="0.25">
      <c r="A2193" t="str">
        <f>_xlfn.XLOOKUP(C2193, 'Códigos DANE Municipios'!$B$2:$B$1123, 'Códigos DANE Municipios'!$A$2:$A$1123, "No encontrado")</f>
        <v>05038</v>
      </c>
      <c r="B2193" t="str">
        <f>IFERROR(VLOOKUP(D2193,APOYO!K:L,2,FALSE),A2193)</f>
        <v>05038</v>
      </c>
      <c r="C2193" t="s">
        <v>28</v>
      </c>
      <c r="D2193" t="str">
        <f>IFERROR(VLOOKUP(C2193,APOYO!J:K,2,FALSE),C2193)</f>
        <v>ANGOSTURA</v>
      </c>
      <c r="E2193">
        <v>2016</v>
      </c>
    </row>
    <row r="2194" spans="1:8" hidden="1" x14ac:dyDescent="0.25">
      <c r="A2194" t="str">
        <f>_xlfn.XLOOKUP(C2194, 'Códigos DANE Municipios'!$B$2:$B$1123, 'Códigos DANE Municipios'!$A$2:$A$1123, "No encontrado")</f>
        <v>25040</v>
      </c>
      <c r="B2194" t="str">
        <f>IFERROR(VLOOKUP(D2194,APOYO!K:L,2,FALSE),A2194)</f>
        <v>25040</v>
      </c>
      <c r="C2194" t="s">
        <v>922</v>
      </c>
      <c r="D2194" t="str">
        <f>IFERROR(VLOOKUP(C2194,APOYO!J:K,2,FALSE),C2194)</f>
        <v>ANOLAIMA</v>
      </c>
      <c r="E2194">
        <v>2016</v>
      </c>
      <c r="H2194">
        <v>22</v>
      </c>
    </row>
    <row r="2195" spans="1:8" hidden="1" x14ac:dyDescent="0.25">
      <c r="A2195" t="str">
        <f>_xlfn.XLOOKUP(C2195, 'Códigos DANE Municipios'!$B$2:$B$1123, 'Códigos DANE Municipios'!$A$2:$A$1123, "No encontrado")</f>
        <v>No encontrado</v>
      </c>
      <c r="B2195" t="str">
        <f>IFERROR(VLOOKUP(D2195,APOYO!K:L,2,FALSE),A2195)</f>
        <v>05040</v>
      </c>
      <c r="C2195" t="s">
        <v>2182</v>
      </c>
      <c r="D2195" t="str">
        <f>IFERROR(VLOOKUP(C2195,APOYO!J:K,2,FALSE),C2195)</f>
        <v>ANORÍ</v>
      </c>
      <c r="E2195">
        <v>2016</v>
      </c>
    </row>
    <row r="2196" spans="1:8" hidden="1" x14ac:dyDescent="0.25">
      <c r="A2196" t="str">
        <f>_xlfn.XLOOKUP(C2196, 'Códigos DANE Municipios'!$B$2:$B$1123, 'Códigos DANE Municipios'!$A$2:$A$1123, "No encontrado")</f>
        <v>17042</v>
      </c>
      <c r="B2196" t="str">
        <f>IFERROR(VLOOKUP(D2196,APOYO!K:L,2,FALSE),A2196)</f>
        <v>17042</v>
      </c>
      <c r="C2196" t="s">
        <v>648</v>
      </c>
      <c r="D2196" t="str">
        <f>IFERROR(VLOOKUP(C2196,APOYO!J:K,2,FALSE),C2196)</f>
        <v>ANSERMA</v>
      </c>
      <c r="E2196">
        <v>2016</v>
      </c>
      <c r="H2196">
        <v>248</v>
      </c>
    </row>
    <row r="2197" spans="1:8" hidden="1" x14ac:dyDescent="0.25">
      <c r="A2197" t="str">
        <f>_xlfn.XLOOKUP(C2197, 'Códigos DANE Municipios'!$B$2:$B$1123, 'Códigos DANE Municipios'!$A$2:$A$1123, "No encontrado")</f>
        <v>76041</v>
      </c>
      <c r="B2197" t="str">
        <f>IFERROR(VLOOKUP(D2197,APOYO!K:L,2,FALSE),A2197)</f>
        <v>76041</v>
      </c>
      <c r="C2197" t="s">
        <v>1963</v>
      </c>
      <c r="D2197" t="str">
        <f>IFERROR(VLOOKUP(C2197,APOYO!J:K,2,FALSE),C2197)</f>
        <v>ANSERMANUEVO</v>
      </c>
      <c r="E2197">
        <v>2016</v>
      </c>
      <c r="H2197">
        <v>37</v>
      </c>
    </row>
    <row r="2198" spans="1:8" hidden="1" x14ac:dyDescent="0.25">
      <c r="A2198" t="str">
        <f>_xlfn.XLOOKUP(C2198, 'Códigos DANE Municipios'!$B$2:$B$1123, 'Códigos DANE Municipios'!$A$2:$A$1123, "No encontrado")</f>
        <v>No encontrado</v>
      </c>
      <c r="B2198" t="str">
        <f>IFERROR(VLOOKUP(D2198,APOYO!K:L,2,FALSE),A2198)</f>
        <v>No encontrado</v>
      </c>
      <c r="C2198" t="s">
        <v>2183</v>
      </c>
      <c r="D2198" t="str">
        <f>IFERROR(VLOOKUP(C2198,APOYO!J:K,2,FALSE),C2198)</f>
        <v>ANTIOQUIA</v>
      </c>
      <c r="E2198">
        <v>2016</v>
      </c>
      <c r="H2198">
        <v>46</v>
      </c>
    </row>
    <row r="2199" spans="1:8" hidden="1" x14ac:dyDescent="0.25">
      <c r="A2199" t="str">
        <f>_xlfn.XLOOKUP(C2199, 'Códigos DANE Municipios'!$B$2:$B$1123, 'Códigos DANE Municipios'!$A$2:$A$1123, "No encontrado")</f>
        <v>No encontrado</v>
      </c>
      <c r="B2199" t="str">
        <f>IFERROR(VLOOKUP(D2199,APOYO!K:L,2,FALSE),A2199)</f>
        <v>No encontrado</v>
      </c>
      <c r="C2199" t="s">
        <v>2424</v>
      </c>
      <c r="D2199" t="str">
        <f>IFERROR(VLOOKUP(C2199,APOYO!J:K,2,FALSE),C2199)</f>
        <v>ANZA</v>
      </c>
      <c r="E2199">
        <v>2016</v>
      </c>
    </row>
    <row r="2200" spans="1:8" hidden="1" x14ac:dyDescent="0.25">
      <c r="A2200" t="str">
        <f>_xlfn.XLOOKUP(C2200, 'Códigos DANE Municipios'!$B$2:$B$1123, 'Códigos DANE Municipios'!$A$2:$A$1123, "No encontrado")</f>
        <v>No encontrado</v>
      </c>
      <c r="B2200" t="str">
        <f>IFERROR(VLOOKUP(D2200,APOYO!K:L,2,FALSE),A2200)</f>
        <v>05045</v>
      </c>
      <c r="C2200" t="s">
        <v>2184</v>
      </c>
      <c r="D2200" t="str">
        <f>IFERROR(VLOOKUP(C2200,APOYO!J:K,2,FALSE),C2200)</f>
        <v>APARTADÓ</v>
      </c>
      <c r="E2200">
        <v>2016</v>
      </c>
      <c r="H2200">
        <v>130</v>
      </c>
    </row>
    <row r="2201" spans="1:8" hidden="1" x14ac:dyDescent="0.25">
      <c r="A2201" t="str">
        <f>_xlfn.XLOOKUP(C2201, 'Códigos DANE Municipios'!$B$2:$B$1123, 'Códigos DANE Municipios'!$A$2:$A$1123, "No encontrado")</f>
        <v>No encontrado</v>
      </c>
      <c r="B2201" t="str">
        <f>IFERROR(VLOOKUP(D2201,APOYO!K:L,2,FALSE),A2201)</f>
        <v>66045</v>
      </c>
      <c r="C2201" t="s">
        <v>2185</v>
      </c>
      <c r="D2201" t="str">
        <f>IFERROR(VLOOKUP(C2201,APOYO!J:K,2,FALSE),C2201)</f>
        <v>APÍA</v>
      </c>
      <c r="E2201">
        <v>2016</v>
      </c>
      <c r="H2201">
        <v>51</v>
      </c>
    </row>
    <row r="2202" spans="1:8" hidden="1" x14ac:dyDescent="0.25">
      <c r="A2202" t="str">
        <f>_xlfn.XLOOKUP(C2202, 'Códigos DANE Municipios'!$B$2:$B$1123, 'Códigos DANE Municipios'!$A$2:$A$1123, "No encontrado")</f>
        <v>15047</v>
      </c>
      <c r="B2202" t="str">
        <f>IFERROR(VLOOKUP(D2202,APOYO!K:L,2,FALSE),A2202)</f>
        <v>15047</v>
      </c>
      <c r="C2202" t="s">
        <v>405</v>
      </c>
      <c r="D2202" t="str">
        <f>IFERROR(VLOOKUP(C2202,APOYO!J:K,2,FALSE),C2202)</f>
        <v>AQUITANIA</v>
      </c>
      <c r="E2202">
        <v>2016</v>
      </c>
      <c r="H2202">
        <v>20</v>
      </c>
    </row>
    <row r="2203" spans="1:8" hidden="1" x14ac:dyDescent="0.25">
      <c r="A2203" t="str">
        <f>_xlfn.XLOOKUP(C2203, 'Códigos DANE Municipios'!$B$2:$B$1123, 'Códigos DANE Municipios'!$A$2:$A$1123, "No encontrado")</f>
        <v>47053</v>
      </c>
      <c r="B2203" t="str">
        <f>IFERROR(VLOOKUP(D2203,APOYO!K:L,2,FALSE),A2203)</f>
        <v>47053</v>
      </c>
      <c r="C2203" t="s">
        <v>1304</v>
      </c>
      <c r="D2203" t="str">
        <f>IFERROR(VLOOKUP(C2203,APOYO!J:K,2,FALSE),C2203)</f>
        <v>ARACATACA</v>
      </c>
      <c r="E2203">
        <v>2016</v>
      </c>
      <c r="H2203">
        <v>9</v>
      </c>
    </row>
    <row r="2204" spans="1:8" hidden="1" x14ac:dyDescent="0.25">
      <c r="A2204" t="str">
        <f>_xlfn.XLOOKUP(C2204, 'Códigos DANE Municipios'!$B$2:$B$1123, 'Códigos DANE Municipios'!$A$2:$A$1123, "No encontrado")</f>
        <v>17050</v>
      </c>
      <c r="B2204" t="str">
        <f>IFERROR(VLOOKUP(D2204,APOYO!K:L,2,FALSE),A2204)</f>
        <v>17050</v>
      </c>
      <c r="C2204" t="s">
        <v>650</v>
      </c>
      <c r="D2204" t="str">
        <f>IFERROR(VLOOKUP(C2204,APOYO!J:K,2,FALSE),C2204)</f>
        <v>ARANZAZU</v>
      </c>
      <c r="E2204">
        <v>2016</v>
      </c>
      <c r="H2204">
        <v>41</v>
      </c>
    </row>
    <row r="2205" spans="1:8" hidden="1" x14ac:dyDescent="0.25">
      <c r="A2205" t="str">
        <f>_xlfn.XLOOKUP(C2205, 'Códigos DANE Municipios'!$B$2:$B$1123, 'Códigos DANE Municipios'!$A$2:$A$1123, "No encontrado")</f>
        <v>68051</v>
      </c>
      <c r="B2205" t="str">
        <f>IFERROR(VLOOKUP(D2205,APOYO!K:L,2,FALSE),A2205)</f>
        <v>68051</v>
      </c>
      <c r="C2205" t="s">
        <v>1660</v>
      </c>
      <c r="D2205" t="str">
        <f>IFERROR(VLOOKUP(C2205,APOYO!J:K,2,FALSE),C2205)</f>
        <v>ARATOCA</v>
      </c>
      <c r="E2205">
        <v>2016</v>
      </c>
      <c r="H2205">
        <v>3</v>
      </c>
    </row>
    <row r="2206" spans="1:8" hidden="1" x14ac:dyDescent="0.25">
      <c r="A2206" t="str">
        <f>_xlfn.XLOOKUP(C2206, 'Códigos DANE Municipios'!$B$2:$B$1123, 'Códigos DANE Municipios'!$A$2:$A$1123, "No encontrado")</f>
        <v>81001</v>
      </c>
      <c r="B2206" t="str">
        <f>IFERROR(VLOOKUP(D2206,APOYO!K:L,2,FALSE),A2206)</f>
        <v>81001</v>
      </c>
      <c r="C2206" t="s">
        <v>2034</v>
      </c>
      <c r="D2206" t="str">
        <f>IFERROR(VLOOKUP(C2206,APOYO!J:K,2,FALSE),C2206)</f>
        <v>ARAUCA</v>
      </c>
      <c r="E2206">
        <v>2016</v>
      </c>
      <c r="F2206">
        <v>56066</v>
      </c>
      <c r="H2206">
        <v>115</v>
      </c>
    </row>
    <row r="2207" spans="1:8" hidden="1" x14ac:dyDescent="0.25">
      <c r="A2207" t="str">
        <f>_xlfn.XLOOKUP(C2207, 'Códigos DANE Municipios'!$B$2:$B$1123, 'Códigos DANE Municipios'!$A$2:$A$1123, "No encontrado")</f>
        <v>No encontrado</v>
      </c>
      <c r="B2207" t="str">
        <f>IFERROR(VLOOKUP(D2207,APOYO!K:L,2,FALSE),A2207)</f>
        <v>No encontrado</v>
      </c>
      <c r="C2207" t="s">
        <v>2425</v>
      </c>
      <c r="D2207" t="str">
        <f>IFERROR(VLOOKUP(C2207,APOYO!J:K,2,FALSE),C2207)</f>
        <v>ARANQUITA</v>
      </c>
      <c r="E2207">
        <v>2016</v>
      </c>
      <c r="H2207">
        <v>7</v>
      </c>
    </row>
    <row r="2208" spans="1:8" hidden="1" x14ac:dyDescent="0.25">
      <c r="A2208" t="str">
        <f>_xlfn.XLOOKUP(C2208, 'Códigos DANE Municipios'!$B$2:$B$1123, 'Códigos DANE Municipios'!$A$2:$A$1123, "No encontrado")</f>
        <v>No encontrado</v>
      </c>
      <c r="B2208" t="str">
        <f>IFERROR(VLOOKUP(D2208,APOYO!K:L,2,FALSE),A2208)</f>
        <v>25053</v>
      </c>
      <c r="C2208" t="s">
        <v>2426</v>
      </c>
      <c r="D2208" t="str">
        <f>IFERROR(VLOOKUP(C2208,APOYO!J:K,2,FALSE),C2208)</f>
        <v>ARBELÁEZ</v>
      </c>
      <c r="E2208">
        <v>2016</v>
      </c>
      <c r="H2208">
        <v>16</v>
      </c>
    </row>
    <row r="2209" spans="1:8" hidden="1" x14ac:dyDescent="0.25">
      <c r="A2209" t="str">
        <f>_xlfn.XLOOKUP(C2209, 'Códigos DANE Municipios'!$B$2:$B$1123, 'Códigos DANE Municipios'!$A$2:$A$1123, "No encontrado")</f>
        <v>54051</v>
      </c>
      <c r="B2209" t="str">
        <f>IFERROR(VLOOKUP(D2209,APOYO!K:L,2,FALSE),A2209)</f>
        <v>54051</v>
      </c>
      <c r="C2209" t="s">
        <v>1533</v>
      </c>
      <c r="D2209" t="str">
        <f>IFERROR(VLOOKUP(C2209,APOYO!J:K,2,FALSE),C2209)</f>
        <v>ARBOLEDAS</v>
      </c>
      <c r="E2209">
        <v>2016</v>
      </c>
      <c r="H2209">
        <v>3</v>
      </c>
    </row>
    <row r="2210" spans="1:8" hidden="1" x14ac:dyDescent="0.25">
      <c r="A2210" t="str">
        <f>_xlfn.XLOOKUP(C2210, 'Códigos DANE Municipios'!$B$2:$B$1123, 'Códigos DANE Municipios'!$A$2:$A$1123, "No encontrado")</f>
        <v>05051</v>
      </c>
      <c r="B2210" t="str">
        <f>IFERROR(VLOOKUP(D2210,APOYO!K:L,2,FALSE),A2210)</f>
        <v>05051</v>
      </c>
      <c r="C2210" t="s">
        <v>38</v>
      </c>
      <c r="D2210" t="str">
        <f>IFERROR(VLOOKUP(C2210,APOYO!J:K,2,FALSE),C2210)</f>
        <v>ARBOLETES</v>
      </c>
      <c r="E2210">
        <v>2016</v>
      </c>
      <c r="H2210">
        <v>14</v>
      </c>
    </row>
    <row r="2211" spans="1:8" hidden="1" x14ac:dyDescent="0.25">
      <c r="A2211" t="str">
        <f>_xlfn.XLOOKUP(C2211, 'Códigos DANE Municipios'!$B$2:$B$1123, 'Códigos DANE Municipios'!$A$2:$A$1123, "No encontrado")</f>
        <v>15051</v>
      </c>
      <c r="B2211" t="str">
        <f>IFERROR(VLOOKUP(D2211,APOYO!K:L,2,FALSE),A2211)</f>
        <v>15051</v>
      </c>
      <c r="C2211" t="s">
        <v>407</v>
      </c>
      <c r="D2211" t="str">
        <f>IFERROR(VLOOKUP(C2211,APOYO!J:K,2,FALSE),C2211)</f>
        <v>ARCABUCO</v>
      </c>
      <c r="E2211">
        <v>2016</v>
      </c>
      <c r="H2211">
        <v>1</v>
      </c>
    </row>
    <row r="2212" spans="1:8" hidden="1" x14ac:dyDescent="0.25">
      <c r="A2212" t="str">
        <f>_xlfn.XLOOKUP(C2212, 'Códigos DANE Municipios'!$B$2:$B$1123, 'Códigos DANE Municipios'!$A$2:$A$1123, "No encontrado")</f>
        <v>05055</v>
      </c>
      <c r="B2212" t="str">
        <f>IFERROR(VLOOKUP(D2212,APOYO!K:L,2,FALSE),A2212)</f>
        <v>05055</v>
      </c>
      <c r="C2212" t="s">
        <v>40</v>
      </c>
      <c r="D2212" t="str">
        <f>IFERROR(VLOOKUP(C2212,APOYO!J:K,2,FALSE),C2212)</f>
        <v>ARGELIA</v>
      </c>
      <c r="E2212">
        <v>2016</v>
      </c>
      <c r="H2212">
        <v>8</v>
      </c>
    </row>
    <row r="2213" spans="1:8" hidden="1" x14ac:dyDescent="0.25">
      <c r="A2213" t="str">
        <f>_xlfn.XLOOKUP(C2213, 'Códigos DANE Municipios'!$B$2:$B$1123, 'Códigos DANE Municipios'!$A$2:$A$1123, "No encontrado")</f>
        <v>No encontrado</v>
      </c>
      <c r="B2213" t="str">
        <f>IFERROR(VLOOKUP(D2213,APOYO!K:L,2,FALSE),A2213)</f>
        <v>47058</v>
      </c>
      <c r="C2213" t="s">
        <v>2186</v>
      </c>
      <c r="D2213" t="str">
        <f>IFERROR(VLOOKUP(C2213,APOYO!J:K,2,FALSE),C2213)</f>
        <v>ARIGUANÍ</v>
      </c>
      <c r="E2213">
        <v>2016</v>
      </c>
      <c r="H2213">
        <v>1</v>
      </c>
    </row>
    <row r="2214" spans="1:8" hidden="1" x14ac:dyDescent="0.25">
      <c r="A2214" t="str">
        <f>_xlfn.XLOOKUP(C2214, 'Códigos DANE Municipios'!$B$2:$B$1123, 'Códigos DANE Municipios'!$A$2:$A$1123, "No encontrado")</f>
        <v>No encontrado</v>
      </c>
      <c r="B2214" t="str">
        <f>IFERROR(VLOOKUP(D2214,APOYO!K:L,2,FALSE),A2214)</f>
        <v>13052</v>
      </c>
      <c r="C2214" t="s">
        <v>2187</v>
      </c>
      <c r="D2214" t="str">
        <f>IFERROR(VLOOKUP(C2214,APOYO!J:K,2,FALSE),C2214)</f>
        <v>ARJONA</v>
      </c>
      <c r="E2214">
        <v>2016</v>
      </c>
      <c r="H2214">
        <v>60</v>
      </c>
    </row>
    <row r="2215" spans="1:8" hidden="1" x14ac:dyDescent="0.25">
      <c r="A2215" t="str">
        <f>_xlfn.XLOOKUP(C2215, 'Códigos DANE Municipios'!$B$2:$B$1123, 'Códigos DANE Municipios'!$A$2:$A$1123, "No encontrado")</f>
        <v>05059</v>
      </c>
      <c r="B2215" t="str">
        <f>IFERROR(VLOOKUP(D2215,APOYO!K:L,2,FALSE),A2215)</f>
        <v>05059</v>
      </c>
      <c r="C2215" t="s">
        <v>42</v>
      </c>
      <c r="D2215" t="str">
        <f>IFERROR(VLOOKUP(C2215,APOYO!J:K,2,FALSE),C2215)</f>
        <v>ARMENIA</v>
      </c>
      <c r="E2215">
        <v>2016</v>
      </c>
      <c r="F2215">
        <v>189325</v>
      </c>
      <c r="G2215">
        <v>43698</v>
      </c>
      <c r="H2215">
        <v>10481</v>
      </c>
    </row>
    <row r="2216" spans="1:8" hidden="1" x14ac:dyDescent="0.25">
      <c r="A2216" t="str">
        <f>_xlfn.XLOOKUP(C2216, 'Códigos DANE Municipios'!$B$2:$B$1123, 'Códigos DANE Municipios'!$A$2:$A$1123, "No encontrado")</f>
        <v>No encontrado</v>
      </c>
      <c r="B2216" t="str">
        <f>IFERROR(VLOOKUP(D2216,APOYO!K:L,2,FALSE),A2216)</f>
        <v>73055</v>
      </c>
      <c r="C2216" t="s">
        <v>2188</v>
      </c>
      <c r="D2216" t="str">
        <f>IFERROR(VLOOKUP(C2216,APOYO!J:K,2,FALSE),C2216)</f>
        <v>ARMERO GUAYABAL</v>
      </c>
      <c r="E2216">
        <v>2016</v>
      </c>
      <c r="H2216">
        <v>1</v>
      </c>
    </row>
    <row r="2217" spans="1:8" hidden="1" x14ac:dyDescent="0.25">
      <c r="A2217" t="str">
        <f>_xlfn.XLOOKUP(C2217, 'Códigos DANE Municipios'!$B$2:$B$1123, 'Códigos DANE Municipios'!$A$2:$A$1123, "No encontrado")</f>
        <v>20032</v>
      </c>
      <c r="B2217" t="str">
        <f>IFERROR(VLOOKUP(D2217,APOYO!K:L,2,FALSE),A2217)</f>
        <v>20032</v>
      </c>
      <c r="C2217" t="s">
        <v>814</v>
      </c>
      <c r="D2217" t="str">
        <f>IFERROR(VLOOKUP(C2217,APOYO!J:K,2,FALSE),C2217)</f>
        <v>ASTREA</v>
      </c>
      <c r="E2217">
        <v>2016</v>
      </c>
    </row>
    <row r="2218" spans="1:8" hidden="1" x14ac:dyDescent="0.25">
      <c r="A2218" t="str">
        <f>_xlfn.XLOOKUP(C2218, 'Códigos DANE Municipios'!$B$2:$B$1123, 'Códigos DANE Municipios'!$A$2:$A$1123, "No encontrado")</f>
        <v>23068</v>
      </c>
      <c r="B2218" t="str">
        <f>IFERROR(VLOOKUP(D2218,APOYO!K:L,2,FALSE),A2218)</f>
        <v>23068</v>
      </c>
      <c r="C2218" t="s">
        <v>860</v>
      </c>
      <c r="D2218" t="str">
        <f>IFERROR(VLOOKUP(C2218,APOYO!J:K,2,FALSE),C2218)</f>
        <v>AYAPEL</v>
      </c>
      <c r="E2218">
        <v>2016</v>
      </c>
      <c r="H2218">
        <v>11</v>
      </c>
    </row>
    <row r="2219" spans="1:8" hidden="1" x14ac:dyDescent="0.25">
      <c r="A2219" t="str">
        <f>_xlfn.XLOOKUP(C2219, 'Códigos DANE Municipios'!$B$2:$B$1123, 'Códigos DANE Municipios'!$A$2:$A$1123, "No encontrado")</f>
        <v>No encontrado</v>
      </c>
      <c r="B2219" t="str">
        <f>IFERROR(VLOOKUP(D2219,APOYO!K:L,2,FALSE),A2219)</f>
        <v>27073</v>
      </c>
      <c r="C2219" t="s">
        <v>2190</v>
      </c>
      <c r="D2219" t="str">
        <f>IFERROR(VLOOKUP(C2219,APOYO!J:K,2,FALSE),C2219)</f>
        <v>BAGADÓ</v>
      </c>
      <c r="E2219">
        <v>2016</v>
      </c>
    </row>
    <row r="2220" spans="1:8" hidden="1" x14ac:dyDescent="0.25">
      <c r="A2220" t="str">
        <f>_xlfn.XLOOKUP(C2220, 'Códigos DANE Municipios'!$B$2:$B$1123, 'Códigos DANE Municipios'!$A$2:$A$1123, "No encontrado")</f>
        <v>No encontrado</v>
      </c>
      <c r="B2220" t="str">
        <f>IFERROR(VLOOKUP(D2220,APOYO!K:L,2,FALSE),A2220)</f>
        <v>27075</v>
      </c>
      <c r="C2220" t="s">
        <v>2191</v>
      </c>
      <c r="D2220" t="str">
        <f>IFERROR(VLOOKUP(C2220,APOYO!J:K,2,FALSE),C2220)</f>
        <v>BAHÍA SOLANO</v>
      </c>
      <c r="E2220">
        <v>2016</v>
      </c>
      <c r="G2220">
        <v>15025</v>
      </c>
      <c r="H2220">
        <v>44</v>
      </c>
    </row>
    <row r="2221" spans="1:8" hidden="1" x14ac:dyDescent="0.25">
      <c r="A2221" t="str">
        <f>_xlfn.XLOOKUP(C2221, 'Códigos DANE Municipios'!$B$2:$B$1123, 'Códigos DANE Municipios'!$A$2:$A$1123, "No encontrado")</f>
        <v>No encontrado</v>
      </c>
      <c r="B2221" t="str">
        <f>IFERROR(VLOOKUP(D2221,APOYO!K:L,2,FALSE),A2221)</f>
        <v>27077</v>
      </c>
      <c r="C2221" t="s">
        <v>2192</v>
      </c>
      <c r="D2221" t="str">
        <f>IFERROR(VLOOKUP(C2221,APOYO!J:K,2,FALSE),C2221)</f>
        <v>BAJO BAUDÓ</v>
      </c>
      <c r="E2221">
        <v>2016</v>
      </c>
    </row>
    <row r="2222" spans="1:8" hidden="1" x14ac:dyDescent="0.25">
      <c r="A2222" t="str">
        <f>_xlfn.XLOOKUP(C2222, 'Códigos DANE Municipios'!$B$2:$B$1123, 'Códigos DANE Municipios'!$A$2:$A$1123, "No encontrado")</f>
        <v>19075</v>
      </c>
      <c r="B2222" t="str">
        <f>IFERROR(VLOOKUP(D2222,APOYO!K:L,2,FALSE),A2222)</f>
        <v>19075</v>
      </c>
      <c r="C2222" t="s">
        <v>734</v>
      </c>
      <c r="D2222" t="str">
        <f>IFERROR(VLOOKUP(C2222,APOYO!J:K,2,FALSE),C2222)</f>
        <v>BALBOA</v>
      </c>
      <c r="E2222">
        <v>2016</v>
      </c>
      <c r="H2222">
        <v>9</v>
      </c>
    </row>
    <row r="2223" spans="1:8" hidden="1" x14ac:dyDescent="0.25">
      <c r="A2223" t="str">
        <f>_xlfn.XLOOKUP(C2223, 'Códigos DANE Municipios'!$B$2:$B$1123, 'Códigos DANE Municipios'!$A$2:$A$1123, "No encontrado")</f>
        <v>08078</v>
      </c>
      <c r="B2223" t="str">
        <f>IFERROR(VLOOKUP(D2223,APOYO!K:L,2,FALSE),A2223)</f>
        <v>08078</v>
      </c>
      <c r="C2223" t="s">
        <v>264</v>
      </c>
      <c r="D2223" t="str">
        <f>IFERROR(VLOOKUP(C2223,APOYO!J:K,2,FALSE),C2223)</f>
        <v>BARANOA</v>
      </c>
      <c r="E2223">
        <v>2016</v>
      </c>
      <c r="H2223">
        <v>179</v>
      </c>
    </row>
    <row r="2224" spans="1:8" hidden="1" x14ac:dyDescent="0.25">
      <c r="A2224" t="str">
        <f>_xlfn.XLOOKUP(C2224, 'Códigos DANE Municipios'!$B$2:$B$1123, 'Códigos DANE Municipios'!$A$2:$A$1123, "No encontrado")</f>
        <v>41078</v>
      </c>
      <c r="B2224" t="str">
        <f>IFERROR(VLOOKUP(D2224,APOYO!K:L,2,FALSE),A2224)</f>
        <v>41078</v>
      </c>
      <c r="C2224" t="s">
        <v>1213</v>
      </c>
      <c r="D2224" t="str">
        <f>IFERROR(VLOOKUP(C2224,APOYO!J:K,2,FALSE),C2224)</f>
        <v>BARAYA</v>
      </c>
      <c r="E2224">
        <v>2016</v>
      </c>
      <c r="H2224">
        <v>4</v>
      </c>
    </row>
    <row r="2225" spans="1:9" hidden="1" x14ac:dyDescent="0.25">
      <c r="A2225" t="str">
        <f>_xlfn.XLOOKUP(C2225, 'Códigos DANE Municipios'!$B$2:$B$1123, 'Códigos DANE Municipios'!$A$2:$A$1123, "No encontrado")</f>
        <v>52079</v>
      </c>
      <c r="B2225" t="str">
        <f>IFERROR(VLOOKUP(D2225,APOYO!K:L,2,FALSE),A2225)</f>
        <v>52079</v>
      </c>
      <c r="C2225" t="s">
        <v>1421</v>
      </c>
      <c r="D2225" t="str">
        <f>IFERROR(VLOOKUP(C2225,APOYO!J:K,2,FALSE),C2225)</f>
        <v>BARBACOAS</v>
      </c>
      <c r="E2225">
        <v>2016</v>
      </c>
    </row>
    <row r="2226" spans="1:9" hidden="1" x14ac:dyDescent="0.25">
      <c r="A2226" t="str">
        <f>_xlfn.XLOOKUP(C2226, 'Códigos DANE Municipios'!$B$2:$B$1123, 'Códigos DANE Municipios'!$A$2:$A$1123, "No encontrado")</f>
        <v>05079</v>
      </c>
      <c r="B2226" t="str">
        <f>IFERROR(VLOOKUP(D2226,APOYO!K:L,2,FALSE),A2226)</f>
        <v>05079</v>
      </c>
      <c r="C2226" t="s">
        <v>44</v>
      </c>
      <c r="D2226" t="str">
        <f>IFERROR(VLOOKUP(C2226,APOYO!J:K,2,FALSE),C2226)</f>
        <v>BARBOSA</v>
      </c>
      <c r="E2226">
        <v>2016</v>
      </c>
      <c r="H2226">
        <v>143</v>
      </c>
    </row>
    <row r="2227" spans="1:9" hidden="1" x14ac:dyDescent="0.25">
      <c r="A2227" t="str">
        <f>_xlfn.XLOOKUP(C2227, 'Códigos DANE Municipios'!$B$2:$B$1123, 'Códigos DANE Municipios'!$A$2:$A$1123, "No encontrado")</f>
        <v>68079</v>
      </c>
      <c r="B2227" t="str">
        <f>IFERROR(VLOOKUP(D2227,APOYO!K:L,2,FALSE),A2227)</f>
        <v>68079</v>
      </c>
      <c r="C2227" t="s">
        <v>1663</v>
      </c>
      <c r="D2227" t="str">
        <f>IFERROR(VLOOKUP(C2227,APOYO!J:K,2,FALSE),C2227)</f>
        <v>BARICHARA</v>
      </c>
      <c r="E2227">
        <v>2016</v>
      </c>
      <c r="H2227">
        <v>100</v>
      </c>
    </row>
    <row r="2228" spans="1:9" hidden="1" x14ac:dyDescent="0.25">
      <c r="A2228" t="str">
        <f>_xlfn.XLOOKUP(C2228, 'Códigos DANE Municipios'!$B$2:$B$1123, 'Códigos DANE Municipios'!$A$2:$A$1123, "No encontrado")</f>
        <v>No encontrado</v>
      </c>
      <c r="B2228" t="str">
        <f>IFERROR(VLOOKUP(D2228,APOYO!K:L,2,FALSE),A2228)</f>
        <v>50110</v>
      </c>
      <c r="C2228" t="s">
        <v>2193</v>
      </c>
      <c r="D2228" t="str">
        <f>IFERROR(VLOOKUP(C2228,APOYO!J:K,2,FALSE),C2228)</f>
        <v>BARRANCA DE UPÍA</v>
      </c>
      <c r="E2228">
        <v>2016</v>
      </c>
      <c r="H2228">
        <v>3</v>
      </c>
    </row>
    <row r="2229" spans="1:9" hidden="1" x14ac:dyDescent="0.25">
      <c r="A2229" t="str">
        <f>_xlfn.XLOOKUP(C2229, 'Códigos DANE Municipios'!$B$2:$B$1123, 'Códigos DANE Municipios'!$A$2:$A$1123, "No encontrado")</f>
        <v>No encontrado</v>
      </c>
      <c r="B2229" t="str">
        <f>IFERROR(VLOOKUP(D2229,APOYO!K:L,2,FALSE),A2229)</f>
        <v>No encontrado</v>
      </c>
      <c r="C2229" t="s">
        <v>2194</v>
      </c>
      <c r="D2229" t="str">
        <f>IFERROR(VLOOKUP(C2229,APOYO!J:K,2,FALSE),C2229)</f>
        <v>BARRANCABERBJA</v>
      </c>
      <c r="E2229">
        <v>2016</v>
      </c>
      <c r="F2229">
        <v>23556988</v>
      </c>
      <c r="G2229">
        <v>5828735</v>
      </c>
      <c r="H2229">
        <v>2241039</v>
      </c>
      <c r="I2229">
        <v>1446716</v>
      </c>
    </row>
    <row r="2230" spans="1:9" hidden="1" x14ac:dyDescent="0.25">
      <c r="A2230" t="str">
        <f>_xlfn.XLOOKUP(C2230, 'Códigos DANE Municipios'!$B$2:$B$1123, 'Códigos DANE Municipios'!$A$2:$A$1123, "No encontrado")</f>
        <v>44078</v>
      </c>
      <c r="B2230" t="str">
        <f>IFERROR(VLOOKUP(D2230,APOYO!K:L,2,FALSE),A2230)</f>
        <v>44078</v>
      </c>
      <c r="C2230" t="s">
        <v>1275</v>
      </c>
      <c r="D2230" t="str">
        <f>IFERROR(VLOOKUP(C2230,APOYO!J:K,2,FALSE),C2230)</f>
        <v>BARRANCAS</v>
      </c>
      <c r="E2230">
        <v>2016</v>
      </c>
      <c r="H2230">
        <v>9</v>
      </c>
    </row>
    <row r="2231" spans="1:9" hidden="1" x14ac:dyDescent="0.25">
      <c r="A2231" t="str">
        <f>_xlfn.XLOOKUP(C2231, 'Códigos DANE Municipios'!$B$2:$B$1123, 'Códigos DANE Municipios'!$A$2:$A$1123, "No encontrado")</f>
        <v>08001</v>
      </c>
      <c r="B2231" t="str">
        <f>IFERROR(VLOOKUP(D2231,APOYO!K:L,2,FALSE),A2231)</f>
        <v>08001</v>
      </c>
      <c r="C2231" t="s">
        <v>262</v>
      </c>
      <c r="D2231" t="str">
        <f>IFERROR(VLOOKUP(C2231,APOYO!J:K,2,FALSE),C2231)</f>
        <v>BARRANQUILLA</v>
      </c>
      <c r="E2231">
        <v>2016</v>
      </c>
      <c r="F2231">
        <v>1279642</v>
      </c>
      <c r="G2231">
        <v>154055</v>
      </c>
      <c r="H2231">
        <v>51726</v>
      </c>
    </row>
    <row r="2232" spans="1:9" hidden="1" x14ac:dyDescent="0.25">
      <c r="A2232" t="str">
        <f>_xlfn.XLOOKUP(C2232, 'Códigos DANE Municipios'!$B$2:$B$1123, 'Códigos DANE Municipios'!$A$2:$A$1123, "No encontrado")</f>
        <v>No encontrado</v>
      </c>
      <c r="B2232" t="str">
        <f>IFERROR(VLOOKUP(D2232,APOYO!K:L,2,FALSE),A2232)</f>
        <v>17088</v>
      </c>
      <c r="C2232" t="s">
        <v>2195</v>
      </c>
      <c r="D2232" t="str">
        <f>IFERROR(VLOOKUP(C2232,APOYO!J:K,2,FALSE),C2232)</f>
        <v>BELALCÁZAR</v>
      </c>
      <c r="E2232">
        <v>2016</v>
      </c>
      <c r="H2232">
        <v>7</v>
      </c>
    </row>
    <row r="2233" spans="1:9" hidden="1" x14ac:dyDescent="0.25">
      <c r="A2233" t="str">
        <f>_xlfn.XLOOKUP(C2233, 'Códigos DANE Municipios'!$B$2:$B$1123, 'Códigos DANE Municipios'!$A$2:$A$1123, "No encontrado")</f>
        <v>No encontrado</v>
      </c>
      <c r="B2233" t="str">
        <f>IFERROR(VLOOKUP(D2233,APOYO!K:L,2,FALSE),A2233)</f>
        <v>15087</v>
      </c>
      <c r="C2233" t="s">
        <v>2196</v>
      </c>
      <c r="D2233" t="str">
        <f>IFERROR(VLOOKUP(C2233,APOYO!J:K,2,FALSE),C2233)</f>
        <v>BELÉN</v>
      </c>
      <c r="E2233">
        <v>2016</v>
      </c>
      <c r="H2233">
        <v>19</v>
      </c>
    </row>
    <row r="2234" spans="1:9" hidden="1" x14ac:dyDescent="0.25">
      <c r="A2234" t="str">
        <f>_xlfn.XLOOKUP(C2234, 'Códigos DANE Municipios'!$B$2:$B$1123, 'Códigos DANE Municipios'!$A$2:$A$1123, "No encontrado")</f>
        <v>No encontrado</v>
      </c>
      <c r="B2234" t="str">
        <f>IFERROR(VLOOKUP(D2234,APOYO!K:L,2,FALSE),A2234)</f>
        <v>66088</v>
      </c>
      <c r="C2234" t="s">
        <v>2197</v>
      </c>
      <c r="D2234" t="str">
        <f>IFERROR(VLOOKUP(C2234,APOYO!J:K,2,FALSE),C2234)</f>
        <v>BELÉN DE UMBRÍA</v>
      </c>
      <c r="E2234">
        <v>2016</v>
      </c>
      <c r="H2234">
        <v>67</v>
      </c>
    </row>
    <row r="2235" spans="1:9" hidden="1" x14ac:dyDescent="0.25">
      <c r="A2235" t="str">
        <f>_xlfn.XLOOKUP(C2235, 'Códigos DANE Municipios'!$B$2:$B$1123, 'Códigos DANE Municipios'!$A$2:$A$1123, "No encontrado")</f>
        <v>05088</v>
      </c>
      <c r="B2235" t="str">
        <f>IFERROR(VLOOKUP(D2235,APOYO!K:L,2,FALSE),A2235)</f>
        <v>05088</v>
      </c>
      <c r="C2235" t="s">
        <v>48</v>
      </c>
      <c r="D2235" t="str">
        <f>IFERROR(VLOOKUP(C2235,APOYO!J:K,2,FALSE),C2235)</f>
        <v>BELLO</v>
      </c>
      <c r="E2235">
        <v>2016</v>
      </c>
      <c r="H2235">
        <v>759</v>
      </c>
    </row>
    <row r="2236" spans="1:9" hidden="1" x14ac:dyDescent="0.25">
      <c r="A2236" t="str">
        <f>_xlfn.XLOOKUP(C2236, 'Códigos DANE Municipios'!$B$2:$B$1123, 'Códigos DANE Municipios'!$A$2:$A$1123, "No encontrado")</f>
        <v>05086</v>
      </c>
      <c r="B2236" t="str">
        <f>IFERROR(VLOOKUP(D2236,APOYO!K:L,2,FALSE),A2236)</f>
        <v>05086</v>
      </c>
      <c r="C2236" t="s">
        <v>46</v>
      </c>
      <c r="D2236" t="str">
        <f>IFERROR(VLOOKUP(C2236,APOYO!J:K,2,FALSE),C2236)</f>
        <v>BELMIRA</v>
      </c>
      <c r="E2236">
        <v>2016</v>
      </c>
      <c r="H2236">
        <v>4</v>
      </c>
    </row>
    <row r="2237" spans="1:9" hidden="1" x14ac:dyDescent="0.25">
      <c r="A2237" t="str">
        <f>_xlfn.XLOOKUP(C2237, 'Códigos DANE Municipios'!$B$2:$B$1123, 'Códigos DANE Municipios'!$A$2:$A$1123, "No encontrado")</f>
        <v>No encontrado</v>
      </c>
      <c r="B2237" t="str">
        <f>IFERROR(VLOOKUP(D2237,APOYO!K:L,2,FALSE),A2237)</f>
        <v>25086</v>
      </c>
      <c r="C2237" t="s">
        <v>2198</v>
      </c>
      <c r="D2237" t="str">
        <f>IFERROR(VLOOKUP(C2237,APOYO!J:K,2,FALSE),C2237)</f>
        <v>BELTRÁN</v>
      </c>
      <c r="E2237">
        <v>2016</v>
      </c>
      <c r="H2237">
        <v>3</v>
      </c>
    </row>
    <row r="2238" spans="1:9" hidden="1" x14ac:dyDescent="0.25">
      <c r="A2238" t="str">
        <f>_xlfn.XLOOKUP(C2238, 'Códigos DANE Municipios'!$B$2:$B$1123, 'Códigos DANE Municipios'!$A$2:$A$1123, "No encontrado")</f>
        <v>05091</v>
      </c>
      <c r="B2238" t="str">
        <f>IFERROR(VLOOKUP(D2238,APOYO!K:L,2,FALSE),A2238)</f>
        <v>05091</v>
      </c>
      <c r="C2238" t="s">
        <v>50</v>
      </c>
      <c r="D2238" t="str">
        <f>IFERROR(VLOOKUP(C2238,APOYO!J:K,2,FALSE),C2238)</f>
        <v>BETANIA</v>
      </c>
      <c r="E2238">
        <v>2016</v>
      </c>
      <c r="H2238">
        <v>2</v>
      </c>
    </row>
    <row r="2239" spans="1:9" hidden="1" x14ac:dyDescent="0.25">
      <c r="A2239" t="str">
        <f>_xlfn.XLOOKUP(C2239, 'Códigos DANE Municipios'!$B$2:$B$1123, 'Códigos DANE Municipios'!$A$2:$A$1123, "No encontrado")</f>
        <v>05093</v>
      </c>
      <c r="B2239" t="str">
        <f>IFERROR(VLOOKUP(D2239,APOYO!K:L,2,FALSE),A2239)</f>
        <v>05093</v>
      </c>
      <c r="C2239" t="s">
        <v>52</v>
      </c>
      <c r="D2239" t="str">
        <f>IFERROR(VLOOKUP(C2239,APOYO!J:K,2,FALSE),C2239)</f>
        <v>BETULIA</v>
      </c>
      <c r="E2239">
        <v>2016</v>
      </c>
      <c r="H2239">
        <v>1</v>
      </c>
    </row>
    <row r="2240" spans="1:9" hidden="1" x14ac:dyDescent="0.25">
      <c r="A2240" t="str">
        <f>_xlfn.XLOOKUP(C2240, 'Códigos DANE Municipios'!$B$2:$B$1123, 'Códigos DANE Municipios'!$A$2:$A$1123, "No encontrado")</f>
        <v>25095</v>
      </c>
      <c r="B2240" t="str">
        <f>IFERROR(VLOOKUP(D2240,APOYO!K:L,2,FALSE),A2240)</f>
        <v>25095</v>
      </c>
      <c r="C2240" t="s">
        <v>928</v>
      </c>
      <c r="D2240" t="str">
        <f>IFERROR(VLOOKUP(C2240,APOYO!J:K,2,FALSE),C2240)</f>
        <v>BITUIMA</v>
      </c>
      <c r="E2240">
        <v>2016</v>
      </c>
      <c r="H2240">
        <v>1</v>
      </c>
    </row>
    <row r="2241" spans="1:9" hidden="1" x14ac:dyDescent="0.25">
      <c r="A2241" t="str">
        <f>_xlfn.XLOOKUP(C2241, 'Códigos DANE Municipios'!$B$2:$B$1123, 'Códigos DANE Municipios'!$A$2:$A$1123, "No encontrado")</f>
        <v>15097</v>
      </c>
      <c r="B2241" t="str">
        <f>IFERROR(VLOOKUP(D2241,APOYO!K:L,2,FALSE),A2241)</f>
        <v>15097</v>
      </c>
      <c r="C2241" t="s">
        <v>415</v>
      </c>
      <c r="D2241" t="str">
        <f>IFERROR(VLOOKUP(C2241,APOYO!J:K,2,FALSE),C2241)</f>
        <v>BOAVITA</v>
      </c>
      <c r="E2241">
        <v>2016</v>
      </c>
      <c r="H2241">
        <v>1</v>
      </c>
    </row>
    <row r="2242" spans="1:9" hidden="1" x14ac:dyDescent="0.25">
      <c r="A2242" t="str">
        <f>_xlfn.XLOOKUP(C2242, 'Códigos DANE Municipios'!$B$2:$B$1123, 'Códigos DANE Municipios'!$A$2:$A$1123, "No encontrado")</f>
        <v>54099</v>
      </c>
      <c r="B2242" t="str">
        <f>IFERROR(VLOOKUP(D2242,APOYO!K:L,2,FALSE),A2242)</f>
        <v>54099</v>
      </c>
      <c r="C2242" t="s">
        <v>1535</v>
      </c>
      <c r="D2242" t="str">
        <f>IFERROR(VLOOKUP(C2242,APOYO!J:K,2,FALSE),C2242)</f>
        <v>BOCHALEMA</v>
      </c>
      <c r="E2242">
        <v>2016</v>
      </c>
      <c r="H2242">
        <v>1</v>
      </c>
    </row>
    <row r="2243" spans="1:9" hidden="1" x14ac:dyDescent="0.25">
      <c r="A2243" t="str">
        <f>_xlfn.XLOOKUP(C2243, 'Códigos DANE Municipios'!$B$2:$B$1123, 'Códigos DANE Municipios'!$A$2:$A$1123, "No encontrado")</f>
        <v>No encontrado</v>
      </c>
      <c r="B2243" t="str">
        <f>IFERROR(VLOOKUP(D2243,APOYO!K:L,2,FALSE),A2243)</f>
        <v>11001</v>
      </c>
      <c r="C2243" t="s">
        <v>2199</v>
      </c>
      <c r="D2243" t="str">
        <f>IFERROR(VLOOKUP(C2243,APOYO!J:K,2,FALSE),C2243)</f>
        <v>BOGOTÁ, D.C.</v>
      </c>
      <c r="E2243">
        <v>2016</v>
      </c>
      <c r="F2243">
        <v>8522177</v>
      </c>
      <c r="G2243">
        <v>3854207</v>
      </c>
      <c r="H2243">
        <v>1066177</v>
      </c>
      <c r="I2243">
        <v>23248</v>
      </c>
    </row>
    <row r="2244" spans="1:9" hidden="1" x14ac:dyDescent="0.25">
      <c r="A2244" t="str">
        <f>_xlfn.XLOOKUP(C2244, 'Códigos DANE Municipios'!$B$2:$B$1123, 'Códigos DANE Municipios'!$A$2:$A$1123, "No encontrado")</f>
        <v>No encontrado</v>
      </c>
      <c r="B2244" t="str">
        <f>IFERROR(VLOOKUP(D2244,APOYO!K:L,2,FALSE),A2244)</f>
        <v>25099</v>
      </c>
      <c r="C2244" t="s">
        <v>2200</v>
      </c>
      <c r="D2244" t="str">
        <f>IFERROR(VLOOKUP(C2244,APOYO!J:K,2,FALSE),C2244)</f>
        <v>BOJACÁ</v>
      </c>
      <c r="E2244">
        <v>2016</v>
      </c>
      <c r="H2244">
        <v>19</v>
      </c>
    </row>
    <row r="2245" spans="1:9" hidden="1" x14ac:dyDescent="0.25">
      <c r="A2245" t="str">
        <f>_xlfn.XLOOKUP(C2245, 'Códigos DANE Municipios'!$B$2:$B$1123, 'Códigos DANE Municipios'!$A$2:$A$1123, "No encontrado")</f>
        <v>No encontrado</v>
      </c>
      <c r="B2245" t="str">
        <f>IFERROR(VLOOKUP(D2245,APOYO!K:L,2,FALSE),A2245)</f>
        <v>19100</v>
      </c>
      <c r="C2245" t="s">
        <v>2201</v>
      </c>
      <c r="D2245" t="str">
        <f>IFERROR(VLOOKUP(C2245,APOYO!J:K,2,FALSE),C2245)</f>
        <v>BOLÍVAR</v>
      </c>
      <c r="E2245">
        <v>2016</v>
      </c>
      <c r="H2245">
        <v>52</v>
      </c>
    </row>
    <row r="2246" spans="1:9" hidden="1" x14ac:dyDescent="0.25">
      <c r="A2246" t="str">
        <f>_xlfn.XLOOKUP(C2246, 'Códigos DANE Municipios'!$B$2:$B$1123, 'Códigos DANE Municipios'!$A$2:$A$1123, "No encontrado")</f>
        <v>20060</v>
      </c>
      <c r="B2246" t="str">
        <f>IFERROR(VLOOKUP(D2246,APOYO!K:L,2,FALSE),A2246)</f>
        <v>20060</v>
      </c>
      <c r="C2246" t="s">
        <v>818</v>
      </c>
      <c r="D2246" t="str">
        <f>IFERROR(VLOOKUP(C2246,APOYO!J:K,2,FALSE),C2246)</f>
        <v>BOSCONIA</v>
      </c>
      <c r="E2246">
        <v>2016</v>
      </c>
      <c r="H2246">
        <v>32</v>
      </c>
    </row>
    <row r="2247" spans="1:9" hidden="1" x14ac:dyDescent="0.25">
      <c r="A2247" t="str">
        <f>_xlfn.XLOOKUP(C2247, 'Códigos DANE Municipios'!$B$2:$B$1123, 'Códigos DANE Municipios'!$A$2:$A$1123, "No encontrado")</f>
        <v>No encontrado</v>
      </c>
      <c r="B2247" t="str">
        <f>IFERROR(VLOOKUP(D2247,APOYO!K:L,2,FALSE),A2247)</f>
        <v>15104</v>
      </c>
      <c r="C2247" t="s">
        <v>2202</v>
      </c>
      <c r="D2247" t="str">
        <f>IFERROR(VLOOKUP(C2247,APOYO!J:K,2,FALSE),C2247)</f>
        <v>BOYACÁ</v>
      </c>
      <c r="E2247">
        <v>2016</v>
      </c>
      <c r="H2247">
        <v>13</v>
      </c>
    </row>
    <row r="2248" spans="1:9" hidden="1" x14ac:dyDescent="0.25">
      <c r="A2248" t="str">
        <f>_xlfn.XLOOKUP(C2248, 'Códigos DANE Municipios'!$B$2:$B$1123, 'Códigos DANE Municipios'!$A$2:$A$1123, "No encontrado")</f>
        <v>No encontrado</v>
      </c>
      <c r="B2248" t="str">
        <f>IFERROR(VLOOKUP(D2248,APOYO!K:L,2,FALSE),A2248)</f>
        <v>05107</v>
      </c>
      <c r="C2248" t="s">
        <v>2427</v>
      </c>
      <c r="D2248" t="str">
        <f>IFERROR(VLOOKUP(C2248,APOYO!J:K,2,FALSE),C2248)</f>
        <v>BRICEÑO</v>
      </c>
      <c r="E2248">
        <v>2016</v>
      </c>
      <c r="H2248">
        <v>8</v>
      </c>
    </row>
    <row r="2249" spans="1:9" hidden="1" x14ac:dyDescent="0.25">
      <c r="A2249" t="str">
        <f>_xlfn.XLOOKUP(C2249, 'Códigos DANE Municipios'!$B$2:$B$1123, 'Códigos DANE Municipios'!$A$2:$A$1123, "No encontrado")</f>
        <v>05107</v>
      </c>
      <c r="B2249" t="str">
        <f>IFERROR(VLOOKUP(D2249,APOYO!K:L,2,FALSE),A2249)</f>
        <v>05107</v>
      </c>
      <c r="C2249" t="s">
        <v>56</v>
      </c>
      <c r="D2249" t="str">
        <f>IFERROR(VLOOKUP(C2249,APOYO!J:K,2,FALSE),C2249)</f>
        <v>BRICEÑO</v>
      </c>
      <c r="E2249">
        <v>2016</v>
      </c>
      <c r="H2249">
        <v>8</v>
      </c>
    </row>
    <row r="2250" spans="1:9" hidden="1" x14ac:dyDescent="0.25">
      <c r="A2250" t="str">
        <f>_xlfn.XLOOKUP(C2250, 'Códigos DANE Municipios'!$B$2:$B$1123, 'Códigos DANE Municipios'!$A$2:$A$1123, "No encontrado")</f>
        <v>68001</v>
      </c>
      <c r="B2250" t="str">
        <f>IFERROR(VLOOKUP(D2250,APOYO!K:L,2,FALSE),A2250)</f>
        <v>68001</v>
      </c>
      <c r="C2250" t="s">
        <v>1655</v>
      </c>
      <c r="D2250" t="str">
        <f>IFERROR(VLOOKUP(C2250,APOYO!J:K,2,FALSE),C2250)</f>
        <v>BUCARAMANGA</v>
      </c>
      <c r="E2250">
        <v>2016</v>
      </c>
      <c r="F2250">
        <v>824033</v>
      </c>
      <c r="G2250">
        <v>45758</v>
      </c>
      <c r="H2250">
        <v>14106</v>
      </c>
    </row>
    <row r="2251" spans="1:9" hidden="1" x14ac:dyDescent="0.25">
      <c r="A2251" t="str">
        <f>_xlfn.XLOOKUP(C2251, 'Códigos DANE Municipios'!$B$2:$B$1123, 'Códigos DANE Municipios'!$A$2:$A$1123, "No encontrado")</f>
        <v>76109</v>
      </c>
      <c r="B2251" t="str">
        <f>IFERROR(VLOOKUP(D2251,APOYO!K:L,2,FALSE),A2251)</f>
        <v>76109</v>
      </c>
      <c r="C2251" t="s">
        <v>1967</v>
      </c>
      <c r="D2251" t="str">
        <f>IFERROR(VLOOKUP(C2251,APOYO!J:K,2,FALSE),C2251)</f>
        <v>BUENAVENTURA</v>
      </c>
      <c r="E2251">
        <v>2016</v>
      </c>
      <c r="F2251">
        <v>7034</v>
      </c>
      <c r="H2251">
        <v>1202</v>
      </c>
      <c r="I2251">
        <v>404</v>
      </c>
    </row>
    <row r="2252" spans="1:9" hidden="1" x14ac:dyDescent="0.25">
      <c r="A2252" t="str">
        <f>_xlfn.XLOOKUP(C2252, 'Códigos DANE Municipios'!$B$2:$B$1123, 'Códigos DANE Municipios'!$A$2:$A$1123, "No encontrado")</f>
        <v>15109</v>
      </c>
      <c r="B2252" t="str">
        <f>IFERROR(VLOOKUP(D2252,APOYO!K:L,2,FALSE),A2252)</f>
        <v>15109</v>
      </c>
      <c r="C2252" t="s">
        <v>420</v>
      </c>
      <c r="D2252" t="str">
        <f>IFERROR(VLOOKUP(C2252,APOYO!J:K,2,FALSE),C2252)</f>
        <v>BUENAVISTA</v>
      </c>
      <c r="E2252">
        <v>2016</v>
      </c>
      <c r="H2252">
        <v>31</v>
      </c>
    </row>
    <row r="2253" spans="1:9" hidden="1" x14ac:dyDescent="0.25">
      <c r="A2253" t="str">
        <f>_xlfn.XLOOKUP(C2253, 'Códigos DANE Municipios'!$B$2:$B$1123, 'Códigos DANE Municipios'!$A$2:$A$1123, "No encontrado")</f>
        <v>52110</v>
      </c>
      <c r="B2253" t="str">
        <f>IFERROR(VLOOKUP(D2253,APOYO!K:L,2,FALSE),A2253)</f>
        <v>52110</v>
      </c>
      <c r="C2253" t="s">
        <v>1424</v>
      </c>
      <c r="D2253" t="str">
        <f>IFERROR(VLOOKUP(C2253,APOYO!J:K,2,FALSE),C2253)</f>
        <v>BUESACO</v>
      </c>
      <c r="E2253">
        <v>2016</v>
      </c>
      <c r="H2253">
        <v>11</v>
      </c>
    </row>
    <row r="2254" spans="1:9" hidden="1" x14ac:dyDescent="0.25">
      <c r="A2254" t="str">
        <f>_xlfn.XLOOKUP(C2254, 'Códigos DANE Municipios'!$B$2:$B$1123, 'Códigos DANE Municipios'!$A$2:$A$1123, "No encontrado")</f>
        <v>No encontrado</v>
      </c>
      <c r="B2254" t="str">
        <f>IFERROR(VLOOKUP(D2254,APOYO!K:L,2,FALSE),A2254)</f>
        <v>76111</v>
      </c>
      <c r="C2254" t="s">
        <v>2203</v>
      </c>
      <c r="D2254" t="str">
        <f>IFERROR(VLOOKUP(C2254,APOYO!J:K,2,FALSE),C2254)</f>
        <v>GUADALAJARA DE BUGA</v>
      </c>
      <c r="E2254">
        <v>2016</v>
      </c>
      <c r="H2254">
        <v>566</v>
      </c>
    </row>
    <row r="2255" spans="1:9" hidden="1" x14ac:dyDescent="0.25">
      <c r="A2255" t="str">
        <f>_xlfn.XLOOKUP(C2255, 'Códigos DANE Municipios'!$B$2:$B$1123, 'Códigos DANE Municipios'!$A$2:$A$1123, "No encontrado")</f>
        <v>76113</v>
      </c>
      <c r="B2255" t="str">
        <f>IFERROR(VLOOKUP(D2255,APOYO!K:L,2,FALSE),A2255)</f>
        <v>76113</v>
      </c>
      <c r="C2255" t="s">
        <v>1971</v>
      </c>
      <c r="D2255" t="str">
        <f>IFERROR(VLOOKUP(C2255,APOYO!J:K,2,FALSE),C2255)</f>
        <v>BUGALAGRANDE</v>
      </c>
      <c r="E2255">
        <v>2016</v>
      </c>
      <c r="H2255">
        <v>1115</v>
      </c>
    </row>
    <row r="2256" spans="1:9" hidden="1" x14ac:dyDescent="0.25">
      <c r="A2256" t="str">
        <f>_xlfn.XLOOKUP(C2256, 'Códigos DANE Municipios'!$B$2:$B$1123, 'Códigos DANE Municipios'!$A$2:$A$1123, "No encontrado")</f>
        <v>No encontrado</v>
      </c>
      <c r="B2256" t="str">
        <f>IFERROR(VLOOKUP(D2256,APOYO!K:L,2,FALSE),A2256)</f>
        <v>No encontrado</v>
      </c>
      <c r="C2256" t="s">
        <v>2204</v>
      </c>
      <c r="D2256" t="str">
        <f>IFERROR(VLOOKUP(C2256,APOYO!J:K,2,FALSE),C2256)</f>
        <v>BURITICA</v>
      </c>
      <c r="E2256">
        <v>2016</v>
      </c>
      <c r="H2256">
        <v>1</v>
      </c>
    </row>
    <row r="2257" spans="1:8" hidden="1" x14ac:dyDescent="0.25">
      <c r="A2257" t="str">
        <f>_xlfn.XLOOKUP(C2257, 'Códigos DANE Municipios'!$B$2:$B$1123, 'Códigos DANE Municipios'!$A$2:$A$1123, "No encontrado")</f>
        <v>25120</v>
      </c>
      <c r="B2257" t="str">
        <f>IFERROR(VLOOKUP(D2257,APOYO!K:L,2,FALSE),A2257)</f>
        <v>25120</v>
      </c>
      <c r="C2257" t="s">
        <v>932</v>
      </c>
      <c r="D2257" t="str">
        <f>IFERROR(VLOOKUP(C2257,APOYO!J:K,2,FALSE),C2257)</f>
        <v>CABRERA</v>
      </c>
      <c r="E2257">
        <v>2016</v>
      </c>
      <c r="H2257">
        <v>2</v>
      </c>
    </row>
    <row r="2258" spans="1:8" hidden="1" x14ac:dyDescent="0.25">
      <c r="A2258" t="str">
        <f>_xlfn.XLOOKUP(C2258, 'Códigos DANE Municipios'!$B$2:$B$1123, 'Códigos DANE Municipios'!$A$2:$A$1123, "No encontrado")</f>
        <v>50124</v>
      </c>
      <c r="B2258" t="str">
        <f>IFERROR(VLOOKUP(D2258,APOYO!K:L,2,FALSE),A2258)</f>
        <v>50124</v>
      </c>
      <c r="C2258" t="s">
        <v>1364</v>
      </c>
      <c r="D2258" t="str">
        <f>IFERROR(VLOOKUP(C2258,APOYO!J:K,2,FALSE),C2258)</f>
        <v>CABUYARO</v>
      </c>
      <c r="E2258">
        <v>2016</v>
      </c>
    </row>
    <row r="2259" spans="1:8" hidden="1" x14ac:dyDescent="0.25">
      <c r="A2259" t="str">
        <f>_xlfn.XLOOKUP(C2259, 'Códigos DANE Municipios'!$B$2:$B$1123, 'Códigos DANE Municipios'!$A$2:$A$1123, "No encontrado")</f>
        <v>No encontrado</v>
      </c>
      <c r="B2259" t="str">
        <f>IFERROR(VLOOKUP(D2259,APOYO!K:L,2,FALSE),A2259)</f>
        <v>No encontrado</v>
      </c>
      <c r="C2259" t="s">
        <v>2205</v>
      </c>
      <c r="D2259" t="str">
        <f>IFERROR(VLOOKUP(C2259,APOYO!J:K,2,FALSE),C2259)</f>
        <v>CACERES</v>
      </c>
      <c r="E2259">
        <v>2016</v>
      </c>
      <c r="H2259">
        <v>1</v>
      </c>
    </row>
    <row r="2260" spans="1:8" hidden="1" x14ac:dyDescent="0.25">
      <c r="A2260" t="str">
        <f>_xlfn.XLOOKUP(C2260, 'Códigos DANE Municipios'!$B$2:$B$1123, 'Códigos DANE Municipios'!$A$2:$A$1123, "No encontrado")</f>
        <v>25123</v>
      </c>
      <c r="B2260" t="str">
        <f>IFERROR(VLOOKUP(D2260,APOYO!K:L,2,FALSE),A2260)</f>
        <v>25123</v>
      </c>
      <c r="C2260" t="s">
        <v>934</v>
      </c>
      <c r="D2260" t="str">
        <f>IFERROR(VLOOKUP(C2260,APOYO!J:K,2,FALSE),C2260)</f>
        <v>CACHIPAY</v>
      </c>
      <c r="E2260">
        <v>2016</v>
      </c>
      <c r="H2260">
        <v>58</v>
      </c>
    </row>
    <row r="2261" spans="1:8" hidden="1" x14ac:dyDescent="0.25">
      <c r="A2261" t="str">
        <f>_xlfn.XLOOKUP(C2261, 'Códigos DANE Municipios'!$B$2:$B$1123, 'Códigos DANE Municipios'!$A$2:$A$1123, "No encontrado")</f>
        <v>No encontrado</v>
      </c>
      <c r="B2261" t="str">
        <f>IFERROR(VLOOKUP(D2261,APOYO!K:L,2,FALSE),A2261)</f>
        <v>54128</v>
      </c>
      <c r="C2261" t="s">
        <v>2206</v>
      </c>
      <c r="D2261" t="str">
        <f>IFERROR(VLOOKUP(C2261,APOYO!J:K,2,FALSE),C2261)</f>
        <v>CÁCHIRA</v>
      </c>
      <c r="E2261">
        <v>2016</v>
      </c>
      <c r="H2261">
        <v>2</v>
      </c>
    </row>
    <row r="2262" spans="1:8" hidden="1" x14ac:dyDescent="0.25">
      <c r="A2262" t="str">
        <f>_xlfn.XLOOKUP(C2262, 'Códigos DANE Municipios'!$B$2:$B$1123, 'Códigos DANE Municipios'!$A$2:$A$1123, "No encontrado")</f>
        <v>No encontrado</v>
      </c>
      <c r="B2262" t="str">
        <f>IFERROR(VLOOKUP(D2262,APOYO!K:L,2,FALSE),A2262)</f>
        <v>No encontrado</v>
      </c>
      <c r="C2262" t="s">
        <v>2207</v>
      </c>
      <c r="D2262" t="str">
        <f>IFERROR(VLOOKUP(C2262,APOYO!J:K,2,FALSE),C2262)</f>
        <v>CACOTA</v>
      </c>
      <c r="E2262">
        <v>2016</v>
      </c>
      <c r="H2262">
        <v>9</v>
      </c>
    </row>
    <row r="2263" spans="1:8" hidden="1" x14ac:dyDescent="0.25">
      <c r="A2263" t="str">
        <f>_xlfn.XLOOKUP(C2263, 'Códigos DANE Municipios'!$B$2:$B$1123, 'Códigos DANE Municipios'!$A$2:$A$1123, "No encontrado")</f>
        <v>05125</v>
      </c>
      <c r="B2263" t="str">
        <f>IFERROR(VLOOKUP(D2263,APOYO!K:L,2,FALSE),A2263)</f>
        <v>05125</v>
      </c>
      <c r="C2263" t="s">
        <v>62</v>
      </c>
      <c r="D2263" t="str">
        <f>IFERROR(VLOOKUP(C2263,APOYO!J:K,2,FALSE),C2263)</f>
        <v>CAICEDO</v>
      </c>
      <c r="E2263">
        <v>2016</v>
      </c>
      <c r="H2263">
        <v>9</v>
      </c>
    </row>
    <row r="2264" spans="1:8" hidden="1" x14ac:dyDescent="0.25">
      <c r="A2264" t="str">
        <f>_xlfn.XLOOKUP(C2264, 'Códigos DANE Municipios'!$B$2:$B$1123, 'Códigos DANE Municipios'!$A$2:$A$1123, "No encontrado")</f>
        <v>76122</v>
      </c>
      <c r="B2264" t="str">
        <f>IFERROR(VLOOKUP(D2264,APOYO!K:L,2,FALSE),A2264)</f>
        <v>76122</v>
      </c>
      <c r="C2264" t="s">
        <v>1973</v>
      </c>
      <c r="D2264" t="str">
        <f>IFERROR(VLOOKUP(C2264,APOYO!J:K,2,FALSE),C2264)</f>
        <v>CAICEDONIA</v>
      </c>
      <c r="E2264">
        <v>2016</v>
      </c>
      <c r="H2264">
        <v>564</v>
      </c>
    </row>
    <row r="2265" spans="1:8" hidden="1" x14ac:dyDescent="0.25">
      <c r="A2265" t="str">
        <f>_xlfn.XLOOKUP(C2265, 'Códigos DANE Municipios'!$B$2:$B$1123, 'Códigos DANE Municipios'!$A$2:$A$1123, "No encontrado")</f>
        <v>73124</v>
      </c>
      <c r="B2265" t="str">
        <f>IFERROR(VLOOKUP(D2265,APOYO!K:L,2,FALSE),A2265)</f>
        <v>73124</v>
      </c>
      <c r="C2265" t="s">
        <v>1879</v>
      </c>
      <c r="D2265" t="str">
        <f>IFERROR(VLOOKUP(C2265,APOYO!J:K,2,FALSE),C2265)</f>
        <v>CAJAMARCA</v>
      </c>
      <c r="E2265">
        <v>2016</v>
      </c>
      <c r="H2265">
        <v>16</v>
      </c>
    </row>
    <row r="2266" spans="1:8" hidden="1" x14ac:dyDescent="0.25">
      <c r="A2266" t="str">
        <f>_xlfn.XLOOKUP(C2266, 'Códigos DANE Municipios'!$B$2:$B$1123, 'Códigos DANE Municipios'!$A$2:$A$1123, "No encontrado")</f>
        <v>No encontrado</v>
      </c>
      <c r="B2266" t="str">
        <f>IFERROR(VLOOKUP(D2266,APOYO!K:L,2,FALSE),A2266)</f>
        <v>No encontrado</v>
      </c>
      <c r="C2266" t="s">
        <v>2208</v>
      </c>
      <c r="D2266" t="str">
        <f>IFERROR(VLOOKUP(C2266,APOYO!J:K,2,FALSE),C2266)</f>
        <v>CAJIBIO</v>
      </c>
      <c r="E2266">
        <v>2016</v>
      </c>
      <c r="H2266">
        <v>10</v>
      </c>
    </row>
    <row r="2267" spans="1:8" hidden="1" x14ac:dyDescent="0.25">
      <c r="A2267" t="str">
        <f>_xlfn.XLOOKUP(C2267, 'Códigos DANE Municipios'!$B$2:$B$1123, 'Códigos DANE Municipios'!$A$2:$A$1123, "No encontrado")</f>
        <v>No encontrado</v>
      </c>
      <c r="B2267" t="str">
        <f>IFERROR(VLOOKUP(D2267,APOYO!K:L,2,FALSE),A2267)</f>
        <v>No encontrado</v>
      </c>
      <c r="C2267" t="s">
        <v>2209</v>
      </c>
      <c r="D2267" t="str">
        <f>IFERROR(VLOOKUP(C2267,APOYO!J:K,2,FALSE),C2267)</f>
        <v>CAJICA</v>
      </c>
      <c r="E2267">
        <v>2016</v>
      </c>
      <c r="H2267">
        <v>726</v>
      </c>
    </row>
    <row r="2268" spans="1:8" hidden="1" x14ac:dyDescent="0.25">
      <c r="A2268" t="str">
        <f>_xlfn.XLOOKUP(C2268, 'Códigos DANE Municipios'!$B$2:$B$1123, 'Códigos DANE Municipios'!$A$2:$A$1123, "No encontrado")</f>
        <v>13140</v>
      </c>
      <c r="B2268" t="str">
        <f>IFERROR(VLOOKUP(D2268,APOYO!K:L,2,FALSE),A2268)</f>
        <v>13140</v>
      </c>
      <c r="C2268" t="s">
        <v>323</v>
      </c>
      <c r="D2268" t="str">
        <f>IFERROR(VLOOKUP(C2268,APOYO!J:K,2,FALSE),C2268)</f>
        <v>CALAMAR</v>
      </c>
      <c r="E2268">
        <v>2016</v>
      </c>
      <c r="H2268">
        <v>1</v>
      </c>
    </row>
    <row r="2269" spans="1:8" hidden="1" x14ac:dyDescent="0.25">
      <c r="A2269" t="str">
        <f>_xlfn.XLOOKUP(C2269, 'Códigos DANE Municipios'!$B$2:$B$1123, 'Códigos DANE Municipios'!$A$2:$A$1123, "No encontrado")</f>
        <v>No encontrado</v>
      </c>
      <c r="B2269" t="str">
        <f>IFERROR(VLOOKUP(D2269,APOYO!K:L,2,FALSE),A2269)</f>
        <v>No encontrado</v>
      </c>
      <c r="C2269" t="s">
        <v>2210</v>
      </c>
      <c r="D2269" t="str">
        <f>IFERROR(VLOOKUP(C2269,APOYO!J:K,2,FALSE),C2269)</f>
        <v>CALARCA</v>
      </c>
      <c r="E2269">
        <v>2016</v>
      </c>
      <c r="H2269">
        <v>484</v>
      </c>
    </row>
    <row r="2270" spans="1:8" hidden="1" x14ac:dyDescent="0.25">
      <c r="A2270" t="str">
        <f>_xlfn.XLOOKUP(C2270, 'Códigos DANE Municipios'!$B$2:$B$1123, 'Códigos DANE Municipios'!$A$2:$A$1123, "No encontrado")</f>
        <v>05129</v>
      </c>
      <c r="B2270" t="str">
        <f>IFERROR(VLOOKUP(D2270,APOYO!K:L,2,FALSE),A2270)</f>
        <v>05129</v>
      </c>
      <c r="C2270" t="s">
        <v>64</v>
      </c>
      <c r="D2270" t="str">
        <f>IFERROR(VLOOKUP(C2270,APOYO!J:K,2,FALSE),C2270)</f>
        <v>CALDAS</v>
      </c>
      <c r="E2270">
        <v>2016</v>
      </c>
      <c r="H2270">
        <v>130</v>
      </c>
    </row>
    <row r="2271" spans="1:8" hidden="1" x14ac:dyDescent="0.25">
      <c r="A2271" t="str">
        <f>_xlfn.XLOOKUP(C2271, 'Códigos DANE Municipios'!$B$2:$B$1123, 'Códigos DANE Municipios'!$A$2:$A$1123, "No encontrado")</f>
        <v>19137</v>
      </c>
      <c r="B2271" t="str">
        <f>IFERROR(VLOOKUP(D2271,APOYO!K:L,2,FALSE),A2271)</f>
        <v>19137</v>
      </c>
      <c r="C2271" t="s">
        <v>742</v>
      </c>
      <c r="D2271" t="str">
        <f>IFERROR(VLOOKUP(C2271,APOYO!J:K,2,FALSE),C2271)</f>
        <v>CALDONO</v>
      </c>
      <c r="E2271">
        <v>2016</v>
      </c>
      <c r="H2271">
        <v>4</v>
      </c>
    </row>
    <row r="2272" spans="1:8" hidden="1" x14ac:dyDescent="0.25">
      <c r="A2272" t="str">
        <f>_xlfn.XLOOKUP(C2272, 'Códigos DANE Municipios'!$B$2:$B$1123, 'Códigos DANE Municipios'!$A$2:$A$1123, "No encontrado")</f>
        <v>76001</v>
      </c>
      <c r="B2272" t="str">
        <f>IFERROR(VLOOKUP(D2272,APOYO!K:L,2,FALSE),A2272)</f>
        <v>76001</v>
      </c>
      <c r="C2272" t="s">
        <v>1957</v>
      </c>
      <c r="D2272" t="str">
        <f>IFERROR(VLOOKUP(C2272,APOYO!J:K,2,FALSE),C2272)</f>
        <v>CALI</v>
      </c>
      <c r="E2272">
        <v>2016</v>
      </c>
      <c r="F2272">
        <v>2164416</v>
      </c>
      <c r="G2272">
        <v>469377</v>
      </c>
      <c r="H2272">
        <v>173943</v>
      </c>
    </row>
    <row r="2273" spans="1:8" hidden="1" x14ac:dyDescent="0.25">
      <c r="A2273" t="str">
        <f>_xlfn.XLOOKUP(C2273, 'Códigos DANE Municipios'!$B$2:$B$1123, 'Códigos DANE Municipios'!$A$2:$A$1123, "No encontrado")</f>
        <v>68132</v>
      </c>
      <c r="B2273" t="str">
        <f>IFERROR(VLOOKUP(D2273,APOYO!K:L,2,FALSE),A2273)</f>
        <v>68132</v>
      </c>
      <c r="C2273" t="s">
        <v>1670</v>
      </c>
      <c r="D2273" t="str">
        <f>IFERROR(VLOOKUP(C2273,APOYO!J:K,2,FALSE),C2273)</f>
        <v>CALIFORNIA</v>
      </c>
      <c r="E2273">
        <v>2016</v>
      </c>
      <c r="H2273">
        <v>2</v>
      </c>
    </row>
    <row r="2274" spans="1:8" hidden="1" x14ac:dyDescent="0.25">
      <c r="A2274" t="str">
        <f>_xlfn.XLOOKUP(C2274, 'Códigos DANE Municipios'!$B$2:$B$1123, 'Códigos DANE Municipios'!$A$2:$A$1123, "No encontrado")</f>
        <v>No encontrado</v>
      </c>
      <c r="B2274" t="str">
        <f>IFERROR(VLOOKUP(D2274,APOYO!K:L,2,FALSE),A2274)</f>
        <v>No encontrado</v>
      </c>
      <c r="C2274" t="s">
        <v>2428</v>
      </c>
      <c r="D2274" t="str">
        <f>IFERROR(VLOOKUP(C2274,APOYO!J:K,2,FALSE),C2274)</f>
        <v>CALIMA (DARIEN)</v>
      </c>
      <c r="E2274">
        <v>2016</v>
      </c>
      <c r="H2274">
        <v>93</v>
      </c>
    </row>
    <row r="2275" spans="1:8" hidden="1" x14ac:dyDescent="0.25">
      <c r="A2275" t="str">
        <f>_xlfn.XLOOKUP(C2275, 'Códigos DANE Municipios'!$B$2:$B$1123, 'Códigos DANE Municipios'!$A$2:$A$1123, "No encontrado")</f>
        <v>19142</v>
      </c>
      <c r="B2275" t="str">
        <f>IFERROR(VLOOKUP(D2275,APOYO!K:L,2,FALSE),A2275)</f>
        <v>19142</v>
      </c>
      <c r="C2275" t="s">
        <v>744</v>
      </c>
      <c r="D2275" t="str">
        <f>IFERROR(VLOOKUP(C2275,APOYO!J:K,2,FALSE),C2275)</f>
        <v>CALOTO</v>
      </c>
      <c r="E2275">
        <v>2016</v>
      </c>
      <c r="H2275">
        <v>25</v>
      </c>
    </row>
    <row r="2276" spans="1:8" hidden="1" x14ac:dyDescent="0.25">
      <c r="A2276" t="str">
        <f>_xlfn.XLOOKUP(C2276, 'Códigos DANE Municipios'!$B$2:$B$1123, 'Códigos DANE Municipios'!$A$2:$A$1123, "No encontrado")</f>
        <v>41132</v>
      </c>
      <c r="B2276" t="str">
        <f>IFERROR(VLOOKUP(D2276,APOYO!K:L,2,FALSE),A2276)</f>
        <v>41132</v>
      </c>
      <c r="C2276" t="s">
        <v>1215</v>
      </c>
      <c r="D2276" t="str">
        <f>IFERROR(VLOOKUP(C2276,APOYO!J:K,2,FALSE),C2276)</f>
        <v>CAMPOALEGRE</v>
      </c>
      <c r="E2276">
        <v>2016</v>
      </c>
      <c r="H2276">
        <v>20</v>
      </c>
    </row>
    <row r="2277" spans="1:8" hidden="1" x14ac:dyDescent="0.25">
      <c r="A2277" t="str">
        <f>_xlfn.XLOOKUP(C2277, 'Códigos DANE Municipios'!$B$2:$B$1123, 'Códigos DANE Municipios'!$A$2:$A$1123, "No encontrado")</f>
        <v>08141</v>
      </c>
      <c r="B2277" t="str">
        <f>IFERROR(VLOOKUP(D2277,APOYO!K:L,2,FALSE),A2277)</f>
        <v>08141</v>
      </c>
      <c r="C2277" t="s">
        <v>268</v>
      </c>
      <c r="D2277" t="str">
        <f>IFERROR(VLOOKUP(C2277,APOYO!J:K,2,FALSE),C2277)</f>
        <v>CANDELARIA</v>
      </c>
      <c r="E2277">
        <v>2016</v>
      </c>
      <c r="H2277">
        <v>155</v>
      </c>
    </row>
    <row r="2278" spans="1:8" hidden="1" x14ac:dyDescent="0.25">
      <c r="A2278" t="str">
        <f>_xlfn.XLOOKUP(C2278, 'Códigos DANE Municipios'!$B$2:$B$1123, 'Códigos DANE Municipios'!$A$2:$A$1123, "No encontrado")</f>
        <v>13160</v>
      </c>
      <c r="B2278" t="str">
        <f>IFERROR(VLOOKUP(D2278,APOYO!K:L,2,FALSE),A2278)</f>
        <v>13160</v>
      </c>
      <c r="C2278" t="s">
        <v>325</v>
      </c>
      <c r="D2278" t="str">
        <f>IFERROR(VLOOKUP(C2278,APOYO!J:K,2,FALSE),C2278)</f>
        <v>CANTAGALLO</v>
      </c>
      <c r="E2278">
        <v>2016</v>
      </c>
      <c r="H2278">
        <v>47</v>
      </c>
    </row>
    <row r="2279" spans="1:8" hidden="1" x14ac:dyDescent="0.25">
      <c r="A2279" t="str">
        <f>_xlfn.XLOOKUP(C2279, 'Códigos DANE Municipios'!$B$2:$B$1123, 'Códigos DANE Municipios'!$A$2:$A$1123, "No encontrado")</f>
        <v>05138</v>
      </c>
      <c r="B2279" t="str">
        <f>IFERROR(VLOOKUP(D2279,APOYO!K:L,2,FALSE),A2279)</f>
        <v>05138</v>
      </c>
      <c r="C2279" t="s">
        <v>68</v>
      </c>
      <c r="D2279" t="str">
        <f>IFERROR(VLOOKUP(C2279,APOYO!J:K,2,FALSE),C2279)</f>
        <v>CAÑASGORDAS</v>
      </c>
      <c r="E2279">
        <v>2016</v>
      </c>
      <c r="H2279">
        <v>1</v>
      </c>
    </row>
    <row r="2280" spans="1:8" hidden="1" x14ac:dyDescent="0.25">
      <c r="A2280" t="str">
        <f>_xlfn.XLOOKUP(C2280, 'Códigos DANE Municipios'!$B$2:$B$1123, 'Códigos DANE Municipios'!$A$2:$A$1123, "No encontrado")</f>
        <v>No encontrado</v>
      </c>
      <c r="B2280" t="str">
        <f>IFERROR(VLOOKUP(D2280,APOYO!K:L,2,FALSE),A2280)</f>
        <v>No encontrado</v>
      </c>
      <c r="C2280" t="s">
        <v>2211</v>
      </c>
      <c r="D2280" t="str">
        <f>IFERROR(VLOOKUP(C2280,APOYO!J:K,2,FALSE),C2280)</f>
        <v>CAPARRAPI</v>
      </c>
      <c r="E2280">
        <v>2016</v>
      </c>
      <c r="H2280">
        <v>1</v>
      </c>
    </row>
    <row r="2281" spans="1:8" hidden="1" x14ac:dyDescent="0.25">
      <c r="A2281" t="str">
        <f>_xlfn.XLOOKUP(C2281, 'Códigos DANE Municipios'!$B$2:$B$1123, 'Códigos DANE Municipios'!$A$2:$A$1123, "No encontrado")</f>
        <v>68147</v>
      </c>
      <c r="B2281" t="str">
        <f>IFERROR(VLOOKUP(D2281,APOYO!K:L,2,FALSE),A2281)</f>
        <v>68147</v>
      </c>
      <c r="C2281" t="s">
        <v>1672</v>
      </c>
      <c r="D2281" t="str">
        <f>IFERROR(VLOOKUP(C2281,APOYO!J:K,2,FALSE),C2281)</f>
        <v>CAPITANEJO</v>
      </c>
      <c r="E2281">
        <v>2016</v>
      </c>
    </row>
    <row r="2282" spans="1:8" hidden="1" x14ac:dyDescent="0.25">
      <c r="A2282" t="str">
        <f>_xlfn.XLOOKUP(C2282, 'Códigos DANE Municipios'!$B$2:$B$1123, 'Códigos DANE Municipios'!$A$2:$A$1123, "No encontrado")</f>
        <v>No encontrado</v>
      </c>
      <c r="B2282" t="str">
        <f>IFERROR(VLOOKUP(D2282,APOYO!K:L,2,FALSE),A2282)</f>
        <v>No encontrado</v>
      </c>
      <c r="C2282" t="s">
        <v>2212</v>
      </c>
      <c r="D2282" t="str">
        <f>IFERROR(VLOOKUP(C2282,APOYO!J:K,2,FALSE),C2282)</f>
        <v>CAQUEZA</v>
      </c>
      <c r="E2282">
        <v>2016</v>
      </c>
      <c r="H2282">
        <v>13</v>
      </c>
    </row>
    <row r="2283" spans="1:8" hidden="1" x14ac:dyDescent="0.25">
      <c r="A2283" t="str">
        <f>_xlfn.XLOOKUP(C2283, 'Códigos DANE Municipios'!$B$2:$B$1123, 'Códigos DANE Municipios'!$A$2:$A$1123, "No encontrado")</f>
        <v>No encontrado</v>
      </c>
      <c r="B2283" t="str">
        <f>IFERROR(VLOOKUP(D2283,APOYO!K:L,2,FALSE),A2283)</f>
        <v>No encontrado</v>
      </c>
      <c r="C2283" t="s">
        <v>2213</v>
      </c>
      <c r="D2283" t="str">
        <f>IFERROR(VLOOKUP(C2283,APOYO!J:K,2,FALSE),C2283)</f>
        <v>CARACOLI</v>
      </c>
      <c r="E2283">
        <v>2016</v>
      </c>
      <c r="H2283">
        <v>25</v>
      </c>
    </row>
    <row r="2284" spans="1:8" hidden="1" x14ac:dyDescent="0.25">
      <c r="A2284" t="str">
        <f>_xlfn.XLOOKUP(C2284, 'Códigos DANE Municipios'!$B$2:$B$1123, 'Códigos DANE Municipios'!$A$2:$A$1123, "No encontrado")</f>
        <v>05145</v>
      </c>
      <c r="B2284" t="str">
        <f>IFERROR(VLOOKUP(D2284,APOYO!K:L,2,FALSE),A2284)</f>
        <v>05145</v>
      </c>
      <c r="C2284" t="s">
        <v>72</v>
      </c>
      <c r="D2284" t="str">
        <f>IFERROR(VLOOKUP(C2284,APOYO!J:K,2,FALSE),C2284)</f>
        <v>CARAMANTA</v>
      </c>
      <c r="E2284">
        <v>2016</v>
      </c>
      <c r="H2284">
        <v>2</v>
      </c>
    </row>
    <row r="2285" spans="1:8" hidden="1" x14ac:dyDescent="0.25">
      <c r="A2285" t="str">
        <f>_xlfn.XLOOKUP(C2285, 'Códigos DANE Municipios'!$B$2:$B$1123, 'Códigos DANE Municipios'!$A$2:$A$1123, "No encontrado")</f>
        <v>05147</v>
      </c>
      <c r="B2285" t="str">
        <f>IFERROR(VLOOKUP(D2285,APOYO!K:L,2,FALSE),A2285)</f>
        <v>05147</v>
      </c>
      <c r="C2285" t="s">
        <v>74</v>
      </c>
      <c r="D2285" t="str">
        <f>IFERROR(VLOOKUP(C2285,APOYO!J:K,2,FALSE),C2285)</f>
        <v>CAREPA</v>
      </c>
      <c r="E2285">
        <v>2016</v>
      </c>
      <c r="F2285">
        <v>105766</v>
      </c>
      <c r="H2285">
        <v>16</v>
      </c>
    </row>
    <row r="2286" spans="1:8" hidden="1" x14ac:dyDescent="0.25">
      <c r="A2286" t="str">
        <f>_xlfn.XLOOKUP(C2286, 'Códigos DANE Municipios'!$B$2:$B$1123, 'Códigos DANE Municipios'!$A$2:$A$1123, "No encontrado")</f>
        <v>No encontrado</v>
      </c>
      <c r="B2286" t="str">
        <f>IFERROR(VLOOKUP(D2286,APOYO!K:L,2,FALSE),A2286)</f>
        <v>No encontrado</v>
      </c>
      <c r="C2286" t="s">
        <v>2214</v>
      </c>
      <c r="D2286" t="str">
        <f>IFERROR(VLOOKUP(C2286,APOYO!J:K,2,FALSE),C2286)</f>
        <v>CARMEN DE APIC</v>
      </c>
      <c r="E2286">
        <v>2016</v>
      </c>
      <c r="H2286">
        <v>6</v>
      </c>
    </row>
    <row r="2287" spans="1:8" hidden="1" x14ac:dyDescent="0.25">
      <c r="A2287" t="str">
        <f>_xlfn.XLOOKUP(C2287, 'Códigos DANE Municipios'!$B$2:$B$1123, 'Códigos DANE Municipios'!$A$2:$A$1123, "No encontrado")</f>
        <v>25154</v>
      </c>
      <c r="B2287" t="str">
        <f>IFERROR(VLOOKUP(D2287,APOYO!K:L,2,FALSE),A2287)</f>
        <v>25154</v>
      </c>
      <c r="C2287" t="s">
        <v>942</v>
      </c>
      <c r="D2287" t="str">
        <f>IFERROR(VLOOKUP(C2287,APOYO!J:K,2,FALSE),C2287)</f>
        <v>CARMEN DE CARUPA</v>
      </c>
      <c r="E2287">
        <v>2016</v>
      </c>
      <c r="H2287">
        <v>1</v>
      </c>
    </row>
    <row r="2288" spans="1:8" hidden="1" x14ac:dyDescent="0.25">
      <c r="A2288" t="str">
        <f>_xlfn.XLOOKUP(C2288, 'Códigos DANE Municipios'!$B$2:$B$1123, 'Códigos DANE Municipios'!$A$2:$A$1123, "No encontrado")</f>
        <v>No encontrado</v>
      </c>
      <c r="B2288" t="str">
        <f>IFERROR(VLOOKUP(D2288,APOYO!K:L,2,FALSE),A2288)</f>
        <v>No encontrado</v>
      </c>
      <c r="C2288" t="s">
        <v>2544</v>
      </c>
      <c r="D2288" t="str">
        <f>IFERROR(VLOOKUP(C2288,APOYO!J:K,2,FALSE),C2288)</f>
        <v>CARMEN DE VIBORAL</v>
      </c>
      <c r="E2288">
        <v>2016</v>
      </c>
      <c r="H2288">
        <v>57</v>
      </c>
    </row>
    <row r="2289" spans="1:9" hidden="1" x14ac:dyDescent="0.25">
      <c r="A2289" t="str">
        <f>_xlfn.XLOOKUP(C2289, 'Códigos DANE Municipios'!$B$2:$B$1123, 'Códigos DANE Municipios'!$A$2:$A$1123, "No encontrado")</f>
        <v>05150</v>
      </c>
      <c r="B2289" t="str">
        <f>IFERROR(VLOOKUP(D2289,APOYO!K:L,2,FALSE),A2289)</f>
        <v>05150</v>
      </c>
      <c r="C2289" t="s">
        <v>78</v>
      </c>
      <c r="D2289" t="str">
        <f>IFERROR(VLOOKUP(C2289,APOYO!J:K,2,FALSE),C2289)</f>
        <v>CAROLINA</v>
      </c>
      <c r="E2289">
        <v>2016</v>
      </c>
      <c r="H2289">
        <v>2</v>
      </c>
    </row>
    <row r="2290" spans="1:9" hidden="1" x14ac:dyDescent="0.25">
      <c r="A2290" t="str">
        <f>_xlfn.XLOOKUP(C2290, 'Códigos DANE Municipios'!$B$2:$B$1123, 'Códigos DANE Municipios'!$A$2:$A$1123, "No encontrado")</f>
        <v>No encontrado</v>
      </c>
      <c r="B2290" t="str">
        <f>IFERROR(VLOOKUP(D2290,APOYO!K:L,2,FALSE),A2290)</f>
        <v>No encontrado</v>
      </c>
      <c r="C2290" t="s">
        <v>2216</v>
      </c>
      <c r="D2290" t="str">
        <f>IFERROR(VLOOKUP(C2290,APOYO!J:K,2,FALSE),C2290)</f>
        <v>CARTAGENA</v>
      </c>
      <c r="E2290">
        <v>2016</v>
      </c>
      <c r="F2290">
        <v>1823758</v>
      </c>
      <c r="G2290">
        <v>327629</v>
      </c>
      <c r="H2290">
        <v>353253</v>
      </c>
      <c r="I2290">
        <v>846164</v>
      </c>
    </row>
    <row r="2291" spans="1:9" hidden="1" x14ac:dyDescent="0.25">
      <c r="A2291" t="str">
        <f>_xlfn.XLOOKUP(C2291, 'Códigos DANE Municipios'!$B$2:$B$1123, 'Códigos DANE Municipios'!$A$2:$A$1123, "No encontrado")</f>
        <v>No encontrado</v>
      </c>
      <c r="B2291" t="str">
        <f>IFERROR(VLOOKUP(D2291,APOYO!K:L,2,FALSE),A2291)</f>
        <v>No encontrado</v>
      </c>
      <c r="C2291" t="s">
        <v>2545</v>
      </c>
      <c r="D2291" t="str">
        <f>IFERROR(VLOOKUP(C2291,APOYO!J:K,2,FALSE),C2291)</f>
        <v>CARTAGENA DEL CHAI</v>
      </c>
      <c r="E2291">
        <v>2016</v>
      </c>
    </row>
    <row r="2292" spans="1:9" hidden="1" x14ac:dyDescent="0.25">
      <c r="A2292" t="str">
        <f>_xlfn.XLOOKUP(C2292, 'Códigos DANE Municipios'!$B$2:$B$1123, 'Códigos DANE Municipios'!$A$2:$A$1123, "No encontrado")</f>
        <v>76147</v>
      </c>
      <c r="B2292" t="str">
        <f>IFERROR(VLOOKUP(D2292,APOYO!K:L,2,FALSE),A2292)</f>
        <v>76147</v>
      </c>
      <c r="C2292" t="s">
        <v>1978</v>
      </c>
      <c r="D2292" t="str">
        <f>IFERROR(VLOOKUP(C2292,APOYO!J:K,2,FALSE),C2292)</f>
        <v>CARTAGO</v>
      </c>
      <c r="E2292">
        <v>2016</v>
      </c>
      <c r="H2292">
        <v>1677</v>
      </c>
    </row>
    <row r="2293" spans="1:9" hidden="1" x14ac:dyDescent="0.25">
      <c r="A2293" t="str">
        <f>_xlfn.XLOOKUP(C2293, 'Códigos DANE Municipios'!$B$2:$B$1123, 'Códigos DANE Municipios'!$A$2:$A$1123, "No encontrado")</f>
        <v>No encontrado</v>
      </c>
      <c r="B2293" t="str">
        <f>IFERROR(VLOOKUP(D2293,APOYO!K:L,2,FALSE),A2293)</f>
        <v>No encontrado</v>
      </c>
      <c r="C2293" t="s">
        <v>2218</v>
      </c>
      <c r="D2293" t="str">
        <f>IFERROR(VLOOKUP(C2293,APOYO!J:K,2,FALSE),C2293)</f>
        <v>CARURU</v>
      </c>
      <c r="E2293">
        <v>2016</v>
      </c>
      <c r="F2293">
        <v>630</v>
      </c>
      <c r="H2293">
        <v>6</v>
      </c>
    </row>
    <row r="2294" spans="1:9" hidden="1" x14ac:dyDescent="0.25">
      <c r="A2294" t="str">
        <f>_xlfn.XLOOKUP(C2294, 'Códigos DANE Municipios'!$B$2:$B$1123, 'Códigos DANE Municipios'!$A$2:$A$1123, "No encontrado")</f>
        <v>50150</v>
      </c>
      <c r="B2294" t="str">
        <f>IFERROR(VLOOKUP(D2294,APOYO!K:L,2,FALSE),A2294)</f>
        <v>50150</v>
      </c>
      <c r="C2294" t="s">
        <v>1366</v>
      </c>
      <c r="D2294" t="str">
        <f>IFERROR(VLOOKUP(C2294,APOYO!J:K,2,FALSE),C2294)</f>
        <v>CASTILLA LA NUEVA</v>
      </c>
      <c r="E2294">
        <v>2016</v>
      </c>
      <c r="H2294">
        <v>7</v>
      </c>
    </row>
    <row r="2295" spans="1:9" hidden="1" x14ac:dyDescent="0.25">
      <c r="A2295" t="str">
        <f>_xlfn.XLOOKUP(C2295, 'Códigos DANE Municipios'!$B$2:$B$1123, 'Códigos DANE Municipios'!$A$2:$A$1123, "No encontrado")</f>
        <v>05154</v>
      </c>
      <c r="B2295" t="str">
        <f>IFERROR(VLOOKUP(D2295,APOYO!K:L,2,FALSE),A2295)</f>
        <v>05154</v>
      </c>
      <c r="C2295" t="s">
        <v>80</v>
      </c>
      <c r="D2295" t="str">
        <f>IFERROR(VLOOKUP(C2295,APOYO!J:K,2,FALSE),C2295)</f>
        <v>CAUCASIA</v>
      </c>
      <c r="E2295">
        <v>2016</v>
      </c>
      <c r="F2295">
        <v>19813</v>
      </c>
      <c r="H2295">
        <v>40</v>
      </c>
    </row>
    <row r="2296" spans="1:9" hidden="1" x14ac:dyDescent="0.25">
      <c r="A2296" t="str">
        <f>_xlfn.XLOOKUP(C2296, 'Códigos DANE Municipios'!$B$2:$B$1123, 'Códigos DANE Municipios'!$A$2:$A$1123, "No encontrado")</f>
        <v>No encontrado</v>
      </c>
      <c r="B2296" t="str">
        <f>IFERROR(VLOOKUP(D2296,APOYO!K:L,2,FALSE),A2296)</f>
        <v>No encontrado</v>
      </c>
      <c r="C2296" t="s">
        <v>2219</v>
      </c>
      <c r="D2296" t="str">
        <f>IFERROR(VLOOKUP(C2296,APOYO!J:K,2,FALSE),C2296)</f>
        <v>CEPITA</v>
      </c>
      <c r="E2296">
        <v>2016</v>
      </c>
    </row>
    <row r="2297" spans="1:9" hidden="1" x14ac:dyDescent="0.25">
      <c r="A2297" t="str">
        <f>_xlfn.XLOOKUP(C2297, 'Códigos DANE Municipios'!$B$2:$B$1123, 'Códigos DANE Municipios'!$A$2:$A$1123, "No encontrado")</f>
        <v>No encontrado</v>
      </c>
      <c r="B2297" t="str">
        <f>IFERROR(VLOOKUP(D2297,APOYO!K:L,2,FALSE),A2297)</f>
        <v>No encontrado</v>
      </c>
      <c r="C2297" t="s">
        <v>2220</v>
      </c>
      <c r="D2297" t="str">
        <f>IFERROR(VLOOKUP(C2297,APOYO!J:K,2,FALSE),C2297)</f>
        <v>CERETE</v>
      </c>
      <c r="E2297">
        <v>2016</v>
      </c>
      <c r="H2297">
        <v>38</v>
      </c>
    </row>
    <row r="2298" spans="1:9" hidden="1" x14ac:dyDescent="0.25">
      <c r="A2298" t="str">
        <f>_xlfn.XLOOKUP(C2298, 'Códigos DANE Municipios'!$B$2:$B$1123, 'Códigos DANE Municipios'!$A$2:$A$1123, "No encontrado")</f>
        <v>No encontrado</v>
      </c>
      <c r="B2298" t="str">
        <f>IFERROR(VLOOKUP(D2298,APOYO!K:L,2,FALSE),A2298)</f>
        <v>No encontrado</v>
      </c>
      <c r="C2298" t="s">
        <v>2221</v>
      </c>
      <c r="D2298" t="str">
        <f>IFERROR(VLOOKUP(C2298,APOYO!J:K,2,FALSE),C2298)</f>
        <v>CHACHAGUI</v>
      </c>
      <c r="E2298">
        <v>2016</v>
      </c>
      <c r="H2298">
        <v>13</v>
      </c>
    </row>
    <row r="2299" spans="1:9" hidden="1" x14ac:dyDescent="0.25">
      <c r="A2299" t="str">
        <f>_xlfn.XLOOKUP(C2299, 'Códigos DANE Municipios'!$B$2:$B$1123, 'Códigos DANE Municipios'!$A$2:$A$1123, "No encontrado")</f>
        <v>No encontrado</v>
      </c>
      <c r="B2299" t="str">
        <f>IFERROR(VLOOKUP(D2299,APOYO!K:L,2,FALSE),A2299)</f>
        <v>No encontrado</v>
      </c>
      <c r="C2299" t="s">
        <v>2222</v>
      </c>
      <c r="D2299" t="str">
        <f>IFERROR(VLOOKUP(C2299,APOYO!J:K,2,FALSE),C2299)</f>
        <v>CHAGUANI</v>
      </c>
      <c r="E2299">
        <v>2016</v>
      </c>
      <c r="H2299">
        <v>1</v>
      </c>
    </row>
    <row r="2300" spans="1:9" hidden="1" x14ac:dyDescent="0.25">
      <c r="A2300" t="str">
        <f>_xlfn.XLOOKUP(C2300, 'Códigos DANE Municipios'!$B$2:$B$1123, 'Códigos DANE Municipios'!$A$2:$A$1123, "No encontrado")</f>
        <v>No encontrado</v>
      </c>
      <c r="B2300" t="str">
        <f>IFERROR(VLOOKUP(D2300,APOYO!K:L,2,FALSE),A2300)</f>
        <v>No encontrado</v>
      </c>
      <c r="C2300" t="s">
        <v>2223</v>
      </c>
      <c r="D2300" t="str">
        <f>IFERROR(VLOOKUP(C2300,APOYO!J:K,2,FALSE),C2300)</f>
        <v>CHARALA</v>
      </c>
      <c r="E2300">
        <v>2016</v>
      </c>
      <c r="H2300">
        <v>11</v>
      </c>
    </row>
    <row r="2301" spans="1:9" hidden="1" x14ac:dyDescent="0.25">
      <c r="A2301" t="str">
        <f>_xlfn.XLOOKUP(C2301, 'Códigos DANE Municipios'!$B$2:$B$1123, 'Códigos DANE Municipios'!$A$2:$A$1123, "No encontrado")</f>
        <v>No encontrado</v>
      </c>
      <c r="B2301" t="str">
        <f>IFERROR(VLOOKUP(D2301,APOYO!K:L,2,FALSE),A2301)</f>
        <v>No encontrado</v>
      </c>
      <c r="C2301" t="s">
        <v>2224</v>
      </c>
      <c r="D2301" t="str">
        <f>IFERROR(VLOOKUP(C2301,APOYO!J:K,2,FALSE),C2301)</f>
        <v>CHIA</v>
      </c>
      <c r="E2301">
        <v>2016</v>
      </c>
      <c r="H2301">
        <v>2963</v>
      </c>
    </row>
    <row r="2302" spans="1:9" hidden="1" x14ac:dyDescent="0.25">
      <c r="A2302" t="str">
        <f>_xlfn.XLOOKUP(C2302, 'Códigos DANE Municipios'!$B$2:$B$1123, 'Códigos DANE Municipios'!$A$2:$A$1123, "No encontrado")</f>
        <v>No encontrado</v>
      </c>
      <c r="B2302" t="str">
        <f>IFERROR(VLOOKUP(D2302,APOYO!K:L,2,FALSE),A2302)</f>
        <v>No encontrado</v>
      </c>
      <c r="C2302" t="s">
        <v>2429</v>
      </c>
      <c r="D2302" t="str">
        <f>IFERROR(VLOOKUP(C2302,APOYO!J:K,2,FALSE),C2302)</f>
        <v>CHIGORODO</v>
      </c>
      <c r="E2302">
        <v>2016</v>
      </c>
      <c r="H2302">
        <v>12</v>
      </c>
    </row>
    <row r="2303" spans="1:9" hidden="1" x14ac:dyDescent="0.25">
      <c r="A2303" t="str">
        <f>_xlfn.XLOOKUP(C2303, 'Códigos DANE Municipios'!$B$2:$B$1123, 'Códigos DANE Municipios'!$A$2:$A$1123, "No encontrado")</f>
        <v>20175</v>
      </c>
      <c r="B2303" t="str">
        <f>IFERROR(VLOOKUP(D2303,APOYO!K:L,2,FALSE),A2303)</f>
        <v>20175</v>
      </c>
      <c r="C2303" t="s">
        <v>820</v>
      </c>
      <c r="D2303" t="str">
        <f>IFERROR(VLOOKUP(C2303,APOYO!J:K,2,FALSE),C2303)</f>
        <v>CHIMICHAGUA</v>
      </c>
      <c r="E2303">
        <v>2016</v>
      </c>
      <c r="H2303">
        <v>1</v>
      </c>
    </row>
    <row r="2304" spans="1:9" hidden="1" x14ac:dyDescent="0.25">
      <c r="A2304" t="str">
        <f>_xlfn.XLOOKUP(C2304, 'Códigos DANE Municipios'!$B$2:$B$1123, 'Códigos DANE Municipios'!$A$2:$A$1123, "No encontrado")</f>
        <v>No encontrado</v>
      </c>
      <c r="B2304" t="str">
        <f>IFERROR(VLOOKUP(D2304,APOYO!K:L,2,FALSE),A2304)</f>
        <v>No encontrado</v>
      </c>
      <c r="C2304" t="s">
        <v>2225</v>
      </c>
      <c r="D2304" t="str">
        <f>IFERROR(VLOOKUP(C2304,APOYO!J:K,2,FALSE),C2304)</f>
        <v>CHINACOTA</v>
      </c>
      <c r="E2304">
        <v>2016</v>
      </c>
      <c r="H2304">
        <v>13</v>
      </c>
    </row>
    <row r="2305" spans="1:8" hidden="1" x14ac:dyDescent="0.25">
      <c r="A2305" t="str">
        <f>_xlfn.XLOOKUP(C2305, 'Códigos DANE Municipios'!$B$2:$B$1123, 'Códigos DANE Municipios'!$A$2:$A$1123, "No encontrado")</f>
        <v>No encontrado</v>
      </c>
      <c r="B2305" t="str">
        <f>IFERROR(VLOOKUP(D2305,APOYO!K:L,2,FALSE),A2305)</f>
        <v>No encontrado</v>
      </c>
      <c r="C2305" t="s">
        <v>2226</v>
      </c>
      <c r="D2305" t="str">
        <f>IFERROR(VLOOKUP(C2305,APOYO!J:K,2,FALSE),C2305)</f>
        <v>CHINCHINA</v>
      </c>
      <c r="E2305">
        <v>2016</v>
      </c>
      <c r="H2305">
        <v>281</v>
      </c>
    </row>
    <row r="2306" spans="1:8" hidden="1" x14ac:dyDescent="0.25">
      <c r="A2306" t="str">
        <f>_xlfn.XLOOKUP(C2306, 'Códigos DANE Municipios'!$B$2:$B$1123, 'Códigos DANE Municipios'!$A$2:$A$1123, "No encontrado")</f>
        <v>No encontrado</v>
      </c>
      <c r="B2306" t="str">
        <f>IFERROR(VLOOKUP(D2306,APOYO!K:L,2,FALSE),A2306)</f>
        <v>No encontrado</v>
      </c>
      <c r="C2306" t="s">
        <v>2227</v>
      </c>
      <c r="D2306" t="str">
        <f>IFERROR(VLOOKUP(C2306,APOYO!J:K,2,FALSE),C2306)</f>
        <v>CHINU</v>
      </c>
      <c r="E2306">
        <v>2016</v>
      </c>
      <c r="H2306">
        <v>21</v>
      </c>
    </row>
    <row r="2307" spans="1:8" hidden="1" x14ac:dyDescent="0.25">
      <c r="A2307" t="str">
        <f>_xlfn.XLOOKUP(C2307, 'Códigos DANE Municipios'!$B$2:$B$1123, 'Códigos DANE Municipios'!$A$2:$A$1123, "No encontrado")</f>
        <v>25178</v>
      </c>
      <c r="B2307" t="str">
        <f>IFERROR(VLOOKUP(D2307,APOYO!K:L,2,FALSE),A2307)</f>
        <v>25178</v>
      </c>
      <c r="C2307" t="s">
        <v>948</v>
      </c>
      <c r="D2307" t="str">
        <f>IFERROR(VLOOKUP(C2307,APOYO!J:K,2,FALSE),C2307)</f>
        <v>CHIPAQUE</v>
      </c>
      <c r="E2307">
        <v>2016</v>
      </c>
      <c r="H2307">
        <v>26</v>
      </c>
    </row>
    <row r="2308" spans="1:8" hidden="1" x14ac:dyDescent="0.25">
      <c r="A2308" t="str">
        <f>_xlfn.XLOOKUP(C2308, 'Códigos DANE Municipios'!$B$2:$B$1123, 'Códigos DANE Municipios'!$A$2:$A$1123, "No encontrado")</f>
        <v>No encontrado</v>
      </c>
      <c r="B2308" t="str">
        <f>IFERROR(VLOOKUP(D2308,APOYO!K:L,2,FALSE),A2308)</f>
        <v>No encontrado</v>
      </c>
      <c r="C2308" t="s">
        <v>2228</v>
      </c>
      <c r="D2308" t="str">
        <f>IFERROR(VLOOKUP(C2308,APOYO!J:K,2,FALSE),C2308)</f>
        <v>CHIQUINQUIRA</v>
      </c>
      <c r="E2308">
        <v>2016</v>
      </c>
      <c r="H2308">
        <v>99</v>
      </c>
    </row>
    <row r="2309" spans="1:8" hidden="1" x14ac:dyDescent="0.25">
      <c r="A2309" t="str">
        <f>_xlfn.XLOOKUP(C2309, 'Códigos DANE Municipios'!$B$2:$B$1123, 'Códigos DANE Municipios'!$A$2:$A$1123, "No encontrado")</f>
        <v>No encontrado</v>
      </c>
      <c r="B2309" t="str">
        <f>IFERROR(VLOOKUP(D2309,APOYO!K:L,2,FALSE),A2309)</f>
        <v>No encontrado</v>
      </c>
      <c r="C2309" t="s">
        <v>2229</v>
      </c>
      <c r="D2309" t="str">
        <f>IFERROR(VLOOKUP(C2309,APOYO!J:K,2,FALSE),C2309)</f>
        <v>CHIRIGUANA</v>
      </c>
      <c r="E2309">
        <v>2016</v>
      </c>
      <c r="H2309">
        <v>1</v>
      </c>
    </row>
    <row r="2310" spans="1:8" hidden="1" x14ac:dyDescent="0.25">
      <c r="A2310" t="str">
        <f>_xlfn.XLOOKUP(C2310, 'Códigos DANE Municipios'!$B$2:$B$1123, 'Códigos DANE Municipios'!$A$2:$A$1123, "No encontrado")</f>
        <v>15180</v>
      </c>
      <c r="B2310" t="str">
        <f>IFERROR(VLOOKUP(D2310,APOYO!K:L,2,FALSE),A2310)</f>
        <v>15180</v>
      </c>
      <c r="C2310" t="s">
        <v>433</v>
      </c>
      <c r="D2310" t="str">
        <f>IFERROR(VLOOKUP(C2310,APOYO!J:K,2,FALSE),C2310)</f>
        <v>CHISCAS</v>
      </c>
      <c r="E2310">
        <v>2016</v>
      </c>
      <c r="H2310">
        <v>1</v>
      </c>
    </row>
    <row r="2311" spans="1:8" hidden="1" x14ac:dyDescent="0.25">
      <c r="A2311" t="str">
        <f>_xlfn.XLOOKUP(C2311, 'Códigos DANE Municipios'!$B$2:$B$1123, 'Códigos DANE Municipios'!$A$2:$A$1123, "No encontrado")</f>
        <v>No encontrado</v>
      </c>
      <c r="B2311" t="str">
        <f>IFERROR(VLOOKUP(D2311,APOYO!K:L,2,FALSE),A2311)</f>
        <v>No encontrado</v>
      </c>
      <c r="C2311" t="s">
        <v>2230</v>
      </c>
      <c r="D2311" t="str">
        <f>IFERROR(VLOOKUP(C2311,APOYO!J:K,2,FALSE),C2311)</f>
        <v>CHITAGA</v>
      </c>
      <c r="E2311">
        <v>2016</v>
      </c>
      <c r="H2311">
        <v>2</v>
      </c>
    </row>
    <row r="2312" spans="1:8" hidden="1" x14ac:dyDescent="0.25">
      <c r="A2312" t="str">
        <f>_xlfn.XLOOKUP(C2312, 'Códigos DANE Municipios'!$B$2:$B$1123, 'Códigos DANE Municipios'!$A$2:$A$1123, "No encontrado")</f>
        <v>15236</v>
      </c>
      <c r="B2312" t="str">
        <f>IFERROR(VLOOKUP(D2312,APOYO!K:L,2,FALSE),A2312)</f>
        <v>15236</v>
      </c>
      <c r="C2312" t="s">
        <v>459</v>
      </c>
      <c r="D2312" t="str">
        <f>IFERROR(VLOOKUP(C2312,APOYO!J:K,2,FALSE),C2312)</f>
        <v>CHIVOR</v>
      </c>
      <c r="E2312">
        <v>2016</v>
      </c>
    </row>
    <row r="2313" spans="1:8" hidden="1" x14ac:dyDescent="0.25">
      <c r="A2313" t="str">
        <f>_xlfn.XLOOKUP(C2313, 'Códigos DANE Municipios'!$B$2:$B$1123, 'Códigos DANE Municipios'!$A$2:$A$1123, "No encontrado")</f>
        <v>No encontrado</v>
      </c>
      <c r="B2313" t="str">
        <f>IFERROR(VLOOKUP(D2313,APOYO!K:L,2,FALSE),A2313)</f>
        <v>25181</v>
      </c>
      <c r="C2313" t="s">
        <v>2231</v>
      </c>
      <c r="D2313" t="str">
        <f>IFERROR(VLOOKUP(C2313,APOYO!J:K,2,FALSE),C2313)</f>
        <v>CHOACHÍ</v>
      </c>
      <c r="E2313">
        <v>2016</v>
      </c>
      <c r="H2313">
        <v>40</v>
      </c>
    </row>
    <row r="2314" spans="1:8" hidden="1" x14ac:dyDescent="0.25">
      <c r="A2314" t="str">
        <f>_xlfn.XLOOKUP(C2314, 'Códigos DANE Municipios'!$B$2:$B$1123, 'Códigos DANE Municipios'!$A$2:$A$1123, "No encontrado")</f>
        <v>No encontrado</v>
      </c>
      <c r="B2314" t="str">
        <f>IFERROR(VLOOKUP(D2314,APOYO!K:L,2,FALSE),A2314)</f>
        <v>No encontrado</v>
      </c>
      <c r="C2314" t="s">
        <v>2232</v>
      </c>
      <c r="D2314" t="str">
        <f>IFERROR(VLOOKUP(C2314,APOYO!J:K,2,FALSE),C2314)</f>
        <v>CHOCONTA</v>
      </c>
      <c r="E2314">
        <v>2016</v>
      </c>
      <c r="H2314">
        <v>42</v>
      </c>
    </row>
    <row r="2315" spans="1:8" hidden="1" x14ac:dyDescent="0.25">
      <c r="A2315" t="str">
        <f>_xlfn.XLOOKUP(C2315, 'Códigos DANE Municipios'!$B$2:$B$1123, 'Códigos DANE Municipios'!$A$2:$A$1123, "No encontrado")</f>
        <v>No encontrado</v>
      </c>
      <c r="B2315" t="str">
        <f>IFERROR(VLOOKUP(D2315,APOYO!K:L,2,FALSE),A2315)</f>
        <v>No encontrado</v>
      </c>
      <c r="C2315" t="s">
        <v>2233</v>
      </c>
      <c r="D2315" t="str">
        <f>IFERROR(VLOOKUP(C2315,APOYO!J:K,2,FALSE),C2315)</f>
        <v>CIENAGA</v>
      </c>
      <c r="E2315">
        <v>2016</v>
      </c>
      <c r="H2315">
        <v>50</v>
      </c>
    </row>
    <row r="2316" spans="1:8" hidden="1" x14ac:dyDescent="0.25">
      <c r="A2316" t="str">
        <f>_xlfn.XLOOKUP(C2316, 'Códigos DANE Municipios'!$B$2:$B$1123, 'Códigos DANE Municipios'!$A$2:$A$1123, "No encontrado")</f>
        <v>No encontrado</v>
      </c>
      <c r="B2316" t="str">
        <f>IFERROR(VLOOKUP(D2316,APOYO!K:L,2,FALSE),A2316)</f>
        <v>No encontrado</v>
      </c>
      <c r="C2316" t="s">
        <v>2234</v>
      </c>
      <c r="D2316" t="str">
        <f>IFERROR(VLOOKUP(C2316,APOYO!J:K,2,FALSE),C2316)</f>
        <v>CIENAGA DE ORO</v>
      </c>
      <c r="E2316">
        <v>2016</v>
      </c>
      <c r="H2316">
        <v>5</v>
      </c>
    </row>
    <row r="2317" spans="1:8" hidden="1" x14ac:dyDescent="0.25">
      <c r="A2317" t="str">
        <f>_xlfn.XLOOKUP(C2317, 'Códigos DANE Municipios'!$B$2:$B$1123, 'Códigos DANE Municipios'!$A$2:$A$1123, "No encontrado")</f>
        <v>68190</v>
      </c>
      <c r="B2317" t="str">
        <f>IFERROR(VLOOKUP(D2317,APOYO!K:L,2,FALSE),A2317)</f>
        <v>68190</v>
      </c>
      <c r="C2317" t="s">
        <v>1688</v>
      </c>
      <c r="D2317" t="str">
        <f>IFERROR(VLOOKUP(C2317,APOYO!J:K,2,FALSE),C2317)</f>
        <v>CIMITARRA</v>
      </c>
      <c r="E2317">
        <v>2016</v>
      </c>
      <c r="H2317">
        <v>7</v>
      </c>
    </row>
    <row r="2318" spans="1:8" hidden="1" x14ac:dyDescent="0.25">
      <c r="A2318" t="str">
        <f>_xlfn.XLOOKUP(C2318, 'Códigos DANE Municipios'!$B$2:$B$1123, 'Códigos DANE Municipios'!$A$2:$A$1123, "No encontrado")</f>
        <v>63190</v>
      </c>
      <c r="B2318" t="str">
        <f>IFERROR(VLOOKUP(D2318,APOYO!K:L,2,FALSE),A2318)</f>
        <v>63190</v>
      </c>
      <c r="C2318" t="s">
        <v>1611</v>
      </c>
      <c r="D2318" t="str">
        <f>IFERROR(VLOOKUP(C2318,APOYO!J:K,2,FALSE),C2318)</f>
        <v>CIRCASIA</v>
      </c>
      <c r="E2318">
        <v>2016</v>
      </c>
      <c r="H2318">
        <v>126</v>
      </c>
    </row>
    <row r="2319" spans="1:8" hidden="1" x14ac:dyDescent="0.25">
      <c r="A2319" t="str">
        <f>_xlfn.XLOOKUP(C2319, 'Códigos DANE Municipios'!$B$2:$B$1123, 'Códigos DANE Municipios'!$A$2:$A$1123, "No encontrado")</f>
        <v>05190</v>
      </c>
      <c r="B2319" t="str">
        <f>IFERROR(VLOOKUP(D2319,APOYO!K:L,2,FALSE),A2319)</f>
        <v>05190</v>
      </c>
      <c r="C2319" t="s">
        <v>84</v>
      </c>
      <c r="D2319" t="str">
        <f>IFERROR(VLOOKUP(C2319,APOYO!J:K,2,FALSE),C2319)</f>
        <v>CISNEROS</v>
      </c>
      <c r="E2319">
        <v>2016</v>
      </c>
      <c r="H2319">
        <v>5</v>
      </c>
    </row>
    <row r="2320" spans="1:8" hidden="1" x14ac:dyDescent="0.25">
      <c r="A2320" t="str">
        <f>_xlfn.XLOOKUP(C2320, 'Códigos DANE Municipios'!$B$2:$B$1123, 'Códigos DANE Municipios'!$A$2:$A$1123, "No encontrado")</f>
        <v>No encontrado</v>
      </c>
      <c r="B2320" t="str">
        <f>IFERROR(VLOOKUP(D2320,APOYO!K:L,2,FALSE),A2320)</f>
        <v>No encontrado</v>
      </c>
      <c r="C2320" t="s">
        <v>2235</v>
      </c>
      <c r="D2320" t="str">
        <f>IFERROR(VLOOKUP(C2320,APOYO!J:K,2,FALSE),C2320)</f>
        <v>COCORNA</v>
      </c>
      <c r="E2320">
        <v>2016</v>
      </c>
      <c r="H2320">
        <v>8</v>
      </c>
    </row>
    <row r="2321" spans="1:8" hidden="1" x14ac:dyDescent="0.25">
      <c r="A2321" t="str">
        <f>_xlfn.XLOOKUP(C2321, 'Códigos DANE Municipios'!$B$2:$B$1123, 'Códigos DANE Municipios'!$A$2:$A$1123, "No encontrado")</f>
        <v>05190</v>
      </c>
      <c r="B2321" t="str">
        <f>IFERROR(VLOOKUP(D2321,APOYO!K:L,2,FALSE),A2321)</f>
        <v>05190</v>
      </c>
      <c r="C2321" t="s">
        <v>84</v>
      </c>
      <c r="D2321" t="str">
        <f>IFERROR(VLOOKUP(C2321,APOYO!J:K,2,FALSE),C2321)</f>
        <v>CISNEROS</v>
      </c>
      <c r="E2321">
        <v>2016</v>
      </c>
      <c r="H2321">
        <v>5</v>
      </c>
    </row>
    <row r="2322" spans="1:8" hidden="1" x14ac:dyDescent="0.25">
      <c r="A2322" t="str">
        <f>_xlfn.XLOOKUP(C2322, 'Códigos DANE Municipios'!$B$2:$B$1123, 'Códigos DANE Municipios'!$A$2:$A$1123, "No encontrado")</f>
        <v>No encontrado</v>
      </c>
      <c r="B2322" t="str">
        <f>IFERROR(VLOOKUP(D2322,APOYO!K:L,2,FALSE),A2322)</f>
        <v>No encontrado</v>
      </c>
      <c r="C2322" t="s">
        <v>2235</v>
      </c>
      <c r="D2322" t="str">
        <f>IFERROR(VLOOKUP(C2322,APOYO!J:K,2,FALSE),C2322)</f>
        <v>COCORNA</v>
      </c>
      <c r="E2322">
        <v>2016</v>
      </c>
      <c r="H2322">
        <v>8</v>
      </c>
    </row>
    <row r="2323" spans="1:8" hidden="1" x14ac:dyDescent="0.25">
      <c r="A2323" t="str">
        <f>_xlfn.XLOOKUP(C2323, 'Códigos DANE Municipios'!$B$2:$B$1123, 'Códigos DANE Municipios'!$A$2:$A$1123, "No encontrado")</f>
        <v>73200</v>
      </c>
      <c r="B2323" t="str">
        <f>IFERROR(VLOOKUP(D2323,APOYO!K:L,2,FALSE),A2323)</f>
        <v>73200</v>
      </c>
      <c r="C2323" t="s">
        <v>1887</v>
      </c>
      <c r="D2323" t="str">
        <f>IFERROR(VLOOKUP(C2323,APOYO!J:K,2,FALSE),C2323)</f>
        <v>COELLO</v>
      </c>
      <c r="E2323">
        <v>2016</v>
      </c>
      <c r="H2323">
        <v>2</v>
      </c>
    </row>
    <row r="2324" spans="1:8" hidden="1" x14ac:dyDescent="0.25">
      <c r="A2324" t="str">
        <f>_xlfn.XLOOKUP(C2324, 'Códigos DANE Municipios'!$B$2:$B$1123, 'Códigos DANE Municipios'!$A$2:$A$1123, "No encontrado")</f>
        <v>25200</v>
      </c>
      <c r="B2324" t="str">
        <f>IFERROR(VLOOKUP(D2324,APOYO!K:L,2,FALSE),A2324)</f>
        <v>25200</v>
      </c>
      <c r="C2324" t="s">
        <v>954</v>
      </c>
      <c r="D2324" t="str">
        <f>IFERROR(VLOOKUP(C2324,APOYO!J:K,2,FALSE),C2324)</f>
        <v>COGUA</v>
      </c>
      <c r="E2324">
        <v>2016</v>
      </c>
      <c r="H2324">
        <v>41</v>
      </c>
    </row>
    <row r="2325" spans="1:8" hidden="1" x14ac:dyDescent="0.25">
      <c r="A2325" t="str">
        <f>_xlfn.XLOOKUP(C2325, 'Códigos DANE Municipios'!$B$2:$B$1123, 'Códigos DANE Municipios'!$A$2:$A$1123, "No encontrado")</f>
        <v>41206</v>
      </c>
      <c r="B2325" t="str">
        <f>IFERROR(VLOOKUP(D2325,APOYO!K:L,2,FALSE),A2325)</f>
        <v>41206</v>
      </c>
      <c r="C2325" t="s">
        <v>1217</v>
      </c>
      <c r="D2325" t="str">
        <f>IFERROR(VLOOKUP(C2325,APOYO!J:K,2,FALSE),C2325)</f>
        <v>COLOMBIA</v>
      </c>
      <c r="E2325">
        <v>2016</v>
      </c>
      <c r="H2325">
        <v>2</v>
      </c>
    </row>
    <row r="2326" spans="1:8" hidden="1" x14ac:dyDescent="0.25">
      <c r="A2326" t="str">
        <f>_xlfn.XLOOKUP(C2326, 'Códigos DANE Municipios'!$B$2:$B$1123, 'Códigos DANE Municipios'!$A$2:$A$1123, "No encontrado")</f>
        <v>No encontrado</v>
      </c>
      <c r="B2326" t="str">
        <f>IFERROR(VLOOKUP(D2326,APOYO!K:L,2,FALSE),A2326)</f>
        <v>No encontrado</v>
      </c>
      <c r="C2326" t="s">
        <v>2236</v>
      </c>
      <c r="D2326" t="str">
        <f>IFERROR(VLOOKUP(C2326,APOYO!J:K,2,FALSE),C2326)</f>
        <v>COLON</v>
      </c>
      <c r="E2326">
        <v>2016</v>
      </c>
      <c r="H2326">
        <v>1</v>
      </c>
    </row>
    <row r="2327" spans="1:8" hidden="1" x14ac:dyDescent="0.25">
      <c r="A2327" t="str">
        <f>_xlfn.XLOOKUP(C2327, 'Códigos DANE Municipios'!$B$2:$B$1123, 'Códigos DANE Municipios'!$A$2:$A$1123, "No encontrado")</f>
        <v>No encontrado</v>
      </c>
      <c r="B2327" t="str">
        <f>IFERROR(VLOOKUP(D2327,APOYO!K:L,2,FALSE),A2327)</f>
        <v>No encontrado</v>
      </c>
      <c r="C2327" t="s">
        <v>2430</v>
      </c>
      <c r="D2327" t="str">
        <f>IFERROR(VLOOKUP(C2327,APOYO!J:K,2,FALSE),C2327)</f>
        <v>COMBITA</v>
      </c>
      <c r="E2327">
        <v>2016</v>
      </c>
      <c r="H2327">
        <v>3</v>
      </c>
    </row>
    <row r="2328" spans="1:8" hidden="1" x14ac:dyDescent="0.25">
      <c r="A2328" t="str">
        <f>_xlfn.XLOOKUP(C2328, 'Códigos DANE Municipios'!$B$2:$B$1123, 'Códigos DANE Municipios'!$A$2:$A$1123, "No encontrado")</f>
        <v>No encontrado</v>
      </c>
      <c r="B2328" t="str">
        <f>IFERROR(VLOOKUP(D2328,APOYO!K:L,2,FALSE),A2328)</f>
        <v>No encontrado</v>
      </c>
      <c r="C2328" t="s">
        <v>2237</v>
      </c>
      <c r="D2328" t="str">
        <f>IFERROR(VLOOKUP(C2328,APOYO!J:K,2,FALSE),C2328)</f>
        <v>CONCEPCION</v>
      </c>
      <c r="E2328">
        <v>2016</v>
      </c>
      <c r="H2328" t="s">
        <v>2511</v>
      </c>
    </row>
    <row r="2329" spans="1:8" hidden="1" x14ac:dyDescent="0.25">
      <c r="A2329" t="str">
        <f>_xlfn.XLOOKUP(C2329, 'Códigos DANE Municipios'!$B$2:$B$1123, 'Códigos DANE Municipios'!$A$2:$A$1123, "No encontrado")</f>
        <v>05209</v>
      </c>
      <c r="B2329" t="str">
        <f>IFERROR(VLOOKUP(D2329,APOYO!K:L,2,FALSE),A2329)</f>
        <v>05209</v>
      </c>
      <c r="C2329" t="s">
        <v>90</v>
      </c>
      <c r="D2329" t="str">
        <f>IFERROR(VLOOKUP(C2329,APOYO!J:K,2,FALSE),C2329)</f>
        <v>CONCORDIA</v>
      </c>
      <c r="E2329">
        <v>2016</v>
      </c>
      <c r="H2329" t="s">
        <v>2511</v>
      </c>
    </row>
    <row r="2330" spans="1:8" hidden="1" x14ac:dyDescent="0.25">
      <c r="A2330" t="str">
        <f>_xlfn.XLOOKUP(C2330, 'Códigos DANE Municipios'!$B$2:$B$1123, 'Códigos DANE Municipios'!$A$2:$A$1123, "No encontrado")</f>
        <v>27205</v>
      </c>
      <c r="B2330" t="str">
        <f>IFERROR(VLOOKUP(D2330,APOYO!K:L,2,FALSE),A2330)</f>
        <v>27205</v>
      </c>
      <c r="C2330" t="s">
        <v>1164</v>
      </c>
      <c r="D2330" t="str">
        <f>IFERROR(VLOOKUP(C2330,APOYO!J:K,2,FALSE),C2330)</f>
        <v>CONDOTO</v>
      </c>
      <c r="E2330">
        <v>2016</v>
      </c>
      <c r="F2330">
        <v>72</v>
      </c>
      <c r="H2330">
        <v>1</v>
      </c>
    </row>
    <row r="2331" spans="1:8" hidden="1" x14ac:dyDescent="0.25">
      <c r="A2331" t="str">
        <f>_xlfn.XLOOKUP(C2331, 'Códigos DANE Municipios'!$B$2:$B$1123, 'Códigos DANE Municipios'!$A$2:$A$1123, "No encontrado")</f>
        <v>No encontrado</v>
      </c>
      <c r="B2331" t="str">
        <f>IFERROR(VLOOKUP(D2331,APOYO!K:L,2,FALSE),A2331)</f>
        <v>No encontrado</v>
      </c>
      <c r="C2331" t="s">
        <v>2238</v>
      </c>
      <c r="D2331" t="str">
        <f>IFERROR(VLOOKUP(C2331,APOYO!J:K,2,FALSE),C2331)</f>
        <v>CONSACA</v>
      </c>
      <c r="E2331">
        <v>2016</v>
      </c>
      <c r="H2331" t="s">
        <v>2511</v>
      </c>
    </row>
    <row r="2332" spans="1:8" hidden="1" x14ac:dyDescent="0.25">
      <c r="A2332" t="str">
        <f>_xlfn.XLOOKUP(C2332, 'Códigos DANE Municipios'!$B$2:$B$1123, 'Códigos DANE Municipios'!$A$2:$A$1123, "No encontrado")</f>
        <v>No encontrado</v>
      </c>
      <c r="B2332" t="str">
        <f>IFERROR(VLOOKUP(D2332,APOYO!K:L,2,FALSE),A2332)</f>
        <v>No encontrado</v>
      </c>
      <c r="C2332" t="s">
        <v>2431</v>
      </c>
      <c r="D2332" t="str">
        <f>IFERROR(VLOOKUP(C2332,APOYO!J:K,2,FALSE),C2332)</f>
        <v>CONTRATACION</v>
      </c>
      <c r="E2332">
        <v>2016</v>
      </c>
      <c r="H2332" t="s">
        <v>2511</v>
      </c>
    </row>
    <row r="2333" spans="1:8" hidden="1" x14ac:dyDescent="0.25">
      <c r="A2333" t="str">
        <f>_xlfn.XLOOKUP(C2333, 'Códigos DANE Municipios'!$B$2:$B$1123, 'Códigos DANE Municipios'!$A$2:$A$1123, "No encontrado")</f>
        <v>52210</v>
      </c>
      <c r="B2333" t="str">
        <f>IFERROR(VLOOKUP(D2333,APOYO!K:L,2,FALSE),A2333)</f>
        <v>52210</v>
      </c>
      <c r="C2333" t="s">
        <v>1430</v>
      </c>
      <c r="D2333" t="str">
        <f>IFERROR(VLOOKUP(C2333,APOYO!J:K,2,FALSE),C2333)</f>
        <v>CONTADERO</v>
      </c>
      <c r="E2333">
        <v>2016</v>
      </c>
      <c r="H2333">
        <v>1</v>
      </c>
    </row>
    <row r="2334" spans="1:8" hidden="1" x14ac:dyDescent="0.25">
      <c r="A2334" t="str">
        <f>_xlfn.XLOOKUP(C2334, 'Códigos DANE Municipios'!$B$2:$B$1123, 'Códigos DANE Municipios'!$A$2:$A$1123, "No encontrado")</f>
        <v>05212</v>
      </c>
      <c r="B2334" t="str">
        <f>IFERROR(VLOOKUP(D2334,APOYO!K:L,2,FALSE),A2334)</f>
        <v>05212</v>
      </c>
      <c r="C2334" t="s">
        <v>92</v>
      </c>
      <c r="D2334" t="str">
        <f>IFERROR(VLOOKUP(C2334,APOYO!J:K,2,FALSE),C2334)</f>
        <v>COPACABANA</v>
      </c>
      <c r="E2334">
        <v>2016</v>
      </c>
      <c r="H2334">
        <v>149</v>
      </c>
    </row>
    <row r="2335" spans="1:8" hidden="1" x14ac:dyDescent="0.25">
      <c r="A2335" t="str">
        <f>_xlfn.XLOOKUP(C2335, 'Códigos DANE Municipios'!$B$2:$B$1123, 'Códigos DANE Municipios'!$A$2:$A$1123, "No encontrado")</f>
        <v>No encontrado</v>
      </c>
      <c r="B2335" t="str">
        <f>IFERROR(VLOOKUP(D2335,APOYO!K:L,2,FALSE),A2335)</f>
        <v>No encontrado</v>
      </c>
      <c r="C2335" t="s">
        <v>2239</v>
      </c>
      <c r="D2335" t="str">
        <f>IFERROR(VLOOKUP(C2335,APOYO!J:K,2,FALSE),C2335)</f>
        <v>CORDOBA</v>
      </c>
      <c r="E2335">
        <v>2016</v>
      </c>
      <c r="H2335">
        <v>3</v>
      </c>
    </row>
    <row r="2336" spans="1:8" hidden="1" x14ac:dyDescent="0.25">
      <c r="A2336" t="str">
        <f>_xlfn.XLOOKUP(C2336, 'Códigos DANE Municipios'!$B$2:$B$1123, 'Códigos DANE Municipios'!$A$2:$A$1123, "No encontrado")</f>
        <v>19212</v>
      </c>
      <c r="B2336" t="str">
        <f>IFERROR(VLOOKUP(D2336,APOYO!K:L,2,FALSE),A2336)</f>
        <v>19212</v>
      </c>
      <c r="C2336" t="s">
        <v>746</v>
      </c>
      <c r="D2336" t="str">
        <f>IFERROR(VLOOKUP(C2336,APOYO!J:K,2,FALSE),C2336)</f>
        <v>CORINTO</v>
      </c>
      <c r="E2336">
        <v>2016</v>
      </c>
      <c r="H2336">
        <v>17</v>
      </c>
    </row>
    <row r="2337" spans="1:8" hidden="1" x14ac:dyDescent="0.25">
      <c r="A2337" t="str">
        <f>_xlfn.XLOOKUP(C2337, 'Códigos DANE Municipios'!$B$2:$B$1123, 'Códigos DANE Municipios'!$A$2:$A$1123, "No encontrado")</f>
        <v>70215</v>
      </c>
      <c r="B2337" t="str">
        <f>IFERROR(VLOOKUP(D2337,APOYO!K:L,2,FALSE),A2337)</f>
        <v>70215</v>
      </c>
      <c r="C2337" t="s">
        <v>1823</v>
      </c>
      <c r="D2337" t="str">
        <f>IFERROR(VLOOKUP(C2337,APOYO!J:K,2,FALSE),C2337)</f>
        <v>COROZAL</v>
      </c>
      <c r="E2337">
        <v>2016</v>
      </c>
      <c r="F2337">
        <v>35690</v>
      </c>
      <c r="H2337">
        <v>65</v>
      </c>
    </row>
    <row r="2338" spans="1:8" hidden="1" x14ac:dyDescent="0.25">
      <c r="A2338" t="str">
        <f>_xlfn.XLOOKUP(C2338, 'Códigos DANE Municipios'!$B$2:$B$1123, 'Códigos DANE Municipios'!$A$2:$A$1123, "No encontrado")</f>
        <v>25214</v>
      </c>
      <c r="B2338" t="str">
        <f>IFERROR(VLOOKUP(D2338,APOYO!K:L,2,FALSE),A2338)</f>
        <v>25214</v>
      </c>
      <c r="C2338" t="s">
        <v>956</v>
      </c>
      <c r="D2338" t="str">
        <f>IFERROR(VLOOKUP(C2338,APOYO!J:K,2,FALSE),C2338)</f>
        <v>COTA</v>
      </c>
      <c r="E2338">
        <v>2016</v>
      </c>
      <c r="H2338">
        <v>408</v>
      </c>
    </row>
    <row r="2339" spans="1:8" hidden="1" x14ac:dyDescent="0.25">
      <c r="A2339" t="str">
        <f>_xlfn.XLOOKUP(C2339, 'Códigos DANE Municipios'!$B$2:$B$1123, 'Códigos DANE Municipios'!$A$2:$A$1123, "No encontrado")</f>
        <v>70221</v>
      </c>
      <c r="B2339" t="str">
        <f>IFERROR(VLOOKUP(D2339,APOYO!K:L,2,FALSE),A2339)</f>
        <v>70221</v>
      </c>
      <c r="C2339" t="s">
        <v>1825</v>
      </c>
      <c r="D2339" t="str">
        <f>IFERROR(VLOOKUP(C2339,APOYO!J:K,2,FALSE),C2339)</f>
        <v>COVEÑAS</v>
      </c>
      <c r="E2339">
        <v>2016</v>
      </c>
      <c r="H2339">
        <v>313</v>
      </c>
    </row>
    <row r="2340" spans="1:8" hidden="1" x14ac:dyDescent="0.25">
      <c r="A2340" t="str">
        <f>_xlfn.XLOOKUP(C2340, 'Códigos DANE Municipios'!$B$2:$B$1123, 'Códigos DANE Municipios'!$A$2:$A$1123, "No encontrado")</f>
        <v>81220</v>
      </c>
      <c r="B2340" t="str">
        <f>IFERROR(VLOOKUP(D2340,APOYO!K:L,2,FALSE),A2340)</f>
        <v>81220</v>
      </c>
      <c r="C2340" t="s">
        <v>2038</v>
      </c>
      <c r="D2340" t="str">
        <f>IFERROR(VLOOKUP(C2340,APOYO!J:K,2,FALSE),C2340)</f>
        <v>CRAVO NORTE</v>
      </c>
      <c r="E2340">
        <v>2016</v>
      </c>
      <c r="H2340" t="s">
        <v>2511</v>
      </c>
    </row>
    <row r="2341" spans="1:8" hidden="1" x14ac:dyDescent="0.25">
      <c r="A2341" t="str">
        <f>_xlfn.XLOOKUP(C2341, 'Códigos DANE Municipios'!$B$2:$B$1123, 'Códigos DANE Municipios'!$A$2:$A$1123, "No encontrado")</f>
        <v>No encontrado</v>
      </c>
      <c r="B2341" t="str">
        <f>IFERROR(VLOOKUP(D2341,APOYO!K:L,2,FALSE),A2341)</f>
        <v>No encontrado</v>
      </c>
      <c r="C2341" t="s">
        <v>2240</v>
      </c>
      <c r="D2341" t="str">
        <f>IFERROR(VLOOKUP(C2341,APOYO!J:K,2,FALSE),C2341)</f>
        <v>CURABA</v>
      </c>
      <c r="E2341">
        <v>2016</v>
      </c>
      <c r="H2341" t="s">
        <v>2511</v>
      </c>
    </row>
    <row r="2342" spans="1:8" hidden="1" x14ac:dyDescent="0.25">
      <c r="A2342" t="str">
        <f>_xlfn.XLOOKUP(C2342, 'Códigos DANE Municipios'!$B$2:$B$1123, 'Códigos DANE Municipios'!$A$2:$A$1123, "No encontrado")</f>
        <v>No encontrado</v>
      </c>
      <c r="B2342" t="str">
        <f>IFERROR(VLOOKUP(D2342,APOYO!K:L,2,FALSE),A2342)</f>
        <v>No encontrado</v>
      </c>
      <c r="C2342" t="s">
        <v>2241</v>
      </c>
      <c r="D2342" t="str">
        <f>IFERROR(VLOOKUP(C2342,APOYO!J:K,2,FALSE),C2342)</f>
        <v>CURBARRAL</v>
      </c>
      <c r="E2342">
        <v>2016</v>
      </c>
      <c r="H2342" t="s">
        <v>2511</v>
      </c>
    </row>
    <row r="2343" spans="1:8" hidden="1" x14ac:dyDescent="0.25">
      <c r="A2343" t="str">
        <f>_xlfn.XLOOKUP(C2343, 'Códigos DANE Municipios'!$B$2:$B$1123, 'Códigos DANE Municipios'!$A$2:$A$1123, "No encontrado")</f>
        <v>15224</v>
      </c>
      <c r="B2343" t="str">
        <f>IFERROR(VLOOKUP(D2343,APOYO!K:L,2,FALSE),A2343)</f>
        <v>15224</v>
      </c>
      <c r="C2343" t="s">
        <v>453</v>
      </c>
      <c r="D2343" t="str">
        <f>IFERROR(VLOOKUP(C2343,APOYO!J:K,2,FALSE),C2343)</f>
        <v>CUCAITA</v>
      </c>
      <c r="E2343">
        <v>2016</v>
      </c>
      <c r="H2343">
        <v>6</v>
      </c>
    </row>
    <row r="2344" spans="1:8" hidden="1" x14ac:dyDescent="0.25">
      <c r="A2344" t="str">
        <f>_xlfn.XLOOKUP(C2344, 'Códigos DANE Municipios'!$B$2:$B$1123, 'Códigos DANE Municipios'!$A$2:$A$1123, "No encontrado")</f>
        <v>No encontrado</v>
      </c>
      <c r="B2344" t="str">
        <f>IFERROR(VLOOKUP(D2344,APOYO!K:L,2,FALSE),A2344)</f>
        <v>No encontrado</v>
      </c>
      <c r="C2344" t="s">
        <v>2242</v>
      </c>
      <c r="D2344" t="str">
        <f>IFERROR(VLOOKUP(C2344,APOYO!J:K,2,FALSE),C2344)</f>
        <v>CUCUNUBA</v>
      </c>
      <c r="E2344">
        <v>2016</v>
      </c>
      <c r="H2344">
        <v>6</v>
      </c>
    </row>
    <row r="2345" spans="1:8" hidden="1" x14ac:dyDescent="0.25">
      <c r="A2345" t="str">
        <f>_xlfn.XLOOKUP(C2345, 'Códigos DANE Municipios'!$B$2:$B$1123, 'Códigos DANE Municipios'!$A$2:$A$1123, "No encontrado")</f>
        <v>No encontrado</v>
      </c>
      <c r="B2345" t="str">
        <f>IFERROR(VLOOKUP(D2345,APOYO!K:L,2,FALSE),A2345)</f>
        <v>No encontrado</v>
      </c>
      <c r="C2345" t="s">
        <v>2243</v>
      </c>
      <c r="D2345" t="str">
        <f>IFERROR(VLOOKUP(C2345,APOYO!J:K,2,FALSE),C2345)</f>
        <v>CUCUTA</v>
      </c>
      <c r="E2345">
        <v>2016</v>
      </c>
      <c r="F2345">
        <v>501513</v>
      </c>
      <c r="G2345">
        <v>21078</v>
      </c>
      <c r="H2345">
        <v>10292</v>
      </c>
    </row>
    <row r="2346" spans="1:8" hidden="1" x14ac:dyDescent="0.25">
      <c r="A2346" t="str">
        <f>_xlfn.XLOOKUP(C2346, 'Códigos DANE Municipios'!$B$2:$B$1123, 'Códigos DANE Municipios'!$A$2:$A$1123, "No encontrado")</f>
        <v>54223</v>
      </c>
      <c r="B2346" t="str">
        <f>IFERROR(VLOOKUP(D2346,APOYO!K:L,2,FALSE),A2346)</f>
        <v>54223</v>
      </c>
      <c r="C2346" t="s">
        <v>1549</v>
      </c>
      <c r="D2346" t="str">
        <f>IFERROR(VLOOKUP(C2346,APOYO!J:K,2,FALSE),C2346)</f>
        <v>CUCUTILLA</v>
      </c>
      <c r="E2346">
        <v>2016</v>
      </c>
      <c r="H2346">
        <v>68</v>
      </c>
    </row>
    <row r="2347" spans="1:8" hidden="1" x14ac:dyDescent="0.25">
      <c r="A2347" t="str">
        <f>_xlfn.XLOOKUP(C2347, 'Códigos DANE Municipios'!$B$2:$B$1123, 'Códigos DANE Municipios'!$A$2:$A$1123, "No encontrado")</f>
        <v>No encontrado</v>
      </c>
      <c r="B2347" t="str">
        <f>IFERROR(VLOOKUP(D2347,APOYO!K:L,2,FALSE),A2347)</f>
        <v>No encontrado</v>
      </c>
      <c r="C2347" t="s">
        <v>2244</v>
      </c>
      <c r="D2347" t="str">
        <f>IFERROR(VLOOKUP(C2347,APOYO!J:K,2,FALSE),C2347)</f>
        <v>CUITIVA</v>
      </c>
      <c r="E2347">
        <v>2016</v>
      </c>
      <c r="H2347" t="s">
        <v>2511</v>
      </c>
    </row>
    <row r="2348" spans="1:8" hidden="1" x14ac:dyDescent="0.25">
      <c r="A2348" t="str">
        <f>_xlfn.XLOOKUP(C2348, 'Códigos DANE Municipios'!$B$2:$B$1123, 'Códigos DANE Municipios'!$A$2:$A$1123, "No encontrado")</f>
        <v>50226</v>
      </c>
      <c r="B2348" t="str">
        <f>IFERROR(VLOOKUP(D2348,APOYO!K:L,2,FALSE),A2348)</f>
        <v>50226</v>
      </c>
      <c r="C2348" t="s">
        <v>1370</v>
      </c>
      <c r="D2348" t="str">
        <f>IFERROR(VLOOKUP(C2348,APOYO!J:K,2,FALSE),C2348)</f>
        <v>CUMARAL</v>
      </c>
      <c r="E2348">
        <v>2016</v>
      </c>
      <c r="H2348">
        <v>22</v>
      </c>
    </row>
    <row r="2349" spans="1:8" hidden="1" x14ac:dyDescent="0.25">
      <c r="A2349" t="str">
        <f>_xlfn.XLOOKUP(C2349, 'Códigos DANE Municipios'!$B$2:$B$1123, 'Códigos DANE Municipios'!$A$2:$A$1123, "No encontrado")</f>
        <v>99773</v>
      </c>
      <c r="B2349" t="str">
        <f>IFERROR(VLOOKUP(D2349,APOYO!K:L,2,FALSE),A2349)</f>
        <v>99773</v>
      </c>
      <c r="C2349" t="s">
        <v>2169</v>
      </c>
      <c r="D2349" t="str">
        <f>IFERROR(VLOOKUP(C2349,APOYO!J:K,2,FALSE),C2349)</f>
        <v>CUMARIBO</v>
      </c>
      <c r="E2349">
        <v>2016</v>
      </c>
      <c r="H2349">
        <v>2</v>
      </c>
    </row>
    <row r="2350" spans="1:8" hidden="1" x14ac:dyDescent="0.25">
      <c r="A2350" t="str">
        <f>_xlfn.XLOOKUP(C2350, 'Códigos DANE Municipios'!$B$2:$B$1123, 'Códigos DANE Municipios'!$A$2:$A$1123, "No encontrado")</f>
        <v>52227</v>
      </c>
      <c r="B2350" t="str">
        <f>IFERROR(VLOOKUP(D2350,APOYO!K:L,2,FALSE),A2350)</f>
        <v>52227</v>
      </c>
      <c r="C2350" t="s">
        <v>1435</v>
      </c>
      <c r="D2350" t="str">
        <f>IFERROR(VLOOKUP(C2350,APOYO!J:K,2,FALSE),C2350)</f>
        <v>CUMBAL</v>
      </c>
      <c r="E2350">
        <v>2016</v>
      </c>
      <c r="H2350">
        <v>12</v>
      </c>
    </row>
    <row r="2351" spans="1:8" hidden="1" x14ac:dyDescent="0.25">
      <c r="A2351" t="str">
        <f>_xlfn.XLOOKUP(C2351, 'Códigos DANE Municipios'!$B$2:$B$1123, 'Códigos DANE Municipios'!$A$2:$A$1123, "No encontrado")</f>
        <v>73226</v>
      </c>
      <c r="B2351" t="str">
        <f>IFERROR(VLOOKUP(D2351,APOYO!K:L,2,FALSE),A2351)</f>
        <v>73226</v>
      </c>
      <c r="C2351" t="s">
        <v>1891</v>
      </c>
      <c r="D2351" t="str">
        <f>IFERROR(VLOOKUP(C2351,APOYO!J:K,2,FALSE),C2351)</f>
        <v>CUNDAY</v>
      </c>
      <c r="E2351">
        <v>2016</v>
      </c>
      <c r="H2351">
        <v>5</v>
      </c>
    </row>
    <row r="2352" spans="1:8" hidden="1" x14ac:dyDescent="0.25">
      <c r="A2352" t="str">
        <f>_xlfn.XLOOKUP(C2352, 'Códigos DANE Municipios'!$B$2:$B$1123, 'Códigos DANE Municipios'!$A$2:$A$1123, "No encontrado")</f>
        <v>No encontrado</v>
      </c>
      <c r="B2352" t="str">
        <f>IFERROR(VLOOKUP(D2352,APOYO!K:L,2,FALSE),A2352)</f>
        <v>No encontrado</v>
      </c>
      <c r="C2352" t="s">
        <v>2245</v>
      </c>
      <c r="D2352" t="str">
        <f>IFERROR(VLOOKUP(C2352,APOYO!J:K,2,FALSE),C2352)</f>
        <v>CURITI</v>
      </c>
      <c r="E2352">
        <v>2016</v>
      </c>
      <c r="H2352">
        <v>4</v>
      </c>
    </row>
    <row r="2353" spans="1:9" hidden="1" x14ac:dyDescent="0.25">
      <c r="A2353" t="str">
        <f>_xlfn.XLOOKUP(C2353, 'Códigos DANE Municipios'!$B$2:$B$1123, 'Códigos DANE Municipios'!$A$2:$A$1123, "No encontrado")</f>
        <v>No encontrado</v>
      </c>
      <c r="B2353" t="str">
        <f>IFERROR(VLOOKUP(D2353,APOYO!K:L,2,FALSE),A2353)</f>
        <v>No encontrado</v>
      </c>
      <c r="C2353" t="s">
        <v>2246</v>
      </c>
      <c r="D2353" t="str">
        <f>IFERROR(VLOOKUP(C2353,APOYO!J:K,2,FALSE),C2353)</f>
        <v>CURUMANI</v>
      </c>
      <c r="E2353">
        <v>2016</v>
      </c>
      <c r="H2353">
        <v>8</v>
      </c>
    </row>
    <row r="2354" spans="1:9" hidden="1" x14ac:dyDescent="0.25">
      <c r="A2354" t="str">
        <f>_xlfn.XLOOKUP(C2354, 'Códigos DANE Municipios'!$B$2:$B$1123, 'Códigos DANE Municipios'!$A$2:$A$1123, "No encontrado")</f>
        <v>76233</v>
      </c>
      <c r="B2354" t="str">
        <f>IFERROR(VLOOKUP(D2354,APOYO!K:L,2,FALSE),A2354)</f>
        <v>76233</v>
      </c>
      <c r="C2354" t="s">
        <v>1980</v>
      </c>
      <c r="D2354" t="str">
        <f>IFERROR(VLOOKUP(C2354,APOYO!J:K,2,FALSE),C2354)</f>
        <v>DAGUA</v>
      </c>
      <c r="E2354">
        <v>2016</v>
      </c>
      <c r="H2354">
        <v>48</v>
      </c>
    </row>
    <row r="2355" spans="1:9" hidden="1" x14ac:dyDescent="0.25">
      <c r="A2355" t="str">
        <f>_xlfn.XLOOKUP(C2355, 'Códigos DANE Municipios'!$B$2:$B$1123, 'Códigos DANE Municipios'!$A$2:$A$1123, "No encontrado")</f>
        <v>44090</v>
      </c>
      <c r="B2355" t="str">
        <f>IFERROR(VLOOKUP(D2355,APOYO!K:L,2,FALSE),A2355)</f>
        <v>44090</v>
      </c>
      <c r="C2355" t="s">
        <v>1277</v>
      </c>
      <c r="D2355" t="str">
        <f>IFERROR(VLOOKUP(C2355,APOYO!J:K,2,FALSE),C2355)</f>
        <v>DIBULLA</v>
      </c>
      <c r="E2355">
        <v>2016</v>
      </c>
      <c r="H2355">
        <v>38</v>
      </c>
    </row>
    <row r="2356" spans="1:9" hidden="1" x14ac:dyDescent="0.25">
      <c r="A2356" t="str">
        <f>_xlfn.XLOOKUP(C2356, 'Códigos DANE Municipios'!$B$2:$B$1123, 'Códigos DANE Municipios'!$A$2:$A$1123, "No encontrado")</f>
        <v>No encontrado</v>
      </c>
      <c r="B2356" t="str">
        <f>IFERROR(VLOOKUP(D2356,APOYO!K:L,2,FALSE),A2356)</f>
        <v>No encontrado</v>
      </c>
      <c r="C2356" t="s">
        <v>2247</v>
      </c>
      <c r="D2356" t="str">
        <f>IFERROR(VLOOKUP(C2356,APOYO!J:K,2,FALSE),C2356)</f>
        <v>DISTRACCION</v>
      </c>
      <c r="E2356">
        <v>2016</v>
      </c>
      <c r="H2356">
        <v>4</v>
      </c>
    </row>
    <row r="2357" spans="1:9" hidden="1" x14ac:dyDescent="0.25">
      <c r="A2357" t="str">
        <f>_xlfn.XLOOKUP(C2357, 'Códigos DANE Municipios'!$B$2:$B$1123, 'Códigos DANE Municipios'!$A$2:$A$1123, "No encontrado")</f>
        <v>No encontrado</v>
      </c>
      <c r="B2357" t="str">
        <f>IFERROR(VLOOKUP(D2357,APOYO!K:L,2,FALSE),A2357)</f>
        <v>No encontrado</v>
      </c>
      <c r="C2357" t="s">
        <v>2248</v>
      </c>
      <c r="D2357" t="str">
        <f>IFERROR(VLOOKUP(C2357,APOYO!J:K,2,FALSE),C2357)</f>
        <v>DON MATIAS</v>
      </c>
      <c r="E2357">
        <v>2016</v>
      </c>
      <c r="H2357">
        <v>40</v>
      </c>
    </row>
    <row r="2358" spans="1:9" hidden="1" x14ac:dyDescent="0.25">
      <c r="A2358" t="str">
        <f>_xlfn.XLOOKUP(C2358, 'Códigos DANE Municipios'!$B$2:$B$1123, 'Códigos DANE Municipios'!$A$2:$A$1123, "No encontrado")</f>
        <v>No encontrado</v>
      </c>
      <c r="B2358" t="str">
        <f>IFERROR(VLOOKUP(D2358,APOYO!K:L,2,FALSE),A2358)</f>
        <v>No encontrado</v>
      </c>
      <c r="C2358" t="s">
        <v>2249</v>
      </c>
      <c r="D2358" t="str">
        <f>IFERROR(VLOOKUP(C2358,APOYO!J:K,2,FALSE),C2358)</f>
        <v>DOS QUEBRADAS</v>
      </c>
      <c r="E2358">
        <v>2016</v>
      </c>
      <c r="H2358">
        <v>1324</v>
      </c>
    </row>
    <row r="2359" spans="1:9" hidden="1" x14ac:dyDescent="0.25">
      <c r="A2359" t="str">
        <f>_xlfn.XLOOKUP(C2359, 'Códigos DANE Municipios'!$B$2:$B$1123, 'Códigos DANE Municipios'!$A$2:$A$1123, "No encontrado")</f>
        <v>15238</v>
      </c>
      <c r="B2359" t="str">
        <f>IFERROR(VLOOKUP(D2359,APOYO!K:L,2,FALSE),A2359)</f>
        <v>15238</v>
      </c>
      <c r="C2359" t="s">
        <v>461</v>
      </c>
      <c r="D2359" t="str">
        <f>IFERROR(VLOOKUP(C2359,APOYO!J:K,2,FALSE),C2359)</f>
        <v>DUITAMA</v>
      </c>
      <c r="E2359">
        <v>2016</v>
      </c>
      <c r="H2359">
        <v>515</v>
      </c>
    </row>
    <row r="2360" spans="1:9" hidden="1" x14ac:dyDescent="0.25">
      <c r="A2360" t="str">
        <f>_xlfn.XLOOKUP(C2360, 'Códigos DANE Municipios'!$B$2:$B$1123, 'Códigos DANE Municipios'!$A$2:$A$1123, "No encontrado")</f>
        <v>No encontrado</v>
      </c>
      <c r="B2360" t="str">
        <f>IFERROR(VLOOKUP(D2360,APOYO!K:L,2,FALSE),A2360)</f>
        <v>No encontrado</v>
      </c>
      <c r="C2360" t="s">
        <v>2250</v>
      </c>
      <c r="D2360" t="str">
        <f>IFERROR(VLOOKUP(C2360,APOYO!J:K,2,FALSE),C2360)</f>
        <v>EBEJICO</v>
      </c>
      <c r="E2360">
        <v>2016</v>
      </c>
      <c r="H2360">
        <v>1</v>
      </c>
    </row>
    <row r="2361" spans="1:9" hidden="1" x14ac:dyDescent="0.25">
      <c r="A2361" t="str">
        <f>_xlfn.XLOOKUP(C2361, 'Códigos DANE Municipios'!$B$2:$B$1123, 'Códigos DANE Municipios'!$A$2:$A$1123, "No encontrado")</f>
        <v>05250</v>
      </c>
      <c r="B2361" t="str">
        <f>IFERROR(VLOOKUP(D2361,APOYO!K:L,2,FALSE),A2361)</f>
        <v>05250</v>
      </c>
      <c r="C2361" t="s">
        <v>100</v>
      </c>
      <c r="D2361" t="str">
        <f>IFERROR(VLOOKUP(C2361,APOYO!J:K,2,FALSE),C2361)</f>
        <v>EL BAGRE</v>
      </c>
      <c r="E2361">
        <v>2016</v>
      </c>
      <c r="F2361">
        <v>5756</v>
      </c>
      <c r="H2361">
        <v>4</v>
      </c>
    </row>
    <row r="2362" spans="1:9" hidden="1" x14ac:dyDescent="0.25">
      <c r="A2362" t="str">
        <f>_xlfn.XLOOKUP(C2362, 'Códigos DANE Municipios'!$B$2:$B$1123, 'Códigos DANE Municipios'!$A$2:$A$1123, "No encontrado")</f>
        <v>47245</v>
      </c>
      <c r="B2362" t="str">
        <f>IFERROR(VLOOKUP(D2362,APOYO!K:L,2,FALSE),A2362)</f>
        <v>47245</v>
      </c>
      <c r="C2362" t="s">
        <v>1315</v>
      </c>
      <c r="D2362" t="str">
        <f>IFERROR(VLOOKUP(C2362,APOYO!J:K,2,FALSE),C2362)</f>
        <v>EL BANCO</v>
      </c>
      <c r="E2362">
        <v>2016</v>
      </c>
      <c r="H2362">
        <v>18</v>
      </c>
    </row>
    <row r="2363" spans="1:9" hidden="1" x14ac:dyDescent="0.25">
      <c r="A2363" t="str">
        <f>_xlfn.XLOOKUP(C2363, 'Códigos DANE Municipios'!$B$2:$B$1123, 'Códigos DANE Municipios'!$A$2:$A$1123, "No encontrado")</f>
        <v>76246</v>
      </c>
      <c r="B2363" t="str">
        <f>IFERROR(VLOOKUP(D2363,APOYO!K:L,2,FALSE),A2363)</f>
        <v>76246</v>
      </c>
      <c r="C2363" t="s">
        <v>1984</v>
      </c>
      <c r="D2363" t="str">
        <f>IFERROR(VLOOKUP(C2363,APOYO!J:K,2,FALSE),C2363)</f>
        <v>EL CAIRO</v>
      </c>
      <c r="E2363">
        <v>2016</v>
      </c>
      <c r="H2363">
        <v>7</v>
      </c>
    </row>
    <row r="2364" spans="1:9" hidden="1" x14ac:dyDescent="0.25">
      <c r="A2364" t="str">
        <f>_xlfn.XLOOKUP(C2364, 'Códigos DANE Municipios'!$B$2:$B$1123, 'Códigos DANE Municipios'!$A$2:$A$1123, "No encontrado")</f>
        <v>54245</v>
      </c>
      <c r="B2364" t="str">
        <f>IFERROR(VLOOKUP(D2364,APOYO!K:L,2,FALSE),A2364)</f>
        <v>54245</v>
      </c>
      <c r="C2364" t="s">
        <v>1553</v>
      </c>
      <c r="D2364" t="str">
        <f>IFERROR(VLOOKUP(C2364,APOYO!J:K,2,FALSE),C2364)</f>
        <v>EL CARMEN</v>
      </c>
      <c r="E2364">
        <v>2016</v>
      </c>
      <c r="H2364">
        <v>56</v>
      </c>
    </row>
    <row r="2365" spans="1:9" hidden="1" x14ac:dyDescent="0.25">
      <c r="A2365" t="str">
        <f>_xlfn.XLOOKUP(C2365, 'Códigos DANE Municipios'!$B$2:$B$1123, 'Códigos DANE Municipios'!$A$2:$A$1123, "No encontrado")</f>
        <v>No encontrado</v>
      </c>
      <c r="B2365" t="str">
        <f>IFERROR(VLOOKUP(D2365,APOYO!K:L,2,FALSE),A2365)</f>
        <v>13244</v>
      </c>
      <c r="C2365" t="s">
        <v>2432</v>
      </c>
      <c r="D2365" t="str">
        <f>IFERROR(VLOOKUP(C2365,APOYO!J:K,2,FALSE),C2365)</f>
        <v>EL CARMEN DE BOLÍVAR</v>
      </c>
      <c r="E2365">
        <v>2016</v>
      </c>
      <c r="H2365">
        <v>12</v>
      </c>
    </row>
    <row r="2366" spans="1:9" hidden="1" x14ac:dyDescent="0.25">
      <c r="A2366" t="str">
        <f>_xlfn.XLOOKUP(C2366, 'Códigos DANE Municipios'!$B$2:$B$1123, 'Códigos DANE Municipios'!$A$2:$A$1123, "No encontrado")</f>
        <v>50251</v>
      </c>
      <c r="B2366" t="str">
        <f>IFERROR(VLOOKUP(D2366,APOYO!K:L,2,FALSE),A2366)</f>
        <v>50251</v>
      </c>
      <c r="C2366" t="s">
        <v>1374</v>
      </c>
      <c r="D2366" t="str">
        <f>IFERROR(VLOOKUP(C2366,APOYO!J:K,2,FALSE),C2366)</f>
        <v>EL CASTILLO</v>
      </c>
      <c r="E2366">
        <v>2016</v>
      </c>
      <c r="H2366" t="s">
        <v>2511</v>
      </c>
    </row>
    <row r="2367" spans="1:9" hidden="1" x14ac:dyDescent="0.25">
      <c r="A2367" t="str">
        <f>_xlfn.XLOOKUP(C2367, 'Códigos DANE Municipios'!$B$2:$B$1123, 'Códigos DANE Municipios'!$A$2:$A$1123, "No encontrado")</f>
        <v>76248</v>
      </c>
      <c r="B2367" t="str">
        <f>IFERROR(VLOOKUP(D2367,APOYO!K:L,2,FALSE),A2367)</f>
        <v>76248</v>
      </c>
      <c r="C2367" t="s">
        <v>1986</v>
      </c>
      <c r="D2367" t="str">
        <f>IFERROR(VLOOKUP(C2367,APOYO!J:K,2,FALSE),C2367)</f>
        <v>EL CERRITO</v>
      </c>
      <c r="E2367">
        <v>2016</v>
      </c>
      <c r="H2367">
        <v>201</v>
      </c>
    </row>
    <row r="2368" spans="1:9" hidden="1" x14ac:dyDescent="0.25">
      <c r="A2368" t="str">
        <f>_xlfn.XLOOKUP(C2368, 'Códigos DANE Municipios'!$B$2:$B$1123, 'Códigos DANE Municipios'!$A$2:$A$1123, "No encontrado")</f>
        <v>15244</v>
      </c>
      <c r="B2368" t="str">
        <f>IFERROR(VLOOKUP(D2368,APOYO!K:L,2,FALSE),A2368)</f>
        <v>15244</v>
      </c>
      <c r="C2368" t="s">
        <v>463</v>
      </c>
      <c r="D2368" t="str">
        <f>IFERROR(VLOOKUP(C2368,APOYO!J:K,2,FALSE),C2368)</f>
        <v>EL COCUY</v>
      </c>
      <c r="E2368">
        <v>2016</v>
      </c>
      <c r="H2368">
        <v>6</v>
      </c>
      <c r="I2368">
        <v>7617</v>
      </c>
    </row>
    <row r="2369" spans="1:8" hidden="1" x14ac:dyDescent="0.25">
      <c r="A2369" t="str">
        <f>_xlfn.XLOOKUP(C2369, 'Códigos DANE Municipios'!$B$2:$B$1123, 'Códigos DANE Municipios'!$A$2:$A$1123, "No encontrado")</f>
        <v>25245</v>
      </c>
      <c r="B2369" t="str">
        <f>IFERROR(VLOOKUP(D2369,APOYO!K:L,2,FALSE),A2369)</f>
        <v>25245</v>
      </c>
      <c r="C2369" t="s">
        <v>960</v>
      </c>
      <c r="D2369" t="str">
        <f>IFERROR(VLOOKUP(C2369,APOYO!J:K,2,FALSE),C2369)</f>
        <v>EL COLEGIO</v>
      </c>
      <c r="E2369">
        <v>2016</v>
      </c>
      <c r="H2369">
        <v>17</v>
      </c>
    </row>
    <row r="2370" spans="1:8" hidden="1" x14ac:dyDescent="0.25">
      <c r="A2370" t="str">
        <f>_xlfn.XLOOKUP(C2370, 'Códigos DANE Municipios'!$B$2:$B$1123, 'Códigos DANE Municipios'!$A$2:$A$1123, "No encontrado")</f>
        <v>20238</v>
      </c>
      <c r="B2370" t="str">
        <f>IFERROR(VLOOKUP(D2370,APOYO!K:L,2,FALSE),A2370)</f>
        <v>20238</v>
      </c>
      <c r="C2370" t="s">
        <v>826</v>
      </c>
      <c r="D2370" t="str">
        <f>IFERROR(VLOOKUP(C2370,APOYO!J:K,2,FALSE),C2370)</f>
        <v>EL COPEY</v>
      </c>
      <c r="E2370">
        <v>2016</v>
      </c>
      <c r="H2370">
        <v>2</v>
      </c>
    </row>
    <row r="2371" spans="1:8" hidden="1" x14ac:dyDescent="0.25">
      <c r="A2371" t="str">
        <f>_xlfn.XLOOKUP(C2371, 'Códigos DANE Municipios'!$B$2:$B$1123, 'Códigos DANE Municipios'!$A$2:$A$1123, "No encontrado")</f>
        <v>18247</v>
      </c>
      <c r="B2371" t="str">
        <f>IFERROR(VLOOKUP(D2371,APOYO!K:L,2,FALSE),A2371)</f>
        <v>18247</v>
      </c>
      <c r="C2371" t="s">
        <v>708</v>
      </c>
      <c r="D2371" t="str">
        <f>IFERROR(VLOOKUP(C2371,APOYO!J:K,2,FALSE),C2371)</f>
        <v>EL DONCELLO</v>
      </c>
      <c r="E2371">
        <v>2016</v>
      </c>
      <c r="H2371">
        <v>2</v>
      </c>
    </row>
    <row r="2372" spans="1:8" hidden="1" x14ac:dyDescent="0.25">
      <c r="A2372" t="str">
        <f>_xlfn.XLOOKUP(C2372, 'Códigos DANE Municipios'!$B$2:$B$1123, 'Códigos DANE Municipios'!$A$2:$A$1123, "No encontrado")</f>
        <v>50270</v>
      </c>
      <c r="B2372" t="str">
        <f>IFERROR(VLOOKUP(D2372,APOYO!K:L,2,FALSE),A2372)</f>
        <v>50270</v>
      </c>
      <c r="C2372" t="s">
        <v>1376</v>
      </c>
      <c r="D2372" t="str">
        <f>IFERROR(VLOOKUP(C2372,APOYO!J:K,2,FALSE),C2372)</f>
        <v>EL DORADO</v>
      </c>
      <c r="E2372">
        <v>2016</v>
      </c>
      <c r="H2372">
        <v>2</v>
      </c>
    </row>
    <row r="2373" spans="1:8" hidden="1" x14ac:dyDescent="0.25">
      <c r="A2373" t="str">
        <f>_xlfn.XLOOKUP(C2373, 'Códigos DANE Municipios'!$B$2:$B$1123, 'Códigos DANE Municipios'!$A$2:$A$1123, "No encontrado")</f>
        <v>76250</v>
      </c>
      <c r="B2373" t="str">
        <f>IFERROR(VLOOKUP(D2373,APOYO!K:L,2,FALSE),A2373)</f>
        <v>76250</v>
      </c>
      <c r="C2373" t="s">
        <v>1988</v>
      </c>
      <c r="D2373" t="str">
        <f>IFERROR(VLOOKUP(C2373,APOYO!J:K,2,FALSE),C2373)</f>
        <v>EL DOVIO</v>
      </c>
      <c r="E2373">
        <v>2016</v>
      </c>
      <c r="H2373">
        <v>10</v>
      </c>
    </row>
    <row r="2374" spans="1:8" hidden="1" x14ac:dyDescent="0.25">
      <c r="A2374" t="str">
        <f>_xlfn.XLOOKUP(C2374, 'Códigos DANE Municipios'!$B$2:$B$1123, 'Códigos DANE Municipios'!$A$2:$A$1123, "No encontrado")</f>
        <v>20250</v>
      </c>
      <c r="B2374" t="str">
        <f>IFERROR(VLOOKUP(D2374,APOYO!K:L,2,FALSE),A2374)</f>
        <v>20250</v>
      </c>
      <c r="C2374" t="s">
        <v>828</v>
      </c>
      <c r="D2374" t="str">
        <f>IFERROR(VLOOKUP(C2374,APOYO!J:K,2,FALSE),C2374)</f>
        <v>EL PASO</v>
      </c>
      <c r="E2374">
        <v>2016</v>
      </c>
      <c r="H2374">
        <v>3</v>
      </c>
    </row>
    <row r="2375" spans="1:8" hidden="1" x14ac:dyDescent="0.25">
      <c r="A2375" t="str">
        <f>_xlfn.XLOOKUP(C2375, 'Códigos DANE Municipios'!$B$2:$B$1123, 'Códigos DANE Municipios'!$A$2:$A$1123, "No encontrado")</f>
        <v>No encontrado</v>
      </c>
      <c r="B2375" t="str">
        <f>IFERROR(VLOOKUP(D2375,APOYO!K:L,2,FALSE),A2375)</f>
        <v>No encontrado</v>
      </c>
      <c r="C2375" t="s">
        <v>2252</v>
      </c>
      <c r="D2375" t="str">
        <f>IFERROR(VLOOKUP(C2375,APOYO!J:K,2,FALSE),C2375)</f>
        <v>EL PAUJIL</v>
      </c>
      <c r="E2375">
        <v>2016</v>
      </c>
      <c r="H2375" t="s">
        <v>2511</v>
      </c>
    </row>
    <row r="2376" spans="1:8" hidden="1" x14ac:dyDescent="0.25">
      <c r="A2376" t="str">
        <f>_xlfn.XLOOKUP(C2376, 'Códigos DANE Municipios'!$B$2:$B$1123, 'Códigos DANE Municipios'!$A$2:$A$1123, "No encontrado")</f>
        <v>No encontrado</v>
      </c>
      <c r="B2376" t="str">
        <f>IFERROR(VLOOKUP(D2376,APOYO!K:L,2,FALSE),A2376)</f>
        <v>No encontrado</v>
      </c>
      <c r="C2376" t="s">
        <v>2253</v>
      </c>
      <c r="D2376" t="str">
        <f>IFERROR(VLOOKUP(C2376,APOYO!J:K,2,FALSE),C2376)</f>
        <v>EL PENON</v>
      </c>
      <c r="E2376">
        <v>2016</v>
      </c>
      <c r="H2376">
        <v>4</v>
      </c>
    </row>
    <row r="2377" spans="1:8" hidden="1" x14ac:dyDescent="0.25">
      <c r="A2377" t="str">
        <f>_xlfn.XLOOKUP(C2377, 'Códigos DANE Municipios'!$B$2:$B$1123, 'Códigos DANE Municipios'!$A$2:$A$1123, "No encontrado")</f>
        <v>No encontrado</v>
      </c>
      <c r="B2377" t="str">
        <f>IFERROR(VLOOKUP(D2377,APOYO!K:L,2,FALSE),A2377)</f>
        <v>No encontrado</v>
      </c>
      <c r="C2377" t="s">
        <v>2254</v>
      </c>
      <c r="D2377" t="str">
        <f>IFERROR(VLOOKUP(C2377,APOYO!J:K,2,FALSE),C2377)</f>
        <v>EL PLAYON</v>
      </c>
      <c r="E2377">
        <v>2016</v>
      </c>
      <c r="H2377">
        <v>1</v>
      </c>
    </row>
    <row r="2378" spans="1:8" hidden="1" x14ac:dyDescent="0.25">
      <c r="A2378" t="str">
        <f>_xlfn.XLOOKUP(C2378, 'Códigos DANE Municipios'!$B$2:$B$1123, 'Códigos DANE Municipios'!$A$2:$A$1123, "No encontrado")</f>
        <v>95025</v>
      </c>
      <c r="B2378" t="str">
        <f>IFERROR(VLOOKUP(D2378,APOYO!K:L,2,FALSE),A2378)</f>
        <v>95025</v>
      </c>
      <c r="C2378" t="s">
        <v>2148</v>
      </c>
      <c r="D2378" t="str">
        <f>IFERROR(VLOOKUP(C2378,APOYO!J:K,2,FALSE),C2378)</f>
        <v>EL RETORNO</v>
      </c>
      <c r="E2378">
        <v>2016</v>
      </c>
      <c r="H2378" t="s">
        <v>2511</v>
      </c>
    </row>
    <row r="2379" spans="1:8" hidden="1" x14ac:dyDescent="0.25">
      <c r="A2379" t="str">
        <f>_xlfn.XLOOKUP(C2379, 'Códigos DANE Municipios'!$B$2:$B$1123, 'Códigos DANE Municipios'!$A$2:$A$1123, "No encontrado")</f>
        <v>25260</v>
      </c>
      <c r="B2379" t="str">
        <f>IFERROR(VLOOKUP(D2379,APOYO!K:L,2,FALSE),A2379)</f>
        <v>25260</v>
      </c>
      <c r="C2379" t="s">
        <v>963</v>
      </c>
      <c r="D2379" t="str">
        <f>IFERROR(VLOOKUP(C2379,APOYO!J:K,2,FALSE),C2379)</f>
        <v>EL ROSAL</v>
      </c>
      <c r="E2379">
        <v>2016</v>
      </c>
      <c r="H2379">
        <v>16</v>
      </c>
    </row>
    <row r="2380" spans="1:8" hidden="1" x14ac:dyDescent="0.25">
      <c r="A2380" t="str">
        <f>_xlfn.XLOOKUP(C2380, 'Códigos DANE Municipios'!$B$2:$B$1123, 'Códigos DANE Municipios'!$A$2:$A$1123, "No encontrado")</f>
        <v>52256</v>
      </c>
      <c r="B2380" t="str">
        <f>IFERROR(VLOOKUP(D2380,APOYO!K:L,2,FALSE),A2380)</f>
        <v>52256</v>
      </c>
      <c r="C2380" t="s">
        <v>1445</v>
      </c>
      <c r="D2380" t="str">
        <f>IFERROR(VLOOKUP(C2380,APOYO!J:K,2,FALSE),C2380)</f>
        <v>EL ROSARIO</v>
      </c>
      <c r="E2380">
        <v>2016</v>
      </c>
      <c r="H2380">
        <v>1</v>
      </c>
    </row>
    <row r="2381" spans="1:8" hidden="1" x14ac:dyDescent="0.25">
      <c r="A2381" t="str">
        <f>_xlfn.XLOOKUP(C2381, 'Códigos DANE Municipios'!$B$2:$B$1123, 'Códigos DANE Municipios'!$A$2:$A$1123, "No encontrado")</f>
        <v>19256</v>
      </c>
      <c r="B2381" t="str">
        <f>IFERROR(VLOOKUP(D2381,APOYO!K:L,2,FALSE),A2381)</f>
        <v>19256</v>
      </c>
      <c r="C2381" t="s">
        <v>748</v>
      </c>
      <c r="D2381" t="str">
        <f>IFERROR(VLOOKUP(C2381,APOYO!J:K,2,FALSE),C2381)</f>
        <v>EL TAMBO</v>
      </c>
      <c r="E2381">
        <v>2016</v>
      </c>
      <c r="H2381">
        <v>2</v>
      </c>
    </row>
    <row r="2382" spans="1:8" hidden="1" x14ac:dyDescent="0.25">
      <c r="A2382" t="str">
        <f>_xlfn.XLOOKUP(C2382, 'Códigos DANE Municipios'!$B$2:$B$1123, 'Códigos DANE Municipios'!$A$2:$A$1123, "No encontrado")</f>
        <v>54250</v>
      </c>
      <c r="B2382" t="str">
        <f>IFERROR(VLOOKUP(D2382,APOYO!K:L,2,FALSE),A2382)</f>
        <v>54250</v>
      </c>
      <c r="C2382" t="s">
        <v>1555</v>
      </c>
      <c r="D2382" t="str">
        <f>IFERROR(VLOOKUP(C2382,APOYO!J:K,2,FALSE),C2382)</f>
        <v>EL TARRA</v>
      </c>
      <c r="E2382">
        <v>2016</v>
      </c>
      <c r="H2382">
        <v>2</v>
      </c>
    </row>
    <row r="2383" spans="1:8" hidden="1" x14ac:dyDescent="0.25">
      <c r="A2383" t="str">
        <f>_xlfn.XLOOKUP(C2383, 'Códigos DANE Municipios'!$B$2:$B$1123, 'Códigos DANE Municipios'!$A$2:$A$1123, "No encontrado")</f>
        <v>54261</v>
      </c>
      <c r="B2383" t="str">
        <f>IFERROR(VLOOKUP(D2383,APOYO!K:L,2,FALSE),A2383)</f>
        <v>54261</v>
      </c>
      <c r="C2383" t="s">
        <v>1557</v>
      </c>
      <c r="D2383" t="str">
        <f>IFERROR(VLOOKUP(C2383,APOYO!J:K,2,FALSE),C2383)</f>
        <v>EL ZULIA</v>
      </c>
      <c r="E2383">
        <v>2016</v>
      </c>
      <c r="H2383">
        <v>1</v>
      </c>
    </row>
    <row r="2384" spans="1:8" hidden="1" x14ac:dyDescent="0.25">
      <c r="A2384" t="str">
        <f>_xlfn.XLOOKUP(C2384, 'Códigos DANE Municipios'!$B$2:$B$1123, 'Códigos DANE Municipios'!$A$2:$A$1123, "No encontrado")</f>
        <v>68266</v>
      </c>
      <c r="B2384" t="str">
        <f>IFERROR(VLOOKUP(D2384,APOYO!K:L,2,FALSE),A2384)</f>
        <v>68266</v>
      </c>
      <c r="C2384" t="s">
        <v>1708</v>
      </c>
      <c r="D2384" t="str">
        <f>IFERROR(VLOOKUP(C2384,APOYO!J:K,2,FALSE),C2384)</f>
        <v>ENCISO</v>
      </c>
      <c r="E2384">
        <v>2016</v>
      </c>
      <c r="H2384" t="s">
        <v>2511</v>
      </c>
    </row>
    <row r="2385" spans="1:8" hidden="1" x14ac:dyDescent="0.25">
      <c r="A2385" t="str">
        <f>_xlfn.XLOOKUP(C2385, 'Códigos DANE Municipios'!$B$2:$B$1123, 'Códigos DANE Municipios'!$A$2:$A$1123, "No encontrado")</f>
        <v>No encontrado</v>
      </c>
      <c r="B2385" t="str">
        <f>IFERROR(VLOOKUP(D2385,APOYO!K:L,2,FALSE),A2385)</f>
        <v>No encontrado</v>
      </c>
      <c r="C2385" t="s">
        <v>2255</v>
      </c>
      <c r="D2385" t="str">
        <f>IFERROR(VLOOKUP(C2385,APOYO!J:K,2,FALSE),C2385)</f>
        <v>ELIAS</v>
      </c>
      <c r="E2385">
        <v>2016</v>
      </c>
      <c r="H2385">
        <v>2</v>
      </c>
    </row>
    <row r="2386" spans="1:8" hidden="1" x14ac:dyDescent="0.25">
      <c r="A2386" t="str">
        <f>_xlfn.XLOOKUP(C2386, 'Códigos DANE Municipios'!$B$2:$B$1123, 'Códigos DANE Municipios'!$A$2:$A$1123, "No encontrado")</f>
        <v>No encontrado</v>
      </c>
      <c r="B2386" t="str">
        <f>IFERROR(VLOOKUP(D2386,APOYO!K:L,2,FALSE),A2386)</f>
        <v>No encontrado</v>
      </c>
      <c r="C2386" t="s">
        <v>2256</v>
      </c>
      <c r="D2386" t="str">
        <f>IFERROR(VLOOKUP(C2386,APOYO!J:K,2,FALSE),C2386)</f>
        <v>ENTRERRIOS</v>
      </c>
      <c r="E2386">
        <v>2016</v>
      </c>
      <c r="H2386">
        <v>9</v>
      </c>
    </row>
    <row r="2387" spans="1:8" hidden="1" x14ac:dyDescent="0.25">
      <c r="A2387" t="str">
        <f>_xlfn.XLOOKUP(C2387, 'Códigos DANE Municipios'!$B$2:$B$1123, 'Códigos DANE Municipios'!$A$2:$A$1123, "No encontrado")</f>
        <v>05266</v>
      </c>
      <c r="B2387" t="str">
        <f>IFERROR(VLOOKUP(D2387,APOYO!K:L,2,FALSE),A2387)</f>
        <v>05266</v>
      </c>
      <c r="C2387" t="s">
        <v>104</v>
      </c>
      <c r="D2387" t="str">
        <f>IFERROR(VLOOKUP(C2387,APOYO!J:K,2,FALSE),C2387)</f>
        <v>ENVIGADO</v>
      </c>
      <c r="E2387">
        <v>2016</v>
      </c>
      <c r="H2387">
        <v>1960</v>
      </c>
    </row>
    <row r="2388" spans="1:8" hidden="1" x14ac:dyDescent="0.25">
      <c r="A2388" t="str">
        <f>_xlfn.XLOOKUP(C2388, 'Códigos DANE Municipios'!$B$2:$B$1123, 'Códigos DANE Municipios'!$A$2:$A$1123, "No encontrado")</f>
        <v>73268</v>
      </c>
      <c r="B2388" t="str">
        <f>IFERROR(VLOOKUP(D2388,APOYO!K:L,2,FALSE),A2388)</f>
        <v>73268</v>
      </c>
      <c r="C2388" t="s">
        <v>1895</v>
      </c>
      <c r="D2388" t="str">
        <f>IFERROR(VLOOKUP(C2388,APOYO!J:K,2,FALSE),C2388)</f>
        <v>ESPINAL</v>
      </c>
      <c r="E2388">
        <v>2016</v>
      </c>
      <c r="H2388">
        <v>101</v>
      </c>
    </row>
    <row r="2389" spans="1:8" hidden="1" x14ac:dyDescent="0.25">
      <c r="A2389" t="str">
        <f>_xlfn.XLOOKUP(C2389, 'Códigos DANE Municipios'!$B$2:$B$1123, 'Códigos DANE Municipios'!$A$2:$A$1123, "No encontrado")</f>
        <v>No encontrado</v>
      </c>
      <c r="B2389" t="str">
        <f>IFERROR(VLOOKUP(D2389,APOYO!K:L,2,FALSE),A2389)</f>
        <v>No encontrado</v>
      </c>
      <c r="C2389" t="s">
        <v>2257</v>
      </c>
      <c r="D2389" t="str">
        <f>IFERROR(VLOOKUP(C2389,APOYO!J:K,2,FALSE),C2389)</f>
        <v>FACATATIVA</v>
      </c>
      <c r="E2389">
        <v>2016</v>
      </c>
      <c r="H2389">
        <v>397</v>
      </c>
    </row>
    <row r="2390" spans="1:8" hidden="1" x14ac:dyDescent="0.25">
      <c r="A2390" t="str">
        <f>_xlfn.XLOOKUP(C2390, 'Códigos DANE Municipios'!$B$2:$B$1123, 'Códigos DANE Municipios'!$A$2:$A$1123, "No encontrado")</f>
        <v>17272</v>
      </c>
      <c r="B2390" t="str">
        <f>IFERROR(VLOOKUP(D2390,APOYO!K:L,2,FALSE),A2390)</f>
        <v>17272</v>
      </c>
      <c r="C2390" t="s">
        <v>656</v>
      </c>
      <c r="D2390" t="str">
        <f>IFERROR(VLOOKUP(C2390,APOYO!J:K,2,FALSE),C2390)</f>
        <v>FILADELFIA</v>
      </c>
      <c r="E2390">
        <v>2016</v>
      </c>
      <c r="H2390">
        <v>5</v>
      </c>
    </row>
    <row r="2391" spans="1:8" hidden="1" x14ac:dyDescent="0.25">
      <c r="A2391" t="str">
        <f>_xlfn.XLOOKUP(C2391, 'Códigos DANE Municipios'!$B$2:$B$1123, 'Códigos DANE Municipios'!$A$2:$A$1123, "No encontrado")</f>
        <v>63272</v>
      </c>
      <c r="B2391" t="str">
        <f>IFERROR(VLOOKUP(D2391,APOYO!K:L,2,FALSE),A2391)</f>
        <v>63272</v>
      </c>
      <c r="C2391" t="s">
        <v>1614</v>
      </c>
      <c r="D2391" t="str">
        <f>IFERROR(VLOOKUP(C2391,APOYO!J:K,2,FALSE),C2391)</f>
        <v>FILANDIA</v>
      </c>
      <c r="E2391">
        <v>2016</v>
      </c>
      <c r="H2391">
        <v>124</v>
      </c>
    </row>
    <row r="2392" spans="1:8" hidden="1" x14ac:dyDescent="0.25">
      <c r="A2392" t="str">
        <f>_xlfn.XLOOKUP(C2392, 'Códigos DANE Municipios'!$B$2:$B$1123, 'Códigos DANE Municipios'!$A$2:$A$1123, "No encontrado")</f>
        <v>15272</v>
      </c>
      <c r="B2392" t="str">
        <f>IFERROR(VLOOKUP(D2392,APOYO!K:L,2,FALSE),A2392)</f>
        <v>15272</v>
      </c>
      <c r="C2392" t="s">
        <v>467</v>
      </c>
      <c r="D2392" t="str">
        <f>IFERROR(VLOOKUP(C2392,APOYO!J:K,2,FALSE),C2392)</f>
        <v>FIRAVITOBA</v>
      </c>
      <c r="E2392">
        <v>2016</v>
      </c>
      <c r="H2392">
        <v>1</v>
      </c>
    </row>
    <row r="2393" spans="1:8" hidden="1" x14ac:dyDescent="0.25">
      <c r="A2393" t="str">
        <f>_xlfn.XLOOKUP(C2393, 'Códigos DANE Municipios'!$B$2:$B$1123, 'Códigos DANE Municipios'!$A$2:$A$1123, "No encontrado")</f>
        <v>73275</v>
      </c>
      <c r="B2393" t="str">
        <f>IFERROR(VLOOKUP(D2393,APOYO!K:L,2,FALSE),A2393)</f>
        <v>73275</v>
      </c>
      <c r="C2393" t="s">
        <v>1899</v>
      </c>
      <c r="D2393" t="str">
        <f>IFERROR(VLOOKUP(C2393,APOYO!J:K,2,FALSE),C2393)</f>
        <v>FLANDES</v>
      </c>
      <c r="E2393">
        <v>2016</v>
      </c>
      <c r="H2393">
        <v>29</v>
      </c>
    </row>
    <row r="2394" spans="1:8" hidden="1" x14ac:dyDescent="0.25">
      <c r="A2394" t="str">
        <f>_xlfn.XLOOKUP(C2394, 'Códigos DANE Municipios'!$B$2:$B$1123, 'Códigos DANE Municipios'!$A$2:$A$1123, "No encontrado")</f>
        <v>18001</v>
      </c>
      <c r="B2394" t="str">
        <f>IFERROR(VLOOKUP(D2394,APOYO!K:L,2,FALSE),A2394)</f>
        <v>18001</v>
      </c>
      <c r="C2394" t="s">
        <v>698</v>
      </c>
      <c r="D2394" t="str">
        <f>IFERROR(VLOOKUP(C2394,APOYO!J:K,2,FALSE),C2394)</f>
        <v>FLORENCIA</v>
      </c>
      <c r="E2394">
        <v>2016</v>
      </c>
      <c r="F2394">
        <v>43679</v>
      </c>
      <c r="G2394">
        <v>157</v>
      </c>
      <c r="H2394">
        <v>383</v>
      </c>
    </row>
    <row r="2395" spans="1:8" hidden="1" x14ac:dyDescent="0.25">
      <c r="A2395" t="str">
        <f>_xlfn.XLOOKUP(C2395, 'Códigos DANE Municipios'!$B$2:$B$1123, 'Códigos DANE Municipios'!$A$2:$A$1123, "No encontrado")</f>
        <v>15276</v>
      </c>
      <c r="B2395" t="str">
        <f>IFERROR(VLOOKUP(D2395,APOYO!K:L,2,FALSE),A2395)</f>
        <v>15276</v>
      </c>
      <c r="C2395" t="s">
        <v>469</v>
      </c>
      <c r="D2395" t="str">
        <f>IFERROR(VLOOKUP(C2395,APOYO!J:K,2,FALSE),C2395)</f>
        <v>FLORESTA</v>
      </c>
      <c r="E2395">
        <v>2016</v>
      </c>
      <c r="H2395">
        <v>1</v>
      </c>
    </row>
    <row r="2396" spans="1:8" hidden="1" x14ac:dyDescent="0.25">
      <c r="A2396" t="str">
        <f>_xlfn.XLOOKUP(C2396, 'Códigos DANE Municipios'!$B$2:$B$1123, 'Códigos DANE Municipios'!$A$2:$A$1123, "No encontrado")</f>
        <v>No encontrado</v>
      </c>
      <c r="B2396" t="str">
        <f>IFERROR(VLOOKUP(D2396,APOYO!K:L,2,FALSE),A2396)</f>
        <v>No encontrado</v>
      </c>
      <c r="C2396" t="s">
        <v>2258</v>
      </c>
      <c r="D2396" t="str">
        <f>IFERROR(VLOOKUP(C2396,APOYO!J:K,2,FALSE),C2396)</f>
        <v>FLORIAN</v>
      </c>
      <c r="E2396">
        <v>2016</v>
      </c>
      <c r="H2396" t="s">
        <v>2511</v>
      </c>
    </row>
    <row r="2397" spans="1:8" hidden="1" x14ac:dyDescent="0.25">
      <c r="A2397" t="str">
        <f>_xlfn.XLOOKUP(C2397, 'Códigos DANE Municipios'!$B$2:$B$1123, 'Códigos DANE Municipios'!$A$2:$A$1123, "No encontrado")</f>
        <v>76275</v>
      </c>
      <c r="B2397" t="str">
        <f>IFERROR(VLOOKUP(D2397,APOYO!K:L,2,FALSE),A2397)</f>
        <v>76275</v>
      </c>
      <c r="C2397" t="s">
        <v>1990</v>
      </c>
      <c r="D2397" t="str">
        <f>IFERROR(VLOOKUP(C2397,APOYO!J:K,2,FALSE),C2397)</f>
        <v>FLORIDA</v>
      </c>
      <c r="E2397">
        <v>2016</v>
      </c>
      <c r="H2397">
        <v>139</v>
      </c>
    </row>
    <row r="2398" spans="1:8" hidden="1" x14ac:dyDescent="0.25">
      <c r="A2398" t="str">
        <f>_xlfn.XLOOKUP(C2398, 'Códigos DANE Municipios'!$B$2:$B$1123, 'Códigos DANE Municipios'!$A$2:$A$1123, "No encontrado")</f>
        <v>68276</v>
      </c>
      <c r="B2398" t="str">
        <f>IFERROR(VLOOKUP(D2398,APOYO!K:L,2,FALSE),A2398)</f>
        <v>68276</v>
      </c>
      <c r="C2398" t="s">
        <v>1712</v>
      </c>
      <c r="D2398" t="str">
        <f>IFERROR(VLOOKUP(C2398,APOYO!J:K,2,FALSE),C2398)</f>
        <v>FLORIDABLANCA</v>
      </c>
      <c r="E2398">
        <v>2016</v>
      </c>
      <c r="H2398">
        <v>822</v>
      </c>
    </row>
    <row r="2399" spans="1:8" hidden="1" x14ac:dyDescent="0.25">
      <c r="A2399" t="str">
        <f>_xlfn.XLOOKUP(C2399, 'Códigos DANE Municipios'!$B$2:$B$1123, 'Códigos DANE Municipios'!$A$2:$A$1123, "No encontrado")</f>
        <v>No encontrado</v>
      </c>
      <c r="B2399" t="str">
        <f>IFERROR(VLOOKUP(D2399,APOYO!K:L,2,FALSE),A2399)</f>
        <v>No encontrado</v>
      </c>
      <c r="C2399" t="s">
        <v>2433</v>
      </c>
      <c r="D2399" t="str">
        <f>IFERROR(VLOOKUP(C2399,APOYO!J:K,2,FALSE),C2399)</f>
        <v>FOMEQUE</v>
      </c>
      <c r="E2399">
        <v>2016</v>
      </c>
      <c r="H2399">
        <v>6</v>
      </c>
    </row>
    <row r="2400" spans="1:8" hidden="1" x14ac:dyDescent="0.25">
      <c r="A2400" t="str">
        <f>_xlfn.XLOOKUP(C2400, 'Códigos DANE Municipios'!$B$2:$B$1123, 'Códigos DANE Municipios'!$A$2:$A$1123, "No encontrado")</f>
        <v>44279</v>
      </c>
      <c r="B2400" t="str">
        <f>IFERROR(VLOOKUP(D2400,APOYO!K:L,2,FALSE),A2400)</f>
        <v>44279</v>
      </c>
      <c r="C2400" t="s">
        <v>1283</v>
      </c>
      <c r="D2400" t="str">
        <f>IFERROR(VLOOKUP(C2400,APOYO!J:K,2,FALSE),C2400)</f>
        <v>FONSECA</v>
      </c>
      <c r="E2400">
        <v>2016</v>
      </c>
      <c r="H2400">
        <v>28</v>
      </c>
    </row>
    <row r="2401" spans="1:8" hidden="1" x14ac:dyDescent="0.25">
      <c r="A2401" t="str">
        <f>_xlfn.XLOOKUP(C2401, 'Códigos DANE Municipios'!$B$2:$B$1123, 'Códigos DANE Municipios'!$A$2:$A$1123, "No encontrado")</f>
        <v>81300</v>
      </c>
      <c r="B2401" t="str">
        <f>IFERROR(VLOOKUP(D2401,APOYO!K:L,2,FALSE),A2401)</f>
        <v>81300</v>
      </c>
      <c r="C2401" t="s">
        <v>2040</v>
      </c>
      <c r="D2401" t="str">
        <f>IFERROR(VLOOKUP(C2401,APOYO!J:K,2,FALSE),C2401)</f>
        <v>FORTUL</v>
      </c>
      <c r="E2401">
        <v>2016</v>
      </c>
      <c r="H2401">
        <v>2</v>
      </c>
    </row>
    <row r="2402" spans="1:8" hidden="1" x14ac:dyDescent="0.25">
      <c r="A2402" t="str">
        <f>_xlfn.XLOOKUP(C2402, 'Códigos DANE Municipios'!$B$2:$B$1123, 'Códigos DANE Municipios'!$A$2:$A$1123, "No encontrado")</f>
        <v>05282</v>
      </c>
      <c r="B2402" t="str">
        <f>IFERROR(VLOOKUP(D2402,APOYO!K:L,2,FALSE),A2402)</f>
        <v>05282</v>
      </c>
      <c r="C2402" t="s">
        <v>106</v>
      </c>
      <c r="D2402" t="str">
        <f>IFERROR(VLOOKUP(C2402,APOYO!J:K,2,FALSE),C2402)</f>
        <v>FREDONIA</v>
      </c>
      <c r="E2402">
        <v>2016</v>
      </c>
      <c r="H2402">
        <v>12</v>
      </c>
    </row>
    <row r="2403" spans="1:8" hidden="1" x14ac:dyDescent="0.25">
      <c r="A2403" t="str">
        <f>_xlfn.XLOOKUP(C2403, 'Códigos DANE Municipios'!$B$2:$B$1123, 'Códigos DANE Municipios'!$A$2:$A$1123, "No encontrado")</f>
        <v>73283</v>
      </c>
      <c r="B2403" t="str">
        <f>IFERROR(VLOOKUP(D2403,APOYO!K:L,2,FALSE),A2403)</f>
        <v>73283</v>
      </c>
      <c r="C2403" t="s">
        <v>1901</v>
      </c>
      <c r="D2403" t="str">
        <f>IFERROR(VLOOKUP(C2403,APOYO!J:K,2,FALSE),C2403)</f>
        <v>FRESNO</v>
      </c>
      <c r="E2403">
        <v>2016</v>
      </c>
      <c r="H2403">
        <v>10</v>
      </c>
    </row>
    <row r="2404" spans="1:8" hidden="1" x14ac:dyDescent="0.25">
      <c r="A2404" t="str">
        <f>_xlfn.XLOOKUP(C2404, 'Códigos DANE Municipios'!$B$2:$B$1123, 'Códigos DANE Municipios'!$A$2:$A$1123, "No encontrado")</f>
        <v>05284</v>
      </c>
      <c r="B2404" t="str">
        <f>IFERROR(VLOOKUP(D2404,APOYO!K:L,2,FALSE),A2404)</f>
        <v>05284</v>
      </c>
      <c r="C2404" t="s">
        <v>108</v>
      </c>
      <c r="D2404" t="str">
        <f>IFERROR(VLOOKUP(C2404,APOYO!J:K,2,FALSE),C2404)</f>
        <v>FRONTINO</v>
      </c>
      <c r="E2404">
        <v>2016</v>
      </c>
      <c r="H2404" t="s">
        <v>2511</v>
      </c>
    </row>
    <row r="2405" spans="1:8" hidden="1" x14ac:dyDescent="0.25">
      <c r="A2405" t="str">
        <f>_xlfn.XLOOKUP(C2405, 'Códigos DANE Municipios'!$B$2:$B$1123, 'Códigos DANE Municipios'!$A$2:$A$1123, "No encontrado")</f>
        <v>50287</v>
      </c>
      <c r="B2405" t="str">
        <f>IFERROR(VLOOKUP(D2405,APOYO!K:L,2,FALSE),A2405)</f>
        <v>50287</v>
      </c>
      <c r="C2405" t="s">
        <v>1378</v>
      </c>
      <c r="D2405" t="str">
        <f>IFERROR(VLOOKUP(C2405,APOYO!J:K,2,FALSE),C2405)</f>
        <v>FUENTE DE ORO</v>
      </c>
      <c r="E2405">
        <v>2016</v>
      </c>
      <c r="H2405">
        <v>4</v>
      </c>
    </row>
    <row r="2406" spans="1:8" hidden="1" x14ac:dyDescent="0.25">
      <c r="A2406" t="str">
        <f>_xlfn.XLOOKUP(C2406, 'Códigos DANE Municipios'!$B$2:$B$1123, 'Códigos DANE Municipios'!$A$2:$A$1123, "No encontrado")</f>
        <v>No encontrado</v>
      </c>
      <c r="B2406" t="str">
        <f>IFERROR(VLOOKUP(D2406,APOYO!K:L,2,FALSE),A2406)</f>
        <v>No encontrado</v>
      </c>
      <c r="C2406" t="s">
        <v>2259</v>
      </c>
      <c r="D2406" t="str">
        <f>IFERROR(VLOOKUP(C2406,APOYO!J:K,2,FALSE),C2406)</f>
        <v>FUNDACION</v>
      </c>
      <c r="E2406">
        <v>2016</v>
      </c>
      <c r="H2406">
        <v>19</v>
      </c>
    </row>
    <row r="2407" spans="1:8" hidden="1" x14ac:dyDescent="0.25">
      <c r="A2407" t="str">
        <f>_xlfn.XLOOKUP(C2407, 'Códigos DANE Municipios'!$B$2:$B$1123, 'Códigos DANE Municipios'!$A$2:$A$1123, "No encontrado")</f>
        <v>52287</v>
      </c>
      <c r="B2407" t="str">
        <f>IFERROR(VLOOKUP(D2407,APOYO!K:L,2,FALSE),A2407)</f>
        <v>52287</v>
      </c>
      <c r="C2407" t="s">
        <v>1450</v>
      </c>
      <c r="D2407" t="str">
        <f>IFERROR(VLOOKUP(C2407,APOYO!J:K,2,FALSE),C2407)</f>
        <v>FUNES</v>
      </c>
      <c r="E2407">
        <v>2016</v>
      </c>
      <c r="H2407" t="s">
        <v>2511</v>
      </c>
    </row>
    <row r="2408" spans="1:8" hidden="1" x14ac:dyDescent="0.25">
      <c r="A2408" t="str">
        <f>_xlfn.XLOOKUP(C2408, 'Códigos DANE Municipios'!$B$2:$B$1123, 'Códigos DANE Municipios'!$A$2:$A$1123, "No encontrado")</f>
        <v>25286</v>
      </c>
      <c r="B2408" t="str">
        <f>IFERROR(VLOOKUP(D2408,APOYO!K:L,2,FALSE),A2408)</f>
        <v>25286</v>
      </c>
      <c r="C2408" t="s">
        <v>971</v>
      </c>
      <c r="D2408" t="str">
        <f>IFERROR(VLOOKUP(C2408,APOYO!J:K,2,FALSE),C2408)</f>
        <v>FUNZA</v>
      </c>
      <c r="E2408">
        <v>2016</v>
      </c>
      <c r="H2408">
        <v>262</v>
      </c>
    </row>
    <row r="2409" spans="1:8" hidden="1" x14ac:dyDescent="0.25">
      <c r="A2409" t="str">
        <f>_xlfn.XLOOKUP(C2409, 'Códigos DANE Municipios'!$B$2:$B$1123, 'Códigos DANE Municipios'!$A$2:$A$1123, "No encontrado")</f>
        <v>No encontrado</v>
      </c>
      <c r="B2409" t="str">
        <f>IFERROR(VLOOKUP(D2409,APOYO!K:L,2,FALSE),A2409)</f>
        <v>No encontrado</v>
      </c>
      <c r="C2409" t="s">
        <v>2434</v>
      </c>
      <c r="D2409" t="str">
        <f>IFERROR(VLOOKUP(C2409,APOYO!J:K,2,FALSE),C2409)</f>
        <v>FUQUENE</v>
      </c>
      <c r="E2409">
        <v>2016</v>
      </c>
      <c r="H2409">
        <v>2</v>
      </c>
    </row>
    <row r="2410" spans="1:8" hidden="1" x14ac:dyDescent="0.25">
      <c r="A2410" t="str">
        <f>_xlfn.XLOOKUP(C2410, 'Códigos DANE Municipios'!$B$2:$B$1123, 'Códigos DANE Municipios'!$A$2:$A$1123, "No encontrado")</f>
        <v>No encontrado</v>
      </c>
      <c r="B2410" t="str">
        <f>IFERROR(VLOOKUP(D2410,APOYO!K:L,2,FALSE),A2410)</f>
        <v>No encontrado</v>
      </c>
      <c r="C2410" t="s">
        <v>2260</v>
      </c>
      <c r="D2410" t="str">
        <f>IFERROR(VLOOKUP(C2410,APOYO!J:K,2,FALSE),C2410)</f>
        <v>FUSAGASUGA</v>
      </c>
      <c r="E2410">
        <v>2016</v>
      </c>
      <c r="H2410">
        <v>1106</v>
      </c>
    </row>
    <row r="2411" spans="1:8" hidden="1" x14ac:dyDescent="0.25">
      <c r="A2411" t="str">
        <f>_xlfn.XLOOKUP(C2411, 'Códigos DANE Municipios'!$B$2:$B$1123, 'Códigos DANE Municipios'!$A$2:$A$1123, "No encontrado")</f>
        <v>No encontrado</v>
      </c>
      <c r="B2411" t="str">
        <f>IFERROR(VLOOKUP(D2411,APOYO!K:L,2,FALSE),A2411)</f>
        <v>No encontrado</v>
      </c>
      <c r="C2411" t="s">
        <v>2261</v>
      </c>
      <c r="D2411" t="str">
        <f>IFERROR(VLOOKUP(C2411,APOYO!J:K,2,FALSE),C2411)</f>
        <v>GACHANCIPA</v>
      </c>
      <c r="E2411">
        <v>2016</v>
      </c>
      <c r="H2411">
        <v>28</v>
      </c>
    </row>
    <row r="2412" spans="1:8" hidden="1" x14ac:dyDescent="0.25">
      <c r="A2412" t="str">
        <f>_xlfn.XLOOKUP(C2412, 'Códigos DANE Municipios'!$B$2:$B$1123, 'Códigos DANE Municipios'!$A$2:$A$1123, "No encontrado")</f>
        <v>No encontrado</v>
      </c>
      <c r="B2412" t="str">
        <f>IFERROR(VLOOKUP(D2412,APOYO!K:L,2,FALSE),A2412)</f>
        <v>No encontrado</v>
      </c>
      <c r="C2412" t="s">
        <v>2435</v>
      </c>
      <c r="D2412" t="str">
        <f>IFERROR(VLOOKUP(C2412,APOYO!J:K,2,FALSE),C2412)</f>
        <v>GACHETA</v>
      </c>
      <c r="E2412">
        <v>2016</v>
      </c>
      <c r="H2412">
        <v>14</v>
      </c>
    </row>
    <row r="2413" spans="1:8" hidden="1" x14ac:dyDescent="0.25">
      <c r="A2413" t="str">
        <f>_xlfn.XLOOKUP(C2413, 'Códigos DANE Municipios'!$B$2:$B$1123, 'Códigos DANE Municipios'!$A$2:$A$1123, "No encontrado")</f>
        <v>08296</v>
      </c>
      <c r="B2413" t="str">
        <f>IFERROR(VLOOKUP(D2413,APOYO!K:L,2,FALSE),A2413)</f>
        <v>08296</v>
      </c>
      <c r="C2413" t="s">
        <v>270</v>
      </c>
      <c r="D2413" t="str">
        <f>IFERROR(VLOOKUP(C2413,APOYO!J:K,2,FALSE),C2413)</f>
        <v>GALAPA</v>
      </c>
      <c r="E2413">
        <v>2016</v>
      </c>
      <c r="H2413">
        <v>12</v>
      </c>
    </row>
    <row r="2414" spans="1:8" hidden="1" x14ac:dyDescent="0.25">
      <c r="A2414" t="str">
        <f>_xlfn.XLOOKUP(C2414, 'Códigos DANE Municipios'!$B$2:$B$1123, 'Códigos DANE Municipios'!$A$2:$A$1123, "No encontrado")</f>
        <v>No encontrado</v>
      </c>
      <c r="B2414" t="str">
        <f>IFERROR(VLOOKUP(D2414,APOYO!K:L,2,FALSE),A2414)</f>
        <v>68298</v>
      </c>
      <c r="C2414" t="s">
        <v>2436</v>
      </c>
      <c r="D2414" t="str">
        <f>IFERROR(VLOOKUP(C2414,APOYO!J:K,2,FALSE),C2414)</f>
        <v>GÁMBITA</v>
      </c>
      <c r="E2414">
        <v>2016</v>
      </c>
      <c r="H2414" t="s">
        <v>2511</v>
      </c>
    </row>
    <row r="2415" spans="1:8" hidden="1" x14ac:dyDescent="0.25">
      <c r="A2415" t="str">
        <f>_xlfn.XLOOKUP(C2415, 'Códigos DANE Municipios'!$B$2:$B$1123, 'Códigos DANE Municipios'!$A$2:$A$1123, "No encontrado")</f>
        <v>No encontrado</v>
      </c>
      <c r="B2415" t="str">
        <f>IFERROR(VLOOKUP(D2415,APOYO!K:L,2,FALSE),A2415)</f>
        <v>No encontrado</v>
      </c>
      <c r="C2415" t="s">
        <v>2262</v>
      </c>
      <c r="D2415" t="str">
        <f>IFERROR(VLOOKUP(C2415,APOYO!J:K,2,FALSE),C2415)</f>
        <v>GACHANTIVA</v>
      </c>
      <c r="E2415">
        <v>2016</v>
      </c>
      <c r="H2415">
        <v>1</v>
      </c>
    </row>
    <row r="2416" spans="1:8" hidden="1" x14ac:dyDescent="0.25">
      <c r="A2416" t="str">
        <f>_xlfn.XLOOKUP(C2416, 'Códigos DANE Municipios'!$B$2:$B$1123, 'Códigos DANE Municipios'!$A$2:$A$1123, "No encontrado")</f>
        <v>No encontrado</v>
      </c>
      <c r="B2416" t="str">
        <f>IFERROR(VLOOKUP(D2416,APOYO!K:L,2,FALSE),A2416)</f>
        <v>No encontrado</v>
      </c>
      <c r="C2416" t="s">
        <v>2263</v>
      </c>
      <c r="D2416" t="str">
        <f>IFERROR(VLOOKUP(C2416,APOYO!J:K,2,FALSE),C2416)</f>
        <v>GALAN</v>
      </c>
      <c r="E2416">
        <v>2016</v>
      </c>
      <c r="H2416" t="s">
        <v>2511</v>
      </c>
    </row>
    <row r="2417" spans="1:8" hidden="1" x14ac:dyDescent="0.25">
      <c r="A2417" t="str">
        <f>_xlfn.XLOOKUP(C2417, 'Códigos DANE Municipios'!$B$2:$B$1123, 'Códigos DANE Municipios'!$A$2:$A$1123, "No encontrado")</f>
        <v>No encontrado</v>
      </c>
      <c r="B2417" t="str">
        <f>IFERROR(VLOOKUP(D2417,APOYO!K:L,2,FALSE),A2417)</f>
        <v>No encontrado</v>
      </c>
      <c r="C2417" t="s">
        <v>2264</v>
      </c>
      <c r="D2417" t="str">
        <f>IFERROR(VLOOKUP(C2417,APOYO!J:K,2,FALSE),C2417)</f>
        <v>GALAGA</v>
      </c>
      <c r="E2417">
        <v>2016</v>
      </c>
      <c r="H2417" t="s">
        <v>2511</v>
      </c>
    </row>
    <row r="2418" spans="1:8" hidden="1" x14ac:dyDescent="0.25">
      <c r="A2418" t="str">
        <f>_xlfn.XLOOKUP(C2418, 'Códigos DANE Municipios'!$B$2:$B$1123, 'Códigos DANE Municipios'!$A$2:$A$1123, "No encontrado")</f>
        <v>15299</v>
      </c>
      <c r="B2418" t="str">
        <f>IFERROR(VLOOKUP(D2418,APOYO!K:L,2,FALSE),A2418)</f>
        <v>15299</v>
      </c>
      <c r="C2418" t="s">
        <v>475</v>
      </c>
      <c r="D2418" t="str">
        <f>IFERROR(VLOOKUP(C2418,APOYO!J:K,2,FALSE),C2418)</f>
        <v>GARAGOA</v>
      </c>
      <c r="E2418">
        <v>2016</v>
      </c>
      <c r="H2418">
        <v>44</v>
      </c>
    </row>
    <row r="2419" spans="1:8" hidden="1" x14ac:dyDescent="0.25">
      <c r="A2419" t="str">
        <f>_xlfn.XLOOKUP(C2419, 'Códigos DANE Municipios'!$B$2:$B$1123, 'Códigos DANE Municipios'!$A$2:$A$1123, "No encontrado")</f>
        <v>No encontrado</v>
      </c>
      <c r="B2419" t="str">
        <f>IFERROR(VLOOKUP(D2419,APOYO!K:L,2,FALSE),A2419)</f>
        <v>No encontrado</v>
      </c>
      <c r="C2419" t="s">
        <v>2265</v>
      </c>
      <c r="D2419" t="str">
        <f>IFERROR(VLOOKUP(C2419,APOYO!J:K,2,FALSE),C2419)</f>
        <v>GARZON</v>
      </c>
      <c r="E2419">
        <v>2016</v>
      </c>
      <c r="H2419">
        <v>79</v>
      </c>
    </row>
    <row r="2420" spans="1:8" hidden="1" x14ac:dyDescent="0.25">
      <c r="A2420" t="str">
        <f>_xlfn.XLOOKUP(C2420, 'Códigos DANE Municipios'!$B$2:$B$1123, 'Códigos DANE Municipios'!$A$2:$A$1123, "No encontrado")</f>
        <v>No encontrado</v>
      </c>
      <c r="B2420" t="str">
        <f>IFERROR(VLOOKUP(D2420,APOYO!K:L,2,FALSE),A2420)</f>
        <v>No encontrado</v>
      </c>
      <c r="C2420" t="s">
        <v>2266</v>
      </c>
      <c r="D2420" t="str">
        <f>IFERROR(VLOOKUP(C2420,APOYO!J:K,2,FALSE),C2420)</f>
        <v>GENOVA</v>
      </c>
      <c r="E2420">
        <v>2016</v>
      </c>
      <c r="H2420">
        <v>12</v>
      </c>
    </row>
    <row r="2421" spans="1:8" hidden="1" x14ac:dyDescent="0.25">
      <c r="A2421" t="str">
        <f>_xlfn.XLOOKUP(C2421, 'Códigos DANE Municipios'!$B$2:$B$1123, 'Códigos DANE Municipios'!$A$2:$A$1123, "No encontrado")</f>
        <v>41306</v>
      </c>
      <c r="B2421" t="str">
        <f>IFERROR(VLOOKUP(D2421,APOYO!K:L,2,FALSE),A2421)</f>
        <v>41306</v>
      </c>
      <c r="C2421" t="s">
        <v>1223</v>
      </c>
      <c r="D2421" t="str">
        <f>IFERROR(VLOOKUP(C2421,APOYO!J:K,2,FALSE),C2421)</f>
        <v>GIGANTE</v>
      </c>
      <c r="E2421">
        <v>2016</v>
      </c>
      <c r="H2421">
        <v>23</v>
      </c>
    </row>
    <row r="2422" spans="1:8" hidden="1" x14ac:dyDescent="0.25">
      <c r="A2422" t="str">
        <f>_xlfn.XLOOKUP(C2422, 'Códigos DANE Municipios'!$B$2:$B$1123, 'Códigos DANE Municipios'!$A$2:$A$1123, "No encontrado")</f>
        <v>76306</v>
      </c>
      <c r="B2422" t="str">
        <f>IFERROR(VLOOKUP(D2422,APOYO!K:L,2,FALSE),A2422)</f>
        <v>76306</v>
      </c>
      <c r="C2422" t="s">
        <v>1992</v>
      </c>
      <c r="D2422" t="str">
        <f>IFERROR(VLOOKUP(C2422,APOYO!J:K,2,FALSE),C2422)</f>
        <v>GINEBRA</v>
      </c>
      <c r="E2422">
        <v>2016</v>
      </c>
      <c r="H2422">
        <v>95</v>
      </c>
    </row>
    <row r="2423" spans="1:8" hidden="1" x14ac:dyDescent="0.25">
      <c r="A2423" t="str">
        <f>_xlfn.XLOOKUP(C2423, 'Códigos DANE Municipios'!$B$2:$B$1123, 'Códigos DANE Municipios'!$A$2:$A$1123, "No encontrado")</f>
        <v>05306</v>
      </c>
      <c r="B2423" t="str">
        <f>IFERROR(VLOOKUP(D2423,APOYO!K:L,2,FALSE),A2423)</f>
        <v>05306</v>
      </c>
      <c r="C2423" t="s">
        <v>110</v>
      </c>
      <c r="D2423" t="str">
        <f>IFERROR(VLOOKUP(C2423,APOYO!J:K,2,FALSE),C2423)</f>
        <v>GIRALDO</v>
      </c>
      <c r="E2423">
        <v>2016</v>
      </c>
      <c r="H2423">
        <v>3</v>
      </c>
    </row>
    <row r="2424" spans="1:8" hidden="1" x14ac:dyDescent="0.25">
      <c r="A2424" t="str">
        <f>_xlfn.XLOOKUP(C2424, 'Códigos DANE Municipios'!$B$2:$B$1123, 'Códigos DANE Municipios'!$A$2:$A$1123, "No encontrado")</f>
        <v>25307</v>
      </c>
      <c r="B2424" t="str">
        <f>IFERROR(VLOOKUP(D2424,APOYO!K:L,2,FALSE),A2424)</f>
        <v>25307</v>
      </c>
      <c r="C2424" t="s">
        <v>985</v>
      </c>
      <c r="D2424" t="str">
        <f>IFERROR(VLOOKUP(C2424,APOYO!J:K,2,FALSE),C2424)</f>
        <v>GIRARDOT</v>
      </c>
      <c r="E2424">
        <v>2016</v>
      </c>
      <c r="H2424">
        <v>512</v>
      </c>
    </row>
    <row r="2425" spans="1:8" hidden="1" x14ac:dyDescent="0.25">
      <c r="A2425" t="str">
        <f>_xlfn.XLOOKUP(C2425, 'Códigos DANE Municipios'!$B$2:$B$1123, 'Códigos DANE Municipios'!$A$2:$A$1123, "No encontrado")</f>
        <v>05308</v>
      </c>
      <c r="B2425" t="str">
        <f>IFERROR(VLOOKUP(D2425,APOYO!K:L,2,FALSE),A2425)</f>
        <v>05308</v>
      </c>
      <c r="C2425" t="s">
        <v>112</v>
      </c>
      <c r="D2425" t="str">
        <f>IFERROR(VLOOKUP(C2425,APOYO!J:K,2,FALSE),C2425)</f>
        <v>GIRARDOTA</v>
      </c>
      <c r="E2425">
        <v>2016</v>
      </c>
      <c r="H2425">
        <v>81</v>
      </c>
    </row>
    <row r="2426" spans="1:8" hidden="1" x14ac:dyDescent="0.25">
      <c r="A2426" t="str">
        <f>_xlfn.XLOOKUP(C2426, 'Códigos DANE Municipios'!$B$2:$B$1123, 'Códigos DANE Municipios'!$A$2:$A$1123, "No encontrado")</f>
        <v>No encontrado</v>
      </c>
      <c r="B2426" t="str">
        <f>IFERROR(VLOOKUP(D2426,APOYO!K:L,2,FALSE),A2426)</f>
        <v>No encontrado</v>
      </c>
      <c r="C2426" t="s">
        <v>2267</v>
      </c>
      <c r="D2426" t="str">
        <f>IFERROR(VLOOKUP(C2426,APOYO!J:K,2,FALSE),C2426)</f>
        <v>GIRON</v>
      </c>
      <c r="E2426">
        <v>2016</v>
      </c>
      <c r="H2426">
        <v>143</v>
      </c>
    </row>
    <row r="2427" spans="1:8" hidden="1" x14ac:dyDescent="0.25">
      <c r="A2427" t="str">
        <f>_xlfn.XLOOKUP(C2427, 'Códigos DANE Municipios'!$B$2:$B$1123, 'Códigos DANE Municipios'!$A$2:$A$1123, "No encontrado")</f>
        <v>No encontrado</v>
      </c>
      <c r="B2427" t="str">
        <f>IFERROR(VLOOKUP(D2427,APOYO!K:L,2,FALSE),A2427)</f>
        <v>No encontrado</v>
      </c>
      <c r="C2427" t="s">
        <v>2268</v>
      </c>
      <c r="D2427" t="str">
        <f>IFERROR(VLOOKUP(C2427,APOYO!J:K,2,FALSE),C2427)</f>
        <v>GOMEZ PLATA</v>
      </c>
      <c r="E2427">
        <v>2016</v>
      </c>
      <c r="H2427" t="s">
        <v>2511</v>
      </c>
    </row>
    <row r="2428" spans="1:8" hidden="1" x14ac:dyDescent="0.25">
      <c r="A2428" t="str">
        <f>_xlfn.XLOOKUP(C2428, 'Códigos DANE Municipios'!$B$2:$B$1123, 'Códigos DANE Municipios'!$A$2:$A$1123, "No encontrado")</f>
        <v>No encontrado</v>
      </c>
      <c r="B2428" t="str">
        <f>IFERROR(VLOOKUP(D2428,APOYO!K:L,2,FALSE),A2428)</f>
        <v>No encontrado</v>
      </c>
      <c r="C2428" t="s">
        <v>2269</v>
      </c>
      <c r="D2428" t="str">
        <f>IFERROR(VLOOKUP(C2428,APOYO!J:K,2,FALSE),C2428)</f>
        <v>GRANADA (ANTIOQUIA)</v>
      </c>
      <c r="E2428">
        <v>2016</v>
      </c>
      <c r="H2428">
        <v>7</v>
      </c>
    </row>
    <row r="2429" spans="1:8" hidden="1" x14ac:dyDescent="0.25">
      <c r="A2429" t="str">
        <f>_xlfn.XLOOKUP(C2429, 'Códigos DANE Municipios'!$B$2:$B$1123, 'Códigos DANE Municipios'!$A$2:$A$1123, "No encontrado")</f>
        <v>No encontrado</v>
      </c>
      <c r="B2429" t="str">
        <f>IFERROR(VLOOKUP(D2429,APOYO!K:L,2,FALSE),A2429)</f>
        <v>No encontrado</v>
      </c>
      <c r="C2429" t="s">
        <v>2270</v>
      </c>
      <c r="D2429" t="str">
        <f>IFERROR(VLOOKUP(C2429,APOYO!J:K,2,FALSE),C2429)</f>
        <v>GRANADA (CUNDI)</v>
      </c>
      <c r="E2429">
        <v>2016</v>
      </c>
      <c r="H2429">
        <v>15</v>
      </c>
    </row>
    <row r="2430" spans="1:8" hidden="1" x14ac:dyDescent="0.25">
      <c r="A2430" t="str">
        <f>_xlfn.XLOOKUP(C2430, 'Códigos DANE Municipios'!$B$2:$B$1123, 'Códigos DANE Municipios'!$A$2:$A$1123, "No encontrado")</f>
        <v>No encontrado</v>
      </c>
      <c r="B2430" t="str">
        <f>IFERROR(VLOOKUP(D2430,APOYO!K:L,2,FALSE),A2430)</f>
        <v>No encontrado</v>
      </c>
      <c r="C2430" t="s">
        <v>2271</v>
      </c>
      <c r="D2430" t="str">
        <f>IFERROR(VLOOKUP(C2430,APOYO!J:K,2,FALSE),C2430)</f>
        <v>GRANADA (META</v>
      </c>
      <c r="E2430">
        <v>2016</v>
      </c>
      <c r="H2430">
        <v>71</v>
      </c>
    </row>
    <row r="2431" spans="1:8" hidden="1" x14ac:dyDescent="0.25">
      <c r="A2431" t="str">
        <f>_xlfn.XLOOKUP(C2431, 'Códigos DANE Municipios'!$B$2:$B$1123, 'Códigos DANE Municipios'!$A$2:$A$1123, "No encontrado")</f>
        <v>15317</v>
      </c>
      <c r="B2431" t="str">
        <f>IFERROR(VLOOKUP(D2431,APOYO!K:L,2,FALSE),A2431)</f>
        <v>15317</v>
      </c>
      <c r="C2431" t="s">
        <v>477</v>
      </c>
      <c r="D2431" t="str">
        <f>IFERROR(VLOOKUP(C2431,APOYO!J:K,2,FALSE),C2431)</f>
        <v>GUACAMAYAS</v>
      </c>
      <c r="E2431">
        <v>2016</v>
      </c>
      <c r="H2431" t="s">
        <v>2511</v>
      </c>
    </row>
    <row r="2432" spans="1:8" hidden="1" x14ac:dyDescent="0.25">
      <c r="A2432" t="str">
        <f>_xlfn.XLOOKUP(C2432, 'Códigos DANE Municipios'!$B$2:$B$1123, 'Códigos DANE Municipios'!$A$2:$A$1123, "No encontrado")</f>
        <v>No encontrado</v>
      </c>
      <c r="B2432" t="str">
        <f>IFERROR(VLOOKUP(D2432,APOYO!K:L,2,FALSE),A2432)</f>
        <v>No encontrado</v>
      </c>
      <c r="C2432" t="s">
        <v>2272</v>
      </c>
      <c r="D2432" t="str">
        <f>IFERROR(VLOOKUP(C2432,APOYO!J:K,2,FALSE),C2432)</f>
        <v>GUACARI</v>
      </c>
      <c r="E2432">
        <v>2016</v>
      </c>
      <c r="H2432">
        <v>128</v>
      </c>
    </row>
    <row r="2433" spans="1:9" hidden="1" x14ac:dyDescent="0.25">
      <c r="A2433" t="str">
        <f>_xlfn.XLOOKUP(C2433, 'Códigos DANE Municipios'!$B$2:$B$1123, 'Códigos DANE Municipios'!$A$2:$A$1123, "No encontrado")</f>
        <v>No encontrado</v>
      </c>
      <c r="B2433" t="str">
        <f>IFERROR(VLOOKUP(D2433,APOYO!K:L,2,FALSE),A2433)</f>
        <v>25317</v>
      </c>
      <c r="C2433" t="s">
        <v>2437</v>
      </c>
      <c r="D2433" t="str">
        <f>IFERROR(VLOOKUP(C2433,APOYO!J:K,2,FALSE),C2433)</f>
        <v>GUACHETÁ</v>
      </c>
      <c r="E2433">
        <v>2016</v>
      </c>
      <c r="H2433">
        <v>4</v>
      </c>
    </row>
    <row r="2434" spans="1:9" hidden="1" x14ac:dyDescent="0.25">
      <c r="A2434" t="str">
        <f>_xlfn.XLOOKUP(C2434, 'Códigos DANE Municipios'!$B$2:$B$1123, 'Códigos DANE Municipios'!$A$2:$A$1123, "No encontrado")</f>
        <v>52317</v>
      </c>
      <c r="B2434" t="str">
        <f>IFERROR(VLOOKUP(D2434,APOYO!K:L,2,FALSE),A2434)</f>
        <v>52317</v>
      </c>
      <c r="C2434" t="s">
        <v>1452</v>
      </c>
      <c r="D2434" t="str">
        <f>IFERROR(VLOOKUP(C2434,APOYO!J:K,2,FALSE),C2434)</f>
        <v>GUACHUCAL</v>
      </c>
      <c r="E2434">
        <v>2016</v>
      </c>
      <c r="H2434">
        <v>5</v>
      </c>
    </row>
    <row r="2435" spans="1:9" hidden="1" x14ac:dyDescent="0.25">
      <c r="A2435" t="str">
        <f>_xlfn.XLOOKUP(C2435, 'Códigos DANE Municipios'!$B$2:$B$1123, 'Códigos DANE Municipios'!$A$2:$A$1123, "No encontrado")</f>
        <v>05315</v>
      </c>
      <c r="B2435" t="str">
        <f>IFERROR(VLOOKUP(D2435,APOYO!K:L,2,FALSE),A2435)</f>
        <v>05315</v>
      </c>
      <c r="C2435" t="s">
        <v>118</v>
      </c>
      <c r="D2435" t="str">
        <f>IFERROR(VLOOKUP(C2435,APOYO!J:K,2,FALSE),C2435)</f>
        <v>GUADALUPE</v>
      </c>
      <c r="E2435">
        <v>2016</v>
      </c>
      <c r="H2435">
        <v>13</v>
      </c>
    </row>
    <row r="2436" spans="1:9" hidden="1" x14ac:dyDescent="0.25">
      <c r="A2436" t="str">
        <f>_xlfn.XLOOKUP(C2436, 'Códigos DANE Municipios'!$B$2:$B$1123, 'Códigos DANE Municipios'!$A$2:$A$1123, "No encontrado")</f>
        <v>25320</v>
      </c>
      <c r="B2436" t="str">
        <f>IFERROR(VLOOKUP(D2436,APOYO!K:L,2,FALSE),A2436)</f>
        <v>25320</v>
      </c>
      <c r="C2436" t="s">
        <v>990</v>
      </c>
      <c r="D2436" t="str">
        <f>IFERROR(VLOOKUP(C2436,APOYO!J:K,2,FALSE),C2436)</f>
        <v>GUADUAS</v>
      </c>
      <c r="E2436">
        <v>2016</v>
      </c>
      <c r="H2436">
        <v>30</v>
      </c>
    </row>
    <row r="2437" spans="1:9" hidden="1" x14ac:dyDescent="0.25">
      <c r="A2437" t="str">
        <f>_xlfn.XLOOKUP(C2437, 'Códigos DANE Municipios'!$B$2:$B$1123, 'Códigos DANE Municipios'!$A$2:$A$1123, "No encontrado")</f>
        <v>47318</v>
      </c>
      <c r="B2437" t="str">
        <f>IFERROR(VLOOKUP(D2437,APOYO!K:L,2,FALSE),A2437)</f>
        <v>47318</v>
      </c>
      <c r="C2437" t="s">
        <v>1323</v>
      </c>
      <c r="D2437" t="str">
        <f>IFERROR(VLOOKUP(C2437,APOYO!J:K,2,FALSE),C2437)</f>
        <v>GUAMAL</v>
      </c>
      <c r="E2437">
        <v>2016</v>
      </c>
      <c r="H2437">
        <v>25</v>
      </c>
    </row>
    <row r="2438" spans="1:9" hidden="1" x14ac:dyDescent="0.25">
      <c r="A2438" t="str">
        <f>_xlfn.XLOOKUP(C2438, 'Códigos DANE Municipios'!$B$2:$B$1123, 'Códigos DANE Municipios'!$A$2:$A$1123, "No encontrado")</f>
        <v>73319</v>
      </c>
      <c r="B2438" t="str">
        <f>IFERROR(VLOOKUP(D2438,APOYO!K:L,2,FALSE),A2438)</f>
        <v>73319</v>
      </c>
      <c r="C2438" t="s">
        <v>1903</v>
      </c>
      <c r="D2438" t="str">
        <f>IFERROR(VLOOKUP(C2438,APOYO!J:K,2,FALSE),C2438)</f>
        <v>GUAMO</v>
      </c>
      <c r="E2438">
        <v>2016</v>
      </c>
      <c r="H2438">
        <v>13</v>
      </c>
    </row>
    <row r="2439" spans="1:9" hidden="1" x14ac:dyDescent="0.25">
      <c r="A2439" t="str">
        <f>_xlfn.XLOOKUP(C2439, 'Códigos DANE Municipios'!$B$2:$B$1123, 'Códigos DANE Municipios'!$A$2:$A$1123, "No encontrado")</f>
        <v>No encontrado</v>
      </c>
      <c r="B2439" t="str">
        <f>IFERROR(VLOOKUP(D2439,APOYO!K:L,2,FALSE),A2439)</f>
        <v>No encontrado</v>
      </c>
      <c r="C2439" t="s">
        <v>2273</v>
      </c>
      <c r="D2439" t="str">
        <f>IFERROR(VLOOKUP(C2439,APOYO!J:K,2,FALSE),C2439)</f>
        <v>GUAPI</v>
      </c>
      <c r="E2439">
        <v>2016</v>
      </c>
      <c r="F2439">
        <v>13747</v>
      </c>
      <c r="H2439">
        <v>6</v>
      </c>
      <c r="I2439">
        <v>2749</v>
      </c>
    </row>
    <row r="2440" spans="1:9" hidden="1" x14ac:dyDescent="0.25">
      <c r="A2440" t="str">
        <f>_xlfn.XLOOKUP(C2440, 'Códigos DANE Municipios'!$B$2:$B$1123, 'Códigos DANE Municipios'!$A$2:$A$1123, "No encontrado")</f>
        <v>70265</v>
      </c>
      <c r="B2440" t="str">
        <f>IFERROR(VLOOKUP(D2440,APOYO!K:L,2,FALSE),A2440)</f>
        <v>70265</v>
      </c>
      <c r="C2440" t="s">
        <v>1833</v>
      </c>
      <c r="D2440" t="str">
        <f>IFERROR(VLOOKUP(C2440,APOYO!J:K,2,FALSE),C2440)</f>
        <v>GUARANDA</v>
      </c>
      <c r="E2440">
        <v>2016</v>
      </c>
      <c r="H2440">
        <v>1</v>
      </c>
    </row>
    <row r="2441" spans="1:9" hidden="1" x14ac:dyDescent="0.25">
      <c r="A2441" t="str">
        <f>_xlfn.XLOOKUP(C2441, 'Códigos DANE Municipios'!$B$2:$B$1123, 'Códigos DANE Municipios'!$A$2:$A$1123, "No encontrado")</f>
        <v>05318</v>
      </c>
      <c r="B2441" t="str">
        <f>IFERROR(VLOOKUP(D2441,APOYO!K:L,2,FALSE),A2441)</f>
        <v>05318</v>
      </c>
      <c r="C2441" t="s">
        <v>120</v>
      </c>
      <c r="D2441" t="str">
        <f>IFERROR(VLOOKUP(C2441,APOYO!J:K,2,FALSE),C2441)</f>
        <v>GUARNE</v>
      </c>
      <c r="E2441">
        <v>2016</v>
      </c>
      <c r="H2441">
        <v>181</v>
      </c>
    </row>
    <row r="2442" spans="1:9" hidden="1" x14ac:dyDescent="0.25">
      <c r="A2442" t="str">
        <f>_xlfn.XLOOKUP(C2442, 'Códigos DANE Municipios'!$B$2:$B$1123, 'Códigos DANE Municipios'!$A$2:$A$1123, "No encontrado")</f>
        <v>25322</v>
      </c>
      <c r="B2442" t="str">
        <f>IFERROR(VLOOKUP(D2442,APOYO!K:L,2,FALSE),A2442)</f>
        <v>25322</v>
      </c>
      <c r="C2442" t="s">
        <v>992</v>
      </c>
      <c r="D2442" t="str">
        <f>IFERROR(VLOOKUP(C2442,APOYO!J:K,2,FALSE),C2442)</f>
        <v>GUASCA</v>
      </c>
      <c r="E2442">
        <v>2016</v>
      </c>
      <c r="H2442">
        <v>74</v>
      </c>
    </row>
    <row r="2443" spans="1:9" hidden="1" x14ac:dyDescent="0.25">
      <c r="A2443" t="str">
        <f>_xlfn.XLOOKUP(C2443, 'Códigos DANE Municipios'!$B$2:$B$1123, 'Códigos DANE Municipios'!$A$2:$A$1123, "No encontrado")</f>
        <v>No encontrado</v>
      </c>
      <c r="B2443" t="str">
        <f>IFERROR(VLOOKUP(D2443,APOYO!K:L,2,FALSE),A2443)</f>
        <v>No encontrado</v>
      </c>
      <c r="C2443" t="s">
        <v>2274</v>
      </c>
      <c r="D2443" t="str">
        <f>IFERROR(VLOOKUP(C2443,APOYO!J:K,2,FALSE),C2443)</f>
        <v>GUATAPE</v>
      </c>
      <c r="E2443">
        <v>2016</v>
      </c>
      <c r="H2443">
        <v>151</v>
      </c>
    </row>
    <row r="2444" spans="1:9" hidden="1" x14ac:dyDescent="0.25">
      <c r="A2444" t="str">
        <f>_xlfn.XLOOKUP(C2444, 'Códigos DANE Municipios'!$B$2:$B$1123, 'Códigos DANE Municipios'!$A$2:$A$1123, "No encontrado")</f>
        <v>No encontrado</v>
      </c>
      <c r="B2444" t="str">
        <f>IFERROR(VLOOKUP(D2444,APOYO!K:L,2,FALSE),A2444)</f>
        <v>25324</v>
      </c>
      <c r="C2444" t="s">
        <v>2438</v>
      </c>
      <c r="D2444" t="str">
        <f>IFERROR(VLOOKUP(C2444,APOYO!J:K,2,FALSE),C2444)</f>
        <v>GUATAQUÍ</v>
      </c>
      <c r="E2444">
        <v>2016</v>
      </c>
      <c r="H2444">
        <v>2</v>
      </c>
    </row>
    <row r="2445" spans="1:9" hidden="1" x14ac:dyDescent="0.25">
      <c r="A2445" t="str">
        <f>_xlfn.XLOOKUP(C2445, 'Códigos DANE Municipios'!$B$2:$B$1123, 'Códigos DANE Municipios'!$A$2:$A$1123, "No encontrado")</f>
        <v>25326</v>
      </c>
      <c r="B2445" t="str">
        <f>IFERROR(VLOOKUP(D2445,APOYO!K:L,2,FALSE),A2445)</f>
        <v>25326</v>
      </c>
      <c r="C2445" t="s">
        <v>996</v>
      </c>
      <c r="D2445" t="str">
        <f>IFERROR(VLOOKUP(C2445,APOYO!J:K,2,FALSE),C2445)</f>
        <v>GUATAVITA</v>
      </c>
      <c r="E2445">
        <v>2016</v>
      </c>
      <c r="H2445">
        <v>23</v>
      </c>
    </row>
    <row r="2446" spans="1:9" hidden="1" x14ac:dyDescent="0.25">
      <c r="A2446" t="str">
        <f>_xlfn.XLOOKUP(C2446, 'Códigos DANE Municipios'!$B$2:$B$1123, 'Códigos DANE Municipios'!$A$2:$A$1123, "No encontrado")</f>
        <v>15322</v>
      </c>
      <c r="B2446" t="str">
        <f>IFERROR(VLOOKUP(D2446,APOYO!K:L,2,FALSE),A2446)</f>
        <v>15322</v>
      </c>
      <c r="C2446" t="s">
        <v>479</v>
      </c>
      <c r="D2446" t="str">
        <f>IFERROR(VLOOKUP(C2446,APOYO!J:K,2,FALSE),C2446)</f>
        <v>GUATEQUE</v>
      </c>
      <c r="E2446">
        <v>2016</v>
      </c>
      <c r="H2446">
        <v>4</v>
      </c>
    </row>
    <row r="2447" spans="1:9" hidden="1" x14ac:dyDescent="0.25">
      <c r="A2447" t="str">
        <f>_xlfn.XLOOKUP(C2447, 'Códigos DANE Municipios'!$B$2:$B$1123, 'Códigos DANE Municipios'!$A$2:$A$1123, "No encontrado")</f>
        <v>No encontrado</v>
      </c>
      <c r="B2447" t="str">
        <f>IFERROR(VLOOKUP(D2447,APOYO!K:L,2,FALSE),A2447)</f>
        <v>No encontrado</v>
      </c>
      <c r="C2447" t="s">
        <v>2275</v>
      </c>
      <c r="D2447" t="str">
        <f>IFERROR(VLOOKUP(C2447,APOYO!J:K,2,FALSE),C2447)</f>
        <v>GUATICA</v>
      </c>
      <c r="E2447">
        <v>2016</v>
      </c>
      <c r="H2447">
        <v>4</v>
      </c>
    </row>
    <row r="2448" spans="1:9" hidden="1" x14ac:dyDescent="0.25">
      <c r="A2448" t="str">
        <f>_xlfn.XLOOKUP(C2448, 'Códigos DANE Municipios'!$B$2:$B$1123, 'Códigos DANE Municipios'!$A$2:$A$1123, "No encontrado")</f>
        <v>No encontrado</v>
      </c>
      <c r="B2448" t="str">
        <f>IFERROR(VLOOKUP(D2448,APOYO!K:L,2,FALSE),A2448)</f>
        <v>No encontrado</v>
      </c>
      <c r="C2448" t="s">
        <v>2276</v>
      </c>
      <c r="D2448" t="str">
        <f>IFERROR(VLOOKUP(C2448,APOYO!J:K,2,FALSE),C2448)</f>
        <v>GUAYATA</v>
      </c>
      <c r="E2448">
        <v>2016</v>
      </c>
      <c r="H2448">
        <v>3</v>
      </c>
    </row>
    <row r="2449" spans="1:9" hidden="1" x14ac:dyDescent="0.25">
      <c r="A2449" t="str">
        <f>_xlfn.XLOOKUP(C2449, 'Códigos DANE Municipios'!$B$2:$B$1123, 'Códigos DANE Municipios'!$A$2:$A$1123, "No encontrado")</f>
        <v>No encontrado</v>
      </c>
      <c r="B2449" t="str">
        <f>IFERROR(VLOOKUP(D2449,APOYO!K:L,2,FALSE),A2449)</f>
        <v>No encontrado</v>
      </c>
      <c r="C2449" t="s">
        <v>2277</v>
      </c>
      <c r="D2449" t="str">
        <f>IFERROR(VLOOKUP(C2449,APOYO!J:K,2,FALSE),C2449)</f>
        <v>GUEPSA</v>
      </c>
      <c r="E2449">
        <v>2016</v>
      </c>
      <c r="H2449" t="s">
        <v>2511</v>
      </c>
    </row>
    <row r="2450" spans="1:9" hidden="1" x14ac:dyDescent="0.25">
      <c r="A2450" t="str">
        <f>_xlfn.XLOOKUP(C2450, 'Códigos DANE Municipios'!$B$2:$B$1123, 'Códigos DANE Municipios'!$A$2:$A$1123, "No encontrado")</f>
        <v>No encontrado</v>
      </c>
      <c r="B2450" t="str">
        <f>IFERROR(VLOOKUP(D2450,APOYO!K:L,2,FALSE),A2450)</f>
        <v>No encontrado</v>
      </c>
      <c r="C2450" t="s">
        <v>2278</v>
      </c>
      <c r="D2450" t="str">
        <f>IFERROR(VLOOKUP(C2450,APOYO!J:K,2,FALSE),C2450)</f>
        <v>GUICAN</v>
      </c>
      <c r="E2450">
        <v>2016</v>
      </c>
      <c r="H2450">
        <v>1</v>
      </c>
    </row>
    <row r="2451" spans="1:9" hidden="1" x14ac:dyDescent="0.25">
      <c r="A2451" t="str">
        <f>_xlfn.XLOOKUP(C2451, 'Códigos DANE Municipios'!$B$2:$B$1123, 'Códigos DANE Municipios'!$A$2:$A$1123, "No encontrado")</f>
        <v>85125</v>
      </c>
      <c r="B2451" t="str">
        <f>IFERROR(VLOOKUP(D2451,APOYO!K:L,2,FALSE),A2451)</f>
        <v>85125</v>
      </c>
      <c r="C2451" t="s">
        <v>2054</v>
      </c>
      <c r="D2451" t="str">
        <f>IFERROR(VLOOKUP(C2451,APOYO!J:K,2,FALSE),C2451)</f>
        <v>HATO COROZAL</v>
      </c>
      <c r="E2451">
        <v>2016</v>
      </c>
      <c r="H2451">
        <v>2</v>
      </c>
    </row>
    <row r="2452" spans="1:9" hidden="1" x14ac:dyDescent="0.25">
      <c r="A2452" t="str">
        <f>_xlfn.XLOOKUP(C2452, 'Códigos DANE Municipios'!$B$2:$B$1123, 'Códigos DANE Municipios'!$A$2:$A$1123, "No encontrado")</f>
        <v>05347</v>
      </c>
      <c r="B2452" t="str">
        <f>IFERROR(VLOOKUP(D2452,APOYO!K:L,2,FALSE),A2452)</f>
        <v>05347</v>
      </c>
      <c r="C2452" t="s">
        <v>124</v>
      </c>
      <c r="D2452" t="str">
        <f>IFERROR(VLOOKUP(C2452,APOYO!J:K,2,FALSE),C2452)</f>
        <v>HELICONIA</v>
      </c>
      <c r="E2452">
        <v>2016</v>
      </c>
      <c r="H2452" t="s">
        <v>2511</v>
      </c>
    </row>
    <row r="2453" spans="1:9" hidden="1" x14ac:dyDescent="0.25">
      <c r="A2453" t="str">
        <f>_xlfn.XLOOKUP(C2453, 'Códigos DANE Municipios'!$B$2:$B$1123, 'Códigos DANE Municipios'!$A$2:$A$1123, "No encontrado")</f>
        <v>73347</v>
      </c>
      <c r="B2453" t="str">
        <f>IFERROR(VLOOKUP(D2453,APOYO!K:L,2,FALSE),A2453)</f>
        <v>73347</v>
      </c>
      <c r="C2453" t="s">
        <v>1905</v>
      </c>
      <c r="D2453" t="str">
        <f>IFERROR(VLOOKUP(C2453,APOYO!J:K,2,FALSE),C2453)</f>
        <v>HERVEO</v>
      </c>
      <c r="E2453">
        <v>2016</v>
      </c>
      <c r="H2453">
        <v>2</v>
      </c>
    </row>
    <row r="2454" spans="1:9" hidden="1" x14ac:dyDescent="0.25">
      <c r="A2454" t="str">
        <f>_xlfn.XLOOKUP(C2454, 'Códigos DANE Municipios'!$B$2:$B$1123, 'Códigos DANE Municipios'!$A$2:$A$1123, "No encontrado")</f>
        <v>05353</v>
      </c>
      <c r="B2454" t="str">
        <f>IFERROR(VLOOKUP(D2454,APOYO!K:L,2,FALSE),A2454)</f>
        <v>05353</v>
      </c>
      <c r="C2454" t="s">
        <v>126</v>
      </c>
      <c r="D2454" t="str">
        <f>IFERROR(VLOOKUP(C2454,APOYO!J:K,2,FALSE),C2454)</f>
        <v>HISPANIA</v>
      </c>
      <c r="E2454">
        <v>2016</v>
      </c>
      <c r="H2454">
        <v>1</v>
      </c>
    </row>
    <row r="2455" spans="1:9" hidden="1" x14ac:dyDescent="0.25">
      <c r="A2455" t="str">
        <f>_xlfn.XLOOKUP(C2455, 'Códigos DANE Municipios'!$B$2:$B$1123, 'Códigos DANE Municipios'!$A$2:$A$1123, "No encontrado")</f>
        <v>73349</v>
      </c>
      <c r="B2455" t="str">
        <f>IFERROR(VLOOKUP(D2455,APOYO!K:L,2,FALSE),A2455)</f>
        <v>73349</v>
      </c>
      <c r="C2455" t="s">
        <v>1907</v>
      </c>
      <c r="D2455" t="str">
        <f>IFERROR(VLOOKUP(C2455,APOYO!J:K,2,FALSE),C2455)</f>
        <v>HONDA</v>
      </c>
      <c r="E2455">
        <v>2016</v>
      </c>
      <c r="H2455">
        <v>72</v>
      </c>
    </row>
    <row r="2456" spans="1:9" hidden="1" x14ac:dyDescent="0.25">
      <c r="A2456" t="str">
        <f>_xlfn.XLOOKUP(C2456, 'Códigos DANE Municipios'!$B$2:$B$1123, 'Códigos DANE Municipios'!$A$2:$A$1123, "No encontrado")</f>
        <v>No encontrado</v>
      </c>
      <c r="B2456" t="str">
        <f>IFERROR(VLOOKUP(D2456,APOYO!K:L,2,FALSE),A2456)</f>
        <v>No encontrado</v>
      </c>
      <c r="C2456" t="s">
        <v>2279</v>
      </c>
      <c r="D2456" t="str">
        <f>IFERROR(VLOOKUP(C2456,APOYO!J:K,2,FALSE),C2456)</f>
        <v>IBAGUE</v>
      </c>
      <c r="E2456">
        <v>2016</v>
      </c>
      <c r="F2456">
        <v>75229</v>
      </c>
      <c r="G2456">
        <v>1864</v>
      </c>
      <c r="H2456">
        <v>4161</v>
      </c>
      <c r="I2456">
        <v>39904</v>
      </c>
    </row>
    <row r="2457" spans="1:9" hidden="1" x14ac:dyDescent="0.25">
      <c r="A2457" t="str">
        <f>_xlfn.XLOOKUP(C2457, 'Códigos DANE Municipios'!$B$2:$B$1123, 'Códigos DANE Municipios'!$A$2:$A$1123, "No encontrado")</f>
        <v>73352</v>
      </c>
      <c r="B2457" t="str">
        <f>IFERROR(VLOOKUP(D2457,APOYO!K:L,2,FALSE),A2457)</f>
        <v>73352</v>
      </c>
      <c r="C2457" t="s">
        <v>1909</v>
      </c>
      <c r="D2457" t="str">
        <f>IFERROR(VLOOKUP(C2457,APOYO!J:K,2,FALSE),C2457)</f>
        <v>ICONONZO</v>
      </c>
      <c r="E2457">
        <v>2016</v>
      </c>
      <c r="H2457">
        <v>1</v>
      </c>
    </row>
    <row r="2458" spans="1:9" hidden="1" x14ac:dyDescent="0.25">
      <c r="A2458" t="str">
        <f>_xlfn.XLOOKUP(C2458, 'Códigos DANE Municipios'!$B$2:$B$1123, 'Códigos DANE Municipios'!$A$2:$A$1123, "No encontrado")</f>
        <v>No encontrado</v>
      </c>
      <c r="B2458" t="str">
        <f>IFERROR(VLOOKUP(D2458,APOYO!K:L,2,FALSE),A2458)</f>
        <v>No encontrado</v>
      </c>
      <c r="C2458" t="s">
        <v>2280</v>
      </c>
      <c r="D2458" t="str">
        <f>IFERROR(VLOOKUP(C2458,APOYO!J:K,2,FALSE),C2458)</f>
        <v>ICUIRA</v>
      </c>
      <c r="E2458">
        <v>2016</v>
      </c>
      <c r="H2458" t="s">
        <v>2511</v>
      </c>
    </row>
    <row r="2459" spans="1:9" hidden="1" x14ac:dyDescent="0.25">
      <c r="A2459" t="str">
        <f>_xlfn.XLOOKUP(C2459, 'Códigos DANE Municipios'!$B$2:$B$1123, 'Códigos DANE Municipios'!$A$2:$A$1123, "No encontrado")</f>
        <v>52352</v>
      </c>
      <c r="B2459" t="str">
        <f>IFERROR(VLOOKUP(D2459,APOYO!K:L,2,FALSE),A2459)</f>
        <v>52352</v>
      </c>
      <c r="C2459" t="s">
        <v>1458</v>
      </c>
      <c r="D2459" t="str">
        <f>IFERROR(VLOOKUP(C2459,APOYO!J:K,2,FALSE),C2459)</f>
        <v>ILES</v>
      </c>
      <c r="E2459">
        <v>2016</v>
      </c>
      <c r="H2459">
        <v>3</v>
      </c>
    </row>
    <row r="2460" spans="1:9" hidden="1" x14ac:dyDescent="0.25">
      <c r="A2460" t="str">
        <f>_xlfn.XLOOKUP(C2460, 'Códigos DANE Municipios'!$B$2:$B$1123, 'Códigos DANE Municipios'!$A$2:$A$1123, "No encontrado")</f>
        <v>No encontrado</v>
      </c>
      <c r="B2460" t="str">
        <f>IFERROR(VLOOKUP(D2460,APOYO!K:L,2,FALSE),A2460)</f>
        <v>No encontrado</v>
      </c>
      <c r="C2460" t="s">
        <v>2281</v>
      </c>
      <c r="D2460" t="str">
        <f>IFERROR(VLOOKUP(C2460,APOYO!J:K,2,FALSE),C2460)</f>
        <v>INZA</v>
      </c>
      <c r="E2460">
        <v>2016</v>
      </c>
      <c r="H2460">
        <v>2</v>
      </c>
    </row>
    <row r="2461" spans="1:9" hidden="1" x14ac:dyDescent="0.25">
      <c r="A2461" t="str">
        <f>_xlfn.XLOOKUP(C2461, 'Códigos DANE Municipios'!$B$2:$B$1123, 'Códigos DANE Municipios'!$A$2:$A$1123, "No encontrado")</f>
        <v>52356</v>
      </c>
      <c r="B2461" t="str">
        <f>IFERROR(VLOOKUP(D2461,APOYO!K:L,2,FALSE),A2461)</f>
        <v>52356</v>
      </c>
      <c r="C2461" t="s">
        <v>1462</v>
      </c>
      <c r="D2461" t="str">
        <f>IFERROR(VLOOKUP(C2461,APOYO!J:K,2,FALSE),C2461)</f>
        <v>IPIALES</v>
      </c>
      <c r="E2461">
        <v>2016</v>
      </c>
      <c r="H2461">
        <v>2597</v>
      </c>
    </row>
    <row r="2462" spans="1:9" hidden="1" x14ac:dyDescent="0.25">
      <c r="A2462" t="str">
        <f>_xlfn.XLOOKUP(C2462, 'Códigos DANE Municipios'!$B$2:$B$1123, 'Códigos DANE Municipios'!$A$2:$A$1123, "No encontrado")</f>
        <v>27361</v>
      </c>
      <c r="B2462" t="str">
        <f>IFERROR(VLOOKUP(D2462,APOYO!K:L,2,FALSE),A2462)</f>
        <v>27361</v>
      </c>
      <c r="C2462" t="s">
        <v>1170</v>
      </c>
      <c r="D2462" t="str">
        <f>IFERROR(VLOOKUP(C2462,APOYO!J:K,2,FALSE),C2462)</f>
        <v>ISTMINA</v>
      </c>
      <c r="E2462">
        <v>2016</v>
      </c>
      <c r="H2462">
        <v>15</v>
      </c>
    </row>
    <row r="2463" spans="1:9" hidden="1" x14ac:dyDescent="0.25">
      <c r="A2463" t="str">
        <f>_xlfn.XLOOKUP(C2463, 'Códigos DANE Municipios'!$B$2:$B$1123, 'Códigos DANE Municipios'!$A$2:$A$1123, "No encontrado")</f>
        <v>No encontrado</v>
      </c>
      <c r="B2463" t="str">
        <f>IFERROR(VLOOKUP(D2463,APOYO!K:L,2,FALSE),A2463)</f>
        <v>No encontrado</v>
      </c>
      <c r="C2463" t="s">
        <v>2282</v>
      </c>
      <c r="D2463" t="str">
        <f>IFERROR(VLOOKUP(C2463,APOYO!J:K,2,FALSE),C2463)</f>
        <v>ITAGUI</v>
      </c>
      <c r="E2463">
        <v>2016</v>
      </c>
      <c r="H2463">
        <v>856</v>
      </c>
    </row>
    <row r="2464" spans="1:9" hidden="1" x14ac:dyDescent="0.25">
      <c r="A2464" t="str">
        <f>_xlfn.XLOOKUP(C2464, 'Códigos DANE Municipios'!$B$2:$B$1123, 'Códigos DANE Municipios'!$A$2:$A$1123, "No encontrado")</f>
        <v>05361</v>
      </c>
      <c r="B2464" t="str">
        <f>IFERROR(VLOOKUP(D2464,APOYO!K:L,2,FALSE),A2464)</f>
        <v>05361</v>
      </c>
      <c r="C2464" t="s">
        <v>130</v>
      </c>
      <c r="D2464" t="str">
        <f>IFERROR(VLOOKUP(C2464,APOYO!J:K,2,FALSE),C2464)</f>
        <v>ITUANGO</v>
      </c>
      <c r="E2464">
        <v>2016</v>
      </c>
      <c r="H2464">
        <v>15</v>
      </c>
    </row>
    <row r="2465" spans="1:8" hidden="1" x14ac:dyDescent="0.25">
      <c r="A2465" t="str">
        <f>_xlfn.XLOOKUP(C2465, 'Códigos DANE Municipios'!$B$2:$B$1123, 'Códigos DANE Municipios'!$A$2:$A$1123, "No encontrado")</f>
        <v>15362</v>
      </c>
      <c r="B2465" t="str">
        <f>IFERROR(VLOOKUP(D2465,APOYO!K:L,2,FALSE),A2465)</f>
        <v>15362</v>
      </c>
      <c r="C2465" t="s">
        <v>485</v>
      </c>
      <c r="D2465" t="str">
        <f>IFERROR(VLOOKUP(C2465,APOYO!J:K,2,FALSE),C2465)</f>
        <v>IZA</v>
      </c>
      <c r="E2465">
        <v>2016</v>
      </c>
      <c r="H2465">
        <v>4</v>
      </c>
    </row>
    <row r="2466" spans="1:8" hidden="1" x14ac:dyDescent="0.25">
      <c r="A2466" t="str">
        <f>_xlfn.XLOOKUP(C2466, 'Códigos DANE Municipios'!$B$2:$B$1123, 'Códigos DANE Municipios'!$A$2:$A$1123, "No encontrado")</f>
        <v>No encontrado</v>
      </c>
      <c r="B2466" t="str">
        <f>IFERROR(VLOOKUP(D2466,APOYO!K:L,2,FALSE),A2466)</f>
        <v>No encontrado</v>
      </c>
      <c r="C2466" t="s">
        <v>2283</v>
      </c>
      <c r="D2466" t="str">
        <f>IFERROR(VLOOKUP(C2466,APOYO!J:K,2,FALSE),C2466)</f>
        <v>JAMUNDI</v>
      </c>
      <c r="E2466">
        <v>2016</v>
      </c>
      <c r="H2466">
        <v>795</v>
      </c>
    </row>
    <row r="2467" spans="1:8" hidden="1" x14ac:dyDescent="0.25">
      <c r="A2467" t="str">
        <f>_xlfn.XLOOKUP(C2467, 'Códigos DANE Municipios'!$B$2:$B$1123, 'Códigos DANE Municipios'!$A$2:$A$1123, "No encontrado")</f>
        <v>No encontrado</v>
      </c>
      <c r="B2467" t="str">
        <f>IFERROR(VLOOKUP(D2467,APOYO!K:L,2,FALSE),A2467)</f>
        <v>No encontrado</v>
      </c>
      <c r="C2467" t="s">
        <v>2284</v>
      </c>
      <c r="D2467" t="str">
        <f>IFERROR(VLOOKUP(C2467,APOYO!J:K,2,FALSE),C2467)</f>
        <v>JARDIN</v>
      </c>
      <c r="E2467">
        <v>2016</v>
      </c>
      <c r="H2467">
        <v>29</v>
      </c>
    </row>
    <row r="2468" spans="1:8" hidden="1" x14ac:dyDescent="0.25">
      <c r="A2468" t="str">
        <f>_xlfn.XLOOKUP(C2468, 'Códigos DANE Municipios'!$B$2:$B$1123, 'Códigos DANE Municipios'!$A$2:$A$1123, "No encontrado")</f>
        <v>15367</v>
      </c>
      <c r="B2468" t="str">
        <f>IFERROR(VLOOKUP(D2468,APOYO!K:L,2,FALSE),A2468)</f>
        <v>15367</v>
      </c>
      <c r="C2468" t="s">
        <v>487</v>
      </c>
      <c r="D2468" t="str">
        <f>IFERROR(VLOOKUP(C2468,APOYO!J:K,2,FALSE),C2468)</f>
        <v>JENESANO</v>
      </c>
      <c r="E2468">
        <v>2016</v>
      </c>
      <c r="H2468">
        <v>2</v>
      </c>
    </row>
    <row r="2469" spans="1:8" hidden="1" x14ac:dyDescent="0.25">
      <c r="A2469" t="str">
        <f>_xlfn.XLOOKUP(C2469, 'Códigos DANE Municipios'!$B$2:$B$1123, 'Códigos DANE Municipios'!$A$2:$A$1123, "No encontrado")</f>
        <v>No encontrado</v>
      </c>
      <c r="B2469" t="str">
        <f>IFERROR(VLOOKUP(D2469,APOYO!K:L,2,FALSE),A2469)</f>
        <v>No encontrado</v>
      </c>
      <c r="C2469" t="s">
        <v>2285</v>
      </c>
      <c r="D2469" t="str">
        <f>IFERROR(VLOOKUP(C2469,APOYO!J:K,2,FALSE),C2469)</f>
        <v>JERICO</v>
      </c>
      <c r="E2469">
        <v>2016</v>
      </c>
      <c r="H2469">
        <v>3</v>
      </c>
    </row>
    <row r="2470" spans="1:8" hidden="1" x14ac:dyDescent="0.25">
      <c r="A2470" t="str">
        <f>_xlfn.XLOOKUP(C2470, 'Códigos DANE Municipios'!$B$2:$B$1123, 'Códigos DANE Municipios'!$A$2:$A$1123, "No encontrado")</f>
        <v>08372</v>
      </c>
      <c r="B2470" t="str">
        <f>IFERROR(VLOOKUP(D2470,APOYO!K:L,2,FALSE),A2470)</f>
        <v>08372</v>
      </c>
      <c r="C2470" t="s">
        <v>272</v>
      </c>
      <c r="D2470" t="str">
        <f>IFERROR(VLOOKUP(C2470,APOYO!J:K,2,FALSE),C2470)</f>
        <v>JUAN DE ACOSTA</v>
      </c>
      <c r="E2470">
        <v>2016</v>
      </c>
      <c r="H2470">
        <v>9</v>
      </c>
    </row>
    <row r="2471" spans="1:8" hidden="1" x14ac:dyDescent="0.25">
      <c r="A2471" t="str">
        <f>_xlfn.XLOOKUP(C2471, 'Códigos DANE Municipios'!$B$2:$B$1123, 'Códigos DANE Municipios'!$A$2:$A$1123, "No encontrado")</f>
        <v>No encontrado</v>
      </c>
      <c r="B2471" t="str">
        <f>IFERROR(VLOOKUP(D2471,APOYO!K:L,2,FALSE),A2471)</f>
        <v>25372</v>
      </c>
      <c r="C2471" t="s">
        <v>2439</v>
      </c>
      <c r="D2471" t="str">
        <f>IFERROR(VLOOKUP(C2471,APOYO!J:K,2,FALSE),C2471)</f>
        <v>JUNÍN</v>
      </c>
      <c r="E2471">
        <v>2016</v>
      </c>
      <c r="H2471">
        <v>1</v>
      </c>
    </row>
    <row r="2472" spans="1:8" hidden="1" x14ac:dyDescent="0.25">
      <c r="A2472" t="str">
        <f>_xlfn.XLOOKUP(C2472, 'Códigos DANE Municipios'!$B$2:$B$1123, 'Códigos DANE Municipios'!$A$2:$A$1123, "No encontrado")</f>
        <v>No encontrado</v>
      </c>
      <c r="B2472" t="str">
        <f>IFERROR(VLOOKUP(D2472,APOYO!K:L,2,FALSE),A2472)</f>
        <v>No encontrado</v>
      </c>
      <c r="C2472" t="s">
        <v>2286</v>
      </c>
      <c r="D2472" t="str">
        <f>IFERROR(VLOOKUP(C2472,APOYO!J:K,2,FALSE),C2472)</f>
        <v>JURADO</v>
      </c>
      <c r="E2472">
        <v>2016</v>
      </c>
      <c r="H2472">
        <v>93</v>
      </c>
    </row>
    <row r="2473" spans="1:8" hidden="1" x14ac:dyDescent="0.25">
      <c r="A2473" t="str">
        <f>_xlfn.XLOOKUP(C2473, 'Códigos DANE Municipios'!$B$2:$B$1123, 'Códigos DANE Municipios'!$A$2:$A$1123, "No encontrado")</f>
        <v>41378</v>
      </c>
      <c r="B2473" t="str">
        <f>IFERROR(VLOOKUP(D2473,APOYO!K:L,2,FALSE),A2473)</f>
        <v>41378</v>
      </c>
      <c r="C2473" t="s">
        <v>1232</v>
      </c>
      <c r="D2473" t="str">
        <f>IFERROR(VLOOKUP(C2473,APOYO!J:K,2,FALSE),C2473)</f>
        <v>LA ARGENTINA</v>
      </c>
      <c r="E2473">
        <v>2016</v>
      </c>
      <c r="H2473">
        <v>4</v>
      </c>
    </row>
    <row r="2474" spans="1:8" hidden="1" x14ac:dyDescent="0.25">
      <c r="A2474" t="str">
        <f>_xlfn.XLOOKUP(C2474, 'Códigos DANE Municipios'!$B$2:$B$1123, 'Códigos DANE Municipios'!$A$2:$A$1123, "No encontrado")</f>
        <v>25377</v>
      </c>
      <c r="B2474" t="str">
        <f>IFERROR(VLOOKUP(D2474,APOYO!K:L,2,FALSE),A2474)</f>
        <v>25377</v>
      </c>
      <c r="C2474" t="s">
        <v>1008</v>
      </c>
      <c r="D2474" t="str">
        <f>IFERROR(VLOOKUP(C2474,APOYO!J:K,2,FALSE),C2474)</f>
        <v>LA CALERA</v>
      </c>
      <c r="E2474">
        <v>2016</v>
      </c>
      <c r="H2474">
        <v>249</v>
      </c>
    </row>
    <row r="2475" spans="1:8" hidden="1" x14ac:dyDescent="0.25">
      <c r="A2475" t="str">
        <f>_xlfn.XLOOKUP(C2475, 'Códigos DANE Municipios'!$B$2:$B$1123, 'Códigos DANE Municipios'!$A$2:$A$1123, "No encontrado")</f>
        <v>05376</v>
      </c>
      <c r="B2475" t="str">
        <f>IFERROR(VLOOKUP(D2475,APOYO!K:L,2,FALSE),A2475)</f>
        <v>05376</v>
      </c>
      <c r="C2475" t="s">
        <v>136</v>
      </c>
      <c r="D2475" t="str">
        <f>IFERROR(VLOOKUP(C2475,APOYO!J:K,2,FALSE),C2475)</f>
        <v>LA CEJA</v>
      </c>
      <c r="E2475">
        <v>2016</v>
      </c>
      <c r="H2475">
        <v>4</v>
      </c>
    </row>
    <row r="2476" spans="1:8" hidden="1" x14ac:dyDescent="0.25">
      <c r="A2476" t="str">
        <f>_xlfn.XLOOKUP(C2476, 'Códigos DANE Municipios'!$B$2:$B$1123, 'Códigos DANE Municipios'!$A$2:$A$1123, "No encontrado")</f>
        <v>66383</v>
      </c>
      <c r="B2476" t="str">
        <f>IFERROR(VLOOKUP(D2476,APOYO!K:L,2,FALSE),A2476)</f>
        <v>66383</v>
      </c>
      <c r="C2476" t="s">
        <v>1639</v>
      </c>
      <c r="D2476" t="str">
        <f>IFERROR(VLOOKUP(C2476,APOYO!J:K,2,FALSE),C2476)</f>
        <v>LA CELIA</v>
      </c>
      <c r="E2476">
        <v>2016</v>
      </c>
      <c r="H2476">
        <v>4</v>
      </c>
    </row>
    <row r="2477" spans="1:8" hidden="1" x14ac:dyDescent="0.25">
      <c r="A2477" t="str">
        <f>_xlfn.XLOOKUP(C2477, 'Códigos DANE Municipios'!$B$2:$B$1123, 'Códigos DANE Municipios'!$A$2:$A$1123, "No encontrado")</f>
        <v>No encontrado</v>
      </c>
      <c r="B2477" t="str">
        <f>IFERROR(VLOOKUP(D2477,APOYO!K:L,2,FALSE),A2477)</f>
        <v>No encontrado</v>
      </c>
      <c r="C2477" t="s">
        <v>2287</v>
      </c>
      <c r="D2477" t="str">
        <f>IFERROR(VLOOKUP(C2477,APOYO!J:K,2,FALSE),C2477)</f>
        <v>LA CHORERA</v>
      </c>
      <c r="E2477">
        <v>2016</v>
      </c>
      <c r="F2477">
        <v>504</v>
      </c>
      <c r="H2477">
        <v>1</v>
      </c>
    </row>
    <row r="2478" spans="1:8" hidden="1" x14ac:dyDescent="0.25">
      <c r="A2478" t="str">
        <f>_xlfn.XLOOKUP(C2478, 'Códigos DANE Municipios'!$B$2:$B$1123, 'Códigos DANE Municipios'!$A$2:$A$1123, "No encontrado")</f>
        <v>52378</v>
      </c>
      <c r="B2478" t="str">
        <f>IFERROR(VLOOKUP(D2478,APOYO!K:L,2,FALSE),A2478)</f>
        <v>52378</v>
      </c>
      <c r="C2478" t="s">
        <v>1464</v>
      </c>
      <c r="D2478" t="str">
        <f>IFERROR(VLOOKUP(C2478,APOYO!J:K,2,FALSE),C2478)</f>
        <v>LA CRUZ</v>
      </c>
      <c r="E2478">
        <v>2016</v>
      </c>
      <c r="H2478">
        <v>5</v>
      </c>
    </row>
    <row r="2479" spans="1:8" hidden="1" x14ac:dyDescent="0.25">
      <c r="A2479" t="str">
        <f>_xlfn.XLOOKUP(C2479, 'Códigos DANE Municipios'!$B$2:$B$1123, 'Códigos DANE Municipios'!$A$2:$A$1123, "No encontrado")</f>
        <v>76377</v>
      </c>
      <c r="B2479" t="str">
        <f>IFERROR(VLOOKUP(D2479,APOYO!K:L,2,FALSE),A2479)</f>
        <v>76377</v>
      </c>
      <c r="C2479" t="s">
        <v>1998</v>
      </c>
      <c r="D2479" t="str">
        <f>IFERROR(VLOOKUP(C2479,APOYO!J:K,2,FALSE),C2479)</f>
        <v>LA CUMBRE</v>
      </c>
      <c r="E2479">
        <v>2016</v>
      </c>
      <c r="H2479">
        <v>34</v>
      </c>
    </row>
    <row r="2480" spans="1:8" hidden="1" x14ac:dyDescent="0.25">
      <c r="A2480" t="str">
        <f>_xlfn.XLOOKUP(C2480, 'Códigos DANE Municipios'!$B$2:$B$1123, 'Códigos DANE Municipios'!$A$2:$A$1123, "No encontrado")</f>
        <v>17380</v>
      </c>
      <c r="B2480" t="str">
        <f>IFERROR(VLOOKUP(D2480,APOYO!K:L,2,FALSE),A2480)</f>
        <v>17380</v>
      </c>
      <c r="C2480" t="s">
        <v>658</v>
      </c>
      <c r="D2480" t="str">
        <f>IFERROR(VLOOKUP(C2480,APOYO!J:K,2,FALSE),C2480)</f>
        <v>LA DORADA</v>
      </c>
      <c r="E2480">
        <v>2016</v>
      </c>
      <c r="H2480">
        <v>175</v>
      </c>
    </row>
    <row r="2481" spans="1:9" hidden="1" x14ac:dyDescent="0.25">
      <c r="A2481" t="str">
        <f>_xlfn.XLOOKUP(C2481, 'Códigos DANE Municipios'!$B$2:$B$1123, 'Códigos DANE Municipios'!$A$2:$A$1123, "No encontrado")</f>
        <v>05380</v>
      </c>
      <c r="B2481" t="str">
        <f>IFERROR(VLOOKUP(D2481,APOYO!K:L,2,FALSE),A2481)</f>
        <v>05380</v>
      </c>
      <c r="C2481" t="s">
        <v>138</v>
      </c>
      <c r="D2481" t="str">
        <f>IFERROR(VLOOKUP(C2481,APOYO!J:K,2,FALSE),C2481)</f>
        <v>LA ESTRELLA</v>
      </c>
      <c r="E2481">
        <v>2016</v>
      </c>
      <c r="H2481">
        <v>120</v>
      </c>
    </row>
    <row r="2482" spans="1:9" hidden="1" x14ac:dyDescent="0.25">
      <c r="A2482" t="str">
        <f>_xlfn.XLOOKUP(C2482, 'Códigos DANE Municipios'!$B$2:$B$1123, 'Códigos DANE Municipios'!$A$2:$A$1123, "No encontrado")</f>
        <v>52381</v>
      </c>
      <c r="B2482" t="str">
        <f>IFERROR(VLOOKUP(D2482,APOYO!K:L,2,FALSE),A2482)</f>
        <v>52381</v>
      </c>
      <c r="C2482" t="s">
        <v>1466</v>
      </c>
      <c r="D2482" t="str">
        <f>IFERROR(VLOOKUP(C2482,APOYO!J:K,2,FALSE),C2482)</f>
        <v>LA FLORIDA</v>
      </c>
      <c r="E2482">
        <v>2016</v>
      </c>
      <c r="H2482">
        <v>1</v>
      </c>
    </row>
    <row r="2483" spans="1:9" hidden="1" x14ac:dyDescent="0.25">
      <c r="A2483" t="str">
        <f>_xlfn.XLOOKUP(C2483, 'Códigos DANE Municipios'!$B$2:$B$1123, 'Códigos DANE Municipios'!$A$2:$A$1123, "No encontrado")</f>
        <v>20383</v>
      </c>
      <c r="B2483" t="str">
        <f>IFERROR(VLOOKUP(D2483,APOYO!K:L,2,FALSE),A2483)</f>
        <v>20383</v>
      </c>
      <c r="C2483" t="s">
        <v>834</v>
      </c>
      <c r="D2483" t="str">
        <f>IFERROR(VLOOKUP(C2483,APOYO!J:K,2,FALSE),C2483)</f>
        <v>LA GLORIA</v>
      </c>
      <c r="E2483">
        <v>2016</v>
      </c>
      <c r="H2483">
        <v>2</v>
      </c>
    </row>
    <row r="2484" spans="1:9" hidden="1" x14ac:dyDescent="0.25">
      <c r="A2484" t="str">
        <f>_xlfn.XLOOKUP(C2484, 'Códigos DANE Municipios'!$B$2:$B$1123, 'Códigos DANE Municipios'!$A$2:$A$1123, "No encontrado")</f>
        <v>20400</v>
      </c>
      <c r="B2484" t="str">
        <f>IFERROR(VLOOKUP(D2484,APOYO!K:L,2,FALSE),A2484)</f>
        <v>20400</v>
      </c>
      <c r="C2484" t="s">
        <v>836</v>
      </c>
      <c r="D2484" t="str">
        <f>IFERROR(VLOOKUP(C2484,APOYO!J:K,2,FALSE),C2484)</f>
        <v>LA JAGUA DE IBIRICO</v>
      </c>
      <c r="E2484">
        <v>2016</v>
      </c>
      <c r="H2484">
        <v>7</v>
      </c>
    </row>
    <row r="2485" spans="1:9" hidden="1" x14ac:dyDescent="0.25">
      <c r="A2485" t="str">
        <f>_xlfn.XLOOKUP(C2485, 'Códigos DANE Municipios'!$B$2:$B$1123, 'Códigos DANE Municipios'!$A$2:$A$1123, "No encontrado")</f>
        <v>50350</v>
      </c>
      <c r="B2485" t="str">
        <f>IFERROR(VLOOKUP(D2485,APOYO!K:L,2,FALSE),A2485)</f>
        <v>50350</v>
      </c>
      <c r="C2485" t="s">
        <v>1386</v>
      </c>
      <c r="D2485" t="str">
        <f>IFERROR(VLOOKUP(C2485,APOYO!J:K,2,FALSE),C2485)</f>
        <v>LA MACARENA</v>
      </c>
      <c r="E2485">
        <v>2016</v>
      </c>
      <c r="F2485">
        <v>3241</v>
      </c>
      <c r="G2485" t="s">
        <v>2189</v>
      </c>
      <c r="H2485">
        <v>4</v>
      </c>
      <c r="I2485">
        <v>14325</v>
      </c>
    </row>
    <row r="2486" spans="1:9" hidden="1" x14ac:dyDescent="0.25">
      <c r="A2486" t="str">
        <f>_xlfn.XLOOKUP(C2486, 'Códigos DANE Municipios'!$B$2:$B$1123, 'Códigos DANE Municipios'!$A$2:$A$1123, "No encontrado")</f>
        <v>17388</v>
      </c>
      <c r="B2486" t="str">
        <f>IFERROR(VLOOKUP(D2486,APOYO!K:L,2,FALSE),A2486)</f>
        <v>17388</v>
      </c>
      <c r="C2486" t="s">
        <v>660</v>
      </c>
      <c r="D2486" t="str">
        <f>IFERROR(VLOOKUP(C2486,APOYO!J:K,2,FALSE),C2486)</f>
        <v>LA MERCED</v>
      </c>
      <c r="E2486">
        <v>2016</v>
      </c>
      <c r="H2486">
        <v>5</v>
      </c>
    </row>
    <row r="2487" spans="1:9" hidden="1" x14ac:dyDescent="0.25">
      <c r="A2487" t="str">
        <f>_xlfn.XLOOKUP(C2487, 'Códigos DANE Municipios'!$B$2:$B$1123, 'Códigos DANE Municipios'!$A$2:$A$1123, "No encontrado")</f>
        <v>25386</v>
      </c>
      <c r="B2487" t="str">
        <f>IFERROR(VLOOKUP(D2487,APOYO!K:L,2,FALSE),A2487)</f>
        <v>25386</v>
      </c>
      <c r="C2487" t="s">
        <v>1010</v>
      </c>
      <c r="D2487" t="str">
        <f>IFERROR(VLOOKUP(C2487,APOYO!J:K,2,FALSE),C2487)</f>
        <v>LA MESA</v>
      </c>
      <c r="E2487">
        <v>2016</v>
      </c>
      <c r="H2487">
        <v>121</v>
      </c>
    </row>
    <row r="2488" spans="1:9" hidden="1" x14ac:dyDescent="0.25">
      <c r="A2488" t="str">
        <f>_xlfn.XLOOKUP(C2488, 'Códigos DANE Municipios'!$B$2:$B$1123, 'Códigos DANE Municipios'!$A$2:$A$1123, "No encontrado")</f>
        <v>20621</v>
      </c>
      <c r="B2488" t="str">
        <f>IFERROR(VLOOKUP(D2488,APOYO!K:L,2,FALSE),A2488)</f>
        <v>20621</v>
      </c>
      <c r="C2488" t="s">
        <v>848</v>
      </c>
      <c r="D2488" t="str">
        <f>IFERROR(VLOOKUP(C2488,APOYO!J:K,2,FALSE),C2488)</f>
        <v>LA PAZ</v>
      </c>
      <c r="E2488">
        <v>2016</v>
      </c>
      <c r="H2488" t="s">
        <v>2511</v>
      </c>
    </row>
    <row r="2489" spans="1:9" hidden="1" x14ac:dyDescent="0.25">
      <c r="A2489" t="str">
        <f>_xlfn.XLOOKUP(C2489, 'Códigos DANE Municipios'!$B$2:$B$1123, 'Códigos DANE Municipios'!$A$2:$A$1123, "No encontrado")</f>
        <v>91407</v>
      </c>
      <c r="B2489" t="str">
        <f>IFERROR(VLOOKUP(D2489,APOYO!K:L,2,FALSE),A2489)</f>
        <v>91407</v>
      </c>
      <c r="C2489" t="s">
        <v>2114</v>
      </c>
      <c r="D2489" t="str">
        <f>IFERROR(VLOOKUP(C2489,APOYO!J:K,2,FALSE),C2489)</f>
        <v>LA PEDRERA</v>
      </c>
      <c r="E2489">
        <v>2016</v>
      </c>
      <c r="F2489">
        <v>1425</v>
      </c>
      <c r="H2489">
        <v>3</v>
      </c>
    </row>
    <row r="2490" spans="1:9" hidden="1" x14ac:dyDescent="0.25">
      <c r="A2490" t="str">
        <f>_xlfn.XLOOKUP(C2490, 'Códigos DANE Municipios'!$B$2:$B$1123, 'Códigos DANE Municipios'!$A$2:$A$1123, "No encontrado")</f>
        <v>25398</v>
      </c>
      <c r="B2490" t="str">
        <f>IFERROR(VLOOKUP(D2490,APOYO!K:L,2,FALSE),A2490)</f>
        <v>25398</v>
      </c>
      <c r="C2490" t="s">
        <v>1014</v>
      </c>
      <c r="D2490" t="str">
        <f>IFERROR(VLOOKUP(C2490,APOYO!J:K,2,FALSE),C2490)</f>
        <v>LA PEÑA</v>
      </c>
      <c r="E2490">
        <v>2016</v>
      </c>
      <c r="H2490" t="s">
        <v>2511</v>
      </c>
    </row>
    <row r="2491" spans="1:9" hidden="1" x14ac:dyDescent="0.25">
      <c r="A2491" t="str">
        <f>_xlfn.XLOOKUP(C2491, 'Códigos DANE Municipios'!$B$2:$B$1123, 'Códigos DANE Municipios'!$A$2:$A$1123, "No encontrado")</f>
        <v>05390</v>
      </c>
      <c r="B2491" t="str">
        <f>IFERROR(VLOOKUP(D2491,APOYO!K:L,2,FALSE),A2491)</f>
        <v>05390</v>
      </c>
      <c r="C2491" t="s">
        <v>140</v>
      </c>
      <c r="D2491" t="str">
        <f>IFERROR(VLOOKUP(C2491,APOYO!J:K,2,FALSE),C2491)</f>
        <v>LA PINTADA</v>
      </c>
      <c r="E2491">
        <v>2016</v>
      </c>
      <c r="H2491">
        <v>5</v>
      </c>
    </row>
    <row r="2492" spans="1:9" hidden="1" x14ac:dyDescent="0.25">
      <c r="A2492" t="str">
        <f>_xlfn.XLOOKUP(C2492, 'Códigos DANE Municipios'!$B$2:$B$1123, 'Códigos DANE Municipios'!$A$2:$A$1123, "No encontrado")</f>
        <v>41396</v>
      </c>
      <c r="B2492" t="str">
        <f>IFERROR(VLOOKUP(D2492,APOYO!K:L,2,FALSE),A2492)</f>
        <v>41396</v>
      </c>
      <c r="C2492" t="s">
        <v>1234</v>
      </c>
      <c r="D2492" t="str">
        <f>IFERROR(VLOOKUP(C2492,APOYO!J:K,2,FALSE),C2492)</f>
        <v>LA PLATA</v>
      </c>
      <c r="E2492">
        <v>2016</v>
      </c>
      <c r="H2492">
        <v>49</v>
      </c>
    </row>
    <row r="2493" spans="1:9" hidden="1" x14ac:dyDescent="0.25">
      <c r="A2493" t="str">
        <f>_xlfn.XLOOKUP(C2493, 'Códigos DANE Municipios'!$B$2:$B$1123, 'Códigos DANE Municipios'!$A$2:$A$1123, "No encontrado")</f>
        <v>54398</v>
      </c>
      <c r="B2493" t="str">
        <f>IFERROR(VLOOKUP(D2493,APOYO!K:L,2,FALSE),A2493)</f>
        <v>54398</v>
      </c>
      <c r="C2493" t="s">
        <v>1569</v>
      </c>
      <c r="D2493" t="str">
        <f>IFERROR(VLOOKUP(C2493,APOYO!J:K,2,FALSE),C2493)</f>
        <v>LA PLAYA</v>
      </c>
      <c r="E2493">
        <v>2016</v>
      </c>
      <c r="H2493" t="s">
        <v>2511</v>
      </c>
      <c r="I2493">
        <v>0</v>
      </c>
    </row>
    <row r="2494" spans="1:9" hidden="1" x14ac:dyDescent="0.25">
      <c r="A2494" t="str">
        <f>_xlfn.XLOOKUP(C2494, 'Códigos DANE Municipios'!$B$2:$B$1123, 'Códigos DANE Municipios'!$A$2:$A$1123, "No encontrado")</f>
        <v>99524</v>
      </c>
      <c r="B2494" t="str">
        <f>IFERROR(VLOOKUP(D2494,APOYO!K:L,2,FALSE),A2494)</f>
        <v>99524</v>
      </c>
      <c r="C2494" t="s">
        <v>2165</v>
      </c>
      <c r="D2494" t="str">
        <f>IFERROR(VLOOKUP(C2494,APOYO!J:K,2,FALSE),C2494)</f>
        <v>LA PRIMAVERA</v>
      </c>
      <c r="E2494">
        <v>2016</v>
      </c>
      <c r="H2494">
        <v>1</v>
      </c>
    </row>
    <row r="2495" spans="1:9" hidden="1" x14ac:dyDescent="0.25">
      <c r="A2495" t="str">
        <f>_xlfn.XLOOKUP(C2495, 'Códigos DANE Municipios'!$B$2:$B$1123, 'Códigos DANE Municipios'!$A$2:$A$1123, "No encontrado")</f>
        <v>19392</v>
      </c>
      <c r="B2495" t="str">
        <f>IFERROR(VLOOKUP(D2495,APOYO!K:L,2,FALSE),A2495)</f>
        <v>19392</v>
      </c>
      <c r="C2495" t="s">
        <v>759</v>
      </c>
      <c r="D2495" t="str">
        <f>IFERROR(VLOOKUP(C2495,APOYO!J:K,2,FALSE),C2495)</f>
        <v>LA SIERRA</v>
      </c>
      <c r="E2495">
        <v>2016</v>
      </c>
      <c r="H2495" t="s">
        <v>2511</v>
      </c>
    </row>
    <row r="2496" spans="1:9" hidden="1" x14ac:dyDescent="0.25">
      <c r="A2496" t="str">
        <f>_xlfn.XLOOKUP(C2496, 'Códigos DANE Municipios'!$B$2:$B$1123, 'Códigos DANE Municipios'!$A$2:$A$1123, "No encontrado")</f>
        <v>63401</v>
      </c>
      <c r="B2496" t="str">
        <f>IFERROR(VLOOKUP(D2496,APOYO!K:L,2,FALSE),A2496)</f>
        <v>63401</v>
      </c>
      <c r="C2496" t="s">
        <v>1618</v>
      </c>
      <c r="D2496" t="str">
        <f>IFERROR(VLOOKUP(C2496,APOYO!J:K,2,FALSE),C2496)</f>
        <v>LA TEBAIDA</v>
      </c>
      <c r="E2496">
        <v>2016</v>
      </c>
      <c r="H2496">
        <v>260</v>
      </c>
    </row>
    <row r="2497" spans="1:9" hidden="1" x14ac:dyDescent="0.25">
      <c r="A2497" t="str">
        <f>_xlfn.XLOOKUP(C2497, 'Códigos DANE Municipios'!$B$2:$B$1123, 'Códigos DANE Municipios'!$A$2:$A$1123, "No encontrado")</f>
        <v>No encontrado</v>
      </c>
      <c r="B2497" t="str">
        <f>IFERROR(VLOOKUP(D2497,APOYO!K:L,2,FALSE),A2497)</f>
        <v>No encontrado</v>
      </c>
      <c r="C2497" t="s">
        <v>2289</v>
      </c>
      <c r="D2497" t="str">
        <f>IFERROR(VLOOKUP(C2497,APOYO!J:K,2,FALSE),C2497)</f>
        <v>LA UNION</v>
      </c>
      <c r="E2497">
        <v>2016</v>
      </c>
      <c r="H2497">
        <v>208</v>
      </c>
    </row>
    <row r="2498" spans="1:9" hidden="1" x14ac:dyDescent="0.25">
      <c r="A2498" t="str">
        <f>_xlfn.XLOOKUP(C2498, 'Códigos DANE Municipios'!$B$2:$B$1123, 'Códigos DANE Municipios'!$A$2:$A$1123, "No encontrado")</f>
        <v>No encontrado</v>
      </c>
      <c r="B2498" t="str">
        <f>IFERROR(VLOOKUP(D2498,APOYO!K:L,2,FALSE),A2498)</f>
        <v>No encontrado</v>
      </c>
      <c r="C2498" t="s">
        <v>2290</v>
      </c>
      <c r="D2498" t="str">
        <f>IFERROR(VLOOKUP(C2498,APOYO!J:K,2,FALSE),C2498)</f>
        <v>LA URIBE</v>
      </c>
      <c r="E2498">
        <v>2016</v>
      </c>
      <c r="H2498" t="s">
        <v>2511</v>
      </c>
    </row>
    <row r="2499" spans="1:9" hidden="1" x14ac:dyDescent="0.25">
      <c r="A2499" t="str">
        <f>_xlfn.XLOOKUP(C2499, 'Códigos DANE Municipios'!$B$2:$B$1123, 'Códigos DANE Municipios'!$A$2:$A$1123, "No encontrado")</f>
        <v>19397</v>
      </c>
      <c r="B2499" t="str">
        <f>IFERROR(VLOOKUP(D2499,APOYO!K:L,2,FALSE),A2499)</f>
        <v>19397</v>
      </c>
      <c r="C2499" t="s">
        <v>761</v>
      </c>
      <c r="D2499" t="str">
        <f>IFERROR(VLOOKUP(C2499,APOYO!J:K,2,FALSE),C2499)</f>
        <v>LA VEGA</v>
      </c>
      <c r="E2499">
        <v>2016</v>
      </c>
      <c r="H2499">
        <v>69</v>
      </c>
    </row>
    <row r="2500" spans="1:9" hidden="1" x14ac:dyDescent="0.25">
      <c r="A2500" t="str">
        <f>_xlfn.XLOOKUP(C2500, 'Códigos DANE Municipios'!$B$2:$B$1123, 'Códigos DANE Municipios'!$A$2:$A$1123, "No encontrado")</f>
        <v>15401</v>
      </c>
      <c r="B2500" t="str">
        <f>IFERROR(VLOOKUP(D2500,APOYO!K:L,2,FALSE),A2500)</f>
        <v>15401</v>
      </c>
      <c r="C2500" t="s">
        <v>494</v>
      </c>
      <c r="D2500" t="str">
        <f>IFERROR(VLOOKUP(C2500,APOYO!J:K,2,FALSE),C2500)</f>
        <v>LA VICTORIA</v>
      </c>
      <c r="E2500">
        <v>2016</v>
      </c>
      <c r="H2500">
        <v>54</v>
      </c>
    </row>
    <row r="2501" spans="1:9" hidden="1" x14ac:dyDescent="0.25">
      <c r="A2501" t="str">
        <f>_xlfn.XLOOKUP(C2501, 'Códigos DANE Municipios'!$B$2:$B$1123, 'Códigos DANE Municipios'!$A$2:$A$1123, "No encontrado")</f>
        <v>66400</v>
      </c>
      <c r="B2501" t="str">
        <f>IFERROR(VLOOKUP(D2501,APOYO!K:L,2,FALSE),A2501)</f>
        <v>66400</v>
      </c>
      <c r="C2501" t="s">
        <v>1641</v>
      </c>
      <c r="D2501" t="str">
        <f>IFERROR(VLOOKUP(C2501,APOYO!J:K,2,FALSE),C2501)</f>
        <v>LA VIRGINIA</v>
      </c>
      <c r="E2501">
        <v>2016</v>
      </c>
      <c r="H2501">
        <v>135</v>
      </c>
    </row>
    <row r="2502" spans="1:9" hidden="1" x14ac:dyDescent="0.25">
      <c r="A2502" t="str">
        <f>_xlfn.XLOOKUP(C2502, 'Códigos DANE Municipios'!$B$2:$B$1123, 'Códigos DANE Municipios'!$A$2:$A$1123, "No encontrado")</f>
        <v>No encontrado</v>
      </c>
      <c r="B2502" t="str">
        <f>IFERROR(VLOOKUP(D2502,APOYO!K:L,2,FALSE),A2502)</f>
        <v>68385</v>
      </c>
      <c r="C2502" t="s">
        <v>2440</v>
      </c>
      <c r="D2502" t="str">
        <f>IFERROR(VLOOKUP(C2502,APOYO!J:K,2,FALSE),C2502)</f>
        <v>LANDÁZURI</v>
      </c>
      <c r="E2502">
        <v>2016</v>
      </c>
      <c r="H2502">
        <v>3</v>
      </c>
    </row>
    <row r="2503" spans="1:9" hidden="1" x14ac:dyDescent="0.25">
      <c r="A2503" t="str">
        <f>_xlfn.XLOOKUP(C2503, 'Códigos DANE Municipios'!$B$2:$B$1123, 'Códigos DANE Municipios'!$A$2:$A$1123, "No encontrado")</f>
        <v>No encontrado</v>
      </c>
      <c r="B2503" t="str">
        <f>IFERROR(VLOOKUP(D2503,APOYO!K:L,2,FALSE),A2503)</f>
        <v>68406</v>
      </c>
      <c r="C2503" t="s">
        <v>2291</v>
      </c>
      <c r="D2503" t="str">
        <f>IFERROR(VLOOKUP(C2503,APOYO!J:K,2,FALSE),C2503)</f>
        <v>LEBRIJA</v>
      </c>
      <c r="E2503">
        <v>2016</v>
      </c>
      <c r="H2503">
        <v>21</v>
      </c>
    </row>
    <row r="2504" spans="1:9" hidden="1" x14ac:dyDescent="0.25">
      <c r="A2504" t="str">
        <f>_xlfn.XLOOKUP(C2504, 'Códigos DANE Municipios'!$B$2:$B$1123, 'Códigos DANE Municipios'!$A$2:$A$1123, "No encontrado")</f>
        <v>No encontrado</v>
      </c>
      <c r="B2504" t="str">
        <f>IFERROR(VLOOKUP(D2504,APOYO!K:L,2,FALSE),A2504)</f>
        <v>50400</v>
      </c>
      <c r="C2504" t="s">
        <v>2441</v>
      </c>
      <c r="D2504" t="str">
        <f>IFERROR(VLOOKUP(C2504,APOYO!J:K,2,FALSE),C2504)</f>
        <v>LEJANÍAS</v>
      </c>
      <c r="E2504">
        <v>2016</v>
      </c>
      <c r="H2504">
        <v>1</v>
      </c>
    </row>
    <row r="2505" spans="1:9" hidden="1" x14ac:dyDescent="0.25">
      <c r="A2505" t="str">
        <f>_xlfn.XLOOKUP(C2505, 'Códigos DANE Municipios'!$B$2:$B$1123, 'Códigos DANE Municipios'!$A$2:$A$1123, "No encontrado")</f>
        <v>25407</v>
      </c>
      <c r="B2505" t="str">
        <f>IFERROR(VLOOKUP(D2505,APOYO!K:L,2,FALSE),A2505)</f>
        <v>25407</v>
      </c>
      <c r="C2505" t="s">
        <v>1017</v>
      </c>
      <c r="D2505" t="str">
        <f>IFERROR(VLOOKUP(C2505,APOYO!J:K,2,FALSE),C2505)</f>
        <v>LENGUAZAQUE</v>
      </c>
      <c r="E2505">
        <v>2016</v>
      </c>
      <c r="H2505">
        <v>1</v>
      </c>
    </row>
    <row r="2506" spans="1:9" hidden="1" x14ac:dyDescent="0.25">
      <c r="A2506" t="str">
        <f>_xlfn.XLOOKUP(C2506, 'Códigos DANE Municipios'!$B$2:$B$1123, 'Códigos DANE Municipios'!$A$2:$A$1123, "No encontrado")</f>
        <v>No encontrado</v>
      </c>
      <c r="B2506" t="str">
        <f>IFERROR(VLOOKUP(D2506,APOYO!K:L,2,FALSE),A2506)</f>
        <v>No encontrado</v>
      </c>
      <c r="C2506" t="s">
        <v>2292</v>
      </c>
      <c r="D2506" t="str">
        <f>IFERROR(VLOOKUP(C2506,APOYO!J:K,2,FALSE),C2506)</f>
        <v>LERIDA</v>
      </c>
      <c r="E2506">
        <v>2016</v>
      </c>
      <c r="H2506">
        <v>17</v>
      </c>
    </row>
    <row r="2507" spans="1:9" hidden="1" x14ac:dyDescent="0.25">
      <c r="A2507" t="str">
        <f>_xlfn.XLOOKUP(C2507, 'Códigos DANE Municipios'!$B$2:$B$1123, 'Códigos DANE Municipios'!$A$2:$A$1123, "No encontrado")</f>
        <v>91001</v>
      </c>
      <c r="B2507" t="str">
        <f>IFERROR(VLOOKUP(D2507,APOYO!K:L,2,FALSE),A2507)</f>
        <v>91001</v>
      </c>
      <c r="C2507" t="s">
        <v>2108</v>
      </c>
      <c r="D2507" t="str">
        <f>IFERROR(VLOOKUP(C2507,APOYO!J:K,2,FALSE),C2507)</f>
        <v>LETICIA</v>
      </c>
      <c r="E2507">
        <v>2016</v>
      </c>
      <c r="F2507">
        <v>132503</v>
      </c>
      <c r="G2507">
        <v>242</v>
      </c>
      <c r="H2507">
        <v>4508</v>
      </c>
      <c r="I2507">
        <v>0</v>
      </c>
    </row>
    <row r="2508" spans="1:9" hidden="1" x14ac:dyDescent="0.25">
      <c r="A2508" t="str">
        <f>_xlfn.XLOOKUP(C2508, 'Códigos DANE Municipios'!$B$2:$B$1123, 'Códigos DANE Municipios'!$A$2:$A$1123, "No encontrado")</f>
        <v>No encontrado</v>
      </c>
      <c r="B2508" t="str">
        <f>IFERROR(VLOOKUP(D2508,APOYO!K:L,2,FALSE),A2508)</f>
        <v>No encontrado</v>
      </c>
      <c r="C2508" t="s">
        <v>2293</v>
      </c>
      <c r="D2508" t="str">
        <f>IFERROR(VLOOKUP(C2508,APOYO!J:K,2,FALSE),C2508)</f>
        <v>LIBANO</v>
      </c>
      <c r="E2508">
        <v>2016</v>
      </c>
      <c r="H2508">
        <v>46</v>
      </c>
    </row>
    <row r="2509" spans="1:9" hidden="1" x14ac:dyDescent="0.25">
      <c r="A2509" t="str">
        <f>_xlfn.XLOOKUP(C2509, 'Códigos DANE Municipios'!$B$2:$B$1123, 'Códigos DANE Municipios'!$A$2:$A$1123, "No encontrado")</f>
        <v>52411</v>
      </c>
      <c r="B2509" t="str">
        <f>IFERROR(VLOOKUP(D2509,APOYO!K:L,2,FALSE),A2509)</f>
        <v>52411</v>
      </c>
      <c r="C2509" t="s">
        <v>1475</v>
      </c>
      <c r="D2509" t="str">
        <f>IFERROR(VLOOKUP(C2509,APOYO!J:K,2,FALSE),C2509)</f>
        <v>LINARES</v>
      </c>
      <c r="E2509">
        <v>2016</v>
      </c>
      <c r="H2509" t="s">
        <v>2511</v>
      </c>
    </row>
    <row r="2510" spans="1:9" hidden="1" x14ac:dyDescent="0.25">
      <c r="A2510" t="str">
        <f>_xlfn.XLOOKUP(C2510, 'Códigos DANE Municipios'!$B$2:$B$1123, 'Códigos DANE Municipios'!$A$2:$A$1123, "No encontrado")</f>
        <v>No encontrado</v>
      </c>
      <c r="B2510" t="str">
        <f>IFERROR(VLOOKUP(D2510,APOYO!K:L,2,FALSE),A2510)</f>
        <v>27413</v>
      </c>
      <c r="C2510" t="s">
        <v>2442</v>
      </c>
      <c r="D2510" t="str">
        <f>IFERROR(VLOOKUP(C2510,APOYO!J:K,2,FALSE),C2510)</f>
        <v>LLORÓ</v>
      </c>
      <c r="E2510">
        <v>2016</v>
      </c>
      <c r="H2510" t="s">
        <v>2511</v>
      </c>
    </row>
    <row r="2511" spans="1:9" hidden="1" x14ac:dyDescent="0.25">
      <c r="A2511" t="str">
        <f>_xlfn.XLOOKUP(C2511, 'Códigos DANE Municipios'!$B$2:$B$1123, 'Códigos DANE Municipios'!$A$2:$A$1123, "No encontrado")</f>
        <v>05411</v>
      </c>
      <c r="B2511" t="str">
        <f>IFERROR(VLOOKUP(D2511,APOYO!K:L,2,FALSE),A2511)</f>
        <v>05411</v>
      </c>
      <c r="C2511" t="s">
        <v>144</v>
      </c>
      <c r="D2511" t="str">
        <f>IFERROR(VLOOKUP(C2511,APOYO!J:K,2,FALSE),C2511)</f>
        <v>LIBORINA</v>
      </c>
      <c r="E2511">
        <v>2016</v>
      </c>
      <c r="H2511" t="s">
        <v>2511</v>
      </c>
    </row>
    <row r="2512" spans="1:9" hidden="1" x14ac:dyDescent="0.25">
      <c r="A2512" t="str">
        <f>_xlfn.XLOOKUP(C2512, 'Códigos DANE Municipios'!$B$2:$B$1123, 'Códigos DANE Municipios'!$A$2:$A$1123, "No encontrado")</f>
        <v>23417</v>
      </c>
      <c r="B2512" t="str">
        <f>IFERROR(VLOOKUP(D2512,APOYO!K:L,2,FALSE),A2512)</f>
        <v>23417</v>
      </c>
      <c r="C2512" t="s">
        <v>877</v>
      </c>
      <c r="D2512" t="str">
        <f>IFERROR(VLOOKUP(C2512,APOYO!J:K,2,FALSE),C2512)</f>
        <v>LORICA</v>
      </c>
      <c r="E2512">
        <v>2016</v>
      </c>
      <c r="H2512">
        <v>23</v>
      </c>
    </row>
    <row r="2513" spans="1:8" hidden="1" x14ac:dyDescent="0.25">
      <c r="A2513" t="str">
        <f>_xlfn.XLOOKUP(C2513, 'Códigos DANE Municipios'!$B$2:$B$1123, 'Códigos DANE Municipios'!$A$2:$A$1123, "No encontrado")</f>
        <v>No encontrado</v>
      </c>
      <c r="B2513" t="str">
        <f>IFERROR(VLOOKUP(D2513,APOYO!K:L,2,FALSE),A2513)</f>
        <v>52418</v>
      </c>
      <c r="C2513" t="s">
        <v>2443</v>
      </c>
      <c r="D2513" t="str">
        <f>IFERROR(VLOOKUP(C2513,APOYO!J:K,2,FALSE),C2513)</f>
        <v>LOS ANDES</v>
      </c>
      <c r="E2513">
        <v>2016</v>
      </c>
      <c r="H2513">
        <v>1</v>
      </c>
    </row>
    <row r="2514" spans="1:8" hidden="1" x14ac:dyDescent="0.25">
      <c r="A2514" t="str">
        <f>_xlfn.XLOOKUP(C2514, 'Códigos DANE Municipios'!$B$2:$B$1123, 'Códigos DANE Municipios'!$A$2:$A$1123, "No encontrado")</f>
        <v>70418</v>
      </c>
      <c r="B2514" t="str">
        <f>IFERROR(VLOOKUP(D2514,APOYO!K:L,2,FALSE),A2514)</f>
        <v>70418</v>
      </c>
      <c r="C2514" t="s">
        <v>1836</v>
      </c>
      <c r="D2514" t="str">
        <f>IFERROR(VLOOKUP(C2514,APOYO!J:K,2,FALSE),C2514)</f>
        <v>LOS PALMITOS</v>
      </c>
      <c r="E2514">
        <v>2016</v>
      </c>
      <c r="H2514">
        <v>2</v>
      </c>
    </row>
    <row r="2515" spans="1:8" hidden="1" x14ac:dyDescent="0.25">
      <c r="A2515" t="str">
        <f>_xlfn.XLOOKUP(C2515, 'Códigos DANE Municipios'!$B$2:$B$1123, 'Códigos DANE Municipios'!$A$2:$A$1123, "No encontrado")</f>
        <v>54405</v>
      </c>
      <c r="B2515" t="str">
        <f>IFERROR(VLOOKUP(D2515,APOYO!K:L,2,FALSE),A2515)</f>
        <v>54405</v>
      </c>
      <c r="C2515" t="s">
        <v>1571</v>
      </c>
      <c r="D2515" t="str">
        <f>IFERROR(VLOOKUP(C2515,APOYO!J:K,2,FALSE),C2515)</f>
        <v>LOS PATIOS</v>
      </c>
      <c r="E2515">
        <v>2016</v>
      </c>
      <c r="H2515">
        <v>23</v>
      </c>
    </row>
    <row r="2516" spans="1:8" hidden="1" x14ac:dyDescent="0.25">
      <c r="A2516" t="str">
        <f>_xlfn.XLOOKUP(C2516, 'Códigos DANE Municipios'!$B$2:$B$1123, 'Códigos DANE Municipios'!$A$2:$A$1123, "No encontrado")</f>
        <v>68418</v>
      </c>
      <c r="B2516" t="str">
        <f>IFERROR(VLOOKUP(D2516,APOYO!K:L,2,FALSE),A2516)</f>
        <v>68418</v>
      </c>
      <c r="C2516" t="s">
        <v>1742</v>
      </c>
      <c r="D2516" t="str">
        <f>IFERROR(VLOOKUP(C2516,APOYO!J:K,2,FALSE),C2516)</f>
        <v>LOS SANTOS</v>
      </c>
      <c r="E2516">
        <v>2016</v>
      </c>
      <c r="H2516">
        <v>11</v>
      </c>
    </row>
    <row r="2517" spans="1:8" hidden="1" x14ac:dyDescent="0.25">
      <c r="A2517" t="str">
        <f>_xlfn.XLOOKUP(C2517, 'Códigos DANE Municipios'!$B$2:$B$1123, 'Códigos DANE Municipios'!$A$2:$A$1123, "No encontrado")</f>
        <v>08421</v>
      </c>
      <c r="B2517" t="str">
        <f>IFERROR(VLOOKUP(D2517,APOYO!K:L,2,FALSE),A2517)</f>
        <v>08421</v>
      </c>
      <c r="C2517" t="s">
        <v>274</v>
      </c>
      <c r="D2517" t="str">
        <f>IFERROR(VLOOKUP(C2517,APOYO!J:K,2,FALSE),C2517)</f>
        <v>LURUACO</v>
      </c>
      <c r="E2517">
        <v>2016</v>
      </c>
      <c r="H2517">
        <v>1</v>
      </c>
    </row>
    <row r="2518" spans="1:8" hidden="1" x14ac:dyDescent="0.25">
      <c r="A2518" t="str">
        <f>_xlfn.XLOOKUP(C2518, 'Códigos DANE Municipios'!$B$2:$B$1123, 'Códigos DANE Municipios'!$A$2:$A$1123, "No encontrado")</f>
        <v>05425</v>
      </c>
      <c r="B2518" t="str">
        <f>IFERROR(VLOOKUP(D2518,APOYO!K:L,2,FALSE),A2518)</f>
        <v>05425</v>
      </c>
      <c r="C2518" t="s">
        <v>146</v>
      </c>
      <c r="D2518" t="str">
        <f>IFERROR(VLOOKUP(C2518,APOYO!J:K,2,FALSE),C2518)</f>
        <v>MACEO</v>
      </c>
      <c r="E2518">
        <v>2016</v>
      </c>
      <c r="H2518">
        <v>109</v>
      </c>
    </row>
    <row r="2519" spans="1:8" hidden="1" x14ac:dyDescent="0.25">
      <c r="A2519" t="str">
        <f>_xlfn.XLOOKUP(C2519, 'Códigos DANE Municipios'!$B$2:$B$1123, 'Códigos DANE Municipios'!$A$2:$A$1123, "No encontrado")</f>
        <v>No encontrado</v>
      </c>
      <c r="B2519" t="str">
        <f>IFERROR(VLOOKUP(D2519,APOYO!K:L,2,FALSE),A2519)</f>
        <v>No encontrado</v>
      </c>
      <c r="C2519" t="s">
        <v>2294</v>
      </c>
      <c r="D2519" t="str">
        <f>IFERROR(VLOOKUP(C2519,APOYO!J:K,2,FALSE),C2519)</f>
        <v>MACHETA</v>
      </c>
      <c r="E2519">
        <v>2016</v>
      </c>
      <c r="H2519">
        <v>4</v>
      </c>
    </row>
    <row r="2520" spans="1:8" hidden="1" x14ac:dyDescent="0.25">
      <c r="A2520" t="str">
        <f>_xlfn.XLOOKUP(C2520, 'Códigos DANE Municipios'!$B$2:$B$1123, 'Códigos DANE Municipios'!$A$2:$A$1123, "No encontrado")</f>
        <v>25430</v>
      </c>
      <c r="B2520" t="str">
        <f>IFERROR(VLOOKUP(D2520,APOYO!K:L,2,FALSE),A2520)</f>
        <v>25430</v>
      </c>
      <c r="C2520" t="s">
        <v>1021</v>
      </c>
      <c r="D2520" t="str">
        <f>IFERROR(VLOOKUP(C2520,APOYO!J:K,2,FALSE),C2520)</f>
        <v>MADRID</v>
      </c>
      <c r="E2520">
        <v>2016</v>
      </c>
      <c r="H2520">
        <v>217</v>
      </c>
    </row>
    <row r="2521" spans="1:8" hidden="1" x14ac:dyDescent="0.25">
      <c r="A2521" t="str">
        <f>_xlfn.XLOOKUP(C2521, 'Códigos DANE Municipios'!$B$2:$B$1123, 'Códigos DANE Municipios'!$A$2:$A$1123, "No encontrado")</f>
        <v>No encontrado</v>
      </c>
      <c r="B2521" t="str">
        <f>IFERROR(VLOOKUP(D2521,APOYO!K:L,2,FALSE),A2521)</f>
        <v>No encontrado</v>
      </c>
      <c r="C2521" t="s">
        <v>2295</v>
      </c>
      <c r="D2521" t="str">
        <f>IFERROR(VLOOKUP(C2521,APOYO!J:K,2,FALSE),C2521)</f>
        <v>MAGANGUE</v>
      </c>
      <c r="E2521">
        <v>2016</v>
      </c>
      <c r="H2521">
        <v>30</v>
      </c>
    </row>
    <row r="2522" spans="1:8" hidden="1" x14ac:dyDescent="0.25">
      <c r="A2522" t="str">
        <f>_xlfn.XLOOKUP(C2522, 'Códigos DANE Municipios'!$B$2:$B$1123, 'Códigos DANE Municipios'!$A$2:$A$1123, "No encontrado")</f>
        <v>13433</v>
      </c>
      <c r="B2522" t="str">
        <f>IFERROR(VLOOKUP(D2522,APOYO!K:L,2,FALSE),A2522)</f>
        <v>13433</v>
      </c>
      <c r="C2522" t="s">
        <v>343</v>
      </c>
      <c r="D2522" t="str">
        <f>IFERROR(VLOOKUP(C2522,APOYO!J:K,2,FALSE),C2522)</f>
        <v>MAHATES</v>
      </c>
      <c r="E2522">
        <v>2016</v>
      </c>
      <c r="H2522">
        <v>2</v>
      </c>
    </row>
    <row r="2523" spans="1:8" hidden="1" x14ac:dyDescent="0.25">
      <c r="A2523" t="str">
        <f>_xlfn.XLOOKUP(C2523, 'Códigos DANE Municipios'!$B$2:$B$1123, 'Códigos DANE Municipios'!$A$2:$A$1123, "No encontrado")</f>
        <v>44430</v>
      </c>
      <c r="B2523" t="str">
        <f>IFERROR(VLOOKUP(D2523,APOYO!K:L,2,FALSE),A2523)</f>
        <v>44430</v>
      </c>
      <c r="C2523" t="s">
        <v>1289</v>
      </c>
      <c r="D2523" t="str">
        <f>IFERROR(VLOOKUP(C2523,APOYO!J:K,2,FALSE),C2523)</f>
        <v>MAICAO</v>
      </c>
      <c r="E2523">
        <v>2016</v>
      </c>
      <c r="F2523">
        <v>25739</v>
      </c>
      <c r="H2523">
        <v>235</v>
      </c>
    </row>
    <row r="2524" spans="1:8" hidden="1" x14ac:dyDescent="0.25">
      <c r="A2524" t="str">
        <f>_xlfn.XLOOKUP(C2524, 'Códigos DANE Municipios'!$B$2:$B$1123, 'Códigos DANE Municipios'!$A$2:$A$1123, "No encontrado")</f>
        <v>No encontrado</v>
      </c>
      <c r="B2524" t="str">
        <f>IFERROR(VLOOKUP(D2524,APOYO!K:L,2,FALSE),A2524)</f>
        <v>No encontrado</v>
      </c>
      <c r="C2524" t="s">
        <v>2296</v>
      </c>
      <c r="D2524" t="str">
        <f>IFERROR(VLOOKUP(C2524,APOYO!J:K,2,FALSE),C2524)</f>
        <v>MALAGA</v>
      </c>
      <c r="E2524">
        <v>2016</v>
      </c>
      <c r="H2524" t="s">
        <v>2511</v>
      </c>
    </row>
    <row r="2525" spans="1:8" hidden="1" x14ac:dyDescent="0.25">
      <c r="A2525" t="str">
        <f>_xlfn.XLOOKUP(C2525, 'Códigos DANE Municipios'!$B$2:$B$1123, 'Códigos DANE Municipios'!$A$2:$A$1123, "No encontrado")</f>
        <v>08433</v>
      </c>
      <c r="B2525" t="str">
        <f>IFERROR(VLOOKUP(D2525,APOYO!K:L,2,FALSE),A2525)</f>
        <v>08433</v>
      </c>
      <c r="C2525" t="s">
        <v>276</v>
      </c>
      <c r="D2525" t="str">
        <f>IFERROR(VLOOKUP(C2525,APOYO!J:K,2,FALSE),C2525)</f>
        <v>MALAMBO</v>
      </c>
      <c r="E2525">
        <v>2016</v>
      </c>
      <c r="H2525">
        <v>39</v>
      </c>
    </row>
    <row r="2526" spans="1:8" hidden="1" x14ac:dyDescent="0.25">
      <c r="A2526" t="str">
        <f>_xlfn.XLOOKUP(C2526, 'Códigos DANE Municipios'!$B$2:$B$1123, 'Códigos DANE Municipios'!$A$2:$A$1123, "No encontrado")</f>
        <v>44560</v>
      </c>
      <c r="B2526" t="str">
        <f>IFERROR(VLOOKUP(D2526,APOYO!K:L,2,FALSE),A2526)</f>
        <v>44560</v>
      </c>
      <c r="C2526" t="s">
        <v>1291</v>
      </c>
      <c r="D2526" t="str">
        <f>IFERROR(VLOOKUP(C2526,APOYO!J:K,2,FALSE),C2526)</f>
        <v>MANAURE</v>
      </c>
      <c r="E2526">
        <v>2016</v>
      </c>
      <c r="H2526">
        <v>23</v>
      </c>
    </row>
    <row r="2527" spans="1:8" hidden="1" x14ac:dyDescent="0.25">
      <c r="A2527" t="str">
        <f>_xlfn.XLOOKUP(C2527, 'Códigos DANE Municipios'!$B$2:$B$1123, 'Códigos DANE Municipios'!$A$2:$A$1123, "No encontrado")</f>
        <v>No encontrado</v>
      </c>
      <c r="B2527" t="str">
        <f>IFERROR(VLOOKUP(D2527,APOYO!K:L,2,FALSE),A2527)</f>
        <v>No encontrado</v>
      </c>
      <c r="C2527" t="s">
        <v>2297</v>
      </c>
      <c r="D2527" t="str">
        <f>IFERROR(VLOOKUP(C2527,APOYO!J:K,2,FALSE),C2527)</f>
        <v>MANAURE BALCO</v>
      </c>
      <c r="E2527">
        <v>2016</v>
      </c>
      <c r="H2527" t="s">
        <v>2511</v>
      </c>
    </row>
    <row r="2528" spans="1:8" hidden="1" x14ac:dyDescent="0.25">
      <c r="A2528" t="str">
        <f>_xlfn.XLOOKUP(C2528, 'Códigos DANE Municipios'!$B$2:$B$1123, 'Códigos DANE Municipios'!$A$2:$A$1123, "No encontrado")</f>
        <v>No encontrado</v>
      </c>
      <c r="B2528" t="str">
        <f>IFERROR(VLOOKUP(D2528,APOYO!K:L,2,FALSE),A2528)</f>
        <v>No encontrado</v>
      </c>
      <c r="C2528" t="s">
        <v>2298</v>
      </c>
      <c r="D2528" t="str">
        <f>IFERROR(VLOOKUP(C2528,APOYO!J:K,2,FALSE),C2528)</f>
        <v>MANI</v>
      </c>
      <c r="E2528">
        <v>2016</v>
      </c>
      <c r="F2528">
        <v>111</v>
      </c>
      <c r="H2528">
        <v>1</v>
      </c>
    </row>
    <row r="2529" spans="1:8" hidden="1" x14ac:dyDescent="0.25">
      <c r="A2529" t="str">
        <f>_xlfn.XLOOKUP(C2529, 'Códigos DANE Municipios'!$B$2:$B$1123, 'Códigos DANE Municipios'!$A$2:$A$1123, "No encontrado")</f>
        <v>17001</v>
      </c>
      <c r="B2529" t="str">
        <f>IFERROR(VLOOKUP(D2529,APOYO!K:L,2,FALSE),A2529)</f>
        <v>17001</v>
      </c>
      <c r="C2529" t="s">
        <v>644</v>
      </c>
      <c r="D2529" t="str">
        <f>IFERROR(VLOOKUP(C2529,APOYO!J:K,2,FALSE),C2529)</f>
        <v>MANIZALES</v>
      </c>
      <c r="E2529">
        <v>2016</v>
      </c>
      <c r="F2529">
        <v>106090</v>
      </c>
      <c r="G2529">
        <v>5494</v>
      </c>
      <c r="H2529">
        <v>7039</v>
      </c>
    </row>
    <row r="2530" spans="1:8" hidden="1" x14ac:dyDescent="0.25">
      <c r="A2530" t="str">
        <f>_xlfn.XLOOKUP(C2530, 'Códigos DANE Municipios'!$B$2:$B$1123, 'Códigos DANE Municipios'!$A$2:$A$1123, "No encontrado")</f>
        <v>25436</v>
      </c>
      <c r="B2530" t="str">
        <f>IFERROR(VLOOKUP(D2530,APOYO!K:L,2,FALSE),A2530)</f>
        <v>25436</v>
      </c>
      <c r="C2530" t="s">
        <v>1023</v>
      </c>
      <c r="D2530" t="str">
        <f>IFERROR(VLOOKUP(C2530,APOYO!J:K,2,FALSE),C2530)</f>
        <v>MANTA</v>
      </c>
      <c r="E2530">
        <v>2016</v>
      </c>
      <c r="H2530">
        <v>4</v>
      </c>
    </row>
    <row r="2531" spans="1:8" hidden="1" x14ac:dyDescent="0.25">
      <c r="A2531" t="str">
        <f>_xlfn.XLOOKUP(C2531, 'Códigos DANE Municipios'!$B$2:$B$1123, 'Códigos DANE Municipios'!$A$2:$A$1123, "No encontrado")</f>
        <v>17433</v>
      </c>
      <c r="B2531" t="str">
        <f>IFERROR(VLOOKUP(D2531,APOYO!K:L,2,FALSE),A2531)</f>
        <v>17433</v>
      </c>
      <c r="C2531" t="s">
        <v>662</v>
      </c>
      <c r="D2531" t="str">
        <f>IFERROR(VLOOKUP(C2531,APOYO!J:K,2,FALSE),C2531)</f>
        <v>MANZANARES</v>
      </c>
      <c r="E2531">
        <v>2016</v>
      </c>
      <c r="H2531">
        <v>25</v>
      </c>
    </row>
    <row r="2532" spans="1:8" hidden="1" x14ac:dyDescent="0.25">
      <c r="A2532" t="str">
        <f>_xlfn.XLOOKUP(C2532, 'Códigos DANE Municipios'!$B$2:$B$1123, 'Códigos DANE Municipios'!$A$2:$A$1123, "No encontrado")</f>
        <v>No encontrado</v>
      </c>
      <c r="B2532" t="str">
        <f>IFERROR(VLOOKUP(D2532,APOYO!K:L,2,FALSE),A2532)</f>
        <v>No encontrado</v>
      </c>
      <c r="C2532" t="s">
        <v>2299</v>
      </c>
      <c r="D2532" t="str">
        <f>IFERROR(VLOOKUP(C2532,APOYO!J:K,2,FALSE),C2532)</f>
        <v>MAPIRIPAN</v>
      </c>
      <c r="E2532">
        <v>2016</v>
      </c>
      <c r="F2532">
        <v>40</v>
      </c>
      <c r="H2532">
        <v>1</v>
      </c>
    </row>
    <row r="2533" spans="1:8" hidden="1" x14ac:dyDescent="0.25">
      <c r="A2533" t="str">
        <f>_xlfn.XLOOKUP(C2533, 'Códigos DANE Municipios'!$B$2:$B$1123, 'Códigos DANE Municipios'!$A$2:$A$1123, "No encontrado")</f>
        <v>05440</v>
      </c>
      <c r="B2533" t="str">
        <f>IFERROR(VLOOKUP(D2533,APOYO!K:L,2,FALSE),A2533)</f>
        <v>05440</v>
      </c>
      <c r="C2533" t="s">
        <v>148</v>
      </c>
      <c r="D2533" t="str">
        <f>IFERROR(VLOOKUP(C2533,APOYO!J:K,2,FALSE),C2533)</f>
        <v>MARINILLA</v>
      </c>
      <c r="E2533">
        <v>2016</v>
      </c>
      <c r="H2533">
        <v>141</v>
      </c>
    </row>
    <row r="2534" spans="1:8" hidden="1" x14ac:dyDescent="0.25">
      <c r="A2534" t="str">
        <f>_xlfn.XLOOKUP(C2534, 'Códigos DANE Municipios'!$B$2:$B$1123, 'Códigos DANE Municipios'!$A$2:$A$1123, "No encontrado")</f>
        <v>No encontrado</v>
      </c>
      <c r="B2534" t="str">
        <f>IFERROR(VLOOKUP(D2534,APOYO!K:L,2,FALSE),A2534)</f>
        <v>No encontrado</v>
      </c>
      <c r="C2534" t="s">
        <v>2300</v>
      </c>
      <c r="D2534" t="str">
        <f>IFERROR(VLOOKUP(C2534,APOYO!J:K,2,FALSE),C2534)</f>
        <v>MARIQUITA</v>
      </c>
      <c r="E2534">
        <v>2016</v>
      </c>
      <c r="H2534">
        <v>6</v>
      </c>
    </row>
    <row r="2535" spans="1:8" hidden="1" x14ac:dyDescent="0.25">
      <c r="A2535" t="str">
        <f>_xlfn.XLOOKUP(C2535, 'Códigos DANE Municipios'!$B$2:$B$1123, 'Códigos DANE Municipios'!$A$2:$A$1123, "No encontrado")</f>
        <v>17444</v>
      </c>
      <c r="B2535" t="str">
        <f>IFERROR(VLOOKUP(D2535,APOYO!K:L,2,FALSE),A2535)</f>
        <v>17444</v>
      </c>
      <c r="C2535" t="s">
        <v>666</v>
      </c>
      <c r="D2535" t="str">
        <f>IFERROR(VLOOKUP(C2535,APOYO!J:K,2,FALSE),C2535)</f>
        <v>MARQUETALIA</v>
      </c>
      <c r="E2535">
        <v>2016</v>
      </c>
      <c r="H2535">
        <v>9</v>
      </c>
    </row>
    <row r="2536" spans="1:8" hidden="1" x14ac:dyDescent="0.25">
      <c r="A2536" t="str">
        <f>_xlfn.XLOOKUP(C2536, 'Códigos DANE Municipios'!$B$2:$B$1123, 'Códigos DANE Municipios'!$A$2:$A$1123, "No encontrado")</f>
        <v>66440</v>
      </c>
      <c r="B2536" t="str">
        <f>IFERROR(VLOOKUP(D2536,APOYO!K:L,2,FALSE),A2536)</f>
        <v>66440</v>
      </c>
      <c r="C2536" t="s">
        <v>1643</v>
      </c>
      <c r="D2536" t="str">
        <f>IFERROR(VLOOKUP(C2536,APOYO!J:K,2,FALSE),C2536)</f>
        <v>MARSELLA</v>
      </c>
      <c r="E2536">
        <v>2016</v>
      </c>
      <c r="H2536">
        <v>65</v>
      </c>
    </row>
    <row r="2537" spans="1:8" hidden="1" x14ac:dyDescent="0.25">
      <c r="A2537" t="str">
        <f>_xlfn.XLOOKUP(C2537, 'Códigos DANE Municipios'!$B$2:$B$1123, 'Códigos DANE Municipios'!$A$2:$A$1123, "No encontrado")</f>
        <v>17446</v>
      </c>
      <c r="B2537" t="str">
        <f>IFERROR(VLOOKUP(D2537,APOYO!K:L,2,FALSE),A2537)</f>
        <v>17446</v>
      </c>
      <c r="C2537" t="s">
        <v>668</v>
      </c>
      <c r="D2537" t="str">
        <f>IFERROR(VLOOKUP(C2537,APOYO!J:K,2,FALSE),C2537)</f>
        <v>MARULANDA</v>
      </c>
      <c r="E2537">
        <v>2016</v>
      </c>
      <c r="H2537">
        <v>1</v>
      </c>
    </row>
    <row r="2538" spans="1:8" hidden="1" x14ac:dyDescent="0.25">
      <c r="A2538" t="str">
        <f>_xlfn.XLOOKUP(C2538, 'Códigos DANE Municipios'!$B$2:$B$1123, 'Códigos DANE Municipios'!$A$2:$A$1123, "No encontrado")</f>
        <v>68444</v>
      </c>
      <c r="B2538" t="str">
        <f>IFERROR(VLOOKUP(D2538,APOYO!K:L,2,FALSE),A2538)</f>
        <v>68444</v>
      </c>
      <c r="C2538" t="s">
        <v>1748</v>
      </c>
      <c r="D2538" t="str">
        <f>IFERROR(VLOOKUP(C2538,APOYO!J:K,2,FALSE),C2538)</f>
        <v>MATANZA</v>
      </c>
      <c r="E2538">
        <v>2016</v>
      </c>
      <c r="H2538">
        <v>2</v>
      </c>
    </row>
    <row r="2539" spans="1:8" hidden="1" x14ac:dyDescent="0.25">
      <c r="A2539" t="str">
        <f>_xlfn.XLOOKUP(C2539, 'Códigos DANE Municipios'!$B$2:$B$1123, 'Códigos DANE Municipios'!$A$2:$A$1123, "No encontrado")</f>
        <v>No encontrado</v>
      </c>
      <c r="B2539" t="str">
        <f>IFERROR(VLOOKUP(D2539,APOYO!K:L,2,FALSE),A2539)</f>
        <v>No encontrado</v>
      </c>
      <c r="C2539" t="s">
        <v>2301</v>
      </c>
      <c r="D2539" t="str">
        <f>IFERROR(VLOOKUP(C2539,APOYO!J:K,2,FALSE),C2539)</f>
        <v>MEDELLIN</v>
      </c>
      <c r="E2539">
        <v>2016</v>
      </c>
      <c r="F2539">
        <v>519738</v>
      </c>
      <c r="G2539">
        <v>31</v>
      </c>
      <c r="H2539">
        <v>305694</v>
      </c>
    </row>
    <row r="2540" spans="1:8" hidden="1" x14ac:dyDescent="0.25">
      <c r="A2540" t="str">
        <f>_xlfn.XLOOKUP(C2540, 'Códigos DANE Municipios'!$B$2:$B$1123, 'Códigos DANE Municipios'!$A$2:$A$1123, "No encontrado")</f>
        <v>25438</v>
      </c>
      <c r="B2540" t="str">
        <f>IFERROR(VLOOKUP(D2540,APOYO!K:L,2,FALSE),A2540)</f>
        <v>25438</v>
      </c>
      <c r="C2540" t="s">
        <v>1025</v>
      </c>
      <c r="D2540" t="str">
        <f>IFERROR(VLOOKUP(C2540,APOYO!J:K,2,FALSE),C2540)</f>
        <v>MEDINA</v>
      </c>
      <c r="E2540">
        <v>2016</v>
      </c>
      <c r="H2540">
        <v>10</v>
      </c>
    </row>
    <row r="2541" spans="1:8" hidden="1" x14ac:dyDescent="0.25">
      <c r="A2541" t="str">
        <f>_xlfn.XLOOKUP(C2541, 'Códigos DANE Municipios'!$B$2:$B$1123, 'Códigos DANE Municipios'!$A$2:$A$1123, "No encontrado")</f>
        <v>No encontrado</v>
      </c>
      <c r="B2541" t="str">
        <f>IFERROR(VLOOKUP(D2541,APOYO!K:L,2,FALSE),A2541)</f>
        <v>27430</v>
      </c>
      <c r="C2541" t="s">
        <v>2444</v>
      </c>
      <c r="D2541" t="str">
        <f>IFERROR(VLOOKUP(C2541,APOYO!J:K,2,FALSE),C2541)</f>
        <v>MEDIO BAUDÓ</v>
      </c>
      <c r="E2541">
        <v>2016</v>
      </c>
      <c r="H2541" t="s">
        <v>2511</v>
      </c>
    </row>
    <row r="2542" spans="1:8" hidden="1" x14ac:dyDescent="0.25">
      <c r="A2542" t="str">
        <f>_xlfn.XLOOKUP(C2542, 'Códigos DANE Municipios'!$B$2:$B$1123, 'Códigos DANE Municipios'!$A$2:$A$1123, "No encontrado")</f>
        <v>73449</v>
      </c>
      <c r="B2542" t="str">
        <f>IFERROR(VLOOKUP(D2542,APOYO!K:L,2,FALSE),A2542)</f>
        <v>73449</v>
      </c>
      <c r="C2542" t="s">
        <v>1917</v>
      </c>
      <c r="D2542" t="str">
        <f>IFERROR(VLOOKUP(C2542,APOYO!J:K,2,FALSE),C2542)</f>
        <v>MELGAR</v>
      </c>
      <c r="E2542">
        <v>2016</v>
      </c>
      <c r="H2542">
        <v>337</v>
      </c>
    </row>
    <row r="2543" spans="1:8" hidden="1" x14ac:dyDescent="0.25">
      <c r="A2543" t="str">
        <f>_xlfn.XLOOKUP(C2543, 'Códigos DANE Municipios'!$B$2:$B$1123, 'Códigos DANE Municipios'!$A$2:$A$1123, "No encontrado")</f>
        <v>50330</v>
      </c>
      <c r="B2543" t="str">
        <f>IFERROR(VLOOKUP(D2543,APOYO!K:L,2,FALSE),A2543)</f>
        <v>50330</v>
      </c>
      <c r="C2543" t="s">
        <v>1384</v>
      </c>
      <c r="D2543" t="str">
        <f>IFERROR(VLOOKUP(C2543,APOYO!J:K,2,FALSE),C2543)</f>
        <v>MESETAS</v>
      </c>
      <c r="E2543">
        <v>2016</v>
      </c>
      <c r="H2543">
        <v>1</v>
      </c>
    </row>
    <row r="2544" spans="1:8" hidden="1" x14ac:dyDescent="0.25">
      <c r="A2544" t="str">
        <f>_xlfn.XLOOKUP(C2544, 'Códigos DANE Municipios'!$B$2:$B$1123, 'Códigos DANE Municipios'!$A$2:$A$1123, "No encontrado")</f>
        <v>15455</v>
      </c>
      <c r="B2544" t="str">
        <f>IFERROR(VLOOKUP(D2544,APOYO!K:L,2,FALSE),A2544)</f>
        <v>15455</v>
      </c>
      <c r="C2544" t="s">
        <v>504</v>
      </c>
      <c r="D2544" t="str">
        <f>IFERROR(VLOOKUP(C2544,APOYO!J:K,2,FALSE),C2544)</f>
        <v>MIRAFLORES</v>
      </c>
      <c r="E2544">
        <v>2016</v>
      </c>
      <c r="H2544">
        <v>7</v>
      </c>
    </row>
    <row r="2545" spans="1:8" hidden="1" x14ac:dyDescent="0.25">
      <c r="A2545" t="str">
        <f>_xlfn.XLOOKUP(C2545, 'Códigos DANE Municipios'!$B$2:$B$1123, 'Códigos DANE Municipios'!$A$2:$A$1123, "No encontrado")</f>
        <v>19455</v>
      </c>
      <c r="B2545" t="str">
        <f>IFERROR(VLOOKUP(D2545,APOYO!K:L,2,FALSE),A2545)</f>
        <v>19455</v>
      </c>
      <c r="C2545" t="s">
        <v>767</v>
      </c>
      <c r="D2545" t="str">
        <f>IFERROR(VLOOKUP(C2545,APOYO!J:K,2,FALSE),C2545)</f>
        <v>MIRANDA</v>
      </c>
      <c r="E2545">
        <v>2016</v>
      </c>
      <c r="H2545">
        <v>35</v>
      </c>
    </row>
    <row r="2546" spans="1:8" hidden="1" x14ac:dyDescent="0.25">
      <c r="A2546" t="str">
        <f>_xlfn.XLOOKUP(C2546, 'Códigos DANE Municipios'!$B$2:$B$1123, 'Códigos DANE Municipios'!$A$2:$A$1123, "No encontrado")</f>
        <v>No encontrado</v>
      </c>
      <c r="B2546" t="str">
        <f>IFERROR(VLOOKUP(D2546,APOYO!K:L,2,FALSE),A2546)</f>
        <v>No encontrado</v>
      </c>
      <c r="C2546" t="s">
        <v>2302</v>
      </c>
      <c r="D2546" t="str">
        <f>IFERROR(VLOOKUP(C2546,APOYO!J:K,2,FALSE),C2546)</f>
        <v>MISTRATO</v>
      </c>
      <c r="E2546">
        <v>2016</v>
      </c>
      <c r="H2546">
        <v>14</v>
      </c>
    </row>
    <row r="2547" spans="1:8" hidden="1" x14ac:dyDescent="0.25">
      <c r="A2547" t="str">
        <f>_xlfn.XLOOKUP(C2547, 'Códigos DANE Municipios'!$B$2:$B$1123, 'Códigos DANE Municipios'!$A$2:$A$1123, "No encontrado")</f>
        <v>No encontrado</v>
      </c>
      <c r="B2547" t="str">
        <f>IFERROR(VLOOKUP(D2547,APOYO!K:L,2,FALSE),A2547)</f>
        <v>No encontrado</v>
      </c>
      <c r="C2547" t="s">
        <v>2303</v>
      </c>
      <c r="D2547" t="str">
        <f>IFERROR(VLOOKUP(C2547,APOYO!J:K,2,FALSE),C2547)</f>
        <v>MITU</v>
      </c>
      <c r="E2547">
        <v>2016</v>
      </c>
      <c r="F2547">
        <v>13251</v>
      </c>
      <c r="H2547">
        <v>20</v>
      </c>
    </row>
    <row r="2548" spans="1:8" hidden="1" x14ac:dyDescent="0.25">
      <c r="A2548" t="str">
        <f>_xlfn.XLOOKUP(C2548, 'Códigos DANE Municipios'!$B$2:$B$1123, 'Códigos DANE Municipios'!$A$2:$A$1123, "No encontrado")</f>
        <v>86001</v>
      </c>
      <c r="B2548" t="str">
        <f>IFERROR(VLOOKUP(D2548,APOYO!K:L,2,FALSE),A2548)</f>
        <v>86001</v>
      </c>
      <c r="C2548" t="s">
        <v>2084</v>
      </c>
      <c r="D2548" t="str">
        <f>IFERROR(VLOOKUP(C2548,APOYO!J:K,2,FALSE),C2548)</f>
        <v>MOCOA</v>
      </c>
      <c r="E2548">
        <v>2016</v>
      </c>
      <c r="H2548">
        <v>373</v>
      </c>
    </row>
    <row r="2549" spans="1:8" hidden="1" x14ac:dyDescent="0.25">
      <c r="A2549" t="str">
        <f>_xlfn.XLOOKUP(C2549, 'Códigos DANE Municipios'!$B$2:$B$1123, 'Códigos DANE Municipios'!$A$2:$A$1123, "No encontrado")</f>
        <v>68464</v>
      </c>
      <c r="B2549" t="str">
        <f>IFERROR(VLOOKUP(D2549,APOYO!K:L,2,FALSE),A2549)</f>
        <v>68464</v>
      </c>
      <c r="C2549" t="s">
        <v>1750</v>
      </c>
      <c r="D2549" t="str">
        <f>IFERROR(VLOOKUP(C2549,APOYO!J:K,2,FALSE),C2549)</f>
        <v>MOGOTES</v>
      </c>
      <c r="E2549">
        <v>2016</v>
      </c>
      <c r="H2549">
        <v>1</v>
      </c>
    </row>
    <row r="2550" spans="1:8" hidden="1" x14ac:dyDescent="0.25">
      <c r="A2550" t="str">
        <f>_xlfn.XLOOKUP(C2550, 'Códigos DANE Municipios'!$B$2:$B$1123, 'Códigos DANE Municipios'!$A$2:$A$1123, "No encontrado")</f>
        <v>No encontrado</v>
      </c>
      <c r="B2550" t="str">
        <f>IFERROR(VLOOKUP(D2550,APOYO!K:L,2,FALSE),A2550)</f>
        <v>No encontrado</v>
      </c>
      <c r="C2550" t="s">
        <v>2304</v>
      </c>
      <c r="D2550" t="str">
        <f>IFERROR(VLOOKUP(C2550,APOYO!J:K,2,FALSE),C2550)</f>
        <v>MOMPOS</v>
      </c>
      <c r="E2550">
        <v>2016</v>
      </c>
      <c r="H2550">
        <v>28</v>
      </c>
    </row>
    <row r="2551" spans="1:8" hidden="1" x14ac:dyDescent="0.25">
      <c r="A2551" t="str">
        <f>_xlfn.XLOOKUP(C2551, 'Códigos DANE Municipios'!$B$2:$B$1123, 'Códigos DANE Municipios'!$A$2:$A$1123, "No encontrado")</f>
        <v>No encontrado</v>
      </c>
      <c r="B2551" t="str">
        <f>IFERROR(VLOOKUP(D2551,APOYO!K:L,2,FALSE),A2551)</f>
        <v>No encontrado</v>
      </c>
      <c r="C2551" t="s">
        <v>2305</v>
      </c>
      <c r="D2551" t="str">
        <f>IFERROR(VLOOKUP(C2551,APOYO!J:K,2,FALSE),C2551)</f>
        <v>MONIQUIRA</v>
      </c>
      <c r="E2551">
        <v>2016</v>
      </c>
      <c r="H2551">
        <v>2</v>
      </c>
    </row>
    <row r="2552" spans="1:8" hidden="1" x14ac:dyDescent="0.25">
      <c r="A2552" t="str">
        <f>_xlfn.XLOOKUP(C2552, 'Códigos DANE Municipios'!$B$2:$B$1123, 'Códigos DANE Municipios'!$A$2:$A$1123, "No encontrado")</f>
        <v>No encontrado</v>
      </c>
      <c r="B2552" t="str">
        <f>IFERROR(VLOOKUP(D2552,APOYO!K:L,2,FALSE),A2552)</f>
        <v>No encontrado</v>
      </c>
      <c r="C2552" t="s">
        <v>2306</v>
      </c>
      <c r="D2552" t="str">
        <f>IFERROR(VLOOKUP(C2552,APOYO!J:K,2,FALSE),C2552)</f>
        <v>MONITOS</v>
      </c>
      <c r="E2552">
        <v>2016</v>
      </c>
      <c r="H2552">
        <v>57</v>
      </c>
    </row>
    <row r="2553" spans="1:8" hidden="1" x14ac:dyDescent="0.25">
      <c r="A2553" t="str">
        <f>_xlfn.XLOOKUP(C2553, 'Códigos DANE Municipios'!$B$2:$B$1123, 'Códigos DANE Municipios'!$A$2:$A$1123, "No encontrado")</f>
        <v>05467</v>
      </c>
      <c r="B2553" t="str">
        <f>IFERROR(VLOOKUP(D2553,APOYO!K:L,2,FALSE),A2553)</f>
        <v>05467</v>
      </c>
      <c r="C2553" t="s">
        <v>150</v>
      </c>
      <c r="D2553" t="str">
        <f>IFERROR(VLOOKUP(C2553,APOYO!J:K,2,FALSE),C2553)</f>
        <v>MONTEBELLO</v>
      </c>
      <c r="E2553">
        <v>2016</v>
      </c>
      <c r="H2553">
        <v>42</v>
      </c>
    </row>
    <row r="2554" spans="1:8" hidden="1" x14ac:dyDescent="0.25">
      <c r="A2554" t="str">
        <f>_xlfn.XLOOKUP(C2554, 'Códigos DANE Municipios'!$B$2:$B$1123, 'Códigos DANE Municipios'!$A$2:$A$1123, "No encontrado")</f>
        <v>No encontrado</v>
      </c>
      <c r="B2554" t="str">
        <f>IFERROR(VLOOKUP(D2554,APOYO!K:L,2,FALSE),A2554)</f>
        <v>No encontrado</v>
      </c>
      <c r="C2554" t="s">
        <v>2307</v>
      </c>
      <c r="D2554" t="str">
        <f>IFERROR(VLOOKUP(C2554,APOYO!J:K,2,FALSE),C2554)</f>
        <v>MONTELIBANO</v>
      </c>
      <c r="E2554">
        <v>2016</v>
      </c>
      <c r="H2554">
        <v>104</v>
      </c>
    </row>
    <row r="2555" spans="1:8" hidden="1" x14ac:dyDescent="0.25">
      <c r="A2555" t="str">
        <f>_xlfn.XLOOKUP(C2555, 'Códigos DANE Municipios'!$B$2:$B$1123, 'Códigos DANE Municipios'!$A$2:$A$1123, "No encontrado")</f>
        <v>63470</v>
      </c>
      <c r="B2555" t="str">
        <f>IFERROR(VLOOKUP(D2555,APOYO!K:L,2,FALSE),A2555)</f>
        <v>63470</v>
      </c>
      <c r="C2555" t="s">
        <v>1620</v>
      </c>
      <c r="D2555" t="str">
        <f>IFERROR(VLOOKUP(C2555,APOYO!J:K,2,FALSE),C2555)</f>
        <v>MONTENEGRO</v>
      </c>
      <c r="E2555">
        <v>2016</v>
      </c>
      <c r="H2555">
        <v>458</v>
      </c>
    </row>
    <row r="2556" spans="1:8" hidden="1" x14ac:dyDescent="0.25">
      <c r="A2556" t="str">
        <f>_xlfn.XLOOKUP(C2556, 'Códigos DANE Municipios'!$B$2:$B$1123, 'Códigos DANE Municipios'!$A$2:$A$1123, "No encontrado")</f>
        <v>No encontrado</v>
      </c>
      <c r="B2556" t="str">
        <f>IFERROR(VLOOKUP(D2556,APOYO!K:L,2,FALSE),A2556)</f>
        <v>No encontrado</v>
      </c>
      <c r="C2556" t="s">
        <v>2308</v>
      </c>
      <c r="D2556" t="str">
        <f>IFERROR(VLOOKUP(C2556,APOYO!J:K,2,FALSE),C2556)</f>
        <v>MONTERIA</v>
      </c>
      <c r="E2556">
        <v>2016</v>
      </c>
      <c r="F2556">
        <v>468814</v>
      </c>
      <c r="G2556">
        <v>4617</v>
      </c>
      <c r="H2556">
        <v>1785</v>
      </c>
    </row>
    <row r="2557" spans="1:8" hidden="1" x14ac:dyDescent="0.25">
      <c r="A2557" t="str">
        <f>_xlfn.XLOOKUP(C2557, 'Códigos DANE Municipios'!$B$2:$B$1123, 'Códigos DANE Municipios'!$A$2:$A$1123, "No encontrado")</f>
        <v>85162</v>
      </c>
      <c r="B2557" t="str">
        <f>IFERROR(VLOOKUP(D2557,APOYO!K:L,2,FALSE),A2557)</f>
        <v>85162</v>
      </c>
      <c r="C2557" t="s">
        <v>2060</v>
      </c>
      <c r="D2557" t="str">
        <f>IFERROR(VLOOKUP(C2557,APOYO!J:K,2,FALSE),C2557)</f>
        <v>MONTERREY</v>
      </c>
      <c r="E2557">
        <v>2016</v>
      </c>
      <c r="H2557">
        <v>9</v>
      </c>
    </row>
    <row r="2558" spans="1:8" hidden="1" x14ac:dyDescent="0.25">
      <c r="A2558" t="str">
        <f>_xlfn.XLOOKUP(C2558, 'Códigos DANE Municipios'!$B$2:$B$1123, 'Códigos DANE Municipios'!$A$2:$A$1123, "No encontrado")</f>
        <v>13473</v>
      </c>
      <c r="B2558" t="str">
        <f>IFERROR(VLOOKUP(D2558,APOYO!K:L,2,FALSE),A2558)</f>
        <v>13473</v>
      </c>
      <c r="C2558" t="s">
        <v>353</v>
      </c>
      <c r="D2558" t="str">
        <f>IFERROR(VLOOKUP(C2558,APOYO!J:K,2,FALSE),C2558)</f>
        <v>MORALES</v>
      </c>
      <c r="E2558">
        <v>2016</v>
      </c>
      <c r="H2558">
        <v>6</v>
      </c>
    </row>
    <row r="2559" spans="1:8" hidden="1" x14ac:dyDescent="0.25">
      <c r="A2559" t="str">
        <f>_xlfn.XLOOKUP(C2559, 'Códigos DANE Municipios'!$B$2:$B$1123, 'Códigos DANE Municipios'!$A$2:$A$1123, "No encontrado")</f>
        <v>70473</v>
      </c>
      <c r="B2559" t="str">
        <f>IFERROR(VLOOKUP(D2559,APOYO!K:L,2,FALSE),A2559)</f>
        <v>70473</v>
      </c>
      <c r="C2559" t="s">
        <v>1840</v>
      </c>
      <c r="D2559" t="str">
        <f>IFERROR(VLOOKUP(C2559,APOYO!J:K,2,FALSE),C2559)</f>
        <v>MORROA</v>
      </c>
      <c r="E2559">
        <v>2016</v>
      </c>
      <c r="H2559">
        <v>3</v>
      </c>
    </row>
    <row r="2560" spans="1:8" hidden="1" x14ac:dyDescent="0.25">
      <c r="A2560" t="str">
        <f>_xlfn.XLOOKUP(C2560, 'Códigos DANE Municipios'!$B$2:$B$1123, 'Códigos DANE Municipios'!$A$2:$A$1123, "No encontrado")</f>
        <v>18479</v>
      </c>
      <c r="B2560" t="str">
        <f>IFERROR(VLOOKUP(D2560,APOYO!K:L,2,FALSE),A2560)</f>
        <v>18479</v>
      </c>
      <c r="C2560" t="s">
        <v>716</v>
      </c>
      <c r="D2560" t="str">
        <f>IFERROR(VLOOKUP(C2560,APOYO!J:K,2,FALSE),C2560)</f>
        <v>MORELIA</v>
      </c>
      <c r="E2560">
        <v>2016</v>
      </c>
      <c r="H2560" t="s">
        <v>2511</v>
      </c>
    </row>
    <row r="2561" spans="1:8" hidden="1" x14ac:dyDescent="0.25">
      <c r="A2561" t="str">
        <f>_xlfn.XLOOKUP(C2561, 'Códigos DANE Municipios'!$B$2:$B$1123, 'Códigos DANE Municipios'!$A$2:$A$1123, "No encontrado")</f>
        <v>25473</v>
      </c>
      <c r="B2561" t="str">
        <f>IFERROR(VLOOKUP(D2561,APOYO!K:L,2,FALSE),A2561)</f>
        <v>25473</v>
      </c>
      <c r="C2561" t="s">
        <v>1027</v>
      </c>
      <c r="D2561" t="str">
        <f>IFERROR(VLOOKUP(C2561,APOYO!J:K,2,FALSE),C2561)</f>
        <v>MOSQUERA</v>
      </c>
      <c r="E2561">
        <v>2016</v>
      </c>
      <c r="H2561">
        <v>368</v>
      </c>
    </row>
    <row r="2562" spans="1:8" hidden="1" x14ac:dyDescent="0.25">
      <c r="A2562" t="str">
        <f>_xlfn.XLOOKUP(C2562, 'Códigos DANE Municipios'!$B$2:$B$1123, 'Códigos DANE Municipios'!$A$2:$A$1123, "No encontrado")</f>
        <v>73461</v>
      </c>
      <c r="B2562" t="str">
        <f>IFERROR(VLOOKUP(D2562,APOYO!K:L,2,FALSE),A2562)</f>
        <v>73461</v>
      </c>
      <c r="C2562" t="s">
        <v>1919</v>
      </c>
      <c r="D2562" t="str">
        <f>IFERROR(VLOOKUP(C2562,APOYO!J:K,2,FALSE),C2562)</f>
        <v>MURILLO</v>
      </c>
      <c r="E2562">
        <v>2016</v>
      </c>
      <c r="H2562">
        <v>4</v>
      </c>
    </row>
    <row r="2563" spans="1:8" hidden="1" x14ac:dyDescent="0.25">
      <c r="A2563" t="str">
        <f>_xlfn.XLOOKUP(C2563, 'Códigos DANE Municipios'!$B$2:$B$1123, 'Códigos DANE Municipios'!$A$2:$A$1123, "No encontrado")</f>
        <v>No encontrado</v>
      </c>
      <c r="B2563" t="str">
        <f>IFERROR(VLOOKUP(D2563,APOYO!K:L,2,FALSE),A2563)</f>
        <v>No encontrado</v>
      </c>
      <c r="C2563" t="s">
        <v>2309</v>
      </c>
      <c r="D2563" t="str">
        <f>IFERROR(VLOOKUP(C2563,APOYO!J:K,2,FALSE),C2563)</f>
        <v>MUTATA</v>
      </c>
      <c r="E2563">
        <v>2016</v>
      </c>
      <c r="H2563" t="s">
        <v>2511</v>
      </c>
    </row>
    <row r="2564" spans="1:8" hidden="1" x14ac:dyDescent="0.25">
      <c r="A2564" t="str">
        <f>_xlfn.XLOOKUP(C2564, 'Códigos DANE Municipios'!$B$2:$B$1123, 'Códigos DANE Municipios'!$A$2:$A$1123, "No encontrado")</f>
        <v>15480</v>
      </c>
      <c r="B2564" t="str">
        <f>IFERROR(VLOOKUP(D2564,APOYO!K:L,2,FALSE),A2564)</f>
        <v>15480</v>
      </c>
      <c r="C2564" t="s">
        <v>514</v>
      </c>
      <c r="D2564" t="str">
        <f>IFERROR(VLOOKUP(C2564,APOYO!J:K,2,FALSE),C2564)</f>
        <v>MUZO</v>
      </c>
      <c r="E2564">
        <v>2016</v>
      </c>
      <c r="H2564">
        <v>58</v>
      </c>
    </row>
    <row r="2565" spans="1:8" hidden="1" x14ac:dyDescent="0.25">
      <c r="A2565" t="str">
        <f>_xlfn.XLOOKUP(C2565, 'Códigos DANE Municipios'!$B$2:$B$1123, 'Códigos DANE Municipios'!$A$2:$A$1123, "No encontrado")</f>
        <v>05483</v>
      </c>
      <c r="B2565" t="str">
        <f>IFERROR(VLOOKUP(D2565,APOYO!K:L,2,FALSE),A2565)</f>
        <v>05483</v>
      </c>
      <c r="C2565" t="s">
        <v>156</v>
      </c>
      <c r="D2565" t="str">
        <f>IFERROR(VLOOKUP(C2565,APOYO!J:K,2,FALSE),C2565)</f>
        <v>NARIÑO</v>
      </c>
      <c r="E2565">
        <v>2016</v>
      </c>
      <c r="H2565">
        <v>32</v>
      </c>
    </row>
    <row r="2566" spans="1:8" hidden="1" x14ac:dyDescent="0.25">
      <c r="A2566" t="str">
        <f>_xlfn.XLOOKUP(C2566, 'Códigos DANE Municipios'!$B$2:$B$1123, 'Códigos DANE Municipios'!$A$2:$A$1123, "No encontrado")</f>
        <v>No encontrado</v>
      </c>
      <c r="B2566" t="str">
        <f>IFERROR(VLOOKUP(D2566,APOYO!K:L,2,FALSE),A2566)</f>
        <v>41483</v>
      </c>
      <c r="C2566" t="s">
        <v>2445</v>
      </c>
      <c r="D2566" t="str">
        <f>IFERROR(VLOOKUP(C2566,APOYO!J:K,2,FALSE),C2566)</f>
        <v>NÁTAGA</v>
      </c>
      <c r="E2566">
        <v>2016</v>
      </c>
      <c r="H2566" t="s">
        <v>2511</v>
      </c>
    </row>
    <row r="2567" spans="1:8" hidden="1" x14ac:dyDescent="0.25">
      <c r="A2567" t="str">
        <f>_xlfn.XLOOKUP(C2567, 'Códigos DANE Municipios'!$B$2:$B$1123, 'Códigos DANE Municipios'!$A$2:$A$1123, "No encontrado")</f>
        <v>73483</v>
      </c>
      <c r="B2567" t="str">
        <f>IFERROR(VLOOKUP(D2567,APOYO!K:L,2,FALSE),A2567)</f>
        <v>73483</v>
      </c>
      <c r="C2567" t="s">
        <v>1921</v>
      </c>
      <c r="D2567" t="str">
        <f>IFERROR(VLOOKUP(C2567,APOYO!J:K,2,FALSE),C2567)</f>
        <v>NATAGAIMA</v>
      </c>
      <c r="E2567">
        <v>2016</v>
      </c>
      <c r="H2567">
        <v>17</v>
      </c>
    </row>
    <row r="2568" spans="1:8" hidden="1" x14ac:dyDescent="0.25">
      <c r="A2568" t="str">
        <f>_xlfn.XLOOKUP(C2568, 'Códigos DANE Municipios'!$B$2:$B$1123, 'Códigos DANE Municipios'!$A$2:$A$1123, "No encontrado")</f>
        <v>No encontrado</v>
      </c>
      <c r="B2568" t="str">
        <f>IFERROR(VLOOKUP(D2568,APOYO!K:L,2,FALSE),A2568)</f>
        <v>No encontrado</v>
      </c>
      <c r="C2568" t="s">
        <v>2310</v>
      </c>
      <c r="D2568" t="str">
        <f>IFERROR(VLOOKUP(C2568,APOYO!J:K,2,FALSE),C2568)</f>
        <v>NECOCLI</v>
      </c>
      <c r="E2568">
        <v>2016</v>
      </c>
      <c r="H2568">
        <v>21</v>
      </c>
    </row>
    <row r="2569" spans="1:8" hidden="1" x14ac:dyDescent="0.25">
      <c r="A2569" t="str">
        <f>_xlfn.XLOOKUP(C2569, 'Códigos DANE Municipios'!$B$2:$B$1123, 'Códigos DANE Municipios'!$A$2:$A$1123, "No encontrado")</f>
        <v>17486</v>
      </c>
      <c r="B2569" t="str">
        <f>IFERROR(VLOOKUP(D2569,APOYO!K:L,2,FALSE),A2569)</f>
        <v>17486</v>
      </c>
      <c r="C2569" t="s">
        <v>670</v>
      </c>
      <c r="D2569" t="str">
        <f>IFERROR(VLOOKUP(C2569,APOYO!J:K,2,FALSE),C2569)</f>
        <v>NEIRA</v>
      </c>
      <c r="E2569">
        <v>2016</v>
      </c>
      <c r="H2569">
        <v>32</v>
      </c>
    </row>
    <row r="2570" spans="1:8" hidden="1" x14ac:dyDescent="0.25">
      <c r="A2570" t="str">
        <f>_xlfn.XLOOKUP(C2570, 'Códigos DANE Municipios'!$B$2:$B$1123, 'Códigos DANE Municipios'!$A$2:$A$1123, "No encontrado")</f>
        <v>41001</v>
      </c>
      <c r="B2570" t="str">
        <f>IFERROR(VLOOKUP(D2570,APOYO!K:L,2,FALSE),A2570)</f>
        <v>41001</v>
      </c>
      <c r="C2570" t="s">
        <v>1201</v>
      </c>
      <c r="D2570" t="str">
        <f>IFERROR(VLOOKUP(C2570,APOYO!J:K,2,FALSE),C2570)</f>
        <v>NEIVA</v>
      </c>
      <c r="E2570">
        <v>2016</v>
      </c>
      <c r="F2570">
        <v>145627</v>
      </c>
      <c r="G2570">
        <v>2706</v>
      </c>
      <c r="H2570">
        <v>2520</v>
      </c>
    </row>
    <row r="2571" spans="1:8" hidden="1" x14ac:dyDescent="0.25">
      <c r="A2571" t="str">
        <f>_xlfn.XLOOKUP(C2571, 'Códigos DANE Municipios'!$B$2:$B$1123, 'Códigos DANE Municipios'!$A$2:$A$1123, "No encontrado")</f>
        <v>No encontrado</v>
      </c>
      <c r="B2571" t="str">
        <f>IFERROR(VLOOKUP(D2571,APOYO!K:L,2,FALSE),A2571)</f>
        <v>No encontrado</v>
      </c>
      <c r="C2571" t="s">
        <v>2311</v>
      </c>
      <c r="D2571" t="str">
        <f>IFERROR(VLOOKUP(C2571,APOYO!J:K,2,FALSE),C2571)</f>
        <v>NEMOCON</v>
      </c>
      <c r="E2571">
        <v>2016</v>
      </c>
      <c r="H2571">
        <v>7</v>
      </c>
    </row>
    <row r="2572" spans="1:8" hidden="1" x14ac:dyDescent="0.25">
      <c r="A2572" t="str">
        <f>_xlfn.XLOOKUP(C2572, 'Códigos DANE Municipios'!$B$2:$B$1123, 'Códigos DANE Municipios'!$A$2:$A$1123, "No encontrado")</f>
        <v>25488</v>
      </c>
      <c r="B2572" t="str">
        <f>IFERROR(VLOOKUP(D2572,APOYO!K:L,2,FALSE),A2572)</f>
        <v>25488</v>
      </c>
      <c r="C2572" t="s">
        <v>1032</v>
      </c>
      <c r="D2572" t="str">
        <f>IFERROR(VLOOKUP(C2572,APOYO!J:K,2,FALSE),C2572)</f>
        <v>NILO</v>
      </c>
      <c r="E2572">
        <v>2016</v>
      </c>
      <c r="H2572">
        <v>9</v>
      </c>
    </row>
    <row r="2573" spans="1:8" hidden="1" x14ac:dyDescent="0.25">
      <c r="A2573" t="str">
        <f>_xlfn.XLOOKUP(C2573, 'Códigos DANE Municipios'!$B$2:$B$1123, 'Códigos DANE Municipios'!$A$2:$A$1123, "No encontrado")</f>
        <v>25489</v>
      </c>
      <c r="B2573" t="str">
        <f>IFERROR(VLOOKUP(D2573,APOYO!K:L,2,FALSE),A2573)</f>
        <v>25489</v>
      </c>
      <c r="C2573" t="s">
        <v>1034</v>
      </c>
      <c r="D2573" t="str">
        <f>IFERROR(VLOOKUP(C2573,APOYO!J:K,2,FALSE),C2573)</f>
        <v>NIMAIMA</v>
      </c>
      <c r="E2573">
        <v>2016</v>
      </c>
      <c r="H2573" t="s">
        <v>2511</v>
      </c>
    </row>
    <row r="2574" spans="1:8" hidden="1" x14ac:dyDescent="0.25">
      <c r="A2574" t="str">
        <f>_xlfn.XLOOKUP(C2574, 'Códigos DANE Municipios'!$B$2:$B$1123, 'Códigos DANE Municipios'!$A$2:$A$1123, "No encontrado")</f>
        <v>15491</v>
      </c>
      <c r="B2574" t="str">
        <f>IFERROR(VLOOKUP(D2574,APOYO!K:L,2,FALSE),A2574)</f>
        <v>15491</v>
      </c>
      <c r="C2574" t="s">
        <v>516</v>
      </c>
      <c r="D2574" t="str">
        <f>IFERROR(VLOOKUP(C2574,APOYO!J:K,2,FALSE),C2574)</f>
        <v>NOBSA</v>
      </c>
      <c r="E2574">
        <v>2016</v>
      </c>
      <c r="H2574">
        <v>115</v>
      </c>
    </row>
    <row r="2575" spans="1:8" hidden="1" x14ac:dyDescent="0.25">
      <c r="A2575" t="str">
        <f>_xlfn.XLOOKUP(C2575, 'Códigos DANE Municipios'!$B$2:$B$1123, 'Códigos DANE Municipios'!$A$2:$A$1123, "No encontrado")</f>
        <v>25491</v>
      </c>
      <c r="B2575" t="str">
        <f>IFERROR(VLOOKUP(D2575,APOYO!K:L,2,FALSE),A2575)</f>
        <v>25491</v>
      </c>
      <c r="C2575" t="s">
        <v>1036</v>
      </c>
      <c r="D2575" t="str">
        <f>IFERROR(VLOOKUP(C2575,APOYO!J:K,2,FALSE),C2575)</f>
        <v>NOCAIMA</v>
      </c>
      <c r="E2575">
        <v>2016</v>
      </c>
      <c r="H2575">
        <v>5</v>
      </c>
    </row>
    <row r="2576" spans="1:8" hidden="1" x14ac:dyDescent="0.25">
      <c r="A2576" t="str">
        <f>_xlfn.XLOOKUP(C2576, 'Códigos DANE Municipios'!$B$2:$B$1123, 'Códigos DANE Municipios'!$A$2:$A$1123, "No encontrado")</f>
        <v>17495</v>
      </c>
      <c r="B2576" t="str">
        <f>IFERROR(VLOOKUP(D2576,APOYO!K:L,2,FALSE),A2576)</f>
        <v>17495</v>
      </c>
      <c r="C2576" t="s">
        <v>672</v>
      </c>
      <c r="D2576" t="str">
        <f>IFERROR(VLOOKUP(C2576,APOYO!J:K,2,FALSE),C2576)</f>
        <v>NORCASIA</v>
      </c>
      <c r="E2576">
        <v>2016</v>
      </c>
      <c r="H2576">
        <v>1</v>
      </c>
    </row>
    <row r="2577" spans="1:9" hidden="1" x14ac:dyDescent="0.25">
      <c r="A2577" t="str">
        <f>_xlfn.XLOOKUP(C2577, 'Códigos DANE Municipios'!$B$2:$B$1123, 'Códigos DANE Municipios'!$A$2:$A$1123, "No encontrado")</f>
        <v>No encontrado</v>
      </c>
      <c r="B2577" t="str">
        <f>IFERROR(VLOOKUP(D2577,APOYO!K:L,2,FALSE),A2577)</f>
        <v>No encontrado</v>
      </c>
      <c r="C2577" t="s">
        <v>2546</v>
      </c>
      <c r="D2577" t="str">
        <f>IFERROR(VLOOKUP(C2577,APOYO!J:K,2,FALSE),C2577)</f>
        <v>NUEVO COLON</v>
      </c>
      <c r="E2577">
        <v>2016</v>
      </c>
      <c r="H2577" t="s">
        <v>2511</v>
      </c>
    </row>
    <row r="2578" spans="1:9" hidden="1" x14ac:dyDescent="0.25">
      <c r="A2578" t="str">
        <f>_xlfn.XLOOKUP(C2578, 'Códigos DANE Municipios'!$B$2:$B$1123, 'Códigos DANE Municipios'!$A$2:$A$1123, "No encontrado")</f>
        <v>No encontrado</v>
      </c>
      <c r="B2578" t="str">
        <f>IFERROR(VLOOKUP(D2578,APOYO!K:L,2,FALSE),A2578)</f>
        <v>No encontrado</v>
      </c>
      <c r="C2578" t="s">
        <v>2312</v>
      </c>
      <c r="D2578" t="str">
        <f>IFERROR(VLOOKUP(C2578,APOYO!J:K,2,FALSE),C2578)</f>
        <v>NUNCHIA</v>
      </c>
      <c r="E2578">
        <v>2016</v>
      </c>
      <c r="H2578" t="s">
        <v>2511</v>
      </c>
    </row>
    <row r="2579" spans="1:9" hidden="1" x14ac:dyDescent="0.25">
      <c r="A2579" t="str">
        <f>_xlfn.XLOOKUP(C2579, 'Códigos DANE Municipios'!$B$2:$B$1123, 'Códigos DANE Municipios'!$A$2:$A$1123, "No encontrado")</f>
        <v>No encontrado</v>
      </c>
      <c r="B2579" t="str">
        <f>IFERROR(VLOOKUP(D2579,APOYO!K:L,2,FALSE),A2579)</f>
        <v>No encontrado</v>
      </c>
      <c r="C2579" t="s">
        <v>2313</v>
      </c>
      <c r="D2579" t="str">
        <f>IFERROR(VLOOKUP(C2579,APOYO!J:K,2,FALSE),C2579)</f>
        <v>NUQUI</v>
      </c>
      <c r="E2579">
        <v>2016</v>
      </c>
      <c r="F2579">
        <v>3737</v>
      </c>
      <c r="G2579" t="s">
        <v>2189</v>
      </c>
      <c r="H2579">
        <v>23</v>
      </c>
      <c r="I2579">
        <v>5948</v>
      </c>
    </row>
    <row r="2580" spans="1:9" hidden="1" x14ac:dyDescent="0.25">
      <c r="A2580" t="str">
        <f>_xlfn.XLOOKUP(C2580, 'Códigos DANE Municipios'!$B$2:$B$1123, 'Códigos DANE Municipios'!$A$2:$A$1123, "No encontrado")</f>
        <v>76497</v>
      </c>
      <c r="B2580" t="str">
        <f>IFERROR(VLOOKUP(D2580,APOYO!K:L,2,FALSE),A2580)</f>
        <v>76497</v>
      </c>
      <c r="C2580" t="s">
        <v>2002</v>
      </c>
      <c r="D2580" t="str">
        <f>IFERROR(VLOOKUP(C2580,APOYO!J:K,2,FALSE),C2580)</f>
        <v>OBANDO</v>
      </c>
      <c r="E2580">
        <v>2016</v>
      </c>
      <c r="H2580">
        <v>34</v>
      </c>
    </row>
    <row r="2581" spans="1:9" hidden="1" x14ac:dyDescent="0.25">
      <c r="A2581" t="str">
        <f>_xlfn.XLOOKUP(C2581, 'Códigos DANE Municipios'!$B$2:$B$1123, 'Códigos DANE Municipios'!$A$2:$A$1123, "No encontrado")</f>
        <v>68498</v>
      </c>
      <c r="B2581" t="str">
        <f>IFERROR(VLOOKUP(D2581,APOYO!K:L,2,FALSE),A2581)</f>
        <v>68498</v>
      </c>
      <c r="C2581" t="s">
        <v>1754</v>
      </c>
      <c r="D2581" t="str">
        <f>IFERROR(VLOOKUP(C2581,APOYO!J:K,2,FALSE),C2581)</f>
        <v>OCAMONTE</v>
      </c>
      <c r="E2581">
        <v>2016</v>
      </c>
      <c r="H2581">
        <v>3</v>
      </c>
    </row>
    <row r="2582" spans="1:9" hidden="1" x14ac:dyDescent="0.25">
      <c r="A2582" t="str">
        <f>_xlfn.XLOOKUP(C2582, 'Códigos DANE Municipios'!$B$2:$B$1123, 'Códigos DANE Municipios'!$A$2:$A$1123, "No encontrado")</f>
        <v>54498</v>
      </c>
      <c r="B2582" t="str">
        <f>IFERROR(VLOOKUP(D2582,APOYO!K:L,2,FALSE),A2582)</f>
        <v>54498</v>
      </c>
      <c r="C2582" t="s">
        <v>1577</v>
      </c>
      <c r="D2582" t="str">
        <f>IFERROR(VLOOKUP(C2582,APOYO!J:K,2,FALSE),C2582)</f>
        <v>OCAÑA</v>
      </c>
      <c r="E2582">
        <v>2016</v>
      </c>
      <c r="H2582">
        <v>162</v>
      </c>
    </row>
    <row r="2583" spans="1:9" hidden="1" x14ac:dyDescent="0.25">
      <c r="A2583" t="str">
        <f>_xlfn.XLOOKUP(C2583, 'Códigos DANE Municipios'!$B$2:$B$1123, 'Códigos DANE Municipios'!$A$2:$A$1123, "No encontrado")</f>
        <v>68500</v>
      </c>
      <c r="B2583" t="str">
        <f>IFERROR(VLOOKUP(D2583,APOYO!K:L,2,FALSE),A2583)</f>
        <v>68500</v>
      </c>
      <c r="C2583" t="s">
        <v>1756</v>
      </c>
      <c r="D2583" t="str">
        <f>IFERROR(VLOOKUP(C2583,APOYO!J:K,2,FALSE),C2583)</f>
        <v>OIBA</v>
      </c>
      <c r="E2583">
        <v>2016</v>
      </c>
      <c r="H2583">
        <v>9</v>
      </c>
    </row>
    <row r="2584" spans="1:9" hidden="1" x14ac:dyDescent="0.25">
      <c r="A2584" t="str">
        <f>_xlfn.XLOOKUP(C2584, 'Códigos DANE Municipios'!$B$2:$B$1123, 'Códigos DANE Municipios'!$A$2:$A$1123, "No encontrado")</f>
        <v>05501</v>
      </c>
      <c r="B2584" t="str">
        <f>IFERROR(VLOOKUP(D2584,APOYO!K:L,2,FALSE),A2584)</f>
        <v>05501</v>
      </c>
      <c r="C2584" t="s">
        <v>162</v>
      </c>
      <c r="D2584" t="str">
        <f>IFERROR(VLOOKUP(C2584,APOYO!J:K,2,FALSE),C2584)</f>
        <v>OLAYA</v>
      </c>
      <c r="E2584">
        <v>2016</v>
      </c>
      <c r="H2584">
        <v>5</v>
      </c>
    </row>
    <row r="2585" spans="1:9" hidden="1" x14ac:dyDescent="0.25">
      <c r="A2585" t="str">
        <f>_xlfn.XLOOKUP(C2585, 'Códigos DANE Municipios'!$B$2:$B$1123, 'Códigos DANE Municipios'!$A$2:$A$1123, "No encontrado")</f>
        <v>68502</v>
      </c>
      <c r="B2585" t="str">
        <f>IFERROR(VLOOKUP(D2585,APOYO!K:L,2,FALSE),A2585)</f>
        <v>68502</v>
      </c>
      <c r="C2585" t="s">
        <v>1758</v>
      </c>
      <c r="D2585" t="str">
        <f>IFERROR(VLOOKUP(C2585,APOYO!J:K,2,FALSE),C2585)</f>
        <v>ONZAGA</v>
      </c>
      <c r="E2585">
        <v>2016</v>
      </c>
      <c r="H2585" t="s">
        <v>2511</v>
      </c>
    </row>
    <row r="2586" spans="1:9" hidden="1" x14ac:dyDescent="0.25">
      <c r="A2586" t="str">
        <f>_xlfn.XLOOKUP(C2586, 'Códigos DANE Municipios'!$B$2:$B$1123, 'Códigos DANE Municipios'!$A$2:$A$1123, "No encontrado")</f>
        <v>41503</v>
      </c>
      <c r="B2586" t="str">
        <f>IFERROR(VLOOKUP(D2586,APOYO!K:L,2,FALSE),A2586)</f>
        <v>41503</v>
      </c>
      <c r="C2586" t="s">
        <v>1238</v>
      </c>
      <c r="D2586" t="str">
        <f>IFERROR(VLOOKUP(C2586,APOYO!J:K,2,FALSE),C2586)</f>
        <v>OPORAPA</v>
      </c>
      <c r="E2586">
        <v>2016</v>
      </c>
      <c r="H2586">
        <v>3</v>
      </c>
    </row>
    <row r="2587" spans="1:9" hidden="1" x14ac:dyDescent="0.25">
      <c r="A2587" t="str">
        <f>_xlfn.XLOOKUP(C2587, 'Códigos DANE Municipios'!$B$2:$B$1123, 'Códigos DANE Municipios'!$A$2:$A$1123, "No encontrado")</f>
        <v>86320</v>
      </c>
      <c r="B2587" t="str">
        <f>IFERROR(VLOOKUP(D2587,APOYO!K:L,2,FALSE),A2587)</f>
        <v>86320</v>
      </c>
      <c r="C2587" t="s">
        <v>2087</v>
      </c>
      <c r="D2587" t="str">
        <f>IFERROR(VLOOKUP(C2587,APOYO!J:K,2,FALSE),C2587)</f>
        <v>ORITO</v>
      </c>
      <c r="E2587">
        <v>2016</v>
      </c>
      <c r="H2587">
        <v>20</v>
      </c>
    </row>
    <row r="2588" spans="1:9" hidden="1" x14ac:dyDescent="0.25">
      <c r="A2588" t="str">
        <f>_xlfn.XLOOKUP(C2588, 'Códigos DANE Municipios'!$B$2:$B$1123, 'Códigos DANE Municipios'!$A$2:$A$1123, "No encontrado")</f>
        <v>No encontrado</v>
      </c>
      <c r="B2588" t="str">
        <f>IFERROR(VLOOKUP(D2588,APOYO!K:L,2,FALSE),A2588)</f>
        <v>No encontrado</v>
      </c>
      <c r="C2588" t="s">
        <v>2314</v>
      </c>
      <c r="D2588" t="str">
        <f>IFERROR(VLOOKUP(C2588,APOYO!J:K,2,FALSE),C2588)</f>
        <v>OROCUE</v>
      </c>
      <c r="E2588">
        <v>2016</v>
      </c>
      <c r="H2588" t="s">
        <v>2511</v>
      </c>
    </row>
    <row r="2589" spans="1:9" hidden="1" x14ac:dyDescent="0.25">
      <c r="A2589" t="str">
        <f>_xlfn.XLOOKUP(C2589, 'Códigos DANE Municipios'!$B$2:$B$1123, 'Códigos DANE Municipios'!$A$2:$A$1123, "No encontrado")</f>
        <v>73504</v>
      </c>
      <c r="B2589" t="str">
        <f>IFERROR(VLOOKUP(D2589,APOYO!K:L,2,FALSE),A2589)</f>
        <v>73504</v>
      </c>
      <c r="C2589" t="s">
        <v>1923</v>
      </c>
      <c r="D2589" t="str">
        <f>IFERROR(VLOOKUP(C2589,APOYO!J:K,2,FALSE),C2589)</f>
        <v>ORTEGA</v>
      </c>
      <c r="E2589">
        <v>2016</v>
      </c>
      <c r="H2589">
        <v>2</v>
      </c>
    </row>
    <row r="2590" spans="1:9" hidden="1" x14ac:dyDescent="0.25">
      <c r="A2590" t="str">
        <f>_xlfn.XLOOKUP(C2590, 'Códigos DANE Municipios'!$B$2:$B$1123, 'Códigos DANE Municipios'!$A$2:$A$1123, "No encontrado")</f>
        <v>15507</v>
      </c>
      <c r="B2590" t="str">
        <f>IFERROR(VLOOKUP(D2590,APOYO!K:L,2,FALSE),A2590)</f>
        <v>15507</v>
      </c>
      <c r="C2590" t="s">
        <v>522</v>
      </c>
      <c r="D2590" t="str">
        <f>IFERROR(VLOOKUP(C2590,APOYO!J:K,2,FALSE),C2590)</f>
        <v>OTANCHE</v>
      </c>
      <c r="E2590">
        <v>2016</v>
      </c>
      <c r="H2590">
        <v>6</v>
      </c>
    </row>
    <row r="2591" spans="1:9" hidden="1" x14ac:dyDescent="0.25">
      <c r="A2591" t="str">
        <f>_xlfn.XLOOKUP(C2591, 'Códigos DANE Municipios'!$B$2:$B$1123, 'Códigos DANE Municipios'!$A$2:$A$1123, "No encontrado")</f>
        <v>70508</v>
      </c>
      <c r="B2591" t="str">
        <f>IFERROR(VLOOKUP(D2591,APOYO!K:L,2,FALSE),A2591)</f>
        <v>70508</v>
      </c>
      <c r="C2591" t="s">
        <v>1842</v>
      </c>
      <c r="D2591" t="str">
        <f>IFERROR(VLOOKUP(C2591,APOYO!J:K,2,FALSE),C2591)</f>
        <v>OVEJAS</v>
      </c>
      <c r="E2591">
        <v>2016</v>
      </c>
      <c r="H2591">
        <v>2</v>
      </c>
    </row>
    <row r="2592" spans="1:9" hidden="1" x14ac:dyDescent="0.25">
      <c r="A2592" t="str">
        <f>_xlfn.XLOOKUP(C2592, 'Códigos DANE Municipios'!$B$2:$B$1123, 'Códigos DANE Municipios'!$A$2:$A$1123, "No encontrado")</f>
        <v>25513</v>
      </c>
      <c r="B2592" t="str">
        <f>IFERROR(VLOOKUP(D2592,APOYO!K:L,2,FALSE),A2592)</f>
        <v>25513</v>
      </c>
      <c r="C2592" t="s">
        <v>1039</v>
      </c>
      <c r="D2592" t="str">
        <f>IFERROR(VLOOKUP(C2592,APOYO!J:K,2,FALSE),C2592)</f>
        <v>PACHO</v>
      </c>
      <c r="E2592">
        <v>2016</v>
      </c>
      <c r="H2592">
        <v>26</v>
      </c>
    </row>
    <row r="2593" spans="1:8" hidden="1" x14ac:dyDescent="0.25">
      <c r="A2593" t="str">
        <f>_xlfn.XLOOKUP(C2593, 'Códigos DANE Municipios'!$B$2:$B$1123, 'Códigos DANE Municipios'!$A$2:$A$1123, "No encontrado")</f>
        <v>No encontrado</v>
      </c>
      <c r="B2593" t="str">
        <f>IFERROR(VLOOKUP(D2593,APOYO!K:L,2,FALSE),A2593)</f>
        <v>No encontrado</v>
      </c>
      <c r="C2593" t="s">
        <v>2315</v>
      </c>
      <c r="D2593" t="str">
        <f>IFERROR(VLOOKUP(C2593,APOYO!J:K,2,FALSE),C2593)</f>
        <v>PACORA</v>
      </c>
      <c r="E2593">
        <v>2016</v>
      </c>
      <c r="H2593">
        <v>6</v>
      </c>
    </row>
    <row r="2594" spans="1:8" hidden="1" x14ac:dyDescent="0.25">
      <c r="A2594" t="str">
        <f>_xlfn.XLOOKUP(C2594, 'Códigos DANE Municipios'!$B$2:$B$1123, 'Códigos DANE Municipios'!$A$2:$A$1123, "No encontrado")</f>
        <v>19513</v>
      </c>
      <c r="B2594" t="str">
        <f>IFERROR(VLOOKUP(D2594,APOYO!K:L,2,FALSE),A2594)</f>
        <v>19513</v>
      </c>
      <c r="C2594" t="s">
        <v>770</v>
      </c>
      <c r="D2594" t="str">
        <f>IFERROR(VLOOKUP(C2594,APOYO!J:K,2,FALSE),C2594)</f>
        <v>PADILLA</v>
      </c>
      <c r="E2594">
        <v>2016</v>
      </c>
      <c r="H2594">
        <v>7</v>
      </c>
    </row>
    <row r="2595" spans="1:8" hidden="1" x14ac:dyDescent="0.25">
      <c r="A2595" t="str">
        <f>_xlfn.XLOOKUP(C2595, 'Códigos DANE Municipios'!$B$2:$B$1123, 'Códigos DANE Municipios'!$A$2:$A$1123, "No encontrado")</f>
        <v>20517</v>
      </c>
      <c r="B2595" t="str">
        <f>IFERROR(VLOOKUP(D2595,APOYO!K:L,2,FALSE),A2595)</f>
        <v>20517</v>
      </c>
      <c r="C2595" t="s">
        <v>840</v>
      </c>
      <c r="D2595" t="str">
        <f>IFERROR(VLOOKUP(C2595,APOYO!J:K,2,FALSE),C2595)</f>
        <v>PAILITAS</v>
      </c>
      <c r="E2595">
        <v>2016</v>
      </c>
      <c r="H2595">
        <v>4</v>
      </c>
    </row>
    <row r="2596" spans="1:8" hidden="1" x14ac:dyDescent="0.25">
      <c r="A2596" t="str">
        <f>_xlfn.XLOOKUP(C2596, 'Códigos DANE Municipios'!$B$2:$B$1123, 'Códigos DANE Municipios'!$A$2:$A$1123, "No encontrado")</f>
        <v>15516</v>
      </c>
      <c r="B2596" t="str">
        <f>IFERROR(VLOOKUP(D2596,APOYO!K:L,2,FALSE),A2596)</f>
        <v>15516</v>
      </c>
      <c r="C2596" t="s">
        <v>528</v>
      </c>
      <c r="D2596" t="str">
        <f>IFERROR(VLOOKUP(C2596,APOYO!J:K,2,FALSE),C2596)</f>
        <v>PAIPA</v>
      </c>
      <c r="E2596">
        <v>2016</v>
      </c>
      <c r="H2596">
        <v>757</v>
      </c>
    </row>
    <row r="2597" spans="1:8" hidden="1" x14ac:dyDescent="0.25">
      <c r="A2597" t="str">
        <f>_xlfn.XLOOKUP(C2597, 'Códigos DANE Municipios'!$B$2:$B$1123, 'Códigos DANE Municipios'!$A$2:$A$1123, "No encontrado")</f>
        <v>41524</v>
      </c>
      <c r="B2597" t="str">
        <f>IFERROR(VLOOKUP(D2597,APOYO!K:L,2,FALSE),A2597)</f>
        <v>41524</v>
      </c>
      <c r="C2597" t="s">
        <v>1242</v>
      </c>
      <c r="D2597" t="str">
        <f>IFERROR(VLOOKUP(C2597,APOYO!J:K,2,FALSE),C2597)</f>
        <v>PALERMO</v>
      </c>
      <c r="E2597">
        <v>2016</v>
      </c>
      <c r="H2597">
        <v>3</v>
      </c>
    </row>
    <row r="2598" spans="1:8" hidden="1" x14ac:dyDescent="0.25">
      <c r="A2598" t="str">
        <f>_xlfn.XLOOKUP(C2598, 'Códigos DANE Municipios'!$B$2:$B$1123, 'Códigos DANE Municipios'!$A$2:$A$1123, "No encontrado")</f>
        <v>17524</v>
      </c>
      <c r="B2598" t="str">
        <f>IFERROR(VLOOKUP(D2598,APOYO!K:L,2,FALSE),A2598)</f>
        <v>17524</v>
      </c>
      <c r="C2598" t="s">
        <v>676</v>
      </c>
      <c r="D2598" t="str">
        <f>IFERROR(VLOOKUP(C2598,APOYO!J:K,2,FALSE),C2598)</f>
        <v>PALESTINA</v>
      </c>
      <c r="E2598">
        <v>2016</v>
      </c>
      <c r="H2598">
        <v>24</v>
      </c>
    </row>
    <row r="2599" spans="1:8" hidden="1" x14ac:dyDescent="0.25">
      <c r="A2599" t="str">
        <f>_xlfn.XLOOKUP(C2599, 'Códigos DANE Municipios'!$B$2:$B$1123, 'Códigos DANE Municipios'!$A$2:$A$1123, "No encontrado")</f>
        <v>08520</v>
      </c>
      <c r="B2599" t="str">
        <f>IFERROR(VLOOKUP(D2599,APOYO!K:L,2,FALSE),A2599)</f>
        <v>08520</v>
      </c>
      <c r="C2599" t="s">
        <v>280</v>
      </c>
      <c r="D2599" t="str">
        <f>IFERROR(VLOOKUP(C2599,APOYO!J:K,2,FALSE),C2599)</f>
        <v>PALMAR DE VARELA</v>
      </c>
      <c r="E2599">
        <v>2016</v>
      </c>
      <c r="H2599">
        <v>8</v>
      </c>
    </row>
    <row r="2600" spans="1:8" hidden="1" x14ac:dyDescent="0.25">
      <c r="A2600" t="str">
        <f>_xlfn.XLOOKUP(C2600, 'Códigos DANE Municipios'!$B$2:$B$1123, 'Códigos DANE Municipios'!$A$2:$A$1123, "No encontrado")</f>
        <v>68524</v>
      </c>
      <c r="B2600" t="str">
        <f>IFERROR(VLOOKUP(D2600,APOYO!K:L,2,FALSE),A2600)</f>
        <v>68524</v>
      </c>
      <c r="C2600" t="s">
        <v>1762</v>
      </c>
      <c r="D2600" t="str">
        <f>IFERROR(VLOOKUP(C2600,APOYO!J:K,2,FALSE),C2600)</f>
        <v>PALMAS DEL SOCORRO</v>
      </c>
      <c r="E2600">
        <v>2016</v>
      </c>
      <c r="H2600" t="s">
        <v>2511</v>
      </c>
    </row>
    <row r="2601" spans="1:8" hidden="1" x14ac:dyDescent="0.25">
      <c r="A2601" t="str">
        <f>_xlfn.XLOOKUP(C2601, 'Códigos DANE Municipios'!$B$2:$B$1123, 'Códigos DANE Municipios'!$A$2:$A$1123, "No encontrado")</f>
        <v>76520</v>
      </c>
      <c r="B2601" t="str">
        <f>IFERROR(VLOOKUP(D2601,APOYO!K:L,2,FALSE),A2601)</f>
        <v>76520</v>
      </c>
      <c r="C2601" t="s">
        <v>2004</v>
      </c>
      <c r="D2601" t="str">
        <f>IFERROR(VLOOKUP(C2601,APOYO!J:K,2,FALSE),C2601)</f>
        <v>PALMIRA</v>
      </c>
      <c r="E2601">
        <v>2016</v>
      </c>
      <c r="H2601">
        <v>4091</v>
      </c>
    </row>
    <row r="2602" spans="1:8" hidden="1" x14ac:dyDescent="0.25">
      <c r="A2602" t="str">
        <f>_xlfn.XLOOKUP(C2602, 'Códigos DANE Municipios'!$B$2:$B$1123, 'Códigos DANE Municipios'!$A$2:$A$1123, "No encontrado")</f>
        <v>73520</v>
      </c>
      <c r="B2602" t="str">
        <f>IFERROR(VLOOKUP(D2602,APOYO!K:L,2,FALSE),A2602)</f>
        <v>73520</v>
      </c>
      <c r="C2602" t="s">
        <v>1925</v>
      </c>
      <c r="D2602" t="str">
        <f>IFERROR(VLOOKUP(C2602,APOYO!J:K,2,FALSE),C2602)</f>
        <v>PALOCABILDO</v>
      </c>
      <c r="E2602">
        <v>2016</v>
      </c>
      <c r="H2602">
        <v>3</v>
      </c>
    </row>
    <row r="2603" spans="1:8" hidden="1" x14ac:dyDescent="0.25">
      <c r="A2603" t="str">
        <f>_xlfn.XLOOKUP(C2603, 'Códigos DANE Municipios'!$B$2:$B$1123, 'Códigos DANE Municipios'!$A$2:$A$1123, "No encontrado")</f>
        <v>54518</v>
      </c>
      <c r="B2603" t="str">
        <f>IFERROR(VLOOKUP(D2603,APOYO!K:L,2,FALSE),A2603)</f>
        <v>54518</v>
      </c>
      <c r="C2603" t="s">
        <v>1579</v>
      </c>
      <c r="D2603" t="str">
        <f>IFERROR(VLOOKUP(C2603,APOYO!J:K,2,FALSE),C2603)</f>
        <v>PAMPLONA</v>
      </c>
      <c r="E2603">
        <v>2016</v>
      </c>
      <c r="H2603">
        <v>101</v>
      </c>
    </row>
    <row r="2604" spans="1:8" hidden="1" x14ac:dyDescent="0.25">
      <c r="A2604" t="str">
        <f>_xlfn.XLOOKUP(C2604, 'Códigos DANE Municipios'!$B$2:$B$1123, 'Códigos DANE Municipios'!$A$2:$A$1123, "No encontrado")</f>
        <v>54520</v>
      </c>
      <c r="B2604" t="str">
        <f>IFERROR(VLOOKUP(D2604,APOYO!K:L,2,FALSE),A2604)</f>
        <v>54520</v>
      </c>
      <c r="C2604" t="s">
        <v>1581</v>
      </c>
      <c r="D2604" t="str">
        <f>IFERROR(VLOOKUP(C2604,APOYO!J:K,2,FALSE),C2604)</f>
        <v>PAMPLONITA</v>
      </c>
      <c r="E2604">
        <v>2016</v>
      </c>
      <c r="H2604">
        <v>2</v>
      </c>
    </row>
    <row r="2605" spans="1:8" hidden="1" x14ac:dyDescent="0.25">
      <c r="A2605" t="str">
        <f>_xlfn.XLOOKUP(C2605, 'Códigos DANE Municipios'!$B$2:$B$1123, 'Códigos DANE Municipios'!$A$2:$A$1123, "No encontrado")</f>
        <v>25524</v>
      </c>
      <c r="B2605" t="str">
        <f>IFERROR(VLOOKUP(D2605,APOYO!K:L,2,FALSE),A2605)</f>
        <v>25524</v>
      </c>
      <c r="C2605" t="s">
        <v>1043</v>
      </c>
      <c r="D2605" t="str">
        <f>IFERROR(VLOOKUP(C2605,APOYO!J:K,2,FALSE),C2605)</f>
        <v>PANDI</v>
      </c>
      <c r="E2605">
        <v>2016</v>
      </c>
      <c r="H2605">
        <v>2</v>
      </c>
    </row>
    <row r="2606" spans="1:8" hidden="1" x14ac:dyDescent="0.25">
      <c r="A2606" t="str">
        <f>_xlfn.XLOOKUP(C2606, 'Códigos DANE Municipios'!$B$2:$B$1123, 'Códigos DANE Municipios'!$A$2:$A$1123, "No encontrado")</f>
        <v>25530</v>
      </c>
      <c r="B2606" t="str">
        <f>IFERROR(VLOOKUP(D2606,APOYO!K:L,2,FALSE),A2606)</f>
        <v>25530</v>
      </c>
      <c r="C2606" t="s">
        <v>1045</v>
      </c>
      <c r="D2606" t="str">
        <f>IFERROR(VLOOKUP(C2606,APOYO!J:K,2,FALSE),C2606)</f>
        <v>PARATEBUENO</v>
      </c>
      <c r="E2606">
        <v>2016</v>
      </c>
      <c r="H2606" t="s">
        <v>2511</v>
      </c>
    </row>
    <row r="2607" spans="1:8" hidden="1" x14ac:dyDescent="0.25">
      <c r="A2607" t="str">
        <f>_xlfn.XLOOKUP(C2607, 'Códigos DANE Municipios'!$B$2:$B$1123, 'Códigos DANE Municipios'!$A$2:$A$1123, "No encontrado")</f>
        <v>25535</v>
      </c>
      <c r="B2607" t="str">
        <f>IFERROR(VLOOKUP(D2607,APOYO!K:L,2,FALSE),A2607)</f>
        <v>25535</v>
      </c>
      <c r="C2607" t="s">
        <v>1047</v>
      </c>
      <c r="D2607" t="str">
        <f>IFERROR(VLOOKUP(C2607,APOYO!J:K,2,FALSE),C2607)</f>
        <v>PASCA</v>
      </c>
      <c r="E2607">
        <v>2016</v>
      </c>
      <c r="H2607">
        <v>1</v>
      </c>
    </row>
    <row r="2608" spans="1:8" hidden="1" x14ac:dyDescent="0.25">
      <c r="A2608" t="str">
        <f>_xlfn.XLOOKUP(C2608, 'Códigos DANE Municipios'!$B$2:$B$1123, 'Códigos DANE Municipios'!$A$2:$A$1123, "No encontrado")</f>
        <v>52001</v>
      </c>
      <c r="B2608" t="str">
        <f>IFERROR(VLOOKUP(D2608,APOYO!K:L,2,FALSE),A2608)</f>
        <v>52001</v>
      </c>
      <c r="C2608" t="s">
        <v>1412</v>
      </c>
      <c r="D2608" t="str">
        <f>IFERROR(VLOOKUP(C2608,APOYO!J:K,2,FALSE),C2608)</f>
        <v>PASTO</v>
      </c>
      <c r="E2608">
        <v>2016</v>
      </c>
      <c r="F2608">
        <v>147865</v>
      </c>
      <c r="G2608">
        <v>2889</v>
      </c>
      <c r="H2608">
        <v>13591</v>
      </c>
    </row>
    <row r="2609" spans="1:9" hidden="1" x14ac:dyDescent="0.25">
      <c r="A2609" t="str">
        <f>_xlfn.XLOOKUP(C2609, 'Códigos DANE Municipios'!$B$2:$B$1123, 'Códigos DANE Municipios'!$A$2:$A$1123, "No encontrado")</f>
        <v>No encontrado</v>
      </c>
      <c r="B2609" t="str">
        <f>IFERROR(VLOOKUP(D2609,APOYO!K:L,2,FALSE),A2609)</f>
        <v>No encontrado</v>
      </c>
      <c r="C2609" t="s">
        <v>2446</v>
      </c>
      <c r="D2609" t="str">
        <f>IFERROR(VLOOKUP(C2609,APOYO!J:K,2,FALSE),C2609)</f>
        <v>PATIA (EL BORDO)</v>
      </c>
      <c r="E2609">
        <v>2016</v>
      </c>
      <c r="H2609">
        <v>3</v>
      </c>
    </row>
    <row r="2610" spans="1:9" hidden="1" x14ac:dyDescent="0.25">
      <c r="A2610" t="str">
        <f>_xlfn.XLOOKUP(C2610, 'Códigos DANE Municipios'!$B$2:$B$1123, 'Códigos DANE Municipios'!$A$2:$A$1123, "No encontrado")</f>
        <v>15531</v>
      </c>
      <c r="B2610" t="str">
        <f>IFERROR(VLOOKUP(D2610,APOYO!K:L,2,FALSE),A2610)</f>
        <v>15531</v>
      </c>
      <c r="C2610" t="s">
        <v>534</v>
      </c>
      <c r="D2610" t="str">
        <f>IFERROR(VLOOKUP(C2610,APOYO!J:K,2,FALSE),C2610)</f>
        <v>PAUNA</v>
      </c>
      <c r="E2610">
        <v>2016</v>
      </c>
      <c r="H2610">
        <v>1</v>
      </c>
    </row>
    <row r="2611" spans="1:9" hidden="1" x14ac:dyDescent="0.25">
      <c r="A2611" t="str">
        <f>_xlfn.XLOOKUP(C2611, 'Códigos DANE Municipios'!$B$2:$B$1123, 'Códigos DANE Municipios'!$A$2:$A$1123, "No encontrado")</f>
        <v>15533</v>
      </c>
      <c r="B2611" t="str">
        <f>IFERROR(VLOOKUP(D2611,APOYO!K:L,2,FALSE),A2611)</f>
        <v>15533</v>
      </c>
      <c r="C2611" t="s">
        <v>536</v>
      </c>
      <c r="D2611" t="str">
        <f>IFERROR(VLOOKUP(C2611,APOYO!J:K,2,FALSE),C2611)</f>
        <v>PAYA</v>
      </c>
      <c r="E2611">
        <v>2016</v>
      </c>
      <c r="H2611" t="s">
        <v>2511</v>
      </c>
    </row>
    <row r="2612" spans="1:9" hidden="1" x14ac:dyDescent="0.25">
      <c r="A2612" t="str">
        <f>_xlfn.XLOOKUP(C2612, 'Códigos DANE Municipios'!$B$2:$B$1123, 'Códigos DANE Municipios'!$A$2:$A$1123, "No encontrado")</f>
        <v>85250</v>
      </c>
      <c r="B2612" t="str">
        <f>IFERROR(VLOOKUP(D2612,APOYO!K:L,2,FALSE),A2612)</f>
        <v>85250</v>
      </c>
      <c r="C2612" t="s">
        <v>2066</v>
      </c>
      <c r="D2612" t="str">
        <f>IFERROR(VLOOKUP(C2612,APOYO!J:K,2,FALSE),C2612)</f>
        <v>PAZ DE ARIPORO</v>
      </c>
      <c r="E2612">
        <v>2016</v>
      </c>
      <c r="H2612">
        <v>20</v>
      </c>
    </row>
    <row r="2613" spans="1:9" hidden="1" x14ac:dyDescent="0.25">
      <c r="A2613" t="str">
        <f>_xlfn.XLOOKUP(C2613, 'Códigos DANE Municipios'!$B$2:$B$1123, 'Códigos DANE Municipios'!$A$2:$A$1123, "No encontrado")</f>
        <v>No encontrado</v>
      </c>
      <c r="B2613" t="str">
        <f>IFERROR(VLOOKUP(D2613,APOYO!K:L,2,FALSE),A2613)</f>
        <v>No encontrado</v>
      </c>
      <c r="C2613" t="s">
        <v>2317</v>
      </c>
      <c r="D2613" t="str">
        <f>IFERROR(VLOOKUP(C2613,APOYO!J:K,2,FALSE),C2613)</f>
        <v>PAZ DE RIO</v>
      </c>
      <c r="E2613">
        <v>2016</v>
      </c>
      <c r="H2613">
        <v>23</v>
      </c>
    </row>
    <row r="2614" spans="1:9" hidden="1" x14ac:dyDescent="0.25">
      <c r="A2614" t="str">
        <f>_xlfn.XLOOKUP(C2614, 'Códigos DANE Municipios'!$B$2:$B$1123, 'Códigos DANE Municipios'!$A$2:$A$1123, "No encontrado")</f>
        <v>20550</v>
      </c>
      <c r="B2614" t="str">
        <f>IFERROR(VLOOKUP(D2614,APOYO!K:L,2,FALSE),A2614)</f>
        <v>20550</v>
      </c>
      <c r="C2614" t="s">
        <v>842</v>
      </c>
      <c r="D2614" t="str">
        <f>IFERROR(VLOOKUP(C2614,APOYO!J:K,2,FALSE),C2614)</f>
        <v>PELAYA</v>
      </c>
      <c r="E2614">
        <v>2016</v>
      </c>
      <c r="H2614">
        <v>1</v>
      </c>
    </row>
    <row r="2615" spans="1:9" hidden="1" x14ac:dyDescent="0.25">
      <c r="A2615" t="str">
        <f>_xlfn.XLOOKUP(C2615, 'Códigos DANE Municipios'!$B$2:$B$1123, 'Códigos DANE Municipios'!$A$2:$A$1123, "No encontrado")</f>
        <v>17541</v>
      </c>
      <c r="B2615" t="str">
        <f>IFERROR(VLOOKUP(D2615,APOYO!K:L,2,FALSE),A2615)</f>
        <v>17541</v>
      </c>
      <c r="C2615" t="s">
        <v>678</v>
      </c>
      <c r="D2615" t="str">
        <f>IFERROR(VLOOKUP(C2615,APOYO!J:K,2,FALSE),C2615)</f>
        <v>PENSILVANIA</v>
      </c>
      <c r="E2615">
        <v>2016</v>
      </c>
      <c r="H2615">
        <v>4</v>
      </c>
    </row>
    <row r="2616" spans="1:9" hidden="1" x14ac:dyDescent="0.25">
      <c r="A2616" t="str">
        <f>_xlfn.XLOOKUP(C2616, 'Códigos DANE Municipios'!$B$2:$B$1123, 'Códigos DANE Municipios'!$A$2:$A$1123, "No encontrado")</f>
        <v>05541</v>
      </c>
      <c r="B2616" t="str">
        <f>IFERROR(VLOOKUP(D2616,APOYO!K:L,2,FALSE),A2616)</f>
        <v>05541</v>
      </c>
      <c r="C2616" t="s">
        <v>164</v>
      </c>
      <c r="D2616" t="str">
        <f>IFERROR(VLOOKUP(C2616,APOYO!J:K,2,FALSE),C2616)</f>
        <v>PEÑOL</v>
      </c>
      <c r="E2616">
        <v>2016</v>
      </c>
      <c r="H2616">
        <v>35</v>
      </c>
    </row>
    <row r="2617" spans="1:9" hidden="1" x14ac:dyDescent="0.25">
      <c r="A2617" t="str">
        <f>_xlfn.XLOOKUP(C2617, 'Códigos DANE Municipios'!$B$2:$B$1123, 'Códigos DANE Municipios'!$A$2:$A$1123, "No encontrado")</f>
        <v>66001</v>
      </c>
      <c r="B2617" t="str">
        <f>IFERROR(VLOOKUP(D2617,APOYO!K:L,2,FALSE),A2617)</f>
        <v>66001</v>
      </c>
      <c r="C2617" t="s">
        <v>1628</v>
      </c>
      <c r="D2617" t="str">
        <f>IFERROR(VLOOKUP(C2617,APOYO!J:K,2,FALSE),C2617)</f>
        <v>PEREIRA</v>
      </c>
      <c r="E2617">
        <v>2016</v>
      </c>
      <c r="F2617">
        <v>653118</v>
      </c>
      <c r="G2617">
        <v>100880</v>
      </c>
      <c r="H2617">
        <v>21973</v>
      </c>
      <c r="I2617">
        <v>6849</v>
      </c>
    </row>
    <row r="2618" spans="1:9" hidden="1" x14ac:dyDescent="0.25">
      <c r="A2618" t="str">
        <f>_xlfn.XLOOKUP(C2618, 'Códigos DANE Municipios'!$B$2:$B$1123, 'Códigos DANE Municipios'!$A$2:$A$1123, "No encontrado")</f>
        <v>15542</v>
      </c>
      <c r="B2618" t="str">
        <f>IFERROR(VLOOKUP(D2618,APOYO!K:L,2,FALSE),A2618)</f>
        <v>15542</v>
      </c>
      <c r="C2618" t="s">
        <v>540</v>
      </c>
      <c r="D2618" t="str">
        <f>IFERROR(VLOOKUP(C2618,APOYO!J:K,2,FALSE),C2618)</f>
        <v>PESCA</v>
      </c>
      <c r="E2618">
        <v>2016</v>
      </c>
      <c r="H2618">
        <v>1</v>
      </c>
    </row>
    <row r="2619" spans="1:9" hidden="1" x14ac:dyDescent="0.25">
      <c r="A2619" t="str">
        <f>_xlfn.XLOOKUP(C2619, 'Códigos DANE Municipios'!$B$2:$B$1123, 'Códigos DANE Municipios'!$A$2:$A$1123, "No encontrado")</f>
        <v>68547</v>
      </c>
      <c r="B2619" t="str">
        <f>IFERROR(VLOOKUP(D2619,APOYO!K:L,2,FALSE),A2619)</f>
        <v>68547</v>
      </c>
      <c r="C2619" t="s">
        <v>1766</v>
      </c>
      <c r="D2619" t="str">
        <f>IFERROR(VLOOKUP(C2619,APOYO!J:K,2,FALSE),C2619)</f>
        <v>PIEDECUESTA</v>
      </c>
      <c r="E2619">
        <v>2016</v>
      </c>
      <c r="H2619">
        <v>312</v>
      </c>
    </row>
    <row r="2620" spans="1:9" hidden="1" x14ac:dyDescent="0.25">
      <c r="A2620" t="str">
        <f>_xlfn.XLOOKUP(C2620, 'Códigos DANE Municipios'!$B$2:$B$1123, 'Códigos DANE Municipios'!$A$2:$A$1123, "No encontrado")</f>
        <v>73547</v>
      </c>
      <c r="B2620" t="str">
        <f>IFERROR(VLOOKUP(D2620,APOYO!K:L,2,FALSE),A2620)</f>
        <v>73547</v>
      </c>
      <c r="C2620" t="s">
        <v>1927</v>
      </c>
      <c r="D2620" t="str">
        <f>IFERROR(VLOOKUP(C2620,APOYO!J:K,2,FALSE),C2620)</f>
        <v>PIEDRAS</v>
      </c>
      <c r="E2620">
        <v>2016</v>
      </c>
      <c r="H2620">
        <v>2</v>
      </c>
    </row>
    <row r="2621" spans="1:9" hidden="1" x14ac:dyDescent="0.25">
      <c r="A2621" t="str">
        <f>_xlfn.XLOOKUP(C2621, 'Códigos DANE Municipios'!$B$2:$B$1123, 'Códigos DANE Municipios'!$A$2:$A$1123, "No encontrado")</f>
        <v>No encontrado</v>
      </c>
      <c r="B2621" t="str">
        <f>IFERROR(VLOOKUP(D2621,APOYO!K:L,2,FALSE),A2621)</f>
        <v>No encontrado</v>
      </c>
      <c r="C2621" t="s">
        <v>2318</v>
      </c>
      <c r="D2621" t="str">
        <f>IFERROR(VLOOKUP(C2621,APOYO!J:K,2,FALSE),C2621)</f>
        <v>PIENDAMO</v>
      </c>
      <c r="E2621">
        <v>2016</v>
      </c>
      <c r="H2621">
        <v>32</v>
      </c>
    </row>
    <row r="2622" spans="1:9" hidden="1" x14ac:dyDescent="0.25">
      <c r="A2622" t="str">
        <f>_xlfn.XLOOKUP(C2622, 'Códigos DANE Municipios'!$B$2:$B$1123, 'Códigos DANE Municipios'!$A$2:$A$1123, "No encontrado")</f>
        <v>63548</v>
      </c>
      <c r="B2622" t="str">
        <f>IFERROR(VLOOKUP(D2622,APOYO!K:L,2,FALSE),A2622)</f>
        <v>63548</v>
      </c>
      <c r="C2622" t="s">
        <v>1622</v>
      </c>
      <c r="D2622" t="str">
        <f>IFERROR(VLOOKUP(C2622,APOYO!J:K,2,FALSE),C2622)</f>
        <v>PIJAO</v>
      </c>
      <c r="E2622">
        <v>2016</v>
      </c>
      <c r="H2622">
        <v>24</v>
      </c>
    </row>
    <row r="2623" spans="1:9" hidden="1" x14ac:dyDescent="0.25">
      <c r="A2623" t="str">
        <f>_xlfn.XLOOKUP(C2623, 'Códigos DANE Municipios'!$B$2:$B$1123, 'Códigos DANE Municipios'!$A$2:$A$1123, "No encontrado")</f>
        <v>68549</v>
      </c>
      <c r="B2623" t="str">
        <f>IFERROR(VLOOKUP(D2623,APOYO!K:L,2,FALSE),A2623)</f>
        <v>68549</v>
      </c>
      <c r="C2623" t="s">
        <v>1768</v>
      </c>
      <c r="D2623" t="str">
        <f>IFERROR(VLOOKUP(C2623,APOYO!J:K,2,FALSE),C2623)</f>
        <v>PINCHOTE</v>
      </c>
      <c r="E2623">
        <v>2016</v>
      </c>
      <c r="H2623">
        <v>3</v>
      </c>
    </row>
    <row r="2624" spans="1:9" hidden="1" x14ac:dyDescent="0.25">
      <c r="A2624" t="str">
        <f>_xlfn.XLOOKUP(C2624, 'Códigos DANE Municipios'!$B$2:$B$1123, 'Códigos DANE Municipios'!$A$2:$A$1123, "No encontrado")</f>
        <v>No encontrado</v>
      </c>
      <c r="B2624" t="str">
        <f>IFERROR(VLOOKUP(D2624,APOYO!K:L,2,FALSE),A2624)</f>
        <v>No encontrado</v>
      </c>
      <c r="C2624" t="s">
        <v>2319</v>
      </c>
      <c r="D2624" t="str">
        <f>IFERROR(VLOOKUP(C2624,APOYO!J:K,2,FALSE),C2624)</f>
        <v>PIOJO</v>
      </c>
      <c r="E2624">
        <v>2016</v>
      </c>
      <c r="H2624">
        <v>1</v>
      </c>
    </row>
    <row r="2625" spans="1:8" hidden="1" x14ac:dyDescent="0.25">
      <c r="A2625" t="str">
        <f>_xlfn.XLOOKUP(C2625, 'Códigos DANE Municipios'!$B$2:$B$1123, 'Códigos DANE Municipios'!$A$2:$A$1123, "No encontrado")</f>
        <v>41548</v>
      </c>
      <c r="B2625" t="str">
        <f>IFERROR(VLOOKUP(D2625,APOYO!K:L,2,FALSE),A2625)</f>
        <v>41548</v>
      </c>
      <c r="C2625" t="s">
        <v>1245</v>
      </c>
      <c r="D2625" t="str">
        <f>IFERROR(VLOOKUP(C2625,APOYO!J:K,2,FALSE),C2625)</f>
        <v>PITAL</v>
      </c>
      <c r="E2625">
        <v>2016</v>
      </c>
      <c r="H2625">
        <v>17</v>
      </c>
    </row>
    <row r="2626" spans="1:8" hidden="1" x14ac:dyDescent="0.25">
      <c r="A2626" t="str">
        <f>_xlfn.XLOOKUP(C2626, 'Códigos DANE Municipios'!$B$2:$B$1123, 'Códigos DANE Municipios'!$A$2:$A$1123, "No encontrado")</f>
        <v>41551</v>
      </c>
      <c r="B2626" t="str">
        <f>IFERROR(VLOOKUP(D2626,APOYO!K:L,2,FALSE),A2626)</f>
        <v>41551</v>
      </c>
      <c r="C2626" t="s">
        <v>1247</v>
      </c>
      <c r="D2626" t="str">
        <f>IFERROR(VLOOKUP(C2626,APOYO!J:K,2,FALSE),C2626)</f>
        <v>PITALITO</v>
      </c>
      <c r="E2626">
        <v>2016</v>
      </c>
      <c r="F2626">
        <v>5196</v>
      </c>
      <c r="H2626">
        <v>636</v>
      </c>
    </row>
    <row r="2627" spans="1:8" hidden="1" x14ac:dyDescent="0.25">
      <c r="A2627" t="str">
        <f>_xlfn.XLOOKUP(C2627, 'Códigos DANE Municipios'!$B$2:$B$1123, 'Códigos DANE Municipios'!$A$2:$A$1123, "No encontrado")</f>
        <v>47551</v>
      </c>
      <c r="B2627" t="str">
        <f>IFERROR(VLOOKUP(D2627,APOYO!K:L,2,FALSE),A2627)</f>
        <v>47551</v>
      </c>
      <c r="C2627" t="s">
        <v>1331</v>
      </c>
      <c r="D2627" t="str">
        <f>IFERROR(VLOOKUP(C2627,APOYO!J:K,2,FALSE),C2627)</f>
        <v>PIVIJAY</v>
      </c>
      <c r="E2627">
        <v>2016</v>
      </c>
      <c r="H2627">
        <v>6</v>
      </c>
    </row>
    <row r="2628" spans="1:8" hidden="1" x14ac:dyDescent="0.25">
      <c r="A2628" t="str">
        <f>_xlfn.XLOOKUP(C2628, 'Códigos DANE Municipios'!$B$2:$B$1123, 'Códigos DANE Municipios'!$A$2:$A$1123, "No encontrado")</f>
        <v>73555</v>
      </c>
      <c r="B2628" t="str">
        <f>IFERROR(VLOOKUP(D2628,APOYO!K:L,2,FALSE),A2628)</f>
        <v>73555</v>
      </c>
      <c r="C2628" t="s">
        <v>1929</v>
      </c>
      <c r="D2628" t="str">
        <f>IFERROR(VLOOKUP(C2628,APOYO!J:K,2,FALSE),C2628)</f>
        <v>PLANADAS</v>
      </c>
      <c r="E2628">
        <v>2016</v>
      </c>
      <c r="H2628">
        <v>1</v>
      </c>
    </row>
    <row r="2629" spans="1:8" hidden="1" x14ac:dyDescent="0.25">
      <c r="A2629" t="str">
        <f>_xlfn.XLOOKUP(C2629, 'Códigos DANE Municipios'!$B$2:$B$1123, 'Códigos DANE Municipios'!$A$2:$A$1123, "No encontrado")</f>
        <v>23555</v>
      </c>
      <c r="B2629" t="str">
        <f>IFERROR(VLOOKUP(D2629,APOYO!K:L,2,FALSE),A2629)</f>
        <v>23555</v>
      </c>
      <c r="C2629" t="s">
        <v>887</v>
      </c>
      <c r="D2629" t="str">
        <f>IFERROR(VLOOKUP(C2629,APOYO!J:K,2,FALSE),C2629)</f>
        <v>PLANETA RICA</v>
      </c>
      <c r="E2629">
        <v>2016</v>
      </c>
      <c r="H2629">
        <v>50</v>
      </c>
    </row>
    <row r="2630" spans="1:8" hidden="1" x14ac:dyDescent="0.25">
      <c r="A2630" t="str">
        <f>_xlfn.XLOOKUP(C2630, 'Códigos DANE Municipios'!$B$2:$B$1123, 'Códigos DANE Municipios'!$A$2:$A$1123, "No encontrado")</f>
        <v>47555</v>
      </c>
      <c r="B2630" t="str">
        <f>IFERROR(VLOOKUP(D2630,APOYO!K:L,2,FALSE),A2630)</f>
        <v>47555</v>
      </c>
      <c r="C2630" t="s">
        <v>1333</v>
      </c>
      <c r="D2630" t="str">
        <f>IFERROR(VLOOKUP(C2630,APOYO!J:K,2,FALSE),C2630)</f>
        <v>PLATO</v>
      </c>
      <c r="E2630">
        <v>2016</v>
      </c>
      <c r="H2630">
        <v>10</v>
      </c>
    </row>
    <row r="2631" spans="1:8" hidden="1" x14ac:dyDescent="0.25">
      <c r="A2631" t="str">
        <f>_xlfn.XLOOKUP(C2631, 'Códigos DANE Municipios'!$B$2:$B$1123, 'Códigos DANE Municipios'!$A$2:$A$1123, "No encontrado")</f>
        <v>52540</v>
      </c>
      <c r="B2631" t="str">
        <f>IFERROR(VLOOKUP(D2631,APOYO!K:L,2,FALSE),A2631)</f>
        <v>52540</v>
      </c>
      <c r="C2631" t="s">
        <v>1491</v>
      </c>
      <c r="D2631" t="str">
        <f>IFERROR(VLOOKUP(C2631,APOYO!J:K,2,FALSE),C2631)</f>
        <v>POLICARPA</v>
      </c>
      <c r="E2631">
        <v>2016</v>
      </c>
      <c r="H2631">
        <v>2</v>
      </c>
    </row>
    <row r="2632" spans="1:8" hidden="1" x14ac:dyDescent="0.25">
      <c r="A2632" t="str">
        <f>_xlfn.XLOOKUP(C2632, 'Códigos DANE Municipios'!$B$2:$B$1123, 'Códigos DANE Municipios'!$A$2:$A$1123, "No encontrado")</f>
        <v>08558</v>
      </c>
      <c r="B2632" t="str">
        <f>IFERROR(VLOOKUP(D2632,APOYO!K:L,2,FALSE),A2632)</f>
        <v>08558</v>
      </c>
      <c r="C2632" t="s">
        <v>284</v>
      </c>
      <c r="D2632" t="str">
        <f>IFERROR(VLOOKUP(C2632,APOYO!J:K,2,FALSE),C2632)</f>
        <v>POLONUEVO</v>
      </c>
      <c r="E2632">
        <v>2016</v>
      </c>
      <c r="H2632">
        <v>4</v>
      </c>
    </row>
    <row r="2633" spans="1:8" hidden="1" x14ac:dyDescent="0.25">
      <c r="A2633" t="str">
        <f>_xlfn.XLOOKUP(C2633, 'Códigos DANE Municipios'!$B$2:$B$1123, 'Códigos DANE Municipios'!$A$2:$A$1123, "No encontrado")</f>
        <v>08560</v>
      </c>
      <c r="B2633" t="str">
        <f>IFERROR(VLOOKUP(D2633,APOYO!K:L,2,FALSE),A2633)</f>
        <v>08560</v>
      </c>
      <c r="C2633" t="s">
        <v>286</v>
      </c>
      <c r="D2633" t="str">
        <f>IFERROR(VLOOKUP(C2633,APOYO!J:K,2,FALSE),C2633)</f>
        <v>PONEDERA</v>
      </c>
      <c r="E2633">
        <v>2016</v>
      </c>
      <c r="H2633">
        <v>2</v>
      </c>
    </row>
    <row r="2634" spans="1:8" hidden="1" x14ac:dyDescent="0.25">
      <c r="A2634" t="str">
        <f>_xlfn.XLOOKUP(C2634, 'Códigos DANE Municipios'!$B$2:$B$1123, 'Códigos DANE Municipios'!$A$2:$A$1123, "No encontrado")</f>
        <v>No encontrado</v>
      </c>
      <c r="B2634" t="str">
        <f>IFERROR(VLOOKUP(D2634,APOYO!K:L,2,FALSE),A2634)</f>
        <v>No encontrado</v>
      </c>
      <c r="C2634" t="s">
        <v>2320</v>
      </c>
      <c r="D2634" t="str">
        <f>IFERROR(VLOOKUP(C2634,APOYO!J:K,2,FALSE),C2634)</f>
        <v>POPAYAN</v>
      </c>
      <c r="E2634">
        <v>2016</v>
      </c>
      <c r="F2634">
        <v>65888</v>
      </c>
      <c r="G2634">
        <v>1204</v>
      </c>
      <c r="H2634">
        <v>3572</v>
      </c>
    </row>
    <row r="2635" spans="1:8" hidden="1" x14ac:dyDescent="0.25">
      <c r="A2635" t="str">
        <f>_xlfn.XLOOKUP(C2635, 'Códigos DANE Municipios'!$B$2:$B$1123, 'Códigos DANE Municipios'!$A$2:$A$1123, "No encontrado")</f>
        <v>85263</v>
      </c>
      <c r="B2635" t="str">
        <f>IFERROR(VLOOKUP(D2635,APOYO!K:L,2,FALSE),A2635)</f>
        <v>85263</v>
      </c>
      <c r="C2635" t="s">
        <v>2068</v>
      </c>
      <c r="D2635" t="str">
        <f>IFERROR(VLOOKUP(C2635,APOYO!J:K,2,FALSE),C2635)</f>
        <v>PORE</v>
      </c>
      <c r="E2635">
        <v>2016</v>
      </c>
      <c r="H2635">
        <v>6</v>
      </c>
    </row>
    <row r="2636" spans="1:8" hidden="1" x14ac:dyDescent="0.25">
      <c r="A2636" t="str">
        <f>_xlfn.XLOOKUP(C2636, 'Códigos DANE Municipios'!$B$2:$B$1123, 'Códigos DANE Municipios'!$A$2:$A$1123, "No encontrado")</f>
        <v>76563</v>
      </c>
      <c r="B2636" t="str">
        <f>IFERROR(VLOOKUP(D2636,APOYO!K:L,2,FALSE),A2636)</f>
        <v>76563</v>
      </c>
      <c r="C2636" t="s">
        <v>2006</v>
      </c>
      <c r="D2636" t="str">
        <f>IFERROR(VLOOKUP(C2636,APOYO!J:K,2,FALSE),C2636)</f>
        <v>PRADERA</v>
      </c>
      <c r="E2636">
        <v>2016</v>
      </c>
      <c r="H2636">
        <v>140</v>
      </c>
    </row>
    <row r="2637" spans="1:8" hidden="1" x14ac:dyDescent="0.25">
      <c r="A2637" t="str">
        <f>_xlfn.XLOOKUP(C2637, 'Códigos DANE Municipios'!$B$2:$B$1123, 'Códigos DANE Municipios'!$A$2:$A$1123, "No encontrado")</f>
        <v>73563</v>
      </c>
      <c r="B2637" t="str">
        <f>IFERROR(VLOOKUP(D2637,APOYO!K:L,2,FALSE),A2637)</f>
        <v>73563</v>
      </c>
      <c r="C2637" t="s">
        <v>1931</v>
      </c>
      <c r="D2637" t="str">
        <f>IFERROR(VLOOKUP(C2637,APOYO!J:K,2,FALSE),C2637)</f>
        <v>PRADO</v>
      </c>
      <c r="E2637">
        <v>2016</v>
      </c>
      <c r="H2637">
        <v>4</v>
      </c>
    </row>
    <row r="2638" spans="1:8" hidden="1" x14ac:dyDescent="0.25">
      <c r="A2638" t="str">
        <f>_xlfn.XLOOKUP(C2638, 'Códigos DANE Municipios'!$B$2:$B$1123, 'Códigos DANE Municipios'!$A$2:$A$1123, "No encontrado")</f>
        <v>52565</v>
      </c>
      <c r="B2638" t="str">
        <f>IFERROR(VLOOKUP(D2638,APOYO!K:L,2,FALSE),A2638)</f>
        <v>52565</v>
      </c>
      <c r="C2638" t="s">
        <v>1495</v>
      </c>
      <c r="D2638" t="str">
        <f>IFERROR(VLOOKUP(C2638,APOYO!J:K,2,FALSE),C2638)</f>
        <v>PROVIDENCIA</v>
      </c>
      <c r="E2638">
        <v>2016</v>
      </c>
      <c r="F2638">
        <v>15422</v>
      </c>
      <c r="H2638">
        <v>3633</v>
      </c>
    </row>
    <row r="2639" spans="1:8" hidden="1" x14ac:dyDescent="0.25">
      <c r="A2639" t="str">
        <f>_xlfn.XLOOKUP(C2639, 'Códigos DANE Municipios'!$B$2:$B$1123, 'Códigos DANE Municipios'!$A$2:$A$1123, "No encontrado")</f>
        <v>No encontrado</v>
      </c>
      <c r="B2639" t="str">
        <f>IFERROR(VLOOKUP(D2639,APOYO!K:L,2,FALSE),A2639)</f>
        <v>No encontrado</v>
      </c>
      <c r="C2639" t="s">
        <v>2321</v>
      </c>
      <c r="D2639" t="str">
        <f>IFERROR(VLOOKUP(C2639,APOYO!J:K,2,FALSE),C2639)</f>
        <v>PTO NAREL(LAMAG</v>
      </c>
      <c r="E2639">
        <v>2016</v>
      </c>
      <c r="H2639" t="s">
        <v>2511</v>
      </c>
    </row>
    <row r="2640" spans="1:8" hidden="1" x14ac:dyDescent="0.25">
      <c r="A2640" t="str">
        <f>_xlfn.XLOOKUP(C2640, 'Códigos DANE Municipios'!$B$2:$B$1123, 'Códigos DANE Municipios'!$A$2:$A$1123, "No encontrado")</f>
        <v>66572</v>
      </c>
      <c r="B2640" t="str">
        <f>IFERROR(VLOOKUP(D2640,APOYO!K:L,2,FALSE),A2640)</f>
        <v>66572</v>
      </c>
      <c r="C2640" t="s">
        <v>1647</v>
      </c>
      <c r="D2640" t="str">
        <f>IFERROR(VLOOKUP(C2640,APOYO!J:K,2,FALSE),C2640)</f>
        <v>PUEBLO RICO</v>
      </c>
      <c r="E2640">
        <v>2016</v>
      </c>
      <c r="H2640">
        <v>10</v>
      </c>
    </row>
    <row r="2641" spans="1:9" hidden="1" x14ac:dyDescent="0.25">
      <c r="A2641" t="str">
        <f>_xlfn.XLOOKUP(C2641, 'Códigos DANE Municipios'!$B$2:$B$1123, 'Códigos DANE Municipios'!$A$2:$A$1123, "No encontrado")</f>
        <v>05576</v>
      </c>
      <c r="B2641" t="str">
        <f>IFERROR(VLOOKUP(D2641,APOYO!K:L,2,FALSE),A2641)</f>
        <v>05576</v>
      </c>
      <c r="C2641" t="s">
        <v>168</v>
      </c>
      <c r="D2641" t="str">
        <f>IFERROR(VLOOKUP(C2641,APOYO!J:K,2,FALSE),C2641)</f>
        <v>PUEBLORRICO</v>
      </c>
      <c r="E2641">
        <v>2016</v>
      </c>
      <c r="H2641">
        <v>1</v>
      </c>
    </row>
    <row r="2642" spans="1:9" hidden="1" x14ac:dyDescent="0.25">
      <c r="A2642" t="str">
        <f>_xlfn.XLOOKUP(C2642, 'Códigos DANE Municipios'!$B$2:$B$1123, 'Códigos DANE Municipios'!$A$2:$A$1123, "No encontrado")</f>
        <v>47570</v>
      </c>
      <c r="B2642" t="str">
        <f>IFERROR(VLOOKUP(D2642,APOYO!K:L,2,FALSE),A2642)</f>
        <v>47570</v>
      </c>
      <c r="C2642" t="s">
        <v>1335</v>
      </c>
      <c r="D2642" t="str">
        <f>IFERROR(VLOOKUP(C2642,APOYO!J:K,2,FALSE),C2642)</f>
        <v>PUEBLOVIEJO</v>
      </c>
      <c r="E2642">
        <v>2016</v>
      </c>
      <c r="H2642">
        <v>1</v>
      </c>
    </row>
    <row r="2643" spans="1:9" hidden="1" x14ac:dyDescent="0.25">
      <c r="A2643" t="str">
        <f>_xlfn.XLOOKUP(C2643, 'Códigos DANE Municipios'!$B$2:$B$1123, 'Códigos DANE Municipios'!$A$2:$A$1123, "No encontrado")</f>
        <v>68572</v>
      </c>
      <c r="B2643" t="str">
        <f>IFERROR(VLOOKUP(D2643,APOYO!K:L,2,FALSE),A2643)</f>
        <v>68572</v>
      </c>
      <c r="C2643" t="s">
        <v>1770</v>
      </c>
      <c r="D2643" t="str">
        <f>IFERROR(VLOOKUP(C2643,APOYO!J:K,2,FALSE),C2643)</f>
        <v>PUENTE NACIONAL</v>
      </c>
      <c r="E2643">
        <v>2016</v>
      </c>
      <c r="H2643">
        <v>7</v>
      </c>
    </row>
    <row r="2644" spans="1:9" hidden="1" x14ac:dyDescent="0.25">
      <c r="A2644" t="str">
        <f>_xlfn.XLOOKUP(C2644, 'Códigos DANE Municipios'!$B$2:$B$1123, 'Códigos DANE Municipios'!$A$2:$A$1123, "No encontrado")</f>
        <v>52573</v>
      </c>
      <c r="B2644" t="str">
        <f>IFERROR(VLOOKUP(D2644,APOYO!K:L,2,FALSE),A2644)</f>
        <v>52573</v>
      </c>
      <c r="C2644" t="s">
        <v>1497</v>
      </c>
      <c r="D2644" t="str">
        <f>IFERROR(VLOOKUP(C2644,APOYO!J:K,2,FALSE),C2644)</f>
        <v>PUERRES</v>
      </c>
      <c r="E2644">
        <v>2016</v>
      </c>
      <c r="H2644">
        <v>4</v>
      </c>
    </row>
    <row r="2645" spans="1:9" hidden="1" x14ac:dyDescent="0.25">
      <c r="A2645" t="str">
        <f>_xlfn.XLOOKUP(C2645, 'Códigos DANE Municipios'!$B$2:$B$1123, 'Códigos DANE Municipios'!$A$2:$A$1123, "No encontrado")</f>
        <v>No encontrado</v>
      </c>
      <c r="B2645" t="str">
        <f>IFERROR(VLOOKUP(D2645,APOYO!K:L,2,FALSE),A2645)</f>
        <v>No encontrado</v>
      </c>
      <c r="C2645" t="s">
        <v>2322</v>
      </c>
      <c r="D2645" t="str">
        <f>IFERROR(VLOOKUP(C2645,APOYO!J:K,2,FALSE),C2645)</f>
        <v>PUERTO ASIS</v>
      </c>
      <c r="E2645">
        <v>2016</v>
      </c>
      <c r="F2645">
        <v>24168</v>
      </c>
      <c r="H2645">
        <v>257</v>
      </c>
    </row>
    <row r="2646" spans="1:9" hidden="1" x14ac:dyDescent="0.25">
      <c r="A2646" t="str">
        <f>_xlfn.XLOOKUP(C2646, 'Códigos DANE Municipios'!$B$2:$B$1123, 'Códigos DANE Municipios'!$A$2:$A$1123, "No encontrado")</f>
        <v>No encontrado</v>
      </c>
      <c r="B2646" t="str">
        <f>IFERROR(VLOOKUP(D2646,APOYO!K:L,2,FALSE),A2646)</f>
        <v>No encontrado</v>
      </c>
      <c r="C2646" t="s">
        <v>2323</v>
      </c>
      <c r="D2646" t="str">
        <f>IFERROR(VLOOKUP(C2646,APOYO!J:K,2,FALSE),C2646)</f>
        <v>PUERTO BERRIO</v>
      </c>
      <c r="E2646">
        <v>2016</v>
      </c>
      <c r="H2646">
        <v>35</v>
      </c>
    </row>
    <row r="2647" spans="1:9" hidden="1" x14ac:dyDescent="0.25">
      <c r="A2647" t="str">
        <f>_xlfn.XLOOKUP(C2647, 'Códigos DANE Municipios'!$B$2:$B$1123, 'Códigos DANE Municipios'!$A$2:$A$1123, "No encontrado")</f>
        <v>No encontrado</v>
      </c>
      <c r="B2647" t="str">
        <f>IFERROR(VLOOKUP(D2647,APOYO!K:L,2,FALSE),A2647)</f>
        <v>15572</v>
      </c>
      <c r="C2647" t="s">
        <v>2324</v>
      </c>
      <c r="D2647" t="str">
        <f>IFERROR(VLOOKUP(C2647,APOYO!J:K,2,FALSE),C2647)</f>
        <v>PUERTO BOYACÁ</v>
      </c>
      <c r="E2647">
        <v>2016</v>
      </c>
      <c r="H2647">
        <v>34</v>
      </c>
    </row>
    <row r="2648" spans="1:9" hidden="1" x14ac:dyDescent="0.25">
      <c r="A2648" t="str">
        <f>_xlfn.XLOOKUP(C2648, 'Códigos DANE Municipios'!$B$2:$B$1123, 'Códigos DANE Municipios'!$A$2:$A$1123, "No encontrado")</f>
        <v>86569</v>
      </c>
      <c r="B2648" t="str">
        <f>IFERROR(VLOOKUP(D2648,APOYO!K:L,2,FALSE),A2648)</f>
        <v>86569</v>
      </c>
      <c r="C2648" t="s">
        <v>2091</v>
      </c>
      <c r="D2648" t="str">
        <f>IFERROR(VLOOKUP(C2648,APOYO!J:K,2,FALSE),C2648)</f>
        <v>PUERTO CAICEDO</v>
      </c>
      <c r="E2648">
        <v>2016</v>
      </c>
      <c r="H2648">
        <v>7</v>
      </c>
    </row>
    <row r="2649" spans="1:9" hidden="1" x14ac:dyDescent="0.25">
      <c r="A2649" t="str">
        <f>_xlfn.XLOOKUP(C2649, 'Códigos DANE Municipios'!$B$2:$B$1123, 'Códigos DANE Municipios'!$A$2:$A$1123, "No encontrado")</f>
        <v>99001</v>
      </c>
      <c r="B2649" t="str">
        <f>IFERROR(VLOOKUP(D2649,APOYO!K:L,2,FALSE),A2649)</f>
        <v>99001</v>
      </c>
      <c r="C2649" t="s">
        <v>2163</v>
      </c>
      <c r="D2649" t="str">
        <f>IFERROR(VLOOKUP(C2649,APOYO!J:K,2,FALSE),C2649)</f>
        <v>PUERTO CARREÑO</v>
      </c>
      <c r="E2649">
        <v>2016</v>
      </c>
      <c r="F2649">
        <v>17628</v>
      </c>
      <c r="H2649">
        <v>54</v>
      </c>
      <c r="I2649">
        <v>340</v>
      </c>
    </row>
    <row r="2650" spans="1:9" hidden="1" x14ac:dyDescent="0.25">
      <c r="A2650" t="str">
        <f>_xlfn.XLOOKUP(C2650, 'Códigos DANE Municipios'!$B$2:$B$1123, 'Códigos DANE Municipios'!$A$2:$A$1123, "No encontrado")</f>
        <v>08573</v>
      </c>
      <c r="B2650" t="str">
        <f>IFERROR(VLOOKUP(D2650,APOYO!K:L,2,FALSE),A2650)</f>
        <v>08573</v>
      </c>
      <c r="C2650" t="s">
        <v>288</v>
      </c>
      <c r="D2650" t="str">
        <f>IFERROR(VLOOKUP(C2650,APOYO!J:K,2,FALSE),C2650)</f>
        <v>PUERTO COLOMBIA</v>
      </c>
      <c r="E2650">
        <v>2016</v>
      </c>
      <c r="H2650">
        <v>146</v>
      </c>
    </row>
    <row r="2651" spans="1:9" hidden="1" x14ac:dyDescent="0.25">
      <c r="A2651" t="str">
        <f>_xlfn.XLOOKUP(C2651, 'Códigos DANE Municipios'!$B$2:$B$1123, 'Códigos DANE Municipios'!$A$2:$A$1123, "No encontrado")</f>
        <v>No encontrado</v>
      </c>
      <c r="B2651" t="str">
        <f>IFERROR(VLOOKUP(D2651,APOYO!K:L,2,FALSE),A2651)</f>
        <v>No encontrado</v>
      </c>
      <c r="C2651" t="s">
        <v>2325</v>
      </c>
      <c r="D2651" t="str">
        <f>IFERROR(VLOOKUP(C2651,APOYO!J:K,2,FALSE),C2651)</f>
        <v>PUERTO CONCOR</v>
      </c>
      <c r="E2651">
        <v>2016</v>
      </c>
      <c r="H2651">
        <v>3</v>
      </c>
    </row>
    <row r="2652" spans="1:9" hidden="1" x14ac:dyDescent="0.25">
      <c r="A2652" t="str">
        <f>_xlfn.XLOOKUP(C2652, 'Códigos DANE Municipios'!$B$2:$B$1123, 'Códigos DANE Municipios'!$A$2:$A$1123, "No encontrado")</f>
        <v>No encontrado</v>
      </c>
      <c r="B2652" t="str">
        <f>IFERROR(VLOOKUP(D2652,APOYO!K:L,2,FALSE),A2652)</f>
        <v>No encontrado</v>
      </c>
      <c r="C2652" t="s">
        <v>2326</v>
      </c>
      <c r="D2652" t="str">
        <f>IFERROR(VLOOKUP(C2652,APOYO!J:K,2,FALSE),C2652)</f>
        <v>PUERTO GAITAN</v>
      </c>
      <c r="E2652">
        <v>2016</v>
      </c>
      <c r="H2652">
        <v>103</v>
      </c>
    </row>
    <row r="2653" spans="1:9" hidden="1" x14ac:dyDescent="0.25">
      <c r="A2653" t="str">
        <f>_xlfn.XLOOKUP(C2653, 'Códigos DANE Municipios'!$B$2:$B$1123, 'Códigos DANE Municipios'!$A$2:$A$1123, "No encontrado")</f>
        <v>No encontrado</v>
      </c>
      <c r="B2653" t="str">
        <f>IFERROR(VLOOKUP(D2653,APOYO!K:L,2,FALSE),A2653)</f>
        <v>No encontrado</v>
      </c>
      <c r="C2653" t="s">
        <v>2327</v>
      </c>
      <c r="D2653" t="str">
        <f>IFERROR(VLOOKUP(C2653,APOYO!J:K,2,FALSE),C2653)</f>
        <v>PUERTO INIRIDA</v>
      </c>
      <c r="E2653">
        <v>2016</v>
      </c>
      <c r="F2653">
        <v>17073</v>
      </c>
      <c r="H2653">
        <v>190</v>
      </c>
    </row>
    <row r="2654" spans="1:9" hidden="1" x14ac:dyDescent="0.25">
      <c r="A2654" t="str">
        <f>_xlfn.XLOOKUP(C2654, 'Códigos DANE Municipios'!$B$2:$B$1123, 'Códigos DANE Municipios'!$A$2:$A$1123, "No encontrado")</f>
        <v>No encontrado</v>
      </c>
      <c r="B2654" t="str">
        <f>IFERROR(VLOOKUP(D2654,APOYO!K:L,2,FALSE),A2654)</f>
        <v>No encontrado</v>
      </c>
      <c r="C2654" t="s">
        <v>2328</v>
      </c>
      <c r="D2654" t="str">
        <f>IFERROR(VLOOKUP(C2654,APOYO!J:K,2,FALSE),C2654)</f>
        <v>PUERTO LEGUIZA</v>
      </c>
      <c r="E2654">
        <v>2016</v>
      </c>
      <c r="F2654">
        <v>5881</v>
      </c>
      <c r="H2654">
        <v>42</v>
      </c>
    </row>
    <row r="2655" spans="1:9" hidden="1" x14ac:dyDescent="0.25">
      <c r="A2655" t="str">
        <f>_xlfn.XLOOKUP(C2655, 'Códigos DANE Municipios'!$B$2:$B$1123, 'Códigos DANE Municipios'!$A$2:$A$1123, "No encontrado")</f>
        <v>No encontrado</v>
      </c>
      <c r="B2655" t="str">
        <f>IFERROR(VLOOKUP(D2655,APOYO!K:L,2,FALSE),A2655)</f>
        <v>No encontrado</v>
      </c>
      <c r="C2655" t="s">
        <v>2329</v>
      </c>
      <c r="D2655" t="str">
        <f>IFERROR(VLOOKUP(C2655,APOYO!J:K,2,FALSE),C2655)</f>
        <v>PUERTO LIBERTAD</v>
      </c>
      <c r="E2655">
        <v>2016</v>
      </c>
      <c r="H2655">
        <v>42</v>
      </c>
    </row>
    <row r="2656" spans="1:9" hidden="1" x14ac:dyDescent="0.25">
      <c r="A2656" t="str">
        <f>_xlfn.XLOOKUP(C2656, 'Códigos DANE Municipios'!$B$2:$B$1123, 'Códigos DANE Municipios'!$A$2:$A$1123, "No encontrado")</f>
        <v>50577</v>
      </c>
      <c r="B2656" t="str">
        <f>IFERROR(VLOOKUP(D2656,APOYO!K:L,2,FALSE),A2656)</f>
        <v>50577</v>
      </c>
      <c r="C2656" t="s">
        <v>1398</v>
      </c>
      <c r="D2656" t="str">
        <f>IFERROR(VLOOKUP(C2656,APOYO!J:K,2,FALSE),C2656)</f>
        <v>PUERTO LLERAS</v>
      </c>
      <c r="E2656">
        <v>2016</v>
      </c>
      <c r="H2656">
        <v>2</v>
      </c>
    </row>
    <row r="2657" spans="1:8" hidden="1" x14ac:dyDescent="0.25">
      <c r="A2657" t="str">
        <f>_xlfn.XLOOKUP(C2657, 'Códigos DANE Municipios'!$B$2:$B$1123, 'Códigos DANE Municipios'!$A$2:$A$1123, "No encontrado")</f>
        <v>No encontrado</v>
      </c>
      <c r="B2657" t="str">
        <f>IFERROR(VLOOKUP(D2657,APOYO!K:L,2,FALSE),A2657)</f>
        <v>No encontrado</v>
      </c>
      <c r="C2657" t="s">
        <v>2330</v>
      </c>
      <c r="D2657" t="str">
        <f>IFERROR(VLOOKUP(C2657,APOYO!J:K,2,FALSE),C2657)</f>
        <v>PUERTO LOPEZ</v>
      </c>
      <c r="E2657">
        <v>2016</v>
      </c>
      <c r="H2657">
        <v>88</v>
      </c>
    </row>
    <row r="2658" spans="1:8" hidden="1" x14ac:dyDescent="0.25">
      <c r="A2658" t="str">
        <f>_xlfn.XLOOKUP(C2658, 'Códigos DANE Municipios'!$B$2:$B$1123, 'Códigos DANE Municipios'!$A$2:$A$1123, "No encontrado")</f>
        <v>91540</v>
      </c>
      <c r="B2658" t="str">
        <f>IFERROR(VLOOKUP(D2658,APOYO!K:L,2,FALSE),A2658)</f>
        <v>91540</v>
      </c>
      <c r="C2658" t="s">
        <v>2123</v>
      </c>
      <c r="D2658" t="str">
        <f>IFERROR(VLOOKUP(C2658,APOYO!J:K,2,FALSE),C2658)</f>
        <v>PUERTO NARIÑO</v>
      </c>
      <c r="E2658">
        <v>2016</v>
      </c>
      <c r="H2658">
        <v>25</v>
      </c>
    </row>
    <row r="2659" spans="1:8" hidden="1" x14ac:dyDescent="0.25">
      <c r="A2659" t="str">
        <f>_xlfn.XLOOKUP(C2659, 'Códigos DANE Municipios'!$B$2:$B$1123, 'Códigos DANE Municipios'!$A$2:$A$1123, "No encontrado")</f>
        <v>18592</v>
      </c>
      <c r="B2659" t="str">
        <f>IFERROR(VLOOKUP(D2659,APOYO!K:L,2,FALSE),A2659)</f>
        <v>18592</v>
      </c>
      <c r="C2659" t="s">
        <v>718</v>
      </c>
      <c r="D2659" t="str">
        <f>IFERROR(VLOOKUP(C2659,APOYO!J:K,2,FALSE),C2659)</f>
        <v>PUERTO RICO</v>
      </c>
      <c r="E2659">
        <v>2016</v>
      </c>
      <c r="H2659">
        <v>1</v>
      </c>
    </row>
    <row r="2660" spans="1:8" hidden="1" x14ac:dyDescent="0.25">
      <c r="A2660" t="str">
        <f>_xlfn.XLOOKUP(C2660, 'Códigos DANE Municipios'!$B$2:$B$1123, 'Códigos DANE Municipios'!$A$2:$A$1123, "No encontrado")</f>
        <v>25572</v>
      </c>
      <c r="B2660" t="str">
        <f>IFERROR(VLOOKUP(D2660,APOYO!K:L,2,FALSE),A2660)</f>
        <v>25572</v>
      </c>
      <c r="C2660" t="s">
        <v>1049</v>
      </c>
      <c r="D2660" t="str">
        <f>IFERROR(VLOOKUP(C2660,APOYO!J:K,2,FALSE),C2660)</f>
        <v>PUERTO SALGAR</v>
      </c>
      <c r="E2660">
        <v>2016</v>
      </c>
      <c r="H2660">
        <v>17</v>
      </c>
    </row>
    <row r="2661" spans="1:8" hidden="1" x14ac:dyDescent="0.25">
      <c r="A2661" t="str">
        <f>_xlfn.XLOOKUP(C2661, 'Códigos DANE Municipios'!$B$2:$B$1123, 'Códigos DANE Municipios'!$A$2:$A$1123, "No encontrado")</f>
        <v>54553</v>
      </c>
      <c r="B2661" t="str">
        <f>IFERROR(VLOOKUP(D2661,APOYO!K:L,2,FALSE),A2661)</f>
        <v>54553</v>
      </c>
      <c r="C2661" t="s">
        <v>1583</v>
      </c>
      <c r="D2661" t="str">
        <f>IFERROR(VLOOKUP(C2661,APOYO!J:K,2,FALSE),C2661)</f>
        <v>PUERTO SANTANDER</v>
      </c>
      <c r="E2661">
        <v>2016</v>
      </c>
      <c r="H2661">
        <v>1</v>
      </c>
    </row>
    <row r="2662" spans="1:8" hidden="1" x14ac:dyDescent="0.25">
      <c r="A2662" t="str">
        <f>_xlfn.XLOOKUP(C2662, 'Códigos DANE Municipios'!$B$2:$B$1123, 'Códigos DANE Municipios'!$A$2:$A$1123, "No encontrado")</f>
        <v>19573</v>
      </c>
      <c r="B2662" t="str">
        <f>IFERROR(VLOOKUP(D2662,APOYO!K:L,2,FALSE),A2662)</f>
        <v>19573</v>
      </c>
      <c r="C2662" t="s">
        <v>779</v>
      </c>
      <c r="D2662" t="str">
        <f>IFERROR(VLOOKUP(C2662,APOYO!J:K,2,FALSE),C2662)</f>
        <v>PUERTO TEJADA</v>
      </c>
      <c r="E2662">
        <v>2016</v>
      </c>
      <c r="H2662">
        <v>110</v>
      </c>
    </row>
    <row r="2663" spans="1:8" hidden="1" x14ac:dyDescent="0.25">
      <c r="A2663" t="str">
        <f>_xlfn.XLOOKUP(C2663, 'Códigos DANE Municipios'!$B$2:$B$1123, 'Códigos DANE Municipios'!$A$2:$A$1123, "No encontrado")</f>
        <v>05591</v>
      </c>
      <c r="B2663" t="str">
        <f>IFERROR(VLOOKUP(D2663,APOYO!K:L,2,FALSE),A2663)</f>
        <v>05591</v>
      </c>
      <c r="C2663" t="s">
        <v>174</v>
      </c>
      <c r="D2663" t="str">
        <f>IFERROR(VLOOKUP(C2663,APOYO!J:K,2,FALSE),C2663)</f>
        <v>PUERTO TRIUNFO</v>
      </c>
      <c r="E2663">
        <v>2016</v>
      </c>
      <c r="H2663">
        <v>7</v>
      </c>
    </row>
    <row r="2664" spans="1:8" hidden="1" x14ac:dyDescent="0.25">
      <c r="A2664" t="str">
        <f>_xlfn.XLOOKUP(C2664, 'Códigos DANE Municipios'!$B$2:$B$1123, 'Códigos DANE Municipios'!$A$2:$A$1123, "No encontrado")</f>
        <v>68575</v>
      </c>
      <c r="B2664" t="str">
        <f>IFERROR(VLOOKUP(D2664,APOYO!K:L,2,FALSE),A2664)</f>
        <v>68575</v>
      </c>
      <c r="C2664" t="s">
        <v>1774</v>
      </c>
      <c r="D2664" t="str">
        <f>IFERROR(VLOOKUP(C2664,APOYO!J:K,2,FALSE),C2664)</f>
        <v>PUERTO WILCHES</v>
      </c>
      <c r="E2664">
        <v>2016</v>
      </c>
      <c r="H2664">
        <v>1</v>
      </c>
    </row>
    <row r="2665" spans="1:8" hidden="1" x14ac:dyDescent="0.25">
      <c r="A2665" t="str">
        <f>_xlfn.XLOOKUP(C2665, 'Códigos DANE Municipios'!$B$2:$B$1123, 'Códigos DANE Municipios'!$A$2:$A$1123, "No encontrado")</f>
        <v>52585</v>
      </c>
      <c r="B2665" t="str">
        <f>IFERROR(VLOOKUP(D2665,APOYO!K:L,2,FALSE),A2665)</f>
        <v>52585</v>
      </c>
      <c r="C2665" t="s">
        <v>1499</v>
      </c>
      <c r="D2665" t="str">
        <f>IFERROR(VLOOKUP(C2665,APOYO!J:K,2,FALSE),C2665)</f>
        <v>PUPIALES</v>
      </c>
      <c r="E2665">
        <v>2016</v>
      </c>
      <c r="H2665">
        <v>3</v>
      </c>
    </row>
    <row r="2666" spans="1:8" hidden="1" x14ac:dyDescent="0.25">
      <c r="A2666" t="str">
        <f>_xlfn.XLOOKUP(C2666, 'Códigos DANE Municipios'!$B$2:$B$1123, 'Códigos DANE Municipios'!$A$2:$A$1123, "No encontrado")</f>
        <v>No encontrado</v>
      </c>
      <c r="B2666" t="str">
        <f>IFERROR(VLOOKUP(D2666,APOYO!K:L,2,FALSE),A2666)</f>
        <v>No encontrado</v>
      </c>
      <c r="C2666" t="s">
        <v>2331</v>
      </c>
      <c r="D2666" t="str">
        <f>IFERROR(VLOOKUP(C2666,APOYO!J:K,2,FALSE),C2666)</f>
        <v>PURACE</v>
      </c>
      <c r="E2666">
        <v>2016</v>
      </c>
      <c r="H2666" t="s">
        <v>2511</v>
      </c>
    </row>
    <row r="2667" spans="1:8" hidden="1" x14ac:dyDescent="0.25">
      <c r="A2667" t="str">
        <f>_xlfn.XLOOKUP(C2667, 'Códigos DANE Municipios'!$B$2:$B$1123, 'Códigos DANE Municipios'!$A$2:$A$1123, "No encontrado")</f>
        <v>No encontrado</v>
      </c>
      <c r="B2667" t="str">
        <f>IFERROR(VLOOKUP(D2667,APOYO!K:L,2,FALSE),A2667)</f>
        <v>No encontrado</v>
      </c>
      <c r="C2667" t="s">
        <v>2332</v>
      </c>
      <c r="D2667" t="str">
        <f>IFERROR(VLOOKUP(C2667,APOYO!J:K,2,FALSE),C2667)</f>
        <v>PURIFICACION</v>
      </c>
      <c r="E2667">
        <v>2016</v>
      </c>
      <c r="H2667">
        <v>12</v>
      </c>
    </row>
    <row r="2668" spans="1:8" hidden="1" x14ac:dyDescent="0.25">
      <c r="A2668" t="str">
        <f>_xlfn.XLOOKUP(C2668, 'Códigos DANE Municipios'!$B$2:$B$1123, 'Códigos DANE Municipios'!$A$2:$A$1123, "No encontrado")</f>
        <v>25592</v>
      </c>
      <c r="B2668" t="str">
        <f>IFERROR(VLOOKUP(D2668,APOYO!K:L,2,FALSE),A2668)</f>
        <v>25592</v>
      </c>
      <c r="C2668" t="s">
        <v>1053</v>
      </c>
      <c r="D2668" t="str">
        <f>IFERROR(VLOOKUP(C2668,APOYO!J:K,2,FALSE),C2668)</f>
        <v>QUEBRADANEGRA</v>
      </c>
      <c r="E2668">
        <v>2016</v>
      </c>
      <c r="H2668" t="s">
        <v>2511</v>
      </c>
    </row>
    <row r="2669" spans="1:8" hidden="1" x14ac:dyDescent="0.25">
      <c r="A2669" t="str">
        <f>_xlfn.XLOOKUP(C2669, 'Códigos DANE Municipios'!$B$2:$B$1123, 'Códigos DANE Municipios'!$A$2:$A$1123, "No encontrado")</f>
        <v>25594</v>
      </c>
      <c r="B2669" t="str">
        <f>IFERROR(VLOOKUP(D2669,APOYO!K:L,2,FALSE),A2669)</f>
        <v>25594</v>
      </c>
      <c r="C2669" t="s">
        <v>1055</v>
      </c>
      <c r="D2669" t="str">
        <f>IFERROR(VLOOKUP(C2669,APOYO!J:K,2,FALSE),C2669)</f>
        <v>QUETAME</v>
      </c>
      <c r="E2669">
        <v>2016</v>
      </c>
      <c r="H2669" t="s">
        <v>2511</v>
      </c>
    </row>
    <row r="2670" spans="1:8" hidden="1" x14ac:dyDescent="0.25">
      <c r="A2670" t="str">
        <f>_xlfn.XLOOKUP(C2670, 'Códigos DANE Municipios'!$B$2:$B$1123, 'Códigos DANE Municipios'!$A$2:$A$1123, "No encontrado")</f>
        <v>No encontrado</v>
      </c>
      <c r="B2670" t="str">
        <f>IFERROR(VLOOKUP(D2670,APOYO!K:L,2,FALSE),A2670)</f>
        <v>No encontrado</v>
      </c>
      <c r="C2670" t="s">
        <v>2333</v>
      </c>
      <c r="D2670" t="str">
        <f>IFERROR(VLOOKUP(C2670,APOYO!J:K,2,FALSE),C2670)</f>
        <v>QUIBDO</v>
      </c>
      <c r="E2670">
        <v>2016</v>
      </c>
      <c r="F2670">
        <v>187017</v>
      </c>
      <c r="H2670">
        <v>141</v>
      </c>
    </row>
    <row r="2671" spans="1:8" hidden="1" x14ac:dyDescent="0.25">
      <c r="A2671" t="str">
        <f>_xlfn.XLOOKUP(C2671, 'Códigos DANE Municipios'!$B$2:$B$1123, 'Códigos DANE Municipios'!$A$2:$A$1123, "No encontrado")</f>
        <v>63594</v>
      </c>
      <c r="B2671" t="str">
        <f>IFERROR(VLOOKUP(D2671,APOYO!K:L,2,FALSE),A2671)</f>
        <v>63594</v>
      </c>
      <c r="C2671" t="s">
        <v>1624</v>
      </c>
      <c r="D2671" t="str">
        <f>IFERROR(VLOOKUP(C2671,APOYO!J:K,2,FALSE),C2671)</f>
        <v>QUIMBAYA</v>
      </c>
      <c r="E2671">
        <v>2016</v>
      </c>
      <c r="H2671">
        <v>460</v>
      </c>
    </row>
    <row r="2672" spans="1:8" hidden="1" x14ac:dyDescent="0.25">
      <c r="A2672" t="str">
        <f>_xlfn.XLOOKUP(C2672, 'Códigos DANE Municipios'!$B$2:$B$1123, 'Códigos DANE Municipios'!$A$2:$A$1123, "No encontrado")</f>
        <v>No encontrado</v>
      </c>
      <c r="B2672" t="str">
        <f>IFERROR(VLOOKUP(D2672,APOYO!K:L,2,FALSE),A2672)</f>
        <v>No encontrado</v>
      </c>
      <c r="C2672" t="s">
        <v>2334</v>
      </c>
      <c r="D2672" t="str">
        <f>IFERROR(VLOOKUP(C2672,APOYO!J:K,2,FALSE),C2672)</f>
        <v>QUINCHIA</v>
      </c>
      <c r="E2672">
        <v>2016</v>
      </c>
      <c r="H2672">
        <v>9</v>
      </c>
    </row>
    <row r="2673" spans="1:9" hidden="1" x14ac:dyDescent="0.25">
      <c r="A2673" t="str">
        <f>_xlfn.XLOOKUP(C2673, 'Códigos DANE Municipios'!$B$2:$B$1123, 'Códigos DANE Municipios'!$A$2:$A$1123, "No encontrado")</f>
        <v>No encontrado</v>
      </c>
      <c r="B2673" t="str">
        <f>IFERROR(VLOOKUP(D2673,APOYO!K:L,2,FALSE),A2673)</f>
        <v>No encontrado</v>
      </c>
      <c r="C2673" t="s">
        <v>2335</v>
      </c>
      <c r="D2673" t="str">
        <f>IFERROR(VLOOKUP(C2673,APOYO!J:K,2,FALSE),C2673)</f>
        <v>QUIPAMA</v>
      </c>
      <c r="E2673">
        <v>2016</v>
      </c>
      <c r="H2673" t="s">
        <v>2511</v>
      </c>
    </row>
    <row r="2674" spans="1:9" hidden="1" x14ac:dyDescent="0.25">
      <c r="A2674" t="str">
        <f>_xlfn.XLOOKUP(C2674, 'Códigos DANE Municipios'!$B$2:$B$1123, 'Códigos DANE Municipios'!$A$2:$A$1123, "No encontrado")</f>
        <v>25596</v>
      </c>
      <c r="B2674" t="str">
        <f>IFERROR(VLOOKUP(D2674,APOYO!K:L,2,FALSE),A2674)</f>
        <v>25596</v>
      </c>
      <c r="C2674" t="s">
        <v>1057</v>
      </c>
      <c r="D2674" t="str">
        <f>IFERROR(VLOOKUP(C2674,APOYO!J:K,2,FALSE),C2674)</f>
        <v>QUIPILE</v>
      </c>
      <c r="E2674">
        <v>2016</v>
      </c>
      <c r="H2674" t="s">
        <v>2511</v>
      </c>
    </row>
    <row r="2675" spans="1:9" hidden="1" x14ac:dyDescent="0.25">
      <c r="A2675" t="str">
        <f>_xlfn.XLOOKUP(C2675, 'Códigos DANE Municipios'!$B$2:$B$1123, 'Códigos DANE Municipios'!$A$2:$A$1123, "No encontrado")</f>
        <v>No encontrado</v>
      </c>
      <c r="B2675" t="str">
        <f>IFERROR(VLOOKUP(D2675,APOYO!K:L,2,FALSE),A2675)</f>
        <v>81794</v>
      </c>
      <c r="C2675" t="s">
        <v>2447</v>
      </c>
      <c r="D2675" t="str">
        <f>IFERROR(VLOOKUP(C2675,APOYO!J:K,2,FALSE),C2675)</f>
        <v>TAME</v>
      </c>
      <c r="E2675">
        <v>2016</v>
      </c>
      <c r="H2675">
        <v>4</v>
      </c>
    </row>
    <row r="2676" spans="1:9" hidden="1" x14ac:dyDescent="0.25">
      <c r="A2676" t="str">
        <f>_xlfn.XLOOKUP(C2676, 'Códigos DANE Municipios'!$B$2:$B$1123, 'Códigos DANE Municipios'!$A$2:$A$1123, "No encontrado")</f>
        <v>No encontrado</v>
      </c>
      <c r="B2676" t="str">
        <f>IFERROR(VLOOKUP(D2676,APOYO!K:L,2,FALSE),A2676)</f>
        <v>No encontrado</v>
      </c>
      <c r="C2676" t="s">
        <v>2336</v>
      </c>
      <c r="D2676" t="str">
        <f>IFERROR(VLOOKUP(C2676,APOYO!J:K,2,FALSE),C2676)</f>
        <v>RAMIRIQUI</v>
      </c>
      <c r="E2676">
        <v>2016</v>
      </c>
      <c r="H2676">
        <v>23</v>
      </c>
    </row>
    <row r="2677" spans="1:9" hidden="1" x14ac:dyDescent="0.25">
      <c r="A2677" t="str">
        <f>_xlfn.XLOOKUP(C2677, 'Códigos DANE Municipios'!$B$2:$B$1123, 'Códigos DANE Municipios'!$A$2:$A$1123, "No encontrado")</f>
        <v>No encontrado</v>
      </c>
      <c r="B2677" t="str">
        <f>IFERROR(VLOOKUP(D2677,APOYO!K:L,2,FALSE),A2677)</f>
        <v>No encontrado</v>
      </c>
      <c r="C2677" t="s">
        <v>2337</v>
      </c>
      <c r="D2677" t="str">
        <f>IFERROR(VLOOKUP(C2677,APOYO!J:K,2,FALSE),C2677)</f>
        <v>RAQUIRA</v>
      </c>
      <c r="E2677">
        <v>2016</v>
      </c>
      <c r="H2677">
        <v>19</v>
      </c>
    </row>
    <row r="2678" spans="1:9" hidden="1" x14ac:dyDescent="0.25">
      <c r="A2678" t="str">
        <f>_xlfn.XLOOKUP(C2678, 'Códigos DANE Municipios'!$B$2:$B$1123, 'Códigos DANE Municipios'!$A$2:$A$1123, "No encontrado")</f>
        <v>05604</v>
      </c>
      <c r="B2678" t="str">
        <f>IFERROR(VLOOKUP(D2678,APOYO!K:L,2,FALSE),A2678)</f>
        <v>05604</v>
      </c>
      <c r="C2678" t="s">
        <v>176</v>
      </c>
      <c r="D2678" t="str">
        <f>IFERROR(VLOOKUP(C2678,APOYO!J:K,2,FALSE),C2678)</f>
        <v>REMEDIOS</v>
      </c>
      <c r="E2678">
        <v>2016</v>
      </c>
      <c r="H2678">
        <v>1</v>
      </c>
    </row>
    <row r="2679" spans="1:9" hidden="1" x14ac:dyDescent="0.25">
      <c r="A2679" t="str">
        <f>_xlfn.XLOOKUP(C2679, 'Códigos DANE Municipios'!$B$2:$B$1123, 'Códigos DANE Municipios'!$A$2:$A$1123, "No encontrado")</f>
        <v>50606</v>
      </c>
      <c r="B2679" t="str">
        <f>IFERROR(VLOOKUP(D2679,APOYO!K:L,2,FALSE),A2679)</f>
        <v>50606</v>
      </c>
      <c r="C2679" t="s">
        <v>1401</v>
      </c>
      <c r="D2679" t="str">
        <f>IFERROR(VLOOKUP(C2679,APOYO!J:K,2,FALSE),C2679)</f>
        <v>RESTREPO</v>
      </c>
      <c r="E2679">
        <v>2016</v>
      </c>
      <c r="H2679">
        <v>88</v>
      </c>
    </row>
    <row r="2680" spans="1:9" hidden="1" x14ac:dyDescent="0.25">
      <c r="A2680" t="str">
        <f>_xlfn.XLOOKUP(C2680, 'Códigos DANE Municipios'!$B$2:$B$1123, 'Códigos DANE Municipios'!$A$2:$A$1123, "No encontrado")</f>
        <v>05607</v>
      </c>
      <c r="B2680" t="str">
        <f>IFERROR(VLOOKUP(D2680,APOYO!K:L,2,FALSE),A2680)</f>
        <v>05607</v>
      </c>
      <c r="C2680" t="s">
        <v>178</v>
      </c>
      <c r="D2680" t="str">
        <f>IFERROR(VLOOKUP(C2680,APOYO!J:K,2,FALSE),C2680)</f>
        <v>RETIRO</v>
      </c>
      <c r="E2680">
        <v>2016</v>
      </c>
      <c r="H2680">
        <v>112</v>
      </c>
    </row>
    <row r="2681" spans="1:9" hidden="1" x14ac:dyDescent="0.25">
      <c r="A2681" t="str">
        <f>_xlfn.XLOOKUP(C2681, 'Códigos DANE Municipios'!$B$2:$B$1123, 'Códigos DANE Municipios'!$A$2:$A$1123, "No encontrado")</f>
        <v>25612</v>
      </c>
      <c r="B2681" t="str">
        <f>IFERROR(VLOOKUP(D2681,APOYO!K:L,2,FALSE),A2681)</f>
        <v>25612</v>
      </c>
      <c r="C2681" t="s">
        <v>1061</v>
      </c>
      <c r="D2681" t="str">
        <f>IFERROR(VLOOKUP(C2681,APOYO!J:K,2,FALSE),C2681)</f>
        <v>RICAURTE</v>
      </c>
      <c r="E2681">
        <v>2016</v>
      </c>
      <c r="H2681">
        <v>10</v>
      </c>
    </row>
    <row r="2682" spans="1:9" hidden="1" x14ac:dyDescent="0.25">
      <c r="A2682" t="str">
        <f>_xlfn.XLOOKUP(C2682, 'Códigos DANE Municipios'!$B$2:$B$1123, 'Códigos DANE Municipios'!$A$2:$A$1123, "No encontrado")</f>
        <v>No encontrado</v>
      </c>
      <c r="B2682" t="str">
        <f>IFERROR(VLOOKUP(D2682,APOYO!K:L,2,FALSE),A2682)</f>
        <v>No encontrado</v>
      </c>
      <c r="C2682" t="s">
        <v>2338</v>
      </c>
      <c r="D2682" t="str">
        <f>IFERROR(VLOOKUP(C2682,APOYO!J:K,2,FALSE),C2682)</f>
        <v>RIO DE ORO</v>
      </c>
      <c r="E2682">
        <v>2016</v>
      </c>
      <c r="H2682">
        <v>6</v>
      </c>
    </row>
    <row r="2683" spans="1:9" hidden="1" x14ac:dyDescent="0.25">
      <c r="A2683" t="str">
        <f>_xlfn.XLOOKUP(C2683, 'Códigos DANE Municipios'!$B$2:$B$1123, 'Códigos DANE Municipios'!$A$2:$A$1123, "No encontrado")</f>
        <v>No encontrado</v>
      </c>
      <c r="B2683" t="str">
        <f>IFERROR(VLOOKUP(D2683,APOYO!K:L,2,FALSE),A2683)</f>
        <v>No encontrado</v>
      </c>
      <c r="C2683" t="s">
        <v>2339</v>
      </c>
      <c r="D2683" t="str">
        <f>IFERROR(VLOOKUP(C2683,APOYO!J:K,2,FALSE),C2683)</f>
        <v>RIOFRIO</v>
      </c>
      <c r="E2683">
        <v>2016</v>
      </c>
      <c r="H2683">
        <v>14</v>
      </c>
    </row>
    <row r="2684" spans="1:9" hidden="1" x14ac:dyDescent="0.25">
      <c r="A2684" t="str">
        <f>_xlfn.XLOOKUP(C2684, 'Códigos DANE Municipios'!$B$2:$B$1123, 'Códigos DANE Municipios'!$A$2:$A$1123, "No encontrado")</f>
        <v>44001</v>
      </c>
      <c r="B2684" t="str">
        <f>IFERROR(VLOOKUP(D2684,APOYO!K:L,2,FALSE),A2684)</f>
        <v>44001</v>
      </c>
      <c r="C2684" t="s">
        <v>1272</v>
      </c>
      <c r="D2684" t="str">
        <f>IFERROR(VLOOKUP(C2684,APOYO!J:K,2,FALSE),C2684)</f>
        <v>RIOHACHA</v>
      </c>
      <c r="E2684">
        <v>2016</v>
      </c>
      <c r="F2684">
        <v>73171</v>
      </c>
      <c r="G2684">
        <v>567</v>
      </c>
      <c r="H2684">
        <v>949</v>
      </c>
      <c r="I2684">
        <v>10637</v>
      </c>
    </row>
    <row r="2685" spans="1:9" hidden="1" x14ac:dyDescent="0.25">
      <c r="A2685" t="str">
        <f>_xlfn.XLOOKUP(C2685, 'Códigos DANE Municipios'!$B$2:$B$1123, 'Códigos DANE Municipios'!$A$2:$A$1123, "No encontrado")</f>
        <v>05615</v>
      </c>
      <c r="B2685" t="str">
        <f>IFERROR(VLOOKUP(D2685,APOYO!K:L,2,FALSE),A2685)</f>
        <v>05615</v>
      </c>
      <c r="C2685" t="s">
        <v>180</v>
      </c>
      <c r="D2685" t="str">
        <f>IFERROR(VLOOKUP(C2685,APOYO!J:K,2,FALSE),C2685)</f>
        <v>RIONEGRO</v>
      </c>
      <c r="E2685">
        <v>2016</v>
      </c>
      <c r="F2685">
        <v>2878483</v>
      </c>
      <c r="G2685">
        <v>771880</v>
      </c>
      <c r="H2685">
        <v>1920</v>
      </c>
    </row>
    <row r="2686" spans="1:9" hidden="1" x14ac:dyDescent="0.25">
      <c r="A2686" t="str">
        <f>_xlfn.XLOOKUP(C2686, 'Códigos DANE Municipios'!$B$2:$B$1123, 'Códigos DANE Municipios'!$A$2:$A$1123, "No encontrado")</f>
        <v>17614</v>
      </c>
      <c r="B2686" t="str">
        <f>IFERROR(VLOOKUP(D2686,APOYO!K:L,2,FALSE),A2686)</f>
        <v>17614</v>
      </c>
      <c r="C2686" t="s">
        <v>680</v>
      </c>
      <c r="D2686" t="str">
        <f>IFERROR(VLOOKUP(C2686,APOYO!J:K,2,FALSE),C2686)</f>
        <v>RIOSUCIO</v>
      </c>
      <c r="E2686">
        <v>2016</v>
      </c>
      <c r="H2686">
        <v>83</v>
      </c>
    </row>
    <row r="2687" spans="1:9" hidden="1" x14ac:dyDescent="0.25">
      <c r="A2687" t="str">
        <f>_xlfn.XLOOKUP(C2687, 'Códigos DANE Municipios'!$B$2:$B$1123, 'Códigos DANE Municipios'!$A$2:$A$1123, "No encontrado")</f>
        <v>17616</v>
      </c>
      <c r="B2687" t="str">
        <f>IFERROR(VLOOKUP(D2687,APOYO!K:L,2,FALSE),A2687)</f>
        <v>17616</v>
      </c>
      <c r="C2687" t="s">
        <v>682</v>
      </c>
      <c r="D2687" t="str">
        <f>IFERROR(VLOOKUP(C2687,APOYO!J:K,2,FALSE),C2687)</f>
        <v>RISARALDA</v>
      </c>
      <c r="E2687">
        <v>2016</v>
      </c>
      <c r="H2687">
        <v>17</v>
      </c>
    </row>
    <row r="2688" spans="1:9" hidden="1" x14ac:dyDescent="0.25">
      <c r="A2688" t="str">
        <f>_xlfn.XLOOKUP(C2688, 'Códigos DANE Municipios'!$B$2:$B$1123, 'Códigos DANE Municipios'!$A$2:$A$1123, "No encontrado")</f>
        <v>41615</v>
      </c>
      <c r="B2688" t="str">
        <f>IFERROR(VLOOKUP(D2688,APOYO!K:L,2,FALSE),A2688)</f>
        <v>41615</v>
      </c>
      <c r="C2688" t="s">
        <v>1249</v>
      </c>
      <c r="D2688" t="str">
        <f>IFERROR(VLOOKUP(C2688,APOYO!J:K,2,FALSE),C2688)</f>
        <v>RIVERA</v>
      </c>
      <c r="E2688">
        <v>2016</v>
      </c>
      <c r="H2688">
        <v>33</v>
      </c>
    </row>
    <row r="2689" spans="1:8" hidden="1" x14ac:dyDescent="0.25">
      <c r="A2689" t="str">
        <f>_xlfn.XLOOKUP(C2689, 'Códigos DANE Municipios'!$B$2:$B$1123, 'Códigos DANE Municipios'!$A$2:$A$1123, "No encontrado")</f>
        <v>No encontrado</v>
      </c>
      <c r="B2689" t="str">
        <f>IFERROR(VLOOKUP(D2689,APOYO!K:L,2,FALSE),A2689)</f>
        <v>No encontrado</v>
      </c>
      <c r="C2689" t="s">
        <v>2340</v>
      </c>
      <c r="D2689" t="str">
        <f>IFERROR(VLOOKUP(C2689,APOYO!J:K,2,FALSE),C2689)</f>
        <v>ROBLES(LA PAZ)</v>
      </c>
      <c r="E2689">
        <v>2016</v>
      </c>
      <c r="H2689">
        <v>15</v>
      </c>
    </row>
    <row r="2690" spans="1:8" hidden="1" x14ac:dyDescent="0.25">
      <c r="A2690" t="str">
        <f>_xlfn.XLOOKUP(C2690, 'Códigos DANE Municipios'!$B$2:$B$1123, 'Códigos DANE Municipios'!$A$2:$A$1123, "No encontrado")</f>
        <v>No encontrado</v>
      </c>
      <c r="B2690" t="str">
        <f>IFERROR(VLOOKUP(D2690,APOYO!K:L,2,FALSE),A2690)</f>
        <v>No encontrado</v>
      </c>
      <c r="C2690" t="s">
        <v>2341</v>
      </c>
      <c r="D2690" t="str">
        <f>IFERROR(VLOOKUP(C2690,APOYO!J:K,2,FALSE),C2690)</f>
        <v>RONALDILLO</v>
      </c>
      <c r="E2690">
        <v>2016</v>
      </c>
      <c r="F2690">
        <v>1046</v>
      </c>
      <c r="H2690">
        <v>461</v>
      </c>
    </row>
    <row r="2691" spans="1:8" hidden="1" x14ac:dyDescent="0.25">
      <c r="A2691" t="str">
        <f>_xlfn.XLOOKUP(C2691, 'Códigos DANE Municipios'!$B$2:$B$1123, 'Códigos DANE Municipios'!$A$2:$A$1123, "No encontrado")</f>
        <v>73622</v>
      </c>
      <c r="B2691" t="str">
        <f>IFERROR(VLOOKUP(D2691,APOYO!K:L,2,FALSE),A2691)</f>
        <v>73622</v>
      </c>
      <c r="C2691" t="s">
        <v>1937</v>
      </c>
      <c r="D2691" t="str">
        <f>IFERROR(VLOOKUP(C2691,APOYO!J:K,2,FALSE),C2691)</f>
        <v>RONCESVALLES</v>
      </c>
      <c r="E2691">
        <v>2016</v>
      </c>
      <c r="H2691" t="s">
        <v>2511</v>
      </c>
    </row>
    <row r="2692" spans="1:8" hidden="1" x14ac:dyDescent="0.25">
      <c r="A2692" t="str">
        <f>_xlfn.XLOOKUP(C2692, 'Códigos DANE Municipios'!$B$2:$B$1123, 'Códigos DANE Municipios'!$A$2:$A$1123, "No encontrado")</f>
        <v>73624</v>
      </c>
      <c r="B2692" t="str">
        <f>IFERROR(VLOOKUP(D2692,APOYO!K:L,2,FALSE),A2692)</f>
        <v>73624</v>
      </c>
      <c r="C2692" t="s">
        <v>1939</v>
      </c>
      <c r="D2692" t="str">
        <f>IFERROR(VLOOKUP(C2692,APOYO!J:K,2,FALSE),C2692)</f>
        <v>ROVIRA</v>
      </c>
      <c r="E2692">
        <v>2016</v>
      </c>
      <c r="H2692">
        <v>2</v>
      </c>
    </row>
    <row r="2693" spans="1:8" hidden="1" x14ac:dyDescent="0.25">
      <c r="A2693" t="str">
        <f>_xlfn.XLOOKUP(C2693, 'Códigos DANE Municipios'!$B$2:$B$1123, 'Códigos DANE Municipios'!$A$2:$A$1123, "No encontrado")</f>
        <v>68655</v>
      </c>
      <c r="B2693" t="str">
        <f>IFERROR(VLOOKUP(D2693,APOYO!K:L,2,FALSE),A2693)</f>
        <v>68655</v>
      </c>
      <c r="C2693" t="s">
        <v>1777</v>
      </c>
      <c r="D2693" t="str">
        <f>IFERROR(VLOOKUP(C2693,APOYO!J:K,2,FALSE),C2693)</f>
        <v>SABANA DE TORRES</v>
      </c>
      <c r="E2693">
        <v>2016</v>
      </c>
      <c r="H2693">
        <v>2</v>
      </c>
    </row>
    <row r="2694" spans="1:8" hidden="1" x14ac:dyDescent="0.25">
      <c r="A2694" t="str">
        <f>_xlfn.XLOOKUP(C2694, 'Códigos DANE Municipios'!$B$2:$B$1123, 'Códigos DANE Municipios'!$A$2:$A$1123, "No encontrado")</f>
        <v>08634</v>
      </c>
      <c r="B2694" t="str">
        <f>IFERROR(VLOOKUP(D2694,APOYO!K:L,2,FALSE),A2694)</f>
        <v>08634</v>
      </c>
      <c r="C2694" t="s">
        <v>292</v>
      </c>
      <c r="D2694" t="str">
        <f>IFERROR(VLOOKUP(C2694,APOYO!J:K,2,FALSE),C2694)</f>
        <v>SABANAGRANDE</v>
      </c>
      <c r="E2694">
        <v>2016</v>
      </c>
      <c r="H2694">
        <v>22</v>
      </c>
    </row>
    <row r="2695" spans="1:8" hidden="1" x14ac:dyDescent="0.25">
      <c r="A2695" t="str">
        <f>_xlfn.XLOOKUP(C2695, 'Códigos DANE Municipios'!$B$2:$B$1123, 'Códigos DANE Municipios'!$A$2:$A$1123, "No encontrado")</f>
        <v>05628</v>
      </c>
      <c r="B2695" t="str">
        <f>IFERROR(VLOOKUP(D2695,APOYO!K:L,2,FALSE),A2695)</f>
        <v>05628</v>
      </c>
      <c r="C2695" t="s">
        <v>182</v>
      </c>
      <c r="D2695" t="str">
        <f>IFERROR(VLOOKUP(C2695,APOYO!J:K,2,FALSE),C2695)</f>
        <v>SABANALARGA</v>
      </c>
      <c r="E2695">
        <v>2016</v>
      </c>
      <c r="H2695">
        <v>70</v>
      </c>
    </row>
    <row r="2696" spans="1:8" hidden="1" x14ac:dyDescent="0.25">
      <c r="A2696" t="str">
        <f>_xlfn.XLOOKUP(C2696, 'Códigos DANE Municipios'!$B$2:$B$1123, 'Códigos DANE Municipios'!$A$2:$A$1123, "No encontrado")</f>
        <v>05631</v>
      </c>
      <c r="B2696" t="str">
        <f>IFERROR(VLOOKUP(D2696,APOYO!K:L,2,FALSE),A2696)</f>
        <v>05631</v>
      </c>
      <c r="C2696" t="s">
        <v>184</v>
      </c>
      <c r="D2696" t="str">
        <f>IFERROR(VLOOKUP(C2696,APOYO!J:K,2,FALSE),C2696)</f>
        <v>SABANETA</v>
      </c>
      <c r="E2696">
        <v>2016</v>
      </c>
      <c r="H2696">
        <v>598</v>
      </c>
    </row>
    <row r="2697" spans="1:8" hidden="1" x14ac:dyDescent="0.25">
      <c r="A2697" t="str">
        <f>_xlfn.XLOOKUP(C2697, 'Códigos DANE Municipios'!$B$2:$B$1123, 'Códigos DANE Municipios'!$A$2:$A$1123, "No encontrado")</f>
        <v>No encontrado</v>
      </c>
      <c r="B2697" t="str">
        <f>IFERROR(VLOOKUP(D2697,APOYO!K:L,2,FALSE),A2697)</f>
        <v>15632</v>
      </c>
      <c r="C2697" t="s">
        <v>2448</v>
      </c>
      <c r="D2697" t="str">
        <f>IFERROR(VLOOKUP(C2697,APOYO!J:K,2,FALSE),C2697)</f>
        <v>SABOYÁ</v>
      </c>
      <c r="E2697">
        <v>2016</v>
      </c>
      <c r="H2697">
        <v>1</v>
      </c>
    </row>
    <row r="2698" spans="1:8" hidden="1" x14ac:dyDescent="0.25">
      <c r="A2698" t="str">
        <f>_xlfn.XLOOKUP(C2698, 'Códigos DANE Municipios'!$B$2:$B$1123, 'Códigos DANE Municipios'!$A$2:$A$1123, "No encontrado")</f>
        <v>No encontrado</v>
      </c>
      <c r="B2698" t="str">
        <f>IFERROR(VLOOKUP(D2698,APOYO!K:L,2,FALSE),A2698)</f>
        <v>15638</v>
      </c>
      <c r="C2698" t="s">
        <v>2342</v>
      </c>
      <c r="D2698" t="str">
        <f>IFERROR(VLOOKUP(C2698,APOYO!J:K,2,FALSE),C2698)</f>
        <v>SÁCHICA</v>
      </c>
      <c r="E2698">
        <v>2016</v>
      </c>
      <c r="H2698">
        <v>3</v>
      </c>
    </row>
    <row r="2699" spans="1:8" hidden="1" x14ac:dyDescent="0.25">
      <c r="A2699" t="str">
        <f>_xlfn.XLOOKUP(C2699, 'Códigos DANE Municipios'!$B$2:$B$1123, 'Códigos DANE Municipios'!$A$2:$A$1123, "No encontrado")</f>
        <v>No encontrado</v>
      </c>
      <c r="B2699" t="str">
        <f>IFERROR(VLOOKUP(D2699,APOYO!K:L,2,FALSE),A2699)</f>
        <v>No encontrado</v>
      </c>
      <c r="C2699" t="s">
        <v>2343</v>
      </c>
      <c r="D2699" t="str">
        <f>IFERROR(VLOOKUP(C2699,APOYO!J:K,2,FALSE),C2699)</f>
        <v>SAHAGUN</v>
      </c>
      <c r="E2699">
        <v>2016</v>
      </c>
      <c r="H2699">
        <v>53</v>
      </c>
    </row>
    <row r="2700" spans="1:8" hidden="1" x14ac:dyDescent="0.25">
      <c r="A2700" t="str">
        <f>_xlfn.XLOOKUP(C2700, 'Códigos DANE Municipios'!$B$2:$B$1123, 'Códigos DANE Municipios'!$A$2:$A$1123, "No encontrado")</f>
        <v>41660</v>
      </c>
      <c r="B2700" t="str">
        <f>IFERROR(VLOOKUP(D2700,APOYO!K:L,2,FALSE),A2700)</f>
        <v>41660</v>
      </c>
      <c r="C2700" t="s">
        <v>1251</v>
      </c>
      <c r="D2700" t="str">
        <f>IFERROR(VLOOKUP(C2700,APOYO!J:K,2,FALSE),C2700)</f>
        <v>SALADOBLANCO</v>
      </c>
      <c r="E2700">
        <v>2016</v>
      </c>
      <c r="H2700">
        <v>2</v>
      </c>
    </row>
    <row r="2701" spans="1:8" hidden="1" x14ac:dyDescent="0.25">
      <c r="A2701" t="str">
        <f>_xlfn.XLOOKUP(C2701, 'Códigos DANE Municipios'!$B$2:$B$1123, 'Códigos DANE Municipios'!$A$2:$A$1123, "No encontrado")</f>
        <v>17653</v>
      </c>
      <c r="B2701" t="str">
        <f>IFERROR(VLOOKUP(D2701,APOYO!K:L,2,FALSE),A2701)</f>
        <v>17653</v>
      </c>
      <c r="C2701" t="s">
        <v>684</v>
      </c>
      <c r="D2701" t="str">
        <f>IFERROR(VLOOKUP(C2701,APOYO!J:K,2,FALSE),C2701)</f>
        <v>SALAMINA</v>
      </c>
      <c r="E2701">
        <v>2016</v>
      </c>
      <c r="H2701">
        <v>20</v>
      </c>
    </row>
    <row r="2702" spans="1:8" hidden="1" x14ac:dyDescent="0.25">
      <c r="A2702" t="str">
        <f>_xlfn.XLOOKUP(C2702, 'Códigos DANE Municipios'!$B$2:$B$1123, 'Códigos DANE Municipios'!$A$2:$A$1123, "No encontrado")</f>
        <v>54660</v>
      </c>
      <c r="B2702" t="str">
        <f>IFERROR(VLOOKUP(D2702,APOYO!K:L,2,FALSE),A2702)</f>
        <v>54660</v>
      </c>
      <c r="C2702" t="s">
        <v>1587</v>
      </c>
      <c r="D2702" t="str">
        <f>IFERROR(VLOOKUP(C2702,APOYO!J:K,2,FALSE),C2702)</f>
        <v>SALAZAR</v>
      </c>
      <c r="E2702">
        <v>2016</v>
      </c>
      <c r="H2702">
        <v>2</v>
      </c>
    </row>
    <row r="2703" spans="1:8" hidden="1" x14ac:dyDescent="0.25">
      <c r="A2703" t="str">
        <f>_xlfn.XLOOKUP(C2703, 'Códigos DANE Municipios'!$B$2:$B$1123, 'Códigos DANE Municipios'!$A$2:$A$1123, "No encontrado")</f>
        <v>73671</v>
      </c>
      <c r="B2703" t="str">
        <f>IFERROR(VLOOKUP(D2703,APOYO!K:L,2,FALSE),A2703)</f>
        <v>73671</v>
      </c>
      <c r="C2703" t="s">
        <v>1941</v>
      </c>
      <c r="D2703" t="str">
        <f>IFERROR(VLOOKUP(C2703,APOYO!J:K,2,FALSE),C2703)</f>
        <v>SALDAÑA</v>
      </c>
      <c r="E2703">
        <v>2016</v>
      </c>
      <c r="H2703">
        <v>6</v>
      </c>
    </row>
    <row r="2704" spans="1:8" hidden="1" x14ac:dyDescent="0.25">
      <c r="A2704" t="str">
        <f>_xlfn.XLOOKUP(C2704, 'Códigos DANE Municipios'!$B$2:$B$1123, 'Códigos DANE Municipios'!$A$2:$A$1123, "No encontrado")</f>
        <v>63690</v>
      </c>
      <c r="B2704" t="str">
        <f>IFERROR(VLOOKUP(D2704,APOYO!K:L,2,FALSE),A2704)</f>
        <v>63690</v>
      </c>
      <c r="C2704" t="s">
        <v>1626</v>
      </c>
      <c r="D2704" t="str">
        <f>IFERROR(VLOOKUP(C2704,APOYO!J:K,2,FALSE),C2704)</f>
        <v>SALENTO</v>
      </c>
      <c r="E2704">
        <v>2016</v>
      </c>
      <c r="H2704">
        <v>492</v>
      </c>
    </row>
    <row r="2705" spans="1:8" hidden="1" x14ac:dyDescent="0.25">
      <c r="A2705" t="str">
        <f>_xlfn.XLOOKUP(C2705, 'Códigos DANE Municipios'!$B$2:$B$1123, 'Códigos DANE Municipios'!$A$2:$A$1123, "No encontrado")</f>
        <v>05642</v>
      </c>
      <c r="B2705" t="str">
        <f>IFERROR(VLOOKUP(D2705,APOYO!K:L,2,FALSE),A2705)</f>
        <v>05642</v>
      </c>
      <c r="C2705" t="s">
        <v>186</v>
      </c>
      <c r="D2705" t="str">
        <f>IFERROR(VLOOKUP(C2705,APOYO!J:K,2,FALSE),C2705)</f>
        <v>SALGAR</v>
      </c>
      <c r="E2705">
        <v>2016</v>
      </c>
      <c r="H2705">
        <v>4</v>
      </c>
    </row>
    <row r="2706" spans="1:8" hidden="1" x14ac:dyDescent="0.25">
      <c r="A2706" t="str">
        <f>_xlfn.XLOOKUP(C2706, 'Códigos DANE Municipios'!$B$2:$B$1123, 'Códigos DANE Municipios'!$A$2:$A$1123, "No encontrado")</f>
        <v>No encontrado</v>
      </c>
      <c r="B2706" t="str">
        <f>IFERROR(VLOOKUP(D2706,APOYO!K:L,2,FALSE),A2706)</f>
        <v>No encontrado</v>
      </c>
      <c r="C2706" t="s">
        <v>2344</v>
      </c>
      <c r="D2706" t="str">
        <f>IFERROR(VLOOKUP(C2706,APOYO!J:K,2,FALSE),C2706)</f>
        <v>SAMACA</v>
      </c>
      <c r="E2706">
        <v>2016</v>
      </c>
      <c r="H2706">
        <v>10</v>
      </c>
    </row>
    <row r="2707" spans="1:8" hidden="1" x14ac:dyDescent="0.25">
      <c r="A2707" t="str">
        <f>_xlfn.XLOOKUP(C2707, 'Códigos DANE Municipios'!$B$2:$B$1123, 'Códigos DANE Municipios'!$A$2:$A$1123, "No encontrado")</f>
        <v>No encontrado</v>
      </c>
      <c r="B2707" t="str">
        <f>IFERROR(VLOOKUP(D2707,APOYO!K:L,2,FALSE),A2707)</f>
        <v>No encontrado</v>
      </c>
      <c r="C2707" t="s">
        <v>2345</v>
      </c>
      <c r="D2707" t="str">
        <f>IFERROR(VLOOKUP(C2707,APOYO!J:K,2,FALSE),C2707)</f>
        <v>SAMANA</v>
      </c>
      <c r="E2707">
        <v>2016</v>
      </c>
      <c r="H2707">
        <v>2</v>
      </c>
    </row>
    <row r="2708" spans="1:8" hidden="1" x14ac:dyDescent="0.25">
      <c r="A2708" t="str">
        <f>_xlfn.XLOOKUP(C2708, 'Códigos DANE Municipios'!$B$2:$B$1123, 'Códigos DANE Municipios'!$A$2:$A$1123, "No encontrado")</f>
        <v>52678</v>
      </c>
      <c r="B2708" t="str">
        <f>IFERROR(VLOOKUP(D2708,APOYO!K:L,2,FALSE),A2708)</f>
        <v>52678</v>
      </c>
      <c r="C2708" t="s">
        <v>1504</v>
      </c>
      <c r="D2708" t="str">
        <f>IFERROR(VLOOKUP(C2708,APOYO!J:K,2,FALSE),C2708)</f>
        <v>SAMANIEGO</v>
      </c>
      <c r="E2708">
        <v>2016</v>
      </c>
      <c r="H2708">
        <v>15</v>
      </c>
    </row>
    <row r="2709" spans="1:8" hidden="1" x14ac:dyDescent="0.25">
      <c r="A2709" t="str">
        <f>_xlfn.XLOOKUP(C2709, 'Códigos DANE Municipios'!$B$2:$B$1123, 'Códigos DANE Municipios'!$A$2:$A$1123, "No encontrado")</f>
        <v>No encontrado</v>
      </c>
      <c r="B2709" t="str">
        <f>IFERROR(VLOOKUP(D2709,APOYO!K:L,2,FALSE),A2709)</f>
        <v>No encontrado</v>
      </c>
      <c r="C2709" t="s">
        <v>2346</v>
      </c>
      <c r="D2709" t="str">
        <f>IFERROR(VLOOKUP(C2709,APOYO!J:K,2,FALSE),C2709)</f>
        <v>SAMPUES</v>
      </c>
      <c r="E2709">
        <v>2016</v>
      </c>
      <c r="H2709">
        <v>2</v>
      </c>
    </row>
    <row r="2710" spans="1:8" hidden="1" x14ac:dyDescent="0.25">
      <c r="A2710" t="str">
        <f>_xlfn.XLOOKUP(C2710, 'Códigos DANE Municipios'!$B$2:$B$1123, 'Códigos DANE Municipios'!$A$2:$A$1123, "No encontrado")</f>
        <v>No encontrado</v>
      </c>
      <c r="B2710" t="str">
        <f>IFERROR(VLOOKUP(D2710,APOYO!K:L,2,FALSE),A2710)</f>
        <v>No encontrado</v>
      </c>
      <c r="C2710" t="s">
        <v>2347</v>
      </c>
      <c r="D2710" t="str">
        <f>IFERROR(VLOOKUP(C2710,APOYO!J:K,2,FALSE),C2710)</f>
        <v>SAN AGUSTIN</v>
      </c>
      <c r="E2710">
        <v>2016</v>
      </c>
      <c r="H2710">
        <v>240</v>
      </c>
    </row>
    <row r="2711" spans="1:8" hidden="1" x14ac:dyDescent="0.25">
      <c r="A2711" t="str">
        <f>_xlfn.XLOOKUP(C2711, 'Códigos DANE Municipios'!$B$2:$B$1123, 'Códigos DANE Municipios'!$A$2:$A$1123, "No encontrado")</f>
        <v>20710</v>
      </c>
      <c r="B2711" t="str">
        <f>IFERROR(VLOOKUP(D2711,APOYO!K:L,2,FALSE),A2711)</f>
        <v>20710</v>
      </c>
      <c r="C2711" t="s">
        <v>850</v>
      </c>
      <c r="D2711" t="str">
        <f>IFERROR(VLOOKUP(C2711,APOYO!J:K,2,FALSE),C2711)</f>
        <v>SAN ALBERTO</v>
      </c>
      <c r="E2711">
        <v>2016</v>
      </c>
      <c r="H2711">
        <v>4</v>
      </c>
    </row>
    <row r="2712" spans="1:8" hidden="1" x14ac:dyDescent="0.25">
      <c r="A2712" t="str">
        <f>_xlfn.XLOOKUP(C2712, 'Códigos DANE Municipios'!$B$2:$B$1123, 'Códigos DANE Municipios'!$A$2:$A$1123, "No encontrado")</f>
        <v>No encontrado</v>
      </c>
      <c r="B2712" t="str">
        <f>IFERROR(VLOOKUP(D2712,APOYO!K:L,2,FALSE),A2712)</f>
        <v>No encontrado</v>
      </c>
      <c r="C2712" t="s">
        <v>2348</v>
      </c>
      <c r="D2712" t="str">
        <f>IFERROR(VLOOKUP(C2712,APOYO!J:K,2,FALSE),C2712)</f>
        <v>SAN ANDRES</v>
      </c>
      <c r="E2712">
        <v>2016</v>
      </c>
      <c r="F2712">
        <v>972552</v>
      </c>
      <c r="G2712">
        <v>58530</v>
      </c>
      <c r="H2712">
        <v>97747</v>
      </c>
    </row>
    <row r="2713" spans="1:8" hidden="1" x14ac:dyDescent="0.25">
      <c r="A2713" t="str">
        <f>_xlfn.XLOOKUP(C2713, 'Códigos DANE Municipios'!$B$2:$B$1123, 'Códigos DANE Municipios'!$A$2:$A$1123, "No encontrado")</f>
        <v>No encontrado</v>
      </c>
      <c r="B2713" t="str">
        <f>IFERROR(VLOOKUP(D2713,APOYO!K:L,2,FALSE),A2713)</f>
        <v>No encontrado</v>
      </c>
      <c r="C2713" t="s">
        <v>2349</v>
      </c>
      <c r="D2713" t="str">
        <f>IFERROR(VLOOKUP(C2713,APOYO!J:K,2,FALSE),C2713)</f>
        <v>SAN ANDRES DE SOTA</v>
      </c>
      <c r="E2713">
        <v>2016</v>
      </c>
      <c r="H2713">
        <v>6</v>
      </c>
    </row>
    <row r="2714" spans="1:8" hidden="1" x14ac:dyDescent="0.25">
      <c r="A2714" t="str">
        <f>_xlfn.XLOOKUP(C2714, 'Códigos DANE Municipios'!$B$2:$B$1123, 'Códigos DANE Municipios'!$A$2:$A$1123, "No encontrado")</f>
        <v>23672</v>
      </c>
      <c r="B2714" t="str">
        <f>IFERROR(VLOOKUP(D2714,APOYO!K:L,2,FALSE),A2714)</f>
        <v>23672</v>
      </c>
      <c r="C2714" t="s">
        <v>901</v>
      </c>
      <c r="D2714" t="str">
        <f>IFERROR(VLOOKUP(C2714,APOYO!J:K,2,FALSE),C2714)</f>
        <v>SAN ANTERO</v>
      </c>
      <c r="E2714">
        <v>2016</v>
      </c>
      <c r="H2714">
        <v>27</v>
      </c>
    </row>
    <row r="2715" spans="1:8" hidden="1" x14ac:dyDescent="0.25">
      <c r="A2715" t="str">
        <f>_xlfn.XLOOKUP(C2715, 'Códigos DANE Municipios'!$B$2:$B$1123, 'Códigos DANE Municipios'!$A$2:$A$1123, "No encontrado")</f>
        <v>73675</v>
      </c>
      <c r="B2715" t="str">
        <f>IFERROR(VLOOKUP(D2715,APOYO!K:L,2,FALSE),A2715)</f>
        <v>73675</v>
      </c>
      <c r="C2715" t="s">
        <v>1943</v>
      </c>
      <c r="D2715" t="str">
        <f>IFERROR(VLOOKUP(C2715,APOYO!J:K,2,FALSE),C2715)</f>
        <v>SAN ANTONIO</v>
      </c>
      <c r="E2715">
        <v>2016</v>
      </c>
      <c r="H2715">
        <v>1</v>
      </c>
    </row>
    <row r="2716" spans="1:8" hidden="1" x14ac:dyDescent="0.25">
      <c r="A2716" t="str">
        <f>_xlfn.XLOOKUP(C2716, 'Códigos DANE Municipios'!$B$2:$B$1123, 'Códigos DANE Municipios'!$A$2:$A$1123, "No encontrado")</f>
        <v>25649</v>
      </c>
      <c r="B2716" t="str">
        <f>IFERROR(VLOOKUP(D2716,APOYO!K:L,2,FALSE),A2716)</f>
        <v>25649</v>
      </c>
      <c r="C2716" t="s">
        <v>1065</v>
      </c>
      <c r="D2716" t="str">
        <f>IFERROR(VLOOKUP(C2716,APOYO!J:K,2,FALSE),C2716)</f>
        <v>SAN BERNARDO</v>
      </c>
      <c r="E2716">
        <v>2016</v>
      </c>
      <c r="H2716">
        <v>1</v>
      </c>
    </row>
    <row r="2717" spans="1:8" hidden="1" x14ac:dyDescent="0.25">
      <c r="A2717" t="str">
        <f>_xlfn.XLOOKUP(C2717, 'Códigos DANE Municipios'!$B$2:$B$1123, 'Códigos DANE Municipios'!$A$2:$A$1123, "No encontrado")</f>
        <v>No encontrado</v>
      </c>
      <c r="B2717" t="str">
        <f>IFERROR(VLOOKUP(D2717,APOYO!K:L,2,FALSE),A2717)</f>
        <v>No encontrado</v>
      </c>
      <c r="C2717" t="s">
        <v>2350</v>
      </c>
      <c r="D2717" t="str">
        <f>IFERROR(VLOOKUP(C2717,APOYO!J:K,2,FALSE),C2717)</f>
        <v>SAN BERNANDO D</v>
      </c>
      <c r="E2717">
        <v>2016</v>
      </c>
      <c r="H2717">
        <v>5</v>
      </c>
    </row>
    <row r="2718" spans="1:8" hidden="1" x14ac:dyDescent="0.25">
      <c r="A2718" t="str">
        <f>_xlfn.XLOOKUP(C2718, 'Códigos DANE Municipios'!$B$2:$B$1123, 'Códigos DANE Municipios'!$A$2:$A$1123, "No encontrado")</f>
        <v>05649</v>
      </c>
      <c r="B2718" t="str">
        <f>IFERROR(VLOOKUP(D2718,APOYO!K:L,2,FALSE),A2718)</f>
        <v>05649</v>
      </c>
      <c r="C2718" t="s">
        <v>190</v>
      </c>
      <c r="D2718" t="str">
        <f>IFERROR(VLOOKUP(C2718,APOYO!J:K,2,FALSE),C2718)</f>
        <v>SAN CARLOS</v>
      </c>
      <c r="E2718">
        <v>2016</v>
      </c>
      <c r="H2718">
        <v>3</v>
      </c>
    </row>
    <row r="2719" spans="1:8" hidden="1" x14ac:dyDescent="0.25">
      <c r="A2719" t="str">
        <f>_xlfn.XLOOKUP(C2719, 'Códigos DANE Municipios'!$B$2:$B$1123, 'Códigos DANE Municipios'!$A$2:$A$1123, "No encontrado")</f>
        <v>No encontrado</v>
      </c>
      <c r="B2719" t="str">
        <f>IFERROR(VLOOKUP(D2719,APOYO!K:L,2,FALSE),A2719)</f>
        <v>No encontrado</v>
      </c>
      <c r="C2719" t="s">
        <v>2351</v>
      </c>
      <c r="D2719" t="str">
        <f>IFERROR(VLOOKUP(C2719,APOYO!J:K,2,FALSE),C2719)</f>
        <v>SAN CARLOS GUA</v>
      </c>
      <c r="E2719">
        <v>2016</v>
      </c>
      <c r="H2719">
        <v>3</v>
      </c>
    </row>
    <row r="2720" spans="1:8" hidden="1" x14ac:dyDescent="0.25">
      <c r="A2720" t="str">
        <f>_xlfn.XLOOKUP(C2720, 'Códigos DANE Municipios'!$B$2:$B$1123, 'Códigos DANE Municipios'!$A$2:$A$1123, "No encontrado")</f>
        <v>20750</v>
      </c>
      <c r="B2720" t="str">
        <f>IFERROR(VLOOKUP(D2720,APOYO!K:L,2,FALSE),A2720)</f>
        <v>20750</v>
      </c>
      <c r="C2720" t="s">
        <v>852</v>
      </c>
      <c r="D2720" t="str">
        <f>IFERROR(VLOOKUP(C2720,APOYO!J:K,2,FALSE),C2720)</f>
        <v>SAN DIEGO</v>
      </c>
      <c r="E2720">
        <v>2016</v>
      </c>
      <c r="H2720">
        <v>8</v>
      </c>
    </row>
    <row r="2721" spans="1:9" hidden="1" x14ac:dyDescent="0.25">
      <c r="A2721" t="str">
        <f>_xlfn.XLOOKUP(C2721, 'Códigos DANE Municipios'!$B$2:$B$1123, 'Códigos DANE Municipios'!$A$2:$A$1123, "No encontrado")</f>
        <v>13647</v>
      </c>
      <c r="B2721" t="str">
        <f>IFERROR(VLOOKUP(D2721,APOYO!K:L,2,FALSE),A2721)</f>
        <v>13647</v>
      </c>
      <c r="C2721" t="s">
        <v>365</v>
      </c>
      <c r="D2721" t="str">
        <f>IFERROR(VLOOKUP(C2721,APOYO!J:K,2,FALSE),C2721)</f>
        <v>SAN ESTANISLAO</v>
      </c>
      <c r="E2721">
        <v>2016</v>
      </c>
      <c r="H2721">
        <v>1</v>
      </c>
    </row>
    <row r="2722" spans="1:9" hidden="1" x14ac:dyDescent="0.25">
      <c r="A2722" t="str">
        <f>_xlfn.XLOOKUP(C2722, 'Códigos DANE Municipios'!$B$2:$B$1123, 'Códigos DANE Municipios'!$A$2:$A$1123, "No encontrado")</f>
        <v>05652</v>
      </c>
      <c r="B2722" t="str">
        <f>IFERROR(VLOOKUP(D2722,APOYO!K:L,2,FALSE),A2722)</f>
        <v>05652</v>
      </c>
      <c r="C2722" t="s">
        <v>192</v>
      </c>
      <c r="D2722" t="str">
        <f>IFERROR(VLOOKUP(C2722,APOYO!J:K,2,FALSE),C2722)</f>
        <v>SAN FRANCISCO</v>
      </c>
      <c r="E2722">
        <v>2016</v>
      </c>
      <c r="H2722">
        <v>36</v>
      </c>
    </row>
    <row r="2723" spans="1:9" hidden="1" x14ac:dyDescent="0.25">
      <c r="A2723" t="str">
        <f>_xlfn.XLOOKUP(C2723, 'Códigos DANE Municipios'!$B$2:$B$1123, 'Códigos DANE Municipios'!$A$2:$A$1123, "No encontrado")</f>
        <v>68679</v>
      </c>
      <c r="B2723" t="str">
        <f>IFERROR(VLOOKUP(D2723,APOYO!K:L,2,FALSE),A2723)</f>
        <v>68679</v>
      </c>
      <c r="C2723" t="s">
        <v>1783</v>
      </c>
      <c r="D2723" t="str">
        <f>IFERROR(VLOOKUP(C2723,APOYO!J:K,2,FALSE),C2723)</f>
        <v>SAN GIL</v>
      </c>
      <c r="E2723">
        <v>2016</v>
      </c>
      <c r="H2723">
        <v>373</v>
      </c>
    </row>
    <row r="2724" spans="1:9" hidden="1" x14ac:dyDescent="0.25">
      <c r="A2724" t="str">
        <f>_xlfn.XLOOKUP(C2724, 'Códigos DANE Municipios'!$B$2:$B$1123, 'Códigos DANE Municipios'!$A$2:$A$1123, "No encontrado")</f>
        <v>13654</v>
      </c>
      <c r="B2724" t="str">
        <f>IFERROR(VLOOKUP(D2724,APOYO!K:L,2,FALSE),A2724)</f>
        <v>13654</v>
      </c>
      <c r="C2724" t="s">
        <v>369</v>
      </c>
      <c r="D2724" t="str">
        <f>IFERROR(VLOOKUP(C2724,APOYO!J:K,2,FALSE),C2724)</f>
        <v>SAN JACINTO</v>
      </c>
      <c r="E2724">
        <v>2016</v>
      </c>
      <c r="H2724">
        <v>2</v>
      </c>
    </row>
    <row r="2725" spans="1:9" hidden="1" x14ac:dyDescent="0.25">
      <c r="A2725" t="str">
        <f>_xlfn.XLOOKUP(C2725, 'Códigos DANE Municipios'!$B$2:$B$1123, 'Códigos DANE Municipios'!$A$2:$A$1123, "No encontrado")</f>
        <v>No encontrado</v>
      </c>
      <c r="B2725" t="str">
        <f>IFERROR(VLOOKUP(D2725,APOYO!K:L,2,FALSE),A2725)</f>
        <v>No encontrado</v>
      </c>
      <c r="C2725" t="s">
        <v>2352</v>
      </c>
      <c r="D2725" t="str">
        <f>IFERROR(VLOOKUP(C2725,APOYO!J:K,2,FALSE),C2725)</f>
        <v>SAN JERONIMO</v>
      </c>
      <c r="E2725">
        <v>2016</v>
      </c>
      <c r="H2725">
        <v>17</v>
      </c>
    </row>
    <row r="2726" spans="1:9" hidden="1" x14ac:dyDescent="0.25">
      <c r="A2726" t="str">
        <f>_xlfn.XLOOKUP(C2726, 'Códigos DANE Municipios'!$B$2:$B$1123, 'Códigos DANE Municipios'!$A$2:$A$1123, "No encontrado")</f>
        <v>No encontrado</v>
      </c>
      <c r="B2726" t="str">
        <f>IFERROR(VLOOKUP(D2726,APOYO!K:L,2,FALSE),A2726)</f>
        <v>17748</v>
      </c>
      <c r="C2726" t="s">
        <v>2449</v>
      </c>
      <c r="D2726" t="str">
        <f>IFERROR(VLOOKUP(C2726,APOYO!J:K,2,FALSE),C2726)</f>
        <v>SAN JOSÉ</v>
      </c>
      <c r="E2726">
        <v>2016</v>
      </c>
      <c r="H2726">
        <v>3</v>
      </c>
    </row>
    <row r="2727" spans="1:9" hidden="1" x14ac:dyDescent="0.25">
      <c r="A2727" t="str">
        <f>_xlfn.XLOOKUP(C2727, 'Códigos DANE Municipios'!$B$2:$B$1123, 'Códigos DANE Municipios'!$A$2:$A$1123, "No encontrado")</f>
        <v>No encontrado</v>
      </c>
      <c r="B2727" t="str">
        <f>IFERROR(VLOOKUP(D2727,APOYO!K:L,2,FALSE),A2727)</f>
        <v>No encontrado</v>
      </c>
      <c r="C2727" t="s">
        <v>2353</v>
      </c>
      <c r="D2727" t="str">
        <f>IFERROR(VLOOKUP(C2727,APOYO!J:K,2,FALSE),C2727)</f>
        <v>SAN JOSE DEL GU</v>
      </c>
      <c r="E2727">
        <v>2016</v>
      </c>
      <c r="F2727">
        <v>10511</v>
      </c>
      <c r="H2727">
        <v>15</v>
      </c>
    </row>
    <row r="2728" spans="1:9" hidden="1" x14ac:dyDescent="0.25">
      <c r="A2728" t="str">
        <f>_xlfn.XLOOKUP(C2728, 'Códigos DANE Municipios'!$B$2:$B$1123, 'Códigos DANE Municipios'!$A$2:$A$1123, "No encontrado")</f>
        <v>No encontrado</v>
      </c>
      <c r="B2728" t="str">
        <f>IFERROR(VLOOKUP(D2728,APOYO!K:L,2,FALSE),A2728)</f>
        <v>No encontrado</v>
      </c>
      <c r="C2728" t="s">
        <v>2354</v>
      </c>
      <c r="D2728" t="str">
        <f>IFERROR(VLOOKUP(C2728,APOYO!J:K,2,FALSE),C2728)</f>
        <v>SAN JOSE DE URA</v>
      </c>
      <c r="E2728">
        <v>2016</v>
      </c>
      <c r="H2728">
        <v>2</v>
      </c>
    </row>
    <row r="2729" spans="1:9" hidden="1" x14ac:dyDescent="0.25">
      <c r="A2729" t="str">
        <f>_xlfn.XLOOKUP(C2729, 'Códigos DANE Municipios'!$B$2:$B$1123, 'Códigos DANE Municipios'!$A$2:$A$1123, "No encontrado")</f>
        <v>No encontrado</v>
      </c>
      <c r="B2729" t="str">
        <f>IFERROR(VLOOKUP(D2729,APOYO!K:L,2,FALSE),A2729)</f>
        <v>No encontrado</v>
      </c>
      <c r="C2729" t="s">
        <v>2355</v>
      </c>
      <c r="D2729" t="str">
        <f>IFERROR(VLOOKUP(C2729,APOYO!J:K,2,FALSE),C2729)</f>
        <v>SAN JUAN DEL CE</v>
      </c>
      <c r="E2729">
        <v>2016</v>
      </c>
      <c r="H2729">
        <v>14</v>
      </c>
    </row>
    <row r="2730" spans="1:9" hidden="1" x14ac:dyDescent="0.25">
      <c r="A2730" t="str">
        <f>_xlfn.XLOOKUP(C2730, 'Códigos DANE Municipios'!$B$2:$B$1123, 'Códigos DANE Municipios'!$A$2:$A$1123, "No encontrado")</f>
        <v>No encontrado</v>
      </c>
      <c r="B2730" t="str">
        <f>IFERROR(VLOOKUP(D2730,APOYO!K:L,2,FALSE),A2730)</f>
        <v>No encontrado</v>
      </c>
      <c r="C2730" t="s">
        <v>2356</v>
      </c>
      <c r="D2730" t="str">
        <f>IFERROR(VLOOKUP(C2730,APOYO!J:K,2,FALSE),C2730)</f>
        <v>SAN JUAN NEPO</v>
      </c>
      <c r="E2730">
        <v>2016</v>
      </c>
      <c r="H2730">
        <v>3</v>
      </c>
      <c r="I2730">
        <v>1143</v>
      </c>
    </row>
    <row r="2731" spans="1:9" hidden="1" x14ac:dyDescent="0.25">
      <c r="A2731" t="str">
        <f>_xlfn.XLOOKUP(C2731, 'Códigos DANE Municipios'!$B$2:$B$1123, 'Códigos DANE Municipios'!$A$2:$A$1123, "No encontrado")</f>
        <v>05660</v>
      </c>
      <c r="B2731" t="str">
        <f>IFERROR(VLOOKUP(D2731,APOYO!K:L,2,FALSE),A2731)</f>
        <v>05660</v>
      </c>
      <c r="C2731" t="s">
        <v>200</v>
      </c>
      <c r="D2731" t="str">
        <f>IFERROR(VLOOKUP(C2731,APOYO!J:K,2,FALSE),C2731)</f>
        <v>SAN LUIS</v>
      </c>
      <c r="E2731">
        <v>2016</v>
      </c>
      <c r="H2731">
        <v>11</v>
      </c>
    </row>
    <row r="2732" spans="1:9" hidden="1" x14ac:dyDescent="0.25">
      <c r="A2732" t="str">
        <f>_xlfn.XLOOKUP(C2732, 'Códigos DANE Municipios'!$B$2:$B$1123, 'Códigos DANE Municipios'!$A$2:$A$1123, "No encontrado")</f>
        <v>No encontrado</v>
      </c>
      <c r="B2732" t="str">
        <f>IFERROR(VLOOKUP(D2732,APOYO!K:L,2,FALSE),A2732)</f>
        <v>No encontrado</v>
      </c>
      <c r="C2732" t="s">
        <v>2357</v>
      </c>
      <c r="D2732" t="str">
        <f>IFERROR(VLOOKUP(C2732,APOYO!J:K,2,FALSE),C2732)</f>
        <v>SAN LUIS DE GAC</v>
      </c>
      <c r="E2732">
        <v>2016</v>
      </c>
      <c r="H2732">
        <v>3</v>
      </c>
    </row>
    <row r="2733" spans="1:9" hidden="1" x14ac:dyDescent="0.25">
      <c r="A2733" t="str">
        <f>_xlfn.XLOOKUP(C2733, 'Códigos DANE Municipios'!$B$2:$B$1123, 'Códigos DANE Municipios'!$A$2:$A$1123, "No encontrado")</f>
        <v>No encontrado</v>
      </c>
      <c r="B2733" t="str">
        <f>IFERROR(VLOOKUP(D2733,APOYO!K:L,2,FALSE),A2733)</f>
        <v>No encontrado</v>
      </c>
      <c r="C2733" t="s">
        <v>2358</v>
      </c>
      <c r="D2733" t="str">
        <f>IFERROR(VLOOKUP(C2733,APOYO!J:K,2,FALSE),C2733)</f>
        <v>SAN LUIS DE PALE</v>
      </c>
      <c r="E2733">
        <v>2016</v>
      </c>
      <c r="H2733">
        <v>1</v>
      </c>
    </row>
    <row r="2734" spans="1:9" hidden="1" x14ac:dyDescent="0.25">
      <c r="A2734" t="str">
        <f>_xlfn.XLOOKUP(C2734, 'Códigos DANE Municipios'!$B$2:$B$1123, 'Códigos DANE Municipios'!$A$2:$A$1123, "No encontrado")</f>
        <v>70708</v>
      </c>
      <c r="B2734" t="str">
        <f>IFERROR(VLOOKUP(D2734,APOYO!K:L,2,FALSE),A2734)</f>
        <v>70708</v>
      </c>
      <c r="C2734" t="s">
        <v>1852</v>
      </c>
      <c r="D2734" t="str">
        <f>IFERROR(VLOOKUP(C2734,APOYO!J:K,2,FALSE),C2734)</f>
        <v>SAN MARCOS</v>
      </c>
      <c r="E2734">
        <v>2016</v>
      </c>
      <c r="H2734">
        <v>6</v>
      </c>
    </row>
    <row r="2735" spans="1:9" hidden="1" x14ac:dyDescent="0.25">
      <c r="A2735" t="str">
        <f>_xlfn.XLOOKUP(C2735, 'Códigos DANE Municipios'!$B$2:$B$1123, 'Códigos DANE Municipios'!$A$2:$A$1123, "No encontrado")</f>
        <v>No encontrado</v>
      </c>
      <c r="B2735" t="str">
        <f>IFERROR(VLOOKUP(D2735,APOYO!K:L,2,FALSE),A2735)</f>
        <v>No encontrado</v>
      </c>
      <c r="C2735" t="s">
        <v>2359</v>
      </c>
      <c r="D2735" t="str">
        <f>IFERROR(VLOOKUP(C2735,APOYO!J:K,2,FALSE),C2735)</f>
        <v>SAN MARTIN</v>
      </c>
      <c r="E2735">
        <v>2016</v>
      </c>
      <c r="H2735">
        <v>13</v>
      </c>
    </row>
    <row r="2736" spans="1:9" hidden="1" x14ac:dyDescent="0.25">
      <c r="A2736" t="str">
        <f>_xlfn.XLOOKUP(C2736, 'Códigos DANE Municipios'!$B$2:$B$1123, 'Códigos DANE Municipios'!$A$2:$A$1123, "No encontrado")</f>
        <v>68686</v>
      </c>
      <c r="B2736" t="str">
        <f>IFERROR(VLOOKUP(D2736,APOYO!K:L,2,FALSE),A2736)</f>
        <v>68686</v>
      </c>
      <c r="C2736" t="s">
        <v>1789</v>
      </c>
      <c r="D2736" t="str">
        <f>IFERROR(VLOOKUP(C2736,APOYO!J:K,2,FALSE),C2736)</f>
        <v>SAN MIGUEL</v>
      </c>
      <c r="E2736">
        <v>2016</v>
      </c>
      <c r="H2736">
        <v>4</v>
      </c>
    </row>
    <row r="2737" spans="1:8" hidden="1" x14ac:dyDescent="0.25">
      <c r="A2737" t="str">
        <f>_xlfn.XLOOKUP(C2737, 'Códigos DANE Municipios'!$B$2:$B$1123, 'Códigos DANE Municipios'!$A$2:$A$1123, "No encontrado")</f>
        <v>70713</v>
      </c>
      <c r="B2737" t="str">
        <f>IFERROR(VLOOKUP(D2737,APOYO!K:L,2,FALSE),A2737)</f>
        <v>70713</v>
      </c>
      <c r="C2737" t="s">
        <v>1854</v>
      </c>
      <c r="D2737" t="str">
        <f>IFERROR(VLOOKUP(C2737,APOYO!J:K,2,FALSE),C2737)</f>
        <v>SAN ONOFRE</v>
      </c>
      <c r="E2737">
        <v>2016</v>
      </c>
      <c r="H2737">
        <v>21</v>
      </c>
    </row>
    <row r="2738" spans="1:8" hidden="1" x14ac:dyDescent="0.25">
      <c r="A2738" t="str">
        <f>_xlfn.XLOOKUP(C2738, 'Códigos DANE Municipios'!$B$2:$B$1123, 'Códigos DANE Municipios'!$A$2:$A$1123, "No encontrado")</f>
        <v>13670</v>
      </c>
      <c r="B2738" t="str">
        <f>IFERROR(VLOOKUP(D2738,APOYO!K:L,2,FALSE),A2738)</f>
        <v>13670</v>
      </c>
      <c r="C2738" t="s">
        <v>377</v>
      </c>
      <c r="D2738" t="str">
        <f>IFERROR(VLOOKUP(C2738,APOYO!J:K,2,FALSE),C2738)</f>
        <v>SAN PABLO</v>
      </c>
      <c r="E2738">
        <v>2016</v>
      </c>
      <c r="H2738">
        <v>7</v>
      </c>
    </row>
    <row r="2739" spans="1:8" hidden="1" x14ac:dyDescent="0.25">
      <c r="A2739" t="str">
        <f>_xlfn.XLOOKUP(C2739, 'Códigos DANE Municipios'!$B$2:$B$1123, 'Códigos DANE Municipios'!$A$2:$A$1123, "No encontrado")</f>
        <v>70717</v>
      </c>
      <c r="B2739" t="str">
        <f>IFERROR(VLOOKUP(D2739,APOYO!K:L,2,FALSE),A2739)</f>
        <v>70717</v>
      </c>
      <c r="C2739" t="s">
        <v>1856</v>
      </c>
      <c r="D2739" t="str">
        <f>IFERROR(VLOOKUP(C2739,APOYO!J:K,2,FALSE),C2739)</f>
        <v>SAN PEDRO</v>
      </c>
      <c r="E2739">
        <v>2016</v>
      </c>
      <c r="H2739">
        <v>1</v>
      </c>
    </row>
    <row r="2740" spans="1:8" hidden="1" x14ac:dyDescent="0.25">
      <c r="A2740" t="str">
        <f>_xlfn.XLOOKUP(C2740, 'Códigos DANE Municipios'!$B$2:$B$1123, 'Códigos DANE Municipios'!$A$2:$A$1123, "No encontrado")</f>
        <v>No encontrado</v>
      </c>
      <c r="B2740" t="str">
        <f>IFERROR(VLOOKUP(D2740,APOYO!K:L,2,FALSE),A2740)</f>
        <v>05665</v>
      </c>
      <c r="C2740" t="s">
        <v>2450</v>
      </c>
      <c r="D2740" t="str">
        <f>IFERROR(VLOOKUP(C2740,APOYO!J:K,2,FALSE),C2740)</f>
        <v>SAN PEDRO DE URABÁ</v>
      </c>
      <c r="E2740">
        <v>2016</v>
      </c>
      <c r="H2740">
        <v>3</v>
      </c>
    </row>
    <row r="2741" spans="1:8" hidden="1" x14ac:dyDescent="0.25">
      <c r="A2741" t="str">
        <f>_xlfn.XLOOKUP(C2741, 'Códigos DANE Municipios'!$B$2:$B$1123, 'Códigos DANE Municipios'!$A$2:$A$1123, "No encontrado")</f>
        <v>05667</v>
      </c>
      <c r="B2741" t="str">
        <f>IFERROR(VLOOKUP(D2741,APOYO!K:L,2,FALSE),A2741)</f>
        <v>05667</v>
      </c>
      <c r="C2741" t="s">
        <v>206</v>
      </c>
      <c r="D2741" t="str">
        <f>IFERROR(VLOOKUP(C2741,APOYO!J:K,2,FALSE),C2741)</f>
        <v>SAN RAFAEL</v>
      </c>
      <c r="E2741">
        <v>2016</v>
      </c>
      <c r="H2741">
        <v>12</v>
      </c>
    </row>
    <row r="2742" spans="1:8" hidden="1" x14ac:dyDescent="0.25">
      <c r="A2742" t="str">
        <f>_xlfn.XLOOKUP(C2742, 'Códigos DANE Municipios'!$B$2:$B$1123, 'Códigos DANE Municipios'!$A$2:$A$1123, "No encontrado")</f>
        <v>05670</v>
      </c>
      <c r="B2742" t="str">
        <f>IFERROR(VLOOKUP(D2742,APOYO!K:L,2,FALSE),A2742)</f>
        <v>05670</v>
      </c>
      <c r="C2742" t="s">
        <v>208</v>
      </c>
      <c r="D2742" t="str">
        <f>IFERROR(VLOOKUP(C2742,APOYO!J:K,2,FALSE),C2742)</f>
        <v>SAN ROQUE</v>
      </c>
      <c r="E2742">
        <v>2016</v>
      </c>
      <c r="H2742">
        <v>3</v>
      </c>
    </row>
    <row r="2743" spans="1:8" hidden="1" x14ac:dyDescent="0.25">
      <c r="A2743" t="str">
        <f>_xlfn.XLOOKUP(C2743, 'Códigos DANE Municipios'!$B$2:$B$1123, 'Códigos DANE Municipios'!$A$2:$A$1123, "No encontrado")</f>
        <v>No encontrado</v>
      </c>
      <c r="B2743" t="str">
        <f>IFERROR(VLOOKUP(D2743,APOYO!K:L,2,FALSE),A2743)</f>
        <v>No encontrado</v>
      </c>
      <c r="C2743" t="s">
        <v>2361</v>
      </c>
      <c r="D2743" t="str">
        <f>IFERROR(VLOOKUP(C2743,APOYO!J:K,2,FALSE),C2743)</f>
        <v>SAN SEBASTIAN</v>
      </c>
      <c r="E2743">
        <v>2016</v>
      </c>
      <c r="H2743">
        <v>1</v>
      </c>
    </row>
    <row r="2744" spans="1:8" hidden="1" x14ac:dyDescent="0.25">
      <c r="A2744" t="str">
        <f>_xlfn.XLOOKUP(C2744, 'Códigos DANE Municipios'!$B$2:$B$1123, 'Códigos DANE Municipios'!$A$2:$A$1123, "No encontrado")</f>
        <v>No encontrado</v>
      </c>
      <c r="B2744" t="str">
        <f>IFERROR(VLOOKUP(D2744,APOYO!K:L,2,FALSE),A2744)</f>
        <v>No encontrado</v>
      </c>
      <c r="C2744" t="s">
        <v>2362</v>
      </c>
      <c r="D2744" t="str">
        <f>IFERROR(VLOOKUP(C2744,APOYO!J:K,2,FALSE),C2744)</f>
        <v>SAN SEBASTIAN BUE</v>
      </c>
      <c r="E2744">
        <v>2016</v>
      </c>
      <c r="H2744">
        <v>29</v>
      </c>
    </row>
    <row r="2745" spans="1:8" hidden="1" x14ac:dyDescent="0.25">
      <c r="A2745" t="str">
        <f>_xlfn.XLOOKUP(C2745, 'Códigos DANE Municipios'!$B$2:$B$1123, 'Códigos DANE Municipios'!$A$2:$A$1123, "No encontrado")</f>
        <v>No encontrado</v>
      </c>
      <c r="B2745" t="str">
        <f>IFERROR(VLOOKUP(D2745,APOYO!K:L,2,FALSE),A2745)</f>
        <v>No encontrado</v>
      </c>
      <c r="C2745" t="s">
        <v>2363</v>
      </c>
      <c r="D2745" t="str">
        <f>IFERROR(VLOOKUP(C2745,APOYO!J:K,2,FALSE),C2745)</f>
        <v>SAN VICENTE</v>
      </c>
      <c r="E2745">
        <v>2016</v>
      </c>
      <c r="H2745">
        <v>4</v>
      </c>
    </row>
    <row r="2746" spans="1:8" hidden="1" x14ac:dyDescent="0.25">
      <c r="A2746" t="str">
        <f>_xlfn.XLOOKUP(C2746, 'Códigos DANE Municipios'!$B$2:$B$1123, 'Códigos DANE Municipios'!$A$2:$A$1123, "No encontrado")</f>
        <v>No encontrado</v>
      </c>
      <c r="B2746" t="str">
        <f>IFERROR(VLOOKUP(D2746,APOYO!K:L,2,FALSE),A2746)</f>
        <v>68689</v>
      </c>
      <c r="C2746" t="s">
        <v>2451</v>
      </c>
      <c r="D2746" t="str">
        <f>IFERROR(VLOOKUP(C2746,APOYO!J:K,2,FALSE),C2746)</f>
        <v>SAN VICENTE DE CHUCURÍ</v>
      </c>
      <c r="E2746">
        <v>2016</v>
      </c>
      <c r="H2746">
        <v>1</v>
      </c>
    </row>
    <row r="2747" spans="1:8" hidden="1" x14ac:dyDescent="0.25">
      <c r="A2747" t="str">
        <f>_xlfn.XLOOKUP(C2747, 'Códigos DANE Municipios'!$B$2:$B$1123, 'Códigos DANE Municipios'!$A$2:$A$1123, "No encontrado")</f>
        <v>No encontrado</v>
      </c>
      <c r="B2747" t="str">
        <f>IFERROR(VLOOKUP(D2747,APOYO!K:L,2,FALSE),A2747)</f>
        <v>18753</v>
      </c>
      <c r="C2747" t="s">
        <v>2452</v>
      </c>
      <c r="D2747" t="str">
        <f>IFERROR(VLOOKUP(C2747,APOYO!J:K,2,FALSE),C2747)</f>
        <v>SAN VICENTE DEL CAGUÁN</v>
      </c>
      <c r="E2747">
        <v>2016</v>
      </c>
      <c r="H2747">
        <v>7</v>
      </c>
    </row>
    <row r="2748" spans="1:8" hidden="1" x14ac:dyDescent="0.25">
      <c r="A2748" t="str">
        <f>_xlfn.XLOOKUP(C2748, 'Códigos DANE Municipios'!$B$2:$B$1123, 'Códigos DANE Municipios'!$A$2:$A$1123, "No encontrado")</f>
        <v>No encontrado</v>
      </c>
      <c r="B2748" t="str">
        <f>IFERROR(VLOOKUP(D2748,APOYO!K:L,2,FALSE),A2748)</f>
        <v>No encontrado</v>
      </c>
      <c r="C2748" t="s">
        <v>2366</v>
      </c>
      <c r="D2748" t="str">
        <f>IFERROR(VLOOKUP(C2748,APOYO!J:K,2,FALSE),C2748)</f>
        <v>SANDONA</v>
      </c>
      <c r="E2748">
        <v>2016</v>
      </c>
      <c r="H2748">
        <v>9</v>
      </c>
    </row>
    <row r="2749" spans="1:8" hidden="1" x14ac:dyDescent="0.25">
      <c r="A2749" t="str">
        <f>_xlfn.XLOOKUP(C2749, 'Códigos DANE Municipios'!$B$2:$B$1123, 'Códigos DANE Municipios'!$A$2:$A$1123, "No encontrado")</f>
        <v>47707</v>
      </c>
      <c r="B2749" t="str">
        <f>IFERROR(VLOOKUP(D2749,APOYO!K:L,2,FALSE),A2749)</f>
        <v>47707</v>
      </c>
      <c r="C2749" t="s">
        <v>1346</v>
      </c>
      <c r="D2749" t="str">
        <f>IFERROR(VLOOKUP(C2749,APOYO!J:K,2,FALSE),C2749)</f>
        <v>SANTA ANA</v>
      </c>
      <c r="E2749">
        <v>2016</v>
      </c>
      <c r="H2749">
        <v>169</v>
      </c>
    </row>
    <row r="2750" spans="1:8" hidden="1" x14ac:dyDescent="0.25">
      <c r="A2750" t="str">
        <f>_xlfn.XLOOKUP(C2750, 'Códigos DANE Municipios'!$B$2:$B$1123, 'Códigos DANE Municipios'!$A$2:$A$1123, "No encontrado")</f>
        <v>No encontrado</v>
      </c>
      <c r="B2750" t="str">
        <f>IFERROR(VLOOKUP(D2750,APOYO!K:L,2,FALSE),A2750)</f>
        <v>No encontrado</v>
      </c>
      <c r="C2750" t="s">
        <v>2367</v>
      </c>
      <c r="D2750" t="str">
        <f>IFERROR(VLOOKUP(C2750,APOYO!J:K,2,FALSE),C2750)</f>
        <v>SANTA BARBARA</v>
      </c>
      <c r="E2750">
        <v>2016</v>
      </c>
      <c r="H2750">
        <v>14</v>
      </c>
    </row>
    <row r="2751" spans="1:8" hidden="1" x14ac:dyDescent="0.25">
      <c r="A2751" t="str">
        <f>_xlfn.XLOOKUP(C2751, 'Códigos DANE Municipios'!$B$2:$B$1123, 'Códigos DANE Municipios'!$A$2:$A$1123, "No encontrado")</f>
        <v>13673</v>
      </c>
      <c r="B2751" t="str">
        <f>IFERROR(VLOOKUP(D2751,APOYO!K:L,2,FALSE),A2751)</f>
        <v>13673</v>
      </c>
      <c r="C2751" t="s">
        <v>379</v>
      </c>
      <c r="D2751" t="str">
        <f>IFERROR(VLOOKUP(C2751,APOYO!J:K,2,FALSE),C2751)</f>
        <v>SANTA CATALINA</v>
      </c>
      <c r="E2751">
        <v>2016</v>
      </c>
      <c r="H2751">
        <v>9</v>
      </c>
    </row>
    <row r="2752" spans="1:8" hidden="1" x14ac:dyDescent="0.25">
      <c r="A2752" t="str">
        <f>_xlfn.XLOOKUP(C2752, 'Códigos DANE Municipios'!$B$2:$B$1123, 'Códigos DANE Municipios'!$A$2:$A$1123, "No encontrado")</f>
        <v>73686</v>
      </c>
      <c r="B2752" t="str">
        <f>IFERROR(VLOOKUP(D2752,APOYO!K:L,2,FALSE),A2752)</f>
        <v>73686</v>
      </c>
      <c r="C2752" t="s">
        <v>1946</v>
      </c>
      <c r="D2752" t="str">
        <f>IFERROR(VLOOKUP(C2752,APOYO!J:K,2,FALSE),C2752)</f>
        <v>SANTA ISABEL</v>
      </c>
      <c r="E2752">
        <v>2016</v>
      </c>
      <c r="H2752">
        <v>1</v>
      </c>
    </row>
    <row r="2753" spans="1:9" hidden="1" x14ac:dyDescent="0.25">
      <c r="A2753" t="str">
        <f>_xlfn.XLOOKUP(C2753, 'Códigos DANE Municipios'!$B$2:$B$1123, 'Códigos DANE Municipios'!$A$2:$A$1123, "No encontrado")</f>
        <v>No encontrado</v>
      </c>
      <c r="B2753" t="str">
        <f>IFERROR(VLOOKUP(D2753,APOYO!K:L,2,FALSE),A2753)</f>
        <v>No encontrado</v>
      </c>
      <c r="C2753" t="s">
        <v>2368</v>
      </c>
      <c r="D2753" t="str">
        <f>IFERROR(VLOOKUP(C2753,APOYO!J:K,2,FALSE),C2753)</f>
        <v>SANTA MARIA</v>
      </c>
      <c r="E2753">
        <v>2016</v>
      </c>
      <c r="H2753">
        <v>10</v>
      </c>
    </row>
    <row r="2754" spans="1:9" hidden="1" x14ac:dyDescent="0.25">
      <c r="A2754" t="str">
        <f>_xlfn.XLOOKUP(C2754, 'Códigos DANE Municipios'!$B$2:$B$1123, 'Códigos DANE Municipios'!$A$2:$A$1123, "No encontrado")</f>
        <v>47001</v>
      </c>
      <c r="B2754" t="str">
        <f>IFERROR(VLOOKUP(D2754,APOYO!K:L,2,FALSE),A2754)</f>
        <v>47001</v>
      </c>
      <c r="C2754" t="s">
        <v>1300</v>
      </c>
      <c r="D2754" t="str">
        <f>IFERROR(VLOOKUP(C2754,APOYO!J:K,2,FALSE),C2754)</f>
        <v>SANTA MARTA</v>
      </c>
      <c r="E2754">
        <v>2016</v>
      </c>
      <c r="F2754">
        <v>749413</v>
      </c>
      <c r="G2754">
        <v>8140</v>
      </c>
      <c r="H2754">
        <v>22548</v>
      </c>
      <c r="I2754">
        <v>414025</v>
      </c>
    </row>
    <row r="2755" spans="1:9" hidden="1" x14ac:dyDescent="0.25">
      <c r="A2755" t="str">
        <f>_xlfn.XLOOKUP(C2755, 'Códigos DANE Municipios'!$B$2:$B$1123, 'Códigos DANE Municipios'!$A$2:$A$1123, "No encontrado")</f>
        <v>13683</v>
      </c>
      <c r="B2755" t="str">
        <f>IFERROR(VLOOKUP(D2755,APOYO!K:L,2,FALSE),A2755)</f>
        <v>13683</v>
      </c>
      <c r="C2755" t="s">
        <v>381</v>
      </c>
      <c r="D2755" t="str">
        <f>IFERROR(VLOOKUP(C2755,APOYO!J:K,2,FALSE),C2755)</f>
        <v>SANTA ROSA</v>
      </c>
      <c r="E2755">
        <v>2016</v>
      </c>
      <c r="H2755">
        <v>6</v>
      </c>
    </row>
    <row r="2756" spans="1:9" hidden="1" x14ac:dyDescent="0.25">
      <c r="A2756" t="str">
        <f>_xlfn.XLOOKUP(C2756, 'Códigos DANE Municipios'!$B$2:$B$1123, 'Códigos DANE Municipios'!$A$2:$A$1123, "No encontrado")</f>
        <v>66682</v>
      </c>
      <c r="B2756" t="str">
        <f>IFERROR(VLOOKUP(D2756,APOYO!K:L,2,FALSE),A2756)</f>
        <v>66682</v>
      </c>
      <c r="C2756" t="s">
        <v>1651</v>
      </c>
      <c r="D2756" t="str">
        <f>IFERROR(VLOOKUP(C2756,APOYO!J:K,2,FALSE),C2756)</f>
        <v>SANTA ROSA DE CABAL</v>
      </c>
      <c r="E2756">
        <v>2016</v>
      </c>
      <c r="H2756">
        <v>621</v>
      </c>
    </row>
    <row r="2757" spans="1:9" hidden="1" x14ac:dyDescent="0.25">
      <c r="A2757" t="str">
        <f>_xlfn.XLOOKUP(C2757, 'Códigos DANE Municipios'!$B$2:$B$1123, 'Códigos DANE Municipios'!$A$2:$A$1123, "No encontrado")</f>
        <v>No encontrado</v>
      </c>
      <c r="B2757" t="str">
        <f>IFERROR(VLOOKUP(D2757,APOYO!K:L,2,FALSE),A2757)</f>
        <v>15693</v>
      </c>
      <c r="C2757" t="s">
        <v>2453</v>
      </c>
      <c r="D2757" t="str">
        <f>IFERROR(VLOOKUP(C2757,APOYO!J:K,2,FALSE),C2757)</f>
        <v>SANTA ROSA DE VITERBO</v>
      </c>
      <c r="E2757">
        <v>2016</v>
      </c>
      <c r="H2757">
        <v>10</v>
      </c>
    </row>
    <row r="2758" spans="1:9" hidden="1" x14ac:dyDescent="0.25">
      <c r="A2758" t="str">
        <f>_xlfn.XLOOKUP(C2758, 'Códigos DANE Municipios'!$B$2:$B$1123, 'Códigos DANE Municipios'!$A$2:$A$1123, "No encontrado")</f>
        <v>13688</v>
      </c>
      <c r="B2758" t="str">
        <f>IFERROR(VLOOKUP(D2758,APOYO!K:L,2,FALSE),A2758)</f>
        <v>13688</v>
      </c>
      <c r="C2758" t="s">
        <v>383</v>
      </c>
      <c r="D2758" t="str">
        <f>IFERROR(VLOOKUP(C2758,APOYO!J:K,2,FALSE),C2758)</f>
        <v>SANTA ROSA DEL SUR</v>
      </c>
      <c r="E2758">
        <v>2016</v>
      </c>
      <c r="H2758">
        <v>2</v>
      </c>
    </row>
    <row r="2759" spans="1:9" hidden="1" x14ac:dyDescent="0.25">
      <c r="A2759" t="str">
        <f>_xlfn.XLOOKUP(C2759, 'Códigos DANE Municipios'!$B$2:$B$1123, 'Códigos DANE Municipios'!$A$2:$A$1123, "No encontrado")</f>
        <v>15686</v>
      </c>
      <c r="B2759" t="str">
        <f>IFERROR(VLOOKUP(D2759,APOYO!K:L,2,FALSE),A2759)</f>
        <v>15686</v>
      </c>
      <c r="C2759" t="s">
        <v>572</v>
      </c>
      <c r="D2759" t="str">
        <f>IFERROR(VLOOKUP(C2759,APOYO!J:K,2,FALSE),C2759)</f>
        <v>SANTANA</v>
      </c>
      <c r="E2759">
        <v>2016</v>
      </c>
      <c r="H2759">
        <v>1</v>
      </c>
    </row>
    <row r="2760" spans="1:9" hidden="1" x14ac:dyDescent="0.25">
      <c r="A2760" t="str">
        <f>_xlfn.XLOOKUP(C2760, 'Códigos DANE Municipios'!$B$2:$B$1123, 'Códigos DANE Municipios'!$A$2:$A$1123, "No encontrado")</f>
        <v>No encontrado</v>
      </c>
      <c r="B2760" t="str">
        <f>IFERROR(VLOOKUP(D2760,APOYO!K:L,2,FALSE),A2760)</f>
        <v>No encontrado</v>
      </c>
      <c r="C2760" t="s">
        <v>2372</v>
      </c>
      <c r="D2760" t="str">
        <f>IFERROR(VLOOKUP(C2760,APOYO!J:K,2,FALSE),C2760)</f>
        <v>SANTANDER DE Q</v>
      </c>
      <c r="E2760">
        <v>2016</v>
      </c>
      <c r="H2760">
        <v>174</v>
      </c>
    </row>
    <row r="2761" spans="1:9" hidden="1" x14ac:dyDescent="0.25">
      <c r="A2761" t="str">
        <f>_xlfn.XLOOKUP(C2761, 'Códigos DANE Municipios'!$B$2:$B$1123, 'Códigos DANE Municipios'!$A$2:$A$1123, "No encontrado")</f>
        <v>No encontrado</v>
      </c>
      <c r="B2761" t="str">
        <f>IFERROR(VLOOKUP(D2761,APOYO!K:L,2,FALSE),A2761)</f>
        <v>No encontrado</v>
      </c>
      <c r="C2761" t="s">
        <v>2373</v>
      </c>
      <c r="D2761" t="str">
        <f>IFERROR(VLOOKUP(C2761,APOYO!J:K,2,FALSE),C2761)</f>
        <v>SANTO TOMAS</v>
      </c>
      <c r="E2761">
        <v>2016</v>
      </c>
      <c r="H2761">
        <v>38</v>
      </c>
    </row>
    <row r="2762" spans="1:9" hidden="1" x14ac:dyDescent="0.25">
      <c r="A2762" t="str">
        <f>_xlfn.XLOOKUP(C2762, 'Códigos DANE Municipios'!$B$2:$B$1123, 'Códigos DANE Municipios'!$A$2:$A$1123, "No encontrado")</f>
        <v>66687</v>
      </c>
      <c r="B2762" t="str">
        <f>IFERROR(VLOOKUP(D2762,APOYO!K:L,2,FALSE),A2762)</f>
        <v>66687</v>
      </c>
      <c r="C2762" t="s">
        <v>1653</v>
      </c>
      <c r="D2762" t="str">
        <f>IFERROR(VLOOKUP(C2762,APOYO!J:K,2,FALSE),C2762)</f>
        <v>SANTUARIO</v>
      </c>
      <c r="E2762">
        <v>2016</v>
      </c>
      <c r="H2762">
        <v>89</v>
      </c>
    </row>
    <row r="2763" spans="1:9" hidden="1" x14ac:dyDescent="0.25">
      <c r="A2763" t="str">
        <f>_xlfn.XLOOKUP(C2763, 'Códigos DANE Municipios'!$B$2:$B$1123, 'Códigos DANE Municipios'!$A$2:$A$1123, "No encontrado")</f>
        <v>81736</v>
      </c>
      <c r="B2763" t="str">
        <f>IFERROR(VLOOKUP(D2763,APOYO!K:L,2,FALSE),A2763)</f>
        <v>81736</v>
      </c>
      <c r="C2763" t="s">
        <v>2044</v>
      </c>
      <c r="D2763" t="str">
        <f>IFERROR(VLOOKUP(C2763,APOYO!J:K,2,FALSE),C2763)</f>
        <v>SARAVENA</v>
      </c>
      <c r="E2763">
        <v>2016</v>
      </c>
      <c r="F2763">
        <v>10952</v>
      </c>
      <c r="H2763">
        <v>23</v>
      </c>
    </row>
    <row r="2764" spans="1:9" hidden="1" x14ac:dyDescent="0.25">
      <c r="A2764" t="str">
        <f>_xlfn.XLOOKUP(C2764, 'Códigos DANE Municipios'!$B$2:$B$1123, 'Códigos DANE Municipios'!$A$2:$A$1123, "No encontrado")</f>
        <v>54720</v>
      </c>
      <c r="B2764" t="str">
        <f>IFERROR(VLOOKUP(D2764,APOYO!K:L,2,FALSE),A2764)</f>
        <v>54720</v>
      </c>
      <c r="C2764" t="s">
        <v>1594</v>
      </c>
      <c r="D2764" t="str">
        <f>IFERROR(VLOOKUP(C2764,APOYO!J:K,2,FALSE),C2764)</f>
        <v>SARDINATA</v>
      </c>
      <c r="E2764">
        <v>2016</v>
      </c>
      <c r="H2764">
        <v>2</v>
      </c>
    </row>
    <row r="2765" spans="1:9" hidden="1" x14ac:dyDescent="0.25">
      <c r="A2765" t="str">
        <f>_xlfn.XLOOKUP(C2765, 'Códigos DANE Municipios'!$B$2:$B$1123, 'Códigos DANE Municipios'!$A$2:$A$1123, "No encontrado")</f>
        <v>25718</v>
      </c>
      <c r="B2765" t="str">
        <f>IFERROR(VLOOKUP(D2765,APOYO!K:L,2,FALSE),A2765)</f>
        <v>25718</v>
      </c>
      <c r="C2765" t="s">
        <v>1072</v>
      </c>
      <c r="D2765" t="str">
        <f>IFERROR(VLOOKUP(C2765,APOYO!J:K,2,FALSE),C2765)</f>
        <v>SASAIMA</v>
      </c>
      <c r="E2765">
        <v>2016</v>
      </c>
      <c r="H2765">
        <v>20</v>
      </c>
    </row>
    <row r="2766" spans="1:9" hidden="1" x14ac:dyDescent="0.25">
      <c r="A2766" t="str">
        <f>_xlfn.XLOOKUP(C2766, 'Códigos DANE Municipios'!$B$2:$B$1123, 'Códigos DANE Municipios'!$A$2:$A$1123, "No encontrado")</f>
        <v>05736</v>
      </c>
      <c r="B2766" t="str">
        <f>IFERROR(VLOOKUP(D2766,APOYO!K:L,2,FALSE),A2766)</f>
        <v>05736</v>
      </c>
      <c r="C2766" t="s">
        <v>220</v>
      </c>
      <c r="D2766" t="str">
        <f>IFERROR(VLOOKUP(C2766,APOYO!J:K,2,FALSE),C2766)</f>
        <v>SEGOVIA</v>
      </c>
      <c r="E2766">
        <v>2016</v>
      </c>
      <c r="H2766">
        <v>25</v>
      </c>
    </row>
    <row r="2767" spans="1:9" hidden="1" x14ac:dyDescent="0.25">
      <c r="A2767" t="str">
        <f>_xlfn.XLOOKUP(C2767, 'Códigos DANE Municipios'!$B$2:$B$1123, 'Códigos DANE Municipios'!$A$2:$A$1123, "No encontrado")</f>
        <v>No encontrado</v>
      </c>
      <c r="B2767" t="str">
        <f>IFERROR(VLOOKUP(D2767,APOYO!K:L,2,FALSE),A2767)</f>
        <v>No encontrado</v>
      </c>
      <c r="C2767" t="s">
        <v>2374</v>
      </c>
      <c r="D2767" t="str">
        <f>IFERROR(VLOOKUP(C2767,APOYO!J:K,2,FALSE),C2767)</f>
        <v>SESQUILE</v>
      </c>
      <c r="E2767">
        <v>2016</v>
      </c>
      <c r="H2767">
        <v>16</v>
      </c>
    </row>
    <row r="2768" spans="1:9" hidden="1" x14ac:dyDescent="0.25">
      <c r="A2768" t="str">
        <f>_xlfn.XLOOKUP(C2768, 'Códigos DANE Municipios'!$B$2:$B$1123, 'Códigos DANE Municipios'!$A$2:$A$1123, "No encontrado")</f>
        <v>76736</v>
      </c>
      <c r="B2768" t="str">
        <f>IFERROR(VLOOKUP(D2768,APOYO!K:L,2,FALSE),A2768)</f>
        <v>76736</v>
      </c>
      <c r="C2768" t="s">
        <v>2014</v>
      </c>
      <c r="D2768" t="str">
        <f>IFERROR(VLOOKUP(C2768,APOYO!J:K,2,FALSE),C2768)</f>
        <v>SEVILLA</v>
      </c>
      <c r="E2768">
        <v>2016</v>
      </c>
      <c r="H2768">
        <v>199</v>
      </c>
    </row>
    <row r="2769" spans="1:8" hidden="1" x14ac:dyDescent="0.25">
      <c r="A2769" t="str">
        <f>_xlfn.XLOOKUP(C2769, 'Códigos DANE Municipios'!$B$2:$B$1123, 'Códigos DANE Municipios'!$A$2:$A$1123, "No encontrado")</f>
        <v>No encontrado</v>
      </c>
      <c r="B2769" t="str">
        <f>IFERROR(VLOOKUP(D2769,APOYO!K:L,2,FALSE),A2769)</f>
        <v>No encontrado</v>
      </c>
      <c r="C2769" t="s">
        <v>2375</v>
      </c>
      <c r="D2769" t="str">
        <f>IFERROR(VLOOKUP(C2769,APOYO!J:K,2,FALSE),C2769)</f>
        <v>SIBATE</v>
      </c>
      <c r="E2769">
        <v>2016</v>
      </c>
      <c r="H2769">
        <v>55</v>
      </c>
    </row>
    <row r="2770" spans="1:8" hidden="1" x14ac:dyDescent="0.25">
      <c r="A2770" t="str">
        <f>_xlfn.XLOOKUP(C2770, 'Códigos DANE Municipios'!$B$2:$B$1123, 'Códigos DANE Municipios'!$A$2:$A$1123, "No encontrado")</f>
        <v>86749</v>
      </c>
      <c r="B2770" t="str">
        <f>IFERROR(VLOOKUP(D2770,APOYO!K:L,2,FALSE),A2770)</f>
        <v>86749</v>
      </c>
      <c r="C2770" t="s">
        <v>2097</v>
      </c>
      <c r="D2770" t="str">
        <f>IFERROR(VLOOKUP(C2770,APOYO!J:K,2,FALSE),C2770)</f>
        <v>SIBUNDOY</v>
      </c>
      <c r="E2770">
        <v>2016</v>
      </c>
      <c r="H2770">
        <v>30</v>
      </c>
    </row>
    <row r="2771" spans="1:8" hidden="1" x14ac:dyDescent="0.25">
      <c r="A2771" t="str">
        <f>_xlfn.XLOOKUP(C2771, 'Códigos DANE Municipios'!$B$2:$B$1123, 'Códigos DANE Municipios'!$A$2:$A$1123, "No encontrado")</f>
        <v>25743</v>
      </c>
      <c r="B2771" t="str">
        <f>IFERROR(VLOOKUP(D2771,APOYO!K:L,2,FALSE),A2771)</f>
        <v>25743</v>
      </c>
      <c r="C2771" t="s">
        <v>1078</v>
      </c>
      <c r="D2771" t="str">
        <f>IFERROR(VLOOKUP(C2771,APOYO!J:K,2,FALSE),C2771)</f>
        <v>SILVANIA</v>
      </c>
      <c r="E2771">
        <v>2016</v>
      </c>
      <c r="H2771">
        <v>81</v>
      </c>
    </row>
    <row r="2772" spans="1:8" hidden="1" x14ac:dyDescent="0.25">
      <c r="A2772" t="str">
        <f>_xlfn.XLOOKUP(C2772, 'Códigos DANE Municipios'!$B$2:$B$1123, 'Códigos DANE Municipios'!$A$2:$A$1123, "No encontrado")</f>
        <v>19743</v>
      </c>
      <c r="B2772" t="str">
        <f>IFERROR(VLOOKUP(D2772,APOYO!K:L,2,FALSE),A2772)</f>
        <v>19743</v>
      </c>
      <c r="C2772" t="s">
        <v>790</v>
      </c>
      <c r="D2772" t="str">
        <f>IFERROR(VLOOKUP(C2772,APOYO!J:K,2,FALSE),C2772)</f>
        <v>SILVIA</v>
      </c>
      <c r="E2772">
        <v>2016</v>
      </c>
      <c r="H2772">
        <v>16</v>
      </c>
    </row>
    <row r="2773" spans="1:8" hidden="1" x14ac:dyDescent="0.25">
      <c r="A2773" t="str">
        <f>_xlfn.XLOOKUP(C2773, 'Códigos DANE Municipios'!$B$2:$B$1123, 'Códigos DANE Municipios'!$A$2:$A$1123, "No encontrado")</f>
        <v>25745</v>
      </c>
      <c r="B2773" t="str">
        <f>IFERROR(VLOOKUP(D2773,APOYO!K:L,2,FALSE),A2773)</f>
        <v>25745</v>
      </c>
      <c r="C2773" t="s">
        <v>1080</v>
      </c>
      <c r="D2773" t="str">
        <f>IFERROR(VLOOKUP(C2773,APOYO!J:K,2,FALSE),C2773)</f>
        <v>SIMIJACA</v>
      </c>
      <c r="E2773">
        <v>2016</v>
      </c>
      <c r="H2773">
        <v>4</v>
      </c>
    </row>
    <row r="2774" spans="1:8" hidden="1" x14ac:dyDescent="0.25">
      <c r="A2774" t="str">
        <f>_xlfn.XLOOKUP(C2774, 'Códigos DANE Municipios'!$B$2:$B$1123, 'Códigos DANE Municipios'!$A$2:$A$1123, "No encontrado")</f>
        <v>No encontrado</v>
      </c>
      <c r="B2774" t="str">
        <f>IFERROR(VLOOKUP(D2774,APOYO!K:L,2,FALSE),A2774)</f>
        <v>No encontrado</v>
      </c>
      <c r="C2774" t="s">
        <v>2376</v>
      </c>
      <c r="D2774" t="str">
        <f>IFERROR(VLOOKUP(C2774,APOYO!J:K,2,FALSE),C2774)</f>
        <v>SINCE</v>
      </c>
      <c r="E2774">
        <v>2016</v>
      </c>
      <c r="H2774">
        <v>4</v>
      </c>
    </row>
    <row r="2775" spans="1:8" hidden="1" x14ac:dyDescent="0.25">
      <c r="A2775" t="str">
        <f>_xlfn.XLOOKUP(C2775, 'Códigos DANE Municipios'!$B$2:$B$1123, 'Códigos DANE Municipios'!$A$2:$A$1123, "No encontrado")</f>
        <v>70001</v>
      </c>
      <c r="B2775" t="str">
        <f>IFERROR(VLOOKUP(D2775,APOYO!K:L,2,FALSE),A2775)</f>
        <v>70001</v>
      </c>
      <c r="C2775" t="s">
        <v>1816</v>
      </c>
      <c r="D2775" t="str">
        <f>IFERROR(VLOOKUP(C2775,APOYO!J:K,2,FALSE),C2775)</f>
        <v>SINCELEJO</v>
      </c>
      <c r="E2775">
        <v>2016</v>
      </c>
      <c r="H2775">
        <v>543</v>
      </c>
    </row>
    <row r="2776" spans="1:8" hidden="1" x14ac:dyDescent="0.25">
      <c r="A2776" t="str">
        <f>_xlfn.XLOOKUP(C2776, 'Códigos DANE Municipios'!$B$2:$B$1123, 'Códigos DANE Municipios'!$A$2:$A$1123, "No encontrado")</f>
        <v>47745</v>
      </c>
      <c r="B2776" t="str">
        <f>IFERROR(VLOOKUP(D2776,APOYO!K:L,2,FALSE),A2776)</f>
        <v>47745</v>
      </c>
      <c r="C2776" t="s">
        <v>1350</v>
      </c>
      <c r="D2776" t="str">
        <f>IFERROR(VLOOKUP(C2776,APOYO!J:K,2,FALSE),C2776)</f>
        <v>SITIONUEVO</v>
      </c>
      <c r="E2776">
        <v>2016</v>
      </c>
      <c r="H2776">
        <v>8</v>
      </c>
    </row>
    <row r="2777" spans="1:8" hidden="1" x14ac:dyDescent="0.25">
      <c r="A2777" t="str">
        <f>_xlfn.XLOOKUP(C2777, 'Códigos DANE Municipios'!$B$2:$B$1123, 'Códigos DANE Municipios'!$A$2:$A$1123, "No encontrado")</f>
        <v>25754</v>
      </c>
      <c r="B2777" t="str">
        <f>IFERROR(VLOOKUP(D2777,APOYO!K:L,2,FALSE),A2777)</f>
        <v>25754</v>
      </c>
      <c r="C2777" t="s">
        <v>1082</v>
      </c>
      <c r="D2777" t="str">
        <f>IFERROR(VLOOKUP(C2777,APOYO!J:K,2,FALSE),C2777)</f>
        <v>SOACHA</v>
      </c>
      <c r="E2777">
        <v>2016</v>
      </c>
      <c r="H2777">
        <v>257</v>
      </c>
    </row>
    <row r="2778" spans="1:8" hidden="1" x14ac:dyDescent="0.25">
      <c r="A2778" t="str">
        <f>_xlfn.XLOOKUP(C2778, 'Códigos DANE Municipios'!$B$2:$B$1123, 'Códigos DANE Municipios'!$A$2:$A$1123, "No encontrado")</f>
        <v>15757</v>
      </c>
      <c r="B2778" t="str">
        <f>IFERROR(VLOOKUP(D2778,APOYO!K:L,2,FALSE),A2778)</f>
        <v>15757</v>
      </c>
      <c r="C2778" t="s">
        <v>590</v>
      </c>
      <c r="D2778" t="str">
        <f>IFERROR(VLOOKUP(C2778,APOYO!J:K,2,FALSE),C2778)</f>
        <v>SOCHA</v>
      </c>
      <c r="E2778">
        <v>2016</v>
      </c>
      <c r="H2778" t="s">
        <v>2189</v>
      </c>
    </row>
    <row r="2779" spans="1:8" hidden="1" x14ac:dyDescent="0.25">
      <c r="A2779" t="str">
        <f>_xlfn.XLOOKUP(C2779, 'Códigos DANE Municipios'!$B$2:$B$1123, 'Códigos DANE Municipios'!$A$2:$A$1123, "No encontrado")</f>
        <v>68755</v>
      </c>
      <c r="B2779" t="str">
        <f>IFERROR(VLOOKUP(D2779,APOYO!K:L,2,FALSE),A2779)</f>
        <v>68755</v>
      </c>
      <c r="C2779" t="s">
        <v>1798</v>
      </c>
      <c r="D2779" t="str">
        <f>IFERROR(VLOOKUP(C2779,APOYO!J:K,2,FALSE),C2779)</f>
        <v>SOCORRO</v>
      </c>
      <c r="E2779">
        <v>2016</v>
      </c>
      <c r="H2779">
        <v>76</v>
      </c>
    </row>
    <row r="2780" spans="1:8" hidden="1" x14ac:dyDescent="0.25">
      <c r="A2780" t="str">
        <f>_xlfn.XLOOKUP(C2780, 'Códigos DANE Municipios'!$B$2:$B$1123, 'Códigos DANE Municipios'!$A$2:$A$1123, "No encontrado")</f>
        <v>15759</v>
      </c>
      <c r="B2780" t="str">
        <f>IFERROR(VLOOKUP(D2780,APOYO!K:L,2,FALSE),A2780)</f>
        <v>15759</v>
      </c>
      <c r="C2780" t="s">
        <v>592</v>
      </c>
      <c r="D2780" t="str">
        <f>IFERROR(VLOOKUP(C2780,APOYO!J:K,2,FALSE),C2780)</f>
        <v>SOGAMOSO</v>
      </c>
      <c r="E2780">
        <v>2016</v>
      </c>
      <c r="H2780">
        <v>471</v>
      </c>
    </row>
    <row r="2781" spans="1:8" hidden="1" x14ac:dyDescent="0.25">
      <c r="A2781" t="str">
        <f>_xlfn.XLOOKUP(C2781, 'Códigos DANE Municipios'!$B$2:$B$1123, 'Códigos DANE Municipios'!$A$2:$A$1123, "No encontrado")</f>
        <v>18756</v>
      </c>
      <c r="B2781" t="str">
        <f>IFERROR(VLOOKUP(D2781,APOYO!K:L,2,FALSE),A2781)</f>
        <v>18756</v>
      </c>
      <c r="C2781" t="s">
        <v>724</v>
      </c>
      <c r="D2781" t="str">
        <f>IFERROR(VLOOKUP(C2781,APOYO!J:K,2,FALSE),C2781)</f>
        <v>SOLANO</v>
      </c>
      <c r="E2781">
        <v>2016</v>
      </c>
      <c r="F2781">
        <v>1382</v>
      </c>
      <c r="H2781">
        <v>10</v>
      </c>
    </row>
    <row r="2782" spans="1:8" hidden="1" x14ac:dyDescent="0.25">
      <c r="A2782" t="str">
        <f>_xlfn.XLOOKUP(C2782, 'Códigos DANE Municipios'!$B$2:$B$1123, 'Códigos DANE Municipios'!$A$2:$A$1123, "No encontrado")</f>
        <v>08758</v>
      </c>
      <c r="B2782" t="str">
        <f>IFERROR(VLOOKUP(D2782,APOYO!K:L,2,FALSE),A2782)</f>
        <v>08758</v>
      </c>
      <c r="C2782" t="s">
        <v>299</v>
      </c>
      <c r="D2782" t="str">
        <f>IFERROR(VLOOKUP(C2782,APOYO!J:K,2,FALSE),C2782)</f>
        <v>SOLEDAD</v>
      </c>
      <c r="E2782">
        <v>2016</v>
      </c>
      <c r="H2782">
        <v>209</v>
      </c>
    </row>
    <row r="2783" spans="1:8" hidden="1" x14ac:dyDescent="0.25">
      <c r="A2783" t="str">
        <f>_xlfn.XLOOKUP(C2783, 'Códigos DANE Municipios'!$B$2:$B$1123, 'Códigos DANE Municipios'!$A$2:$A$1123, "No encontrado")</f>
        <v>15761</v>
      </c>
      <c r="B2783" t="str">
        <f>IFERROR(VLOOKUP(D2783,APOYO!K:L,2,FALSE),A2783)</f>
        <v>15761</v>
      </c>
      <c r="C2783" t="s">
        <v>594</v>
      </c>
      <c r="D2783" t="str">
        <f>IFERROR(VLOOKUP(C2783,APOYO!J:K,2,FALSE),C2783)</f>
        <v>SOMONDOCO</v>
      </c>
      <c r="E2783">
        <v>2016</v>
      </c>
      <c r="H2783">
        <v>2</v>
      </c>
    </row>
    <row r="2784" spans="1:8" hidden="1" x14ac:dyDescent="0.25">
      <c r="A2784" t="str">
        <f>_xlfn.XLOOKUP(C2784, 'Códigos DANE Municipios'!$B$2:$B$1123, 'Códigos DANE Municipios'!$A$2:$A$1123, "No encontrado")</f>
        <v>No encontrado</v>
      </c>
      <c r="B2784" t="str">
        <f>IFERROR(VLOOKUP(D2784,APOYO!K:L,2,FALSE),A2784)</f>
        <v>No encontrado</v>
      </c>
      <c r="C2784" t="s">
        <v>2377</v>
      </c>
      <c r="D2784" t="str">
        <f>IFERROR(VLOOKUP(C2784,APOYO!J:K,2,FALSE),C2784)</f>
        <v>SONSON</v>
      </c>
      <c r="E2784">
        <v>2016</v>
      </c>
      <c r="H2784">
        <v>7</v>
      </c>
    </row>
    <row r="2785" spans="1:8" hidden="1" x14ac:dyDescent="0.25">
      <c r="A2785" t="str">
        <f>_xlfn.XLOOKUP(C2785, 'Códigos DANE Municipios'!$B$2:$B$1123, 'Códigos DANE Municipios'!$A$2:$A$1123, "No encontrado")</f>
        <v>No encontrado</v>
      </c>
      <c r="B2785" t="str">
        <f>IFERROR(VLOOKUP(D2785,APOYO!K:L,2,FALSE),A2785)</f>
        <v>No encontrado</v>
      </c>
      <c r="C2785" t="s">
        <v>2378</v>
      </c>
      <c r="D2785" t="str">
        <f>IFERROR(VLOOKUP(C2785,APOYO!J:K,2,FALSE),C2785)</f>
        <v>SOPETRAN</v>
      </c>
      <c r="E2785">
        <v>2016</v>
      </c>
      <c r="H2785">
        <v>1</v>
      </c>
    </row>
    <row r="2786" spans="1:8" hidden="1" x14ac:dyDescent="0.25">
      <c r="A2786" t="str">
        <f>_xlfn.XLOOKUP(C2786, 'Códigos DANE Municipios'!$B$2:$B$1123, 'Códigos DANE Municipios'!$A$2:$A$1123, "No encontrado")</f>
        <v>No encontrado</v>
      </c>
      <c r="B2786" t="str">
        <f>IFERROR(VLOOKUP(D2786,APOYO!K:L,2,FALSE),A2786)</f>
        <v>No encontrado</v>
      </c>
      <c r="C2786" t="s">
        <v>2379</v>
      </c>
      <c r="D2786" t="str">
        <f>IFERROR(VLOOKUP(C2786,APOYO!J:K,2,FALSE),C2786)</f>
        <v>SOPO</v>
      </c>
      <c r="E2786">
        <v>2016</v>
      </c>
      <c r="H2786">
        <v>204</v>
      </c>
    </row>
    <row r="2787" spans="1:8" hidden="1" x14ac:dyDescent="0.25">
      <c r="A2787" t="str">
        <f>_xlfn.XLOOKUP(C2787, 'Códigos DANE Municipios'!$B$2:$B$1123, 'Códigos DANE Municipios'!$A$2:$A$1123, "No encontrado")</f>
        <v>15762</v>
      </c>
      <c r="B2787" t="str">
        <f>IFERROR(VLOOKUP(D2787,APOYO!K:L,2,FALSE),A2787)</f>
        <v>15762</v>
      </c>
      <c r="C2787" t="s">
        <v>596</v>
      </c>
      <c r="D2787" t="str">
        <f>IFERROR(VLOOKUP(C2787,APOYO!J:K,2,FALSE),C2787)</f>
        <v>SORA</v>
      </c>
      <c r="E2787">
        <v>2016</v>
      </c>
      <c r="H2787" t="s">
        <v>2189</v>
      </c>
    </row>
    <row r="2788" spans="1:8" hidden="1" x14ac:dyDescent="0.25">
      <c r="A2788" t="str">
        <f>_xlfn.XLOOKUP(C2788, 'Códigos DANE Municipios'!$B$2:$B$1123, 'Códigos DANE Municipios'!$A$2:$A$1123, "No encontrado")</f>
        <v>No encontrado</v>
      </c>
      <c r="B2788" t="str">
        <f>IFERROR(VLOOKUP(D2788,APOYO!K:L,2,FALSE),A2788)</f>
        <v>No encontrado</v>
      </c>
      <c r="C2788" t="s">
        <v>2380</v>
      </c>
      <c r="D2788" t="str">
        <f>IFERROR(VLOOKUP(C2788,APOYO!J:K,2,FALSE),C2788)</f>
        <v>SOTAQUIRA</v>
      </c>
      <c r="E2788">
        <v>2016</v>
      </c>
      <c r="H2788" t="s">
        <v>2189</v>
      </c>
    </row>
    <row r="2789" spans="1:8" hidden="1" x14ac:dyDescent="0.25">
      <c r="A2789" t="str">
        <f>_xlfn.XLOOKUP(C2789, 'Códigos DANE Municipios'!$B$2:$B$1123, 'Códigos DANE Municipios'!$A$2:$A$1123, "No encontrado")</f>
        <v>No encontrado</v>
      </c>
      <c r="B2789" t="str">
        <f>IFERROR(VLOOKUP(D2789,APOYO!K:L,2,FALSE),A2789)</f>
        <v>No encontrado</v>
      </c>
      <c r="C2789" t="s">
        <v>2381</v>
      </c>
      <c r="D2789" t="str">
        <f>IFERROR(VLOOKUP(C2789,APOYO!J:K,2,FALSE),C2789)</f>
        <v>STA ROSA DE OSOS</v>
      </c>
      <c r="E2789">
        <v>2016</v>
      </c>
      <c r="H2789">
        <v>173</v>
      </c>
    </row>
    <row r="2790" spans="1:8" hidden="1" x14ac:dyDescent="0.25">
      <c r="A2790" t="str">
        <f>_xlfn.XLOOKUP(C2790, 'Códigos DANE Municipios'!$B$2:$B$1123, 'Códigos DANE Municipios'!$A$2:$A$1123, "No encontrado")</f>
        <v>68770</v>
      </c>
      <c r="B2790" t="str">
        <f>IFERROR(VLOOKUP(D2790,APOYO!K:L,2,FALSE),A2790)</f>
        <v>68770</v>
      </c>
      <c r="C2790" t="s">
        <v>1800</v>
      </c>
      <c r="D2790" t="str">
        <f>IFERROR(VLOOKUP(C2790,APOYO!J:K,2,FALSE),C2790)</f>
        <v>SUAITA</v>
      </c>
      <c r="E2790">
        <v>2016</v>
      </c>
      <c r="H2790">
        <v>2</v>
      </c>
    </row>
    <row r="2791" spans="1:8" hidden="1" x14ac:dyDescent="0.25">
      <c r="A2791" t="str">
        <f>_xlfn.XLOOKUP(C2791, 'Códigos DANE Municipios'!$B$2:$B$1123, 'Códigos DANE Municipios'!$A$2:$A$1123, "No encontrado")</f>
        <v>08770</v>
      </c>
      <c r="B2791" t="str">
        <f>IFERROR(VLOOKUP(D2791,APOYO!K:L,2,FALSE),A2791)</f>
        <v>08770</v>
      </c>
      <c r="C2791" t="s">
        <v>301</v>
      </c>
      <c r="D2791" t="str">
        <f>IFERROR(VLOOKUP(C2791,APOYO!J:K,2,FALSE),C2791)</f>
        <v>SUAN</v>
      </c>
      <c r="E2791">
        <v>2016</v>
      </c>
      <c r="H2791">
        <v>2</v>
      </c>
    </row>
    <row r="2792" spans="1:8" hidden="1" x14ac:dyDescent="0.25">
      <c r="A2792" t="str">
        <f>_xlfn.XLOOKUP(C2792, 'Códigos DANE Municipios'!$B$2:$B$1123, 'Códigos DANE Municipios'!$A$2:$A$1123, "No encontrado")</f>
        <v>41770</v>
      </c>
      <c r="B2792" t="str">
        <f>IFERROR(VLOOKUP(D2792,APOYO!K:L,2,FALSE),A2792)</f>
        <v>41770</v>
      </c>
      <c r="C2792" t="s">
        <v>1256</v>
      </c>
      <c r="D2792" t="str">
        <f>IFERROR(VLOOKUP(C2792,APOYO!J:K,2,FALSE),C2792)</f>
        <v>SUAZA</v>
      </c>
      <c r="E2792">
        <v>2016</v>
      </c>
      <c r="H2792" t="s">
        <v>2189</v>
      </c>
    </row>
    <row r="2793" spans="1:8" hidden="1" x14ac:dyDescent="0.25">
      <c r="A2793" t="str">
        <f>_xlfn.XLOOKUP(C2793, 'Códigos DANE Municipios'!$B$2:$B$1123, 'Códigos DANE Municipios'!$A$2:$A$1123, "No encontrado")</f>
        <v>25769</v>
      </c>
      <c r="B2793" t="str">
        <f>IFERROR(VLOOKUP(D2793,APOYO!K:L,2,FALSE),A2793)</f>
        <v>25769</v>
      </c>
      <c r="C2793" t="s">
        <v>1086</v>
      </c>
      <c r="D2793" t="str">
        <f>IFERROR(VLOOKUP(C2793,APOYO!J:K,2,FALSE),C2793)</f>
        <v>SUBACHOQUE</v>
      </c>
      <c r="E2793">
        <v>2016</v>
      </c>
      <c r="H2793">
        <v>54</v>
      </c>
    </row>
    <row r="2794" spans="1:8" hidden="1" x14ac:dyDescent="0.25">
      <c r="A2794" t="str">
        <f>_xlfn.XLOOKUP(C2794, 'Códigos DANE Municipios'!$B$2:$B$1123, 'Códigos DANE Municipios'!$A$2:$A$1123, "No encontrado")</f>
        <v>19785</v>
      </c>
      <c r="B2794" t="str">
        <f>IFERROR(VLOOKUP(D2794,APOYO!K:L,2,FALSE),A2794)</f>
        <v>19785</v>
      </c>
      <c r="C2794" t="s">
        <v>796</v>
      </c>
      <c r="D2794" t="str">
        <f>IFERROR(VLOOKUP(C2794,APOYO!J:K,2,FALSE),C2794)</f>
        <v>SUCRE</v>
      </c>
      <c r="E2794">
        <v>2016</v>
      </c>
      <c r="H2794">
        <v>2</v>
      </c>
    </row>
    <row r="2795" spans="1:8" hidden="1" x14ac:dyDescent="0.25">
      <c r="A2795" t="str">
        <f>_xlfn.XLOOKUP(C2795, 'Códigos DANE Municipios'!$B$2:$B$1123, 'Códigos DANE Municipios'!$A$2:$A$1123, "No encontrado")</f>
        <v>25772</v>
      </c>
      <c r="B2795" t="str">
        <f>IFERROR(VLOOKUP(D2795,APOYO!K:L,2,FALSE),A2795)</f>
        <v>25772</v>
      </c>
      <c r="C2795" t="s">
        <v>1088</v>
      </c>
      <c r="D2795" t="str">
        <f>IFERROR(VLOOKUP(C2795,APOYO!J:K,2,FALSE),C2795)</f>
        <v>SUESCA</v>
      </c>
      <c r="E2795">
        <v>2016</v>
      </c>
      <c r="H2795">
        <v>29</v>
      </c>
    </row>
    <row r="2796" spans="1:8" hidden="1" x14ac:dyDescent="0.25">
      <c r="A2796" t="str">
        <f>_xlfn.XLOOKUP(C2796, 'Códigos DANE Municipios'!$B$2:$B$1123, 'Códigos DANE Municipios'!$A$2:$A$1123, "No encontrado")</f>
        <v>No encontrado</v>
      </c>
      <c r="B2796" t="str">
        <f>IFERROR(VLOOKUP(D2796,APOYO!K:L,2,FALSE),A2796)</f>
        <v>No encontrado</v>
      </c>
      <c r="C2796" t="s">
        <v>2382</v>
      </c>
      <c r="D2796" t="str">
        <f>IFERROR(VLOOKUP(C2796,APOYO!J:K,2,FALSE),C2796)</f>
        <v>SUPIA</v>
      </c>
      <c r="E2796">
        <v>2016</v>
      </c>
      <c r="H2796">
        <v>37</v>
      </c>
    </row>
    <row r="2797" spans="1:8" hidden="1" x14ac:dyDescent="0.25">
      <c r="A2797" t="str">
        <f>_xlfn.XLOOKUP(C2797, 'Códigos DANE Municipios'!$B$2:$B$1123, 'Códigos DANE Municipios'!$A$2:$A$1123, "No encontrado")</f>
        <v>25779</v>
      </c>
      <c r="B2797" t="str">
        <f>IFERROR(VLOOKUP(D2797,APOYO!K:L,2,FALSE),A2797)</f>
        <v>25779</v>
      </c>
      <c r="C2797" t="s">
        <v>1092</v>
      </c>
      <c r="D2797" t="str">
        <f>IFERROR(VLOOKUP(C2797,APOYO!J:K,2,FALSE),C2797)</f>
        <v>SUSA</v>
      </c>
      <c r="E2797">
        <v>2016</v>
      </c>
      <c r="H2797" t="s">
        <v>2189</v>
      </c>
    </row>
    <row r="2798" spans="1:8" hidden="1" x14ac:dyDescent="0.25">
      <c r="A2798" t="str">
        <f>_xlfn.XLOOKUP(C2798, 'Códigos DANE Municipios'!$B$2:$B$1123, 'Códigos DANE Municipios'!$A$2:$A$1123, "No encontrado")</f>
        <v>No encontrado</v>
      </c>
      <c r="B2798" t="str">
        <f>IFERROR(VLOOKUP(D2798,APOYO!K:L,2,FALSE),A2798)</f>
        <v>No encontrado</v>
      </c>
      <c r="C2798" t="s">
        <v>2383</v>
      </c>
      <c r="D2798" t="str">
        <f>IFERROR(VLOOKUP(C2798,APOYO!J:K,2,FALSE),C2798)</f>
        <v>SUTAMARCHAN</v>
      </c>
      <c r="E2798">
        <v>2016</v>
      </c>
      <c r="H2798">
        <v>5</v>
      </c>
    </row>
    <row r="2799" spans="1:8" hidden="1" x14ac:dyDescent="0.25">
      <c r="A2799" t="str">
        <f>_xlfn.XLOOKUP(C2799, 'Códigos DANE Municipios'!$B$2:$B$1123, 'Códigos DANE Municipios'!$A$2:$A$1123, "No encontrado")</f>
        <v>15778</v>
      </c>
      <c r="B2799" t="str">
        <f>IFERROR(VLOOKUP(D2799,APOYO!K:L,2,FALSE),A2799)</f>
        <v>15778</v>
      </c>
      <c r="C2799" t="s">
        <v>606</v>
      </c>
      <c r="D2799" t="str">
        <f>IFERROR(VLOOKUP(C2799,APOYO!J:K,2,FALSE),C2799)</f>
        <v>SUTATENZA</v>
      </c>
      <c r="E2799">
        <v>2016</v>
      </c>
      <c r="H2799">
        <v>8</v>
      </c>
    </row>
    <row r="2800" spans="1:8" hidden="1" x14ac:dyDescent="0.25">
      <c r="A2800" t="str">
        <f>_xlfn.XLOOKUP(C2800, 'Códigos DANE Municipios'!$B$2:$B$1123, 'Códigos DANE Municipios'!$A$2:$A$1123, "No encontrado")</f>
        <v>25785</v>
      </c>
      <c r="B2800" t="str">
        <f>IFERROR(VLOOKUP(D2800,APOYO!K:L,2,FALSE),A2800)</f>
        <v>25785</v>
      </c>
      <c r="C2800" t="s">
        <v>1096</v>
      </c>
      <c r="D2800" t="str">
        <f>IFERROR(VLOOKUP(C2800,APOYO!J:K,2,FALSE),C2800)</f>
        <v>TABIO</v>
      </c>
      <c r="E2800">
        <v>2016</v>
      </c>
      <c r="H2800">
        <v>187</v>
      </c>
    </row>
    <row r="2801" spans="1:8" hidden="1" x14ac:dyDescent="0.25">
      <c r="A2801" t="str">
        <f>_xlfn.XLOOKUP(C2801, 'Códigos DANE Municipios'!$B$2:$B$1123, 'Códigos DANE Municipios'!$A$2:$A$1123, "No encontrado")</f>
        <v>No encontrado</v>
      </c>
      <c r="B2801" t="str">
        <f>IFERROR(VLOOKUP(D2801,APOYO!K:L,2,FALSE),A2801)</f>
        <v>No encontrado</v>
      </c>
      <c r="C2801" t="s">
        <v>2384</v>
      </c>
      <c r="D2801" t="str">
        <f>IFERROR(VLOOKUP(C2801,APOYO!J:K,2,FALSE),C2801)</f>
        <v>TAMARA</v>
      </c>
      <c r="E2801">
        <v>2016</v>
      </c>
      <c r="H2801" t="s">
        <v>2189</v>
      </c>
    </row>
    <row r="2802" spans="1:8" hidden="1" x14ac:dyDescent="0.25">
      <c r="A2802" t="str">
        <f>_xlfn.XLOOKUP(C2802, 'Códigos DANE Municipios'!$B$2:$B$1123, 'Códigos DANE Municipios'!$A$2:$A$1123, "No encontrado")</f>
        <v>81794</v>
      </c>
      <c r="B2802" t="str">
        <f>IFERROR(VLOOKUP(D2802,APOYO!K:L,2,FALSE),A2802)</f>
        <v>81794</v>
      </c>
      <c r="C2802" t="s">
        <v>2046</v>
      </c>
      <c r="D2802" t="str">
        <f>IFERROR(VLOOKUP(C2802,APOYO!J:K,2,FALSE),C2802)</f>
        <v>TAME</v>
      </c>
      <c r="E2802">
        <v>2016</v>
      </c>
      <c r="F2802">
        <v>1238</v>
      </c>
      <c r="H2802">
        <v>25</v>
      </c>
    </row>
    <row r="2803" spans="1:8" hidden="1" x14ac:dyDescent="0.25">
      <c r="A2803" t="str">
        <f>_xlfn.XLOOKUP(C2803, 'Códigos DANE Municipios'!$B$2:$B$1123, 'Códigos DANE Municipios'!$A$2:$A$1123, "No encontrado")</f>
        <v>52786</v>
      </c>
      <c r="B2803" t="str">
        <f>IFERROR(VLOOKUP(D2803,APOYO!K:L,2,FALSE),A2803)</f>
        <v>52786</v>
      </c>
      <c r="C2803" t="s">
        <v>1519</v>
      </c>
      <c r="D2803" t="str">
        <f>IFERROR(VLOOKUP(C2803,APOYO!J:K,2,FALSE),C2803)</f>
        <v>TAMINANGO</v>
      </c>
      <c r="E2803">
        <v>2016</v>
      </c>
      <c r="H2803">
        <v>6</v>
      </c>
    </row>
    <row r="2804" spans="1:8" hidden="1" x14ac:dyDescent="0.25">
      <c r="A2804" t="str">
        <f>_xlfn.XLOOKUP(C2804, 'Códigos DANE Municipios'!$B$2:$B$1123, 'Códigos DANE Municipios'!$A$2:$A$1123, "No encontrado")</f>
        <v>41791</v>
      </c>
      <c r="B2804" t="str">
        <f>IFERROR(VLOOKUP(D2804,APOYO!K:L,2,FALSE),A2804)</f>
        <v>41791</v>
      </c>
      <c r="C2804" t="s">
        <v>1258</v>
      </c>
      <c r="D2804" t="str">
        <f>IFERROR(VLOOKUP(C2804,APOYO!J:K,2,FALSE),C2804)</f>
        <v>TARQUI</v>
      </c>
      <c r="E2804">
        <v>2016</v>
      </c>
      <c r="H2804">
        <v>8</v>
      </c>
    </row>
    <row r="2805" spans="1:8" hidden="1" x14ac:dyDescent="0.25">
      <c r="A2805" t="str">
        <f>_xlfn.XLOOKUP(C2805, 'Códigos DANE Municipios'!$B$2:$B$1123, 'Códigos DANE Municipios'!$A$2:$A$1123, "No encontrado")</f>
        <v>85410</v>
      </c>
      <c r="B2805" t="str">
        <f>IFERROR(VLOOKUP(D2805,APOYO!K:L,2,FALSE),A2805)</f>
        <v>85410</v>
      </c>
      <c r="C2805" t="s">
        <v>2079</v>
      </c>
      <c r="D2805" t="str">
        <f>IFERROR(VLOOKUP(C2805,APOYO!J:K,2,FALSE),C2805)</f>
        <v>TAURAMENA</v>
      </c>
      <c r="E2805">
        <v>2016</v>
      </c>
      <c r="H2805">
        <v>10</v>
      </c>
    </row>
    <row r="2806" spans="1:8" hidden="1" x14ac:dyDescent="0.25">
      <c r="A2806" t="str">
        <f>_xlfn.XLOOKUP(C2806, 'Códigos DANE Municipios'!$B$2:$B$1123, 'Códigos DANE Municipios'!$A$2:$A$1123, "No encontrado")</f>
        <v>41799</v>
      </c>
      <c r="B2806" t="str">
        <f>IFERROR(VLOOKUP(D2806,APOYO!K:L,2,FALSE),A2806)</f>
        <v>41799</v>
      </c>
      <c r="C2806" t="s">
        <v>1262</v>
      </c>
      <c r="D2806" t="str">
        <f>IFERROR(VLOOKUP(C2806,APOYO!J:K,2,FALSE),C2806)</f>
        <v>TELLO</v>
      </c>
      <c r="E2806">
        <v>2016</v>
      </c>
      <c r="H2806">
        <v>4</v>
      </c>
    </row>
    <row r="2807" spans="1:8" hidden="1" x14ac:dyDescent="0.25">
      <c r="A2807" t="str">
        <f>_xlfn.XLOOKUP(C2807, 'Códigos DANE Municipios'!$B$2:$B$1123, 'Códigos DANE Municipios'!$A$2:$A$1123, "No encontrado")</f>
        <v>25797</v>
      </c>
      <c r="B2807" t="str">
        <f>IFERROR(VLOOKUP(D2807,APOYO!K:L,2,FALSE),A2807)</f>
        <v>25797</v>
      </c>
      <c r="C2807" t="s">
        <v>1100</v>
      </c>
      <c r="D2807" t="str">
        <f>IFERROR(VLOOKUP(C2807,APOYO!J:K,2,FALSE),C2807)</f>
        <v>TENA</v>
      </c>
      <c r="E2807">
        <v>2016</v>
      </c>
      <c r="H2807">
        <v>7</v>
      </c>
    </row>
    <row r="2808" spans="1:8" hidden="1" x14ac:dyDescent="0.25">
      <c r="A2808" t="str">
        <f>_xlfn.XLOOKUP(C2808, 'Códigos DANE Municipios'!$B$2:$B$1123, 'Códigos DANE Municipios'!$A$2:$A$1123, "No encontrado")</f>
        <v>25799</v>
      </c>
      <c r="B2808" t="str">
        <f>IFERROR(VLOOKUP(D2808,APOYO!K:L,2,FALSE),A2808)</f>
        <v>25799</v>
      </c>
      <c r="C2808" t="s">
        <v>1102</v>
      </c>
      <c r="D2808" t="str">
        <f>IFERROR(VLOOKUP(C2808,APOYO!J:K,2,FALSE),C2808)</f>
        <v>TENJO</v>
      </c>
      <c r="E2808">
        <v>2016</v>
      </c>
      <c r="H2808">
        <v>145</v>
      </c>
    </row>
    <row r="2809" spans="1:8" hidden="1" x14ac:dyDescent="0.25">
      <c r="A2809" t="str">
        <f>_xlfn.XLOOKUP(C2809, 'Códigos DANE Municipios'!$B$2:$B$1123, 'Códigos DANE Municipios'!$A$2:$A$1123, "No encontrado")</f>
        <v>15798</v>
      </c>
      <c r="B2809" t="str">
        <f>IFERROR(VLOOKUP(D2809,APOYO!K:L,2,FALSE),A2809)</f>
        <v>15798</v>
      </c>
      <c r="C2809" t="s">
        <v>610</v>
      </c>
      <c r="D2809" t="str">
        <f>IFERROR(VLOOKUP(C2809,APOYO!J:K,2,FALSE),C2809)</f>
        <v>TENZA</v>
      </c>
      <c r="E2809">
        <v>2016</v>
      </c>
      <c r="H2809">
        <v>2</v>
      </c>
    </row>
    <row r="2810" spans="1:8" hidden="1" x14ac:dyDescent="0.25">
      <c r="A2810" t="str">
        <f>_xlfn.XLOOKUP(C2810, 'Códigos DANE Municipios'!$B$2:$B$1123, 'Códigos DANE Municipios'!$A$2:$A$1123, "No encontrado")</f>
        <v>41801</v>
      </c>
      <c r="B2810" t="str">
        <f>IFERROR(VLOOKUP(D2810,APOYO!K:L,2,FALSE),A2810)</f>
        <v>41801</v>
      </c>
      <c r="C2810" t="s">
        <v>1264</v>
      </c>
      <c r="D2810" t="str">
        <f>IFERROR(VLOOKUP(C2810,APOYO!J:K,2,FALSE),C2810)</f>
        <v>TERUEL</v>
      </c>
      <c r="E2810">
        <v>2016</v>
      </c>
      <c r="H2810">
        <v>5</v>
      </c>
    </row>
    <row r="2811" spans="1:8" hidden="1" x14ac:dyDescent="0.25">
      <c r="A2811" t="str">
        <f>_xlfn.XLOOKUP(C2811, 'Códigos DANE Municipios'!$B$2:$B$1123, 'Códigos DANE Municipios'!$A$2:$A$1123, "No encontrado")</f>
        <v>41797</v>
      </c>
      <c r="B2811" t="str">
        <f>IFERROR(VLOOKUP(D2811,APOYO!K:L,2,FALSE),A2811)</f>
        <v>41797</v>
      </c>
      <c r="C2811" t="s">
        <v>1260</v>
      </c>
      <c r="D2811" t="str">
        <f>IFERROR(VLOOKUP(C2811,APOYO!J:K,2,FALSE),C2811)</f>
        <v>TESALIA</v>
      </c>
      <c r="E2811">
        <v>2016</v>
      </c>
      <c r="H2811">
        <v>4</v>
      </c>
    </row>
    <row r="2812" spans="1:8" hidden="1" x14ac:dyDescent="0.25">
      <c r="A2812" t="str">
        <f>_xlfn.XLOOKUP(C2812, 'Códigos DANE Municipios'!$B$2:$B$1123, 'Códigos DANE Municipios'!$A$2:$A$1123, "No encontrado")</f>
        <v>25805</v>
      </c>
      <c r="B2812" t="str">
        <f>IFERROR(VLOOKUP(D2812,APOYO!K:L,2,FALSE),A2812)</f>
        <v>25805</v>
      </c>
      <c r="C2812" t="s">
        <v>1104</v>
      </c>
      <c r="D2812" t="str">
        <f>IFERROR(VLOOKUP(C2812,APOYO!J:K,2,FALSE),C2812)</f>
        <v>TIBACUY</v>
      </c>
      <c r="E2812">
        <v>2016</v>
      </c>
      <c r="H2812">
        <v>4</v>
      </c>
    </row>
    <row r="2813" spans="1:8" hidden="1" x14ac:dyDescent="0.25">
      <c r="A2813" t="str">
        <f>_xlfn.XLOOKUP(C2813, 'Códigos DANE Municipios'!$B$2:$B$1123, 'Códigos DANE Municipios'!$A$2:$A$1123, "No encontrado")</f>
        <v>No encontrado</v>
      </c>
      <c r="B2813" t="str">
        <f>IFERROR(VLOOKUP(D2813,APOYO!K:L,2,FALSE),A2813)</f>
        <v>No encontrado</v>
      </c>
      <c r="C2813" t="s">
        <v>2385</v>
      </c>
      <c r="D2813" t="str">
        <f>IFERROR(VLOOKUP(C2813,APOYO!J:K,2,FALSE),C2813)</f>
        <v>TIBANA</v>
      </c>
      <c r="E2813">
        <v>2016</v>
      </c>
      <c r="H2813">
        <v>1</v>
      </c>
    </row>
    <row r="2814" spans="1:8" hidden="1" x14ac:dyDescent="0.25">
      <c r="A2814" t="str">
        <f>_xlfn.XLOOKUP(C2814, 'Códigos DANE Municipios'!$B$2:$B$1123, 'Códigos DANE Municipios'!$A$2:$A$1123, "No encontrado")</f>
        <v>15806</v>
      </c>
      <c r="B2814" t="str">
        <f>IFERROR(VLOOKUP(D2814,APOYO!K:L,2,FALSE),A2814)</f>
        <v>15806</v>
      </c>
      <c r="C2814" t="s">
        <v>614</v>
      </c>
      <c r="D2814" t="str">
        <f>IFERROR(VLOOKUP(C2814,APOYO!J:K,2,FALSE),C2814)</f>
        <v>TIBASOSA</v>
      </c>
      <c r="E2814">
        <v>2016</v>
      </c>
      <c r="H2814">
        <v>21</v>
      </c>
    </row>
    <row r="2815" spans="1:8" hidden="1" x14ac:dyDescent="0.25">
      <c r="A2815" t="str">
        <f>_xlfn.XLOOKUP(C2815, 'Códigos DANE Municipios'!$B$2:$B$1123, 'Códigos DANE Municipios'!$A$2:$A$1123, "No encontrado")</f>
        <v>25807</v>
      </c>
      <c r="B2815" t="str">
        <f>IFERROR(VLOOKUP(D2815,APOYO!K:L,2,FALSE),A2815)</f>
        <v>25807</v>
      </c>
      <c r="C2815" t="s">
        <v>1106</v>
      </c>
      <c r="D2815" t="str">
        <f>IFERROR(VLOOKUP(C2815,APOYO!J:K,2,FALSE),C2815)</f>
        <v>TIBIRITA</v>
      </c>
      <c r="E2815">
        <v>2016</v>
      </c>
      <c r="H2815" t="s">
        <v>2189</v>
      </c>
    </row>
    <row r="2816" spans="1:8" hidden="1" x14ac:dyDescent="0.25">
      <c r="A2816" t="str">
        <f>_xlfn.XLOOKUP(C2816, 'Códigos DANE Municipios'!$B$2:$B$1123, 'Códigos DANE Municipios'!$A$2:$A$1123, "No encontrado")</f>
        <v>No encontrado</v>
      </c>
      <c r="B2816" t="str">
        <f>IFERROR(VLOOKUP(D2816,APOYO!K:L,2,FALSE),A2816)</f>
        <v>No encontrado</v>
      </c>
      <c r="C2816" t="s">
        <v>2386</v>
      </c>
      <c r="D2816" t="str">
        <f>IFERROR(VLOOKUP(C2816,APOYO!J:K,2,FALSE),C2816)</f>
        <v>TIBU</v>
      </c>
      <c r="E2816">
        <v>2016</v>
      </c>
      <c r="F2816">
        <v>109</v>
      </c>
      <c r="H2816">
        <v>5</v>
      </c>
    </row>
    <row r="2817" spans="1:8" hidden="1" x14ac:dyDescent="0.25">
      <c r="A2817" t="str">
        <f>_xlfn.XLOOKUP(C2817, 'Códigos DANE Municipios'!$B$2:$B$1123, 'Códigos DANE Municipios'!$A$2:$A$1123, "No encontrado")</f>
        <v>23807</v>
      </c>
      <c r="B2817" t="str">
        <f>IFERROR(VLOOKUP(D2817,APOYO!K:L,2,FALSE),A2817)</f>
        <v>23807</v>
      </c>
      <c r="C2817" t="s">
        <v>910</v>
      </c>
      <c r="D2817" t="str">
        <f>IFERROR(VLOOKUP(C2817,APOYO!J:K,2,FALSE),C2817)</f>
        <v>TIERRALTA</v>
      </c>
      <c r="E2817">
        <v>2016</v>
      </c>
      <c r="H2817">
        <v>9</v>
      </c>
    </row>
    <row r="2818" spans="1:8" hidden="1" x14ac:dyDescent="0.25">
      <c r="A2818" t="str">
        <f>_xlfn.XLOOKUP(C2818, 'Códigos DANE Municipios'!$B$2:$B$1123, 'Códigos DANE Municipios'!$A$2:$A$1123, "No encontrado")</f>
        <v>No encontrado</v>
      </c>
      <c r="B2818" t="str">
        <f>IFERROR(VLOOKUP(D2818,APOYO!K:L,2,FALSE),A2818)</f>
        <v>No encontrado</v>
      </c>
      <c r="C2818" t="s">
        <v>2387</v>
      </c>
      <c r="D2818" t="str">
        <f>IFERROR(VLOOKUP(C2818,APOYO!J:K,2,FALSE),C2818)</f>
        <v>TIMANA</v>
      </c>
      <c r="E2818">
        <v>2016</v>
      </c>
      <c r="H2818">
        <v>17</v>
      </c>
    </row>
    <row r="2819" spans="1:8" hidden="1" x14ac:dyDescent="0.25">
      <c r="A2819" t="str">
        <f>_xlfn.XLOOKUP(C2819, 'Códigos DANE Municipios'!$B$2:$B$1123, 'Códigos DANE Municipios'!$A$2:$A$1123, "No encontrado")</f>
        <v>No encontrado</v>
      </c>
      <c r="B2819" t="str">
        <f>IFERROR(VLOOKUP(D2819,APOYO!K:L,2,FALSE),A2819)</f>
        <v>No encontrado</v>
      </c>
      <c r="C2819" t="s">
        <v>2388</v>
      </c>
      <c r="D2819" t="str">
        <f>IFERROR(VLOOKUP(C2819,APOYO!J:K,2,FALSE),C2819)</f>
        <v>TIMBIO</v>
      </c>
      <c r="E2819">
        <v>2016</v>
      </c>
      <c r="H2819">
        <v>24</v>
      </c>
    </row>
    <row r="2820" spans="1:8" hidden="1" x14ac:dyDescent="0.25">
      <c r="A2820" t="str">
        <f>_xlfn.XLOOKUP(C2820, 'Códigos DANE Municipios'!$B$2:$B$1123, 'Códigos DANE Municipios'!$A$2:$A$1123, "No encontrado")</f>
        <v>No encontrado</v>
      </c>
      <c r="B2820" t="str">
        <f>IFERROR(VLOOKUP(D2820,APOYO!K:L,2,FALSE),A2820)</f>
        <v>No encontrado</v>
      </c>
      <c r="C2820" t="s">
        <v>2389</v>
      </c>
      <c r="D2820" t="str">
        <f>IFERROR(VLOOKUP(C2820,APOYO!J:K,2,FALSE),C2820)</f>
        <v>TIMBIQUI</v>
      </c>
      <c r="E2820">
        <v>2016</v>
      </c>
      <c r="H2820">
        <v>7</v>
      </c>
    </row>
    <row r="2821" spans="1:8" hidden="1" x14ac:dyDescent="0.25">
      <c r="A2821" t="str">
        <f>_xlfn.XLOOKUP(C2821, 'Códigos DANE Municipios'!$B$2:$B$1123, 'Códigos DANE Municipios'!$A$2:$A$1123, "No encontrado")</f>
        <v>No encontrado</v>
      </c>
      <c r="B2821" t="str">
        <f>IFERROR(VLOOKUP(D2821,APOYO!K:L,2,FALSE),A2821)</f>
        <v>No encontrado</v>
      </c>
      <c r="C2821" t="s">
        <v>2390</v>
      </c>
      <c r="D2821" t="str">
        <f>IFERROR(VLOOKUP(C2821,APOYO!J:K,2,FALSE),C2821)</f>
        <v>TINJACA</v>
      </c>
      <c r="E2821">
        <v>2016</v>
      </c>
      <c r="H2821">
        <v>3</v>
      </c>
    </row>
    <row r="2822" spans="1:8" hidden="1" x14ac:dyDescent="0.25">
      <c r="A2822" t="str">
        <f>_xlfn.XLOOKUP(C2822, 'Códigos DANE Municipios'!$B$2:$B$1123, 'Códigos DANE Municipios'!$A$2:$A$1123, "No encontrado")</f>
        <v>No encontrado</v>
      </c>
      <c r="B2822" t="str">
        <f>IFERROR(VLOOKUP(D2822,APOYO!K:L,2,FALSE),A2822)</f>
        <v>No encontrado</v>
      </c>
      <c r="C2822" t="s">
        <v>2391</v>
      </c>
      <c r="D2822" t="str">
        <f>IFERROR(VLOOKUP(C2822,APOYO!J:K,2,FALSE),C2822)</f>
        <v>TITIRIBI</v>
      </c>
      <c r="E2822">
        <v>2016</v>
      </c>
      <c r="H2822">
        <v>2</v>
      </c>
    </row>
    <row r="2823" spans="1:8" hidden="1" x14ac:dyDescent="0.25">
      <c r="A2823" t="str">
        <f>_xlfn.XLOOKUP(C2823, 'Códigos DANE Municipios'!$B$2:$B$1123, 'Códigos DANE Municipios'!$A$2:$A$1123, "No encontrado")</f>
        <v>15814</v>
      </c>
      <c r="B2823" t="str">
        <f>IFERROR(VLOOKUP(D2823,APOYO!K:L,2,FALSE),A2823)</f>
        <v>15814</v>
      </c>
      <c r="C2823" t="s">
        <v>620</v>
      </c>
      <c r="D2823" t="str">
        <f>IFERROR(VLOOKUP(C2823,APOYO!J:K,2,FALSE),C2823)</f>
        <v>TOCA</v>
      </c>
      <c r="E2823">
        <v>2016</v>
      </c>
      <c r="H2823">
        <v>5</v>
      </c>
    </row>
    <row r="2824" spans="1:8" hidden="1" x14ac:dyDescent="0.25">
      <c r="A2824" t="str">
        <f>_xlfn.XLOOKUP(C2824, 'Códigos DANE Municipios'!$B$2:$B$1123, 'Códigos DANE Municipios'!$A$2:$A$1123, "No encontrado")</f>
        <v>25815</v>
      </c>
      <c r="B2824" t="str">
        <f>IFERROR(VLOOKUP(D2824,APOYO!K:L,2,FALSE),A2824)</f>
        <v>25815</v>
      </c>
      <c r="C2824" t="s">
        <v>1108</v>
      </c>
      <c r="D2824" t="str">
        <f>IFERROR(VLOOKUP(C2824,APOYO!J:K,2,FALSE),C2824)</f>
        <v>TOCAIMA</v>
      </c>
      <c r="E2824">
        <v>2016</v>
      </c>
      <c r="H2824">
        <v>15</v>
      </c>
    </row>
    <row r="2825" spans="1:8" hidden="1" x14ac:dyDescent="0.25">
      <c r="A2825" t="str">
        <f>_xlfn.XLOOKUP(C2825, 'Códigos DANE Municipios'!$B$2:$B$1123, 'Códigos DANE Municipios'!$A$2:$A$1123, "No encontrado")</f>
        <v>No encontrado</v>
      </c>
      <c r="B2825" t="str">
        <f>IFERROR(VLOOKUP(D2825,APOYO!K:L,2,FALSE),A2825)</f>
        <v>No encontrado</v>
      </c>
      <c r="C2825" t="s">
        <v>2392</v>
      </c>
      <c r="D2825" t="str">
        <f>IFERROR(VLOOKUP(C2825,APOYO!J:K,2,FALSE),C2825)</f>
        <v>TOCANCIPA</v>
      </c>
      <c r="E2825">
        <v>2016</v>
      </c>
      <c r="H2825">
        <v>128</v>
      </c>
    </row>
    <row r="2826" spans="1:8" hidden="1" x14ac:dyDescent="0.25">
      <c r="A2826" t="str">
        <f>_xlfn.XLOOKUP(C2826, 'Códigos DANE Municipios'!$B$2:$B$1123, 'Códigos DANE Municipios'!$A$2:$A$1123, "No encontrado")</f>
        <v>05819</v>
      </c>
      <c r="B2826" t="str">
        <f>IFERROR(VLOOKUP(D2826,APOYO!K:L,2,FALSE),A2826)</f>
        <v>05819</v>
      </c>
      <c r="C2826" t="s">
        <v>234</v>
      </c>
      <c r="D2826" t="str">
        <f>IFERROR(VLOOKUP(C2826,APOYO!J:K,2,FALSE),C2826)</f>
        <v>TOLEDO</v>
      </c>
      <c r="E2826">
        <v>2016</v>
      </c>
      <c r="H2826">
        <v>2</v>
      </c>
    </row>
    <row r="2827" spans="1:8" hidden="1" x14ac:dyDescent="0.25">
      <c r="A2827" t="str">
        <f>_xlfn.XLOOKUP(C2827, 'Códigos DANE Municipios'!$B$2:$B$1123, 'Códigos DANE Municipios'!$A$2:$A$1123, "No encontrado")</f>
        <v>No encontrado</v>
      </c>
      <c r="B2827" t="str">
        <f>IFERROR(VLOOKUP(D2827,APOYO!K:L,2,FALSE),A2827)</f>
        <v>No encontrado</v>
      </c>
      <c r="C2827" t="s">
        <v>2393</v>
      </c>
      <c r="D2827" t="str">
        <f>IFERROR(VLOOKUP(C2827,APOYO!J:K,2,FALSE),C2827)</f>
        <v>TOLU</v>
      </c>
      <c r="E2827">
        <v>2016</v>
      </c>
      <c r="H2827">
        <v>2</v>
      </c>
    </row>
    <row r="2828" spans="1:8" hidden="1" x14ac:dyDescent="0.25">
      <c r="A2828" t="str">
        <f>_xlfn.XLOOKUP(C2828, 'Códigos DANE Municipios'!$B$2:$B$1123, 'Códigos DANE Municipios'!$A$2:$A$1123, "No encontrado")</f>
        <v>No encontrado</v>
      </c>
      <c r="B2828" t="str">
        <f>IFERROR(VLOOKUP(D2828,APOYO!K:L,2,FALSE),A2828)</f>
        <v>No encontrado</v>
      </c>
      <c r="C2828" t="s">
        <v>2394</v>
      </c>
      <c r="D2828" t="str">
        <f>IFERROR(VLOOKUP(C2828,APOYO!J:K,2,FALSE),C2828)</f>
        <v>TOLUVIEJO</v>
      </c>
      <c r="E2828">
        <v>2016</v>
      </c>
      <c r="F2828">
        <v>7901</v>
      </c>
      <c r="H2828">
        <v>45</v>
      </c>
    </row>
    <row r="2829" spans="1:8" hidden="1" x14ac:dyDescent="0.25">
      <c r="A2829" t="str">
        <f>_xlfn.XLOOKUP(C2829, 'Códigos DANE Municipios'!$B$2:$B$1123, 'Códigos DANE Municipios'!$A$2:$A$1123, "No encontrado")</f>
        <v>68820</v>
      </c>
      <c r="B2829" t="str">
        <f>IFERROR(VLOOKUP(D2829,APOYO!K:L,2,FALSE),A2829)</f>
        <v>68820</v>
      </c>
      <c r="C2829" t="s">
        <v>1805</v>
      </c>
      <c r="D2829" t="str">
        <f>IFERROR(VLOOKUP(C2829,APOYO!J:K,2,FALSE),C2829)</f>
        <v>TONA</v>
      </c>
      <c r="E2829">
        <v>2016</v>
      </c>
      <c r="H2829" t="s">
        <v>2189</v>
      </c>
    </row>
    <row r="2830" spans="1:8" hidden="1" x14ac:dyDescent="0.25">
      <c r="A2830" t="str">
        <f>_xlfn.XLOOKUP(C2830, 'Códigos DANE Municipios'!$B$2:$B$1123, 'Códigos DANE Municipios'!$A$2:$A$1123, "No encontrado")</f>
        <v>76823</v>
      </c>
      <c r="B2830" t="str">
        <f>IFERROR(VLOOKUP(D2830,APOYO!K:L,2,FALSE),A2830)</f>
        <v>76823</v>
      </c>
      <c r="C2830" t="s">
        <v>2016</v>
      </c>
      <c r="D2830" t="str">
        <f>IFERROR(VLOOKUP(C2830,APOYO!J:K,2,FALSE),C2830)</f>
        <v>TORO</v>
      </c>
      <c r="E2830">
        <v>2016</v>
      </c>
      <c r="H2830">
        <v>57</v>
      </c>
    </row>
    <row r="2831" spans="1:8" hidden="1" x14ac:dyDescent="0.25">
      <c r="A2831" t="str">
        <f>_xlfn.XLOOKUP(C2831, 'Códigos DANE Municipios'!$B$2:$B$1123, 'Códigos DANE Municipios'!$A$2:$A$1123, "No encontrado")</f>
        <v>No encontrado</v>
      </c>
      <c r="B2831" t="str">
        <f>IFERROR(VLOOKUP(D2831,APOYO!K:L,2,FALSE),A2831)</f>
        <v>No encontrado</v>
      </c>
      <c r="C2831" t="s">
        <v>2395</v>
      </c>
      <c r="D2831" t="str">
        <f>IFERROR(VLOOKUP(C2831,APOYO!J:K,2,FALSE),C2831)</f>
        <v>TOTORO</v>
      </c>
      <c r="E2831">
        <v>2016</v>
      </c>
      <c r="H2831" t="s">
        <v>2189</v>
      </c>
    </row>
    <row r="2832" spans="1:8" hidden="1" x14ac:dyDescent="0.25">
      <c r="A2832" t="str">
        <f>_xlfn.XLOOKUP(C2832, 'Códigos DANE Municipios'!$B$2:$B$1123, 'Códigos DANE Municipios'!$A$2:$A$1123, "No encontrado")</f>
        <v>85430</v>
      </c>
      <c r="B2832" t="str">
        <f>IFERROR(VLOOKUP(D2832,APOYO!K:L,2,FALSE),A2832)</f>
        <v>85430</v>
      </c>
      <c r="C2832" t="s">
        <v>2081</v>
      </c>
      <c r="D2832" t="str">
        <f>IFERROR(VLOOKUP(C2832,APOYO!J:K,2,FALSE),C2832)</f>
        <v>TRINIDAD</v>
      </c>
      <c r="E2832">
        <v>2016</v>
      </c>
      <c r="H2832">
        <v>5</v>
      </c>
    </row>
    <row r="2833" spans="1:8" hidden="1" x14ac:dyDescent="0.25">
      <c r="A2833" t="str">
        <f>_xlfn.XLOOKUP(C2833, 'Códigos DANE Municipios'!$B$2:$B$1123, 'Códigos DANE Municipios'!$A$2:$A$1123, "No encontrado")</f>
        <v>76828</v>
      </c>
      <c r="B2833" t="str">
        <f>IFERROR(VLOOKUP(D2833,APOYO!K:L,2,FALSE),A2833)</f>
        <v>76828</v>
      </c>
      <c r="C2833" t="s">
        <v>2018</v>
      </c>
      <c r="D2833" t="str">
        <f>IFERROR(VLOOKUP(C2833,APOYO!J:K,2,FALSE),C2833)</f>
        <v>TRUJILLO</v>
      </c>
      <c r="E2833">
        <v>2016</v>
      </c>
      <c r="H2833">
        <v>42</v>
      </c>
    </row>
    <row r="2834" spans="1:8" hidden="1" x14ac:dyDescent="0.25">
      <c r="A2834" t="str">
        <f>_xlfn.XLOOKUP(C2834, 'Códigos DANE Municipios'!$B$2:$B$1123, 'Códigos DANE Municipios'!$A$2:$A$1123, "No encontrado")</f>
        <v>No encontrado</v>
      </c>
      <c r="B2834" t="str">
        <f>IFERROR(VLOOKUP(D2834,APOYO!K:L,2,FALSE),A2834)</f>
        <v>No encontrado</v>
      </c>
      <c r="C2834" t="s">
        <v>2396</v>
      </c>
      <c r="D2834" t="str">
        <f>IFERROR(VLOOKUP(C2834,APOYO!J:K,2,FALSE),C2834)</f>
        <v>TUBARA</v>
      </c>
      <c r="E2834">
        <v>2016</v>
      </c>
      <c r="H2834">
        <v>12</v>
      </c>
    </row>
    <row r="2835" spans="1:8" hidden="1" x14ac:dyDescent="0.25">
      <c r="A2835" t="str">
        <f>_xlfn.XLOOKUP(C2835, 'Códigos DANE Municipios'!$B$2:$B$1123, 'Códigos DANE Municipios'!$A$2:$A$1123, "No encontrado")</f>
        <v>No encontrado</v>
      </c>
      <c r="B2835" t="str">
        <f>IFERROR(VLOOKUP(D2835,APOYO!K:L,2,FALSE),A2835)</f>
        <v>No encontrado</v>
      </c>
      <c r="C2835" t="s">
        <v>2397</v>
      </c>
      <c r="D2835" t="str">
        <f>IFERROR(VLOOKUP(C2835,APOYO!J:K,2,FALSE),C2835)</f>
        <v>TULUA</v>
      </c>
      <c r="E2835">
        <v>2016</v>
      </c>
      <c r="H2835">
        <v>2001</v>
      </c>
    </row>
    <row r="2836" spans="1:8" hidden="1" x14ac:dyDescent="0.25">
      <c r="A2836" t="str">
        <f>_xlfn.XLOOKUP(C2836, 'Códigos DANE Municipios'!$B$2:$B$1123, 'Códigos DANE Municipios'!$A$2:$A$1123, "No encontrado")</f>
        <v>No encontrado</v>
      </c>
      <c r="B2836" t="str">
        <f>IFERROR(VLOOKUP(D2836,APOYO!K:L,2,FALSE),A2836)</f>
        <v>No encontrado</v>
      </c>
      <c r="C2836" t="s">
        <v>2398</v>
      </c>
      <c r="D2836" t="str">
        <f>IFERROR(VLOOKUP(C2836,APOYO!J:K,2,FALSE),C2836)</f>
        <v>TUMACO</v>
      </c>
      <c r="E2836">
        <v>2016</v>
      </c>
      <c r="F2836">
        <v>58121</v>
      </c>
      <c r="G2836">
        <v>69</v>
      </c>
      <c r="H2836">
        <v>624</v>
      </c>
    </row>
    <row r="2837" spans="1:8" hidden="1" x14ac:dyDescent="0.25">
      <c r="A2837" t="str">
        <f>_xlfn.XLOOKUP(C2837, 'Códigos DANE Municipios'!$B$2:$B$1123, 'Códigos DANE Municipios'!$A$2:$A$1123, "No encontrado")</f>
        <v>15001</v>
      </c>
      <c r="B2837" t="str">
        <f>IFERROR(VLOOKUP(D2837,APOYO!K:L,2,FALSE),A2837)</f>
        <v>15001</v>
      </c>
      <c r="C2837" t="s">
        <v>401</v>
      </c>
      <c r="D2837" t="str">
        <f>IFERROR(VLOOKUP(C2837,APOYO!J:K,2,FALSE),C2837)</f>
        <v>TUNJA</v>
      </c>
      <c r="E2837">
        <v>2016</v>
      </c>
      <c r="F2837">
        <v>1427</v>
      </c>
    </row>
    <row r="2838" spans="1:8" hidden="1" x14ac:dyDescent="0.25">
      <c r="A2838" t="str">
        <f>_xlfn.XLOOKUP(C2838, 'Códigos DANE Municipios'!$B$2:$B$1123, 'Códigos DANE Municipios'!$A$2:$A$1123, "No encontrado")</f>
        <v>No encontrado</v>
      </c>
      <c r="B2838" t="str">
        <f>IFERROR(VLOOKUP(D2838,APOYO!K:L,2,FALSE),A2838)</f>
        <v>No encontrado</v>
      </c>
      <c r="C2838" t="s">
        <v>2399</v>
      </c>
      <c r="D2838" t="str">
        <f>IFERROR(VLOOKUP(C2838,APOYO!J:K,2,FALSE),C2838)</f>
        <v>TUQUERRES</v>
      </c>
      <c r="E2838">
        <v>2016</v>
      </c>
      <c r="H2838">
        <v>41</v>
      </c>
    </row>
    <row r="2839" spans="1:8" hidden="1" x14ac:dyDescent="0.25">
      <c r="A2839" t="str">
        <f>_xlfn.XLOOKUP(C2839, 'Códigos DANE Municipios'!$B$2:$B$1123, 'Códigos DANE Municipios'!$A$2:$A$1123, "No encontrado")</f>
        <v>13836</v>
      </c>
      <c r="B2839" t="str">
        <f>IFERROR(VLOOKUP(D2839,APOYO!K:L,2,FALSE),A2839)</f>
        <v>13836</v>
      </c>
      <c r="C2839" t="s">
        <v>393</v>
      </c>
      <c r="D2839" t="str">
        <f>IFERROR(VLOOKUP(C2839,APOYO!J:K,2,FALSE),C2839)</f>
        <v>TURBACO</v>
      </c>
      <c r="E2839">
        <v>2016</v>
      </c>
      <c r="H2839">
        <v>82</v>
      </c>
    </row>
    <row r="2840" spans="1:8" hidden="1" x14ac:dyDescent="0.25">
      <c r="A2840" t="str">
        <f>_xlfn.XLOOKUP(C2840, 'Códigos DANE Municipios'!$B$2:$B$1123, 'Códigos DANE Municipios'!$A$2:$A$1123, "No encontrado")</f>
        <v>No encontrado</v>
      </c>
      <c r="B2840" t="str">
        <f>IFERROR(VLOOKUP(D2840,APOYO!K:L,2,FALSE),A2840)</f>
        <v>No encontrado</v>
      </c>
      <c r="C2840" t="s">
        <v>2400</v>
      </c>
      <c r="D2840" t="str">
        <f>IFERROR(VLOOKUP(C2840,APOYO!J:K,2,FALSE),C2840)</f>
        <v>TRUBANA</v>
      </c>
      <c r="E2840">
        <v>2016</v>
      </c>
      <c r="H2840">
        <v>6</v>
      </c>
    </row>
    <row r="2841" spans="1:8" hidden="1" x14ac:dyDescent="0.25">
      <c r="A2841" t="str">
        <f>_xlfn.XLOOKUP(C2841, 'Códigos DANE Municipios'!$B$2:$B$1123, 'Códigos DANE Municipios'!$A$2:$A$1123, "No encontrado")</f>
        <v>05837</v>
      </c>
      <c r="B2841" t="str">
        <f>IFERROR(VLOOKUP(D2841,APOYO!K:L,2,FALSE),A2841)</f>
        <v>05837</v>
      </c>
      <c r="C2841" t="s">
        <v>236</v>
      </c>
      <c r="D2841" t="str">
        <f>IFERROR(VLOOKUP(C2841,APOYO!J:K,2,FALSE),C2841)</f>
        <v>TURBO</v>
      </c>
      <c r="E2841">
        <v>2016</v>
      </c>
      <c r="H2841">
        <v>112</v>
      </c>
    </row>
    <row r="2842" spans="1:8" hidden="1" x14ac:dyDescent="0.25">
      <c r="A2842" t="str">
        <f>_xlfn.XLOOKUP(C2842, 'Códigos DANE Municipios'!$B$2:$B$1123, 'Códigos DANE Municipios'!$A$2:$A$1123, "No encontrado")</f>
        <v>No encontrado</v>
      </c>
      <c r="B2842" t="str">
        <f>IFERROR(VLOOKUP(D2842,APOYO!K:L,2,FALSE),A2842)</f>
        <v>No encontrado</v>
      </c>
      <c r="C2842" t="s">
        <v>2401</v>
      </c>
      <c r="D2842" t="str">
        <f>IFERROR(VLOOKUP(C2842,APOYO!J:K,2,FALSE),C2842)</f>
        <v>TURMEQUE</v>
      </c>
      <c r="E2842">
        <v>2016</v>
      </c>
      <c r="H2842">
        <v>2</v>
      </c>
    </row>
    <row r="2843" spans="1:8" hidden="1" x14ac:dyDescent="0.25">
      <c r="A2843" t="str">
        <f>_xlfn.XLOOKUP(C2843, 'Códigos DANE Municipios'!$B$2:$B$1123, 'Códigos DANE Municipios'!$A$2:$A$1123, "No encontrado")</f>
        <v>15837</v>
      </c>
      <c r="B2843" t="str">
        <f>IFERROR(VLOOKUP(D2843,APOYO!K:L,2,FALSE),A2843)</f>
        <v>15837</v>
      </c>
      <c r="C2843" t="s">
        <v>632</v>
      </c>
      <c r="D2843" t="str">
        <f>IFERROR(VLOOKUP(C2843,APOYO!J:K,2,FALSE),C2843)</f>
        <v>TUTA</v>
      </c>
      <c r="E2843">
        <v>2016</v>
      </c>
      <c r="H2843">
        <v>4</v>
      </c>
    </row>
    <row r="2844" spans="1:8" hidden="1" x14ac:dyDescent="0.25">
      <c r="A2844" t="str">
        <f>_xlfn.XLOOKUP(C2844, 'Códigos DANE Municipios'!$B$2:$B$1123, 'Códigos DANE Municipios'!$A$2:$A$1123, "No encontrado")</f>
        <v>No encontrado</v>
      </c>
      <c r="B2844" t="str">
        <f>IFERROR(VLOOKUP(D2844,APOYO!K:L,2,FALSE),A2844)</f>
        <v>No encontrado</v>
      </c>
      <c r="C2844" t="s">
        <v>2402</v>
      </c>
      <c r="D2844" t="str">
        <f>IFERROR(VLOOKUP(C2844,APOYO!J:K,2,FALSE),C2844)</f>
        <v>UBALA</v>
      </c>
      <c r="E2844">
        <v>2016</v>
      </c>
      <c r="H2844">
        <v>2</v>
      </c>
    </row>
    <row r="2845" spans="1:8" hidden="1" x14ac:dyDescent="0.25">
      <c r="A2845" t="str">
        <f>_xlfn.XLOOKUP(C2845, 'Códigos DANE Municipios'!$B$2:$B$1123, 'Códigos DANE Municipios'!$A$2:$A$1123, "No encontrado")</f>
        <v>25841</v>
      </c>
      <c r="B2845" t="str">
        <f>IFERROR(VLOOKUP(D2845,APOYO!K:L,2,FALSE),A2845)</f>
        <v>25841</v>
      </c>
      <c r="C2845" t="s">
        <v>1116</v>
      </c>
      <c r="D2845" t="str">
        <f>IFERROR(VLOOKUP(C2845,APOYO!J:K,2,FALSE),C2845)</f>
        <v>UBAQUE</v>
      </c>
      <c r="E2845">
        <v>2016</v>
      </c>
      <c r="H2845">
        <v>33</v>
      </c>
    </row>
    <row r="2846" spans="1:8" hidden="1" x14ac:dyDescent="0.25">
      <c r="A2846" t="str">
        <f>_xlfn.XLOOKUP(C2846, 'Códigos DANE Municipios'!$B$2:$B$1123, 'Códigos DANE Municipios'!$A$2:$A$1123, "No encontrado")</f>
        <v>No encontrado</v>
      </c>
      <c r="B2846" t="str">
        <f>IFERROR(VLOOKUP(D2846,APOYO!K:L,2,FALSE),A2846)</f>
        <v>No encontrado</v>
      </c>
      <c r="C2846" t="s">
        <v>2403</v>
      </c>
      <c r="D2846" t="str">
        <f>IFERROR(VLOOKUP(C2846,APOYO!J:K,2,FALSE),C2846)</f>
        <v>UBATE</v>
      </c>
      <c r="E2846">
        <v>2016</v>
      </c>
      <c r="H2846">
        <v>6</v>
      </c>
    </row>
    <row r="2847" spans="1:8" hidden="1" x14ac:dyDescent="0.25">
      <c r="A2847" t="str">
        <f>_xlfn.XLOOKUP(C2847, 'Códigos DANE Municipios'!$B$2:$B$1123, 'Códigos DANE Municipios'!$A$2:$A$1123, "No encontrado")</f>
        <v>76845</v>
      </c>
      <c r="B2847" t="str">
        <f>IFERROR(VLOOKUP(D2847,APOYO!K:L,2,FALSE),A2847)</f>
        <v>76845</v>
      </c>
      <c r="C2847" t="s">
        <v>2022</v>
      </c>
      <c r="D2847" t="str">
        <f>IFERROR(VLOOKUP(C2847,APOYO!J:K,2,FALSE),C2847)</f>
        <v>ULLOA</v>
      </c>
      <c r="E2847">
        <v>2016</v>
      </c>
      <c r="H2847">
        <v>9</v>
      </c>
    </row>
    <row r="2848" spans="1:8" hidden="1" x14ac:dyDescent="0.25">
      <c r="A2848" t="str">
        <f>_xlfn.XLOOKUP(C2848, 'Códigos DANE Municipios'!$B$2:$B$1123, 'Códigos DANE Municipios'!$A$2:$A$1123, "No encontrado")</f>
        <v>No encontrado</v>
      </c>
      <c r="B2848" t="str">
        <f>IFERROR(VLOOKUP(D2848,APOYO!K:L,2,FALSE),A2848)</f>
        <v>No encontrado</v>
      </c>
      <c r="C2848" t="s">
        <v>2404</v>
      </c>
      <c r="D2848" t="str">
        <f>IFERROR(VLOOKUP(C2848,APOYO!J:K,2,FALSE),C2848)</f>
        <v>UMBITA</v>
      </c>
      <c r="E2848">
        <v>2016</v>
      </c>
      <c r="H2848" t="s">
        <v>2189</v>
      </c>
    </row>
    <row r="2849" spans="1:8" hidden="1" x14ac:dyDescent="0.25">
      <c r="A2849" t="str">
        <f>_xlfn.XLOOKUP(C2849, 'Códigos DANE Municipios'!$B$2:$B$1123, 'Códigos DANE Municipios'!$A$2:$A$1123, "No encontrado")</f>
        <v>25845</v>
      </c>
      <c r="B2849" t="str">
        <f>IFERROR(VLOOKUP(D2849,APOYO!K:L,2,FALSE),A2849)</f>
        <v>25845</v>
      </c>
      <c r="C2849" t="s">
        <v>1120</v>
      </c>
      <c r="D2849" t="str">
        <f>IFERROR(VLOOKUP(C2849,APOYO!J:K,2,FALSE),C2849)</f>
        <v>UNE</v>
      </c>
      <c r="E2849">
        <v>2016</v>
      </c>
      <c r="H2849" t="s">
        <v>2189</v>
      </c>
    </row>
    <row r="2850" spans="1:8" hidden="1" x14ac:dyDescent="0.25">
      <c r="A2850" t="str">
        <f>_xlfn.XLOOKUP(C2850, 'Códigos DANE Municipios'!$B$2:$B$1123, 'Códigos DANE Municipios'!$A$2:$A$1123, "No encontrado")</f>
        <v>No encontrado</v>
      </c>
      <c r="B2850" t="str">
        <f>IFERROR(VLOOKUP(D2850,APOYO!K:L,2,FALSE),A2850)</f>
        <v>No encontrado</v>
      </c>
      <c r="C2850" t="s">
        <v>2405</v>
      </c>
      <c r="D2850" t="str">
        <f>IFERROR(VLOOKUP(C2850,APOYO!J:K,2,FALSE),C2850)</f>
        <v>UNGUIA</v>
      </c>
      <c r="E2850">
        <v>2016</v>
      </c>
      <c r="H2850" t="s">
        <v>2189</v>
      </c>
    </row>
    <row r="2851" spans="1:8" hidden="1" x14ac:dyDescent="0.25">
      <c r="A2851" t="str">
        <f>_xlfn.XLOOKUP(C2851, 'Códigos DANE Municipios'!$B$2:$B$1123, 'Códigos DANE Municipios'!$A$2:$A$1123, "No encontrado")</f>
        <v>44847</v>
      </c>
      <c r="B2851" t="str">
        <f>IFERROR(VLOOKUP(D2851,APOYO!K:L,2,FALSE),A2851)</f>
        <v>44847</v>
      </c>
      <c r="C2851" t="s">
        <v>1295</v>
      </c>
      <c r="D2851" t="str">
        <f>IFERROR(VLOOKUP(C2851,APOYO!J:K,2,FALSE),C2851)</f>
        <v>URIBIA</v>
      </c>
      <c r="E2851">
        <v>2016</v>
      </c>
      <c r="H2851" t="s">
        <v>2189</v>
      </c>
    </row>
    <row r="2852" spans="1:8" hidden="1" x14ac:dyDescent="0.25">
      <c r="A2852" t="str">
        <f>_xlfn.XLOOKUP(C2852, 'Códigos DANE Municipios'!$B$2:$B$1123, 'Códigos DANE Municipios'!$A$2:$A$1123, "No encontrado")</f>
        <v>05847</v>
      </c>
      <c r="B2852" t="str">
        <f>IFERROR(VLOOKUP(D2852,APOYO!K:L,2,FALSE),A2852)</f>
        <v>05847</v>
      </c>
      <c r="C2852" t="s">
        <v>240</v>
      </c>
      <c r="D2852" t="str">
        <f>IFERROR(VLOOKUP(C2852,APOYO!J:K,2,FALSE),C2852)</f>
        <v>URRAO</v>
      </c>
      <c r="E2852">
        <v>2016</v>
      </c>
      <c r="H2852">
        <v>10</v>
      </c>
    </row>
    <row r="2853" spans="1:8" hidden="1" x14ac:dyDescent="0.25">
      <c r="A2853" t="str">
        <f>_xlfn.XLOOKUP(C2853, 'Códigos DANE Municipios'!$B$2:$B$1123, 'Códigos DANE Municipios'!$A$2:$A$1123, "No encontrado")</f>
        <v>44855</v>
      </c>
      <c r="B2853" t="str">
        <f>IFERROR(VLOOKUP(D2853,APOYO!K:L,2,FALSE),A2853)</f>
        <v>44855</v>
      </c>
      <c r="C2853" t="s">
        <v>1297</v>
      </c>
      <c r="D2853" t="str">
        <f>IFERROR(VLOOKUP(C2853,APOYO!J:K,2,FALSE),C2853)</f>
        <v>URUMITA</v>
      </c>
      <c r="E2853">
        <v>2016</v>
      </c>
      <c r="H2853" t="s">
        <v>2189</v>
      </c>
    </row>
    <row r="2854" spans="1:8" hidden="1" x14ac:dyDescent="0.25">
      <c r="A2854" t="str">
        <f>_xlfn.XLOOKUP(C2854, 'Códigos DANE Municipios'!$B$2:$B$1123, 'Códigos DANE Municipios'!$A$2:$A$1123, "No encontrado")</f>
        <v>No encontrado</v>
      </c>
      <c r="B2854" t="str">
        <f>IFERROR(VLOOKUP(D2854,APOYO!K:L,2,FALSE),A2854)</f>
        <v>No encontrado</v>
      </c>
      <c r="C2854" t="s">
        <v>2406</v>
      </c>
      <c r="D2854" t="str">
        <f>IFERROR(VLOOKUP(C2854,APOYO!J:K,2,FALSE),C2854)</f>
        <v>USIACURI</v>
      </c>
      <c r="E2854">
        <v>2016</v>
      </c>
      <c r="H2854">
        <v>1</v>
      </c>
    </row>
    <row r="2855" spans="1:8" hidden="1" x14ac:dyDescent="0.25">
      <c r="A2855" t="str">
        <f>_xlfn.XLOOKUP(C2855, 'Códigos DANE Municipios'!$B$2:$B$1123, 'Códigos DANE Municipios'!$A$2:$A$1123, "No encontrado")</f>
        <v>No encontrado</v>
      </c>
      <c r="B2855" t="str">
        <f>IFERROR(VLOOKUP(D2855,APOYO!K:L,2,FALSE),A2855)</f>
        <v>No encontrado</v>
      </c>
      <c r="C2855" t="s">
        <v>2407</v>
      </c>
      <c r="D2855" t="str">
        <f>IFERROR(VLOOKUP(C2855,APOYO!J:K,2,FALSE),C2855)</f>
        <v>UTICA</v>
      </c>
      <c r="E2855">
        <v>2016</v>
      </c>
      <c r="H2855">
        <v>1</v>
      </c>
    </row>
    <row r="2856" spans="1:8" hidden="1" x14ac:dyDescent="0.25">
      <c r="A2856" t="str">
        <f>_xlfn.XLOOKUP(C2856, 'Códigos DANE Municipios'!$B$2:$B$1123, 'Códigos DANE Municipios'!$A$2:$A$1123, "No encontrado")</f>
        <v>23855</v>
      </c>
      <c r="B2856" t="str">
        <f>IFERROR(VLOOKUP(D2856,APOYO!K:L,2,FALSE),A2856)</f>
        <v>23855</v>
      </c>
      <c r="C2856" t="s">
        <v>914</v>
      </c>
      <c r="D2856" t="str">
        <f>IFERROR(VLOOKUP(C2856,APOYO!J:K,2,FALSE),C2856)</f>
        <v>VALENCIA</v>
      </c>
      <c r="E2856">
        <v>2016</v>
      </c>
      <c r="H2856">
        <v>5</v>
      </c>
    </row>
    <row r="2857" spans="1:8" hidden="1" x14ac:dyDescent="0.25">
      <c r="A2857" t="str">
        <f>_xlfn.XLOOKUP(C2857, 'Códigos DANE Municipios'!$B$2:$B$1123, 'Códigos DANE Municipios'!$A$2:$A$1123, "No encontrado")</f>
        <v>No encontrado</v>
      </c>
      <c r="B2857" t="str">
        <f>IFERROR(VLOOKUP(D2857,APOYO!K:L,2,FALSE),A2857)</f>
        <v>No encontrado</v>
      </c>
      <c r="C2857" t="s">
        <v>2408</v>
      </c>
      <c r="D2857" t="str">
        <f>IFERROR(VLOOKUP(C2857,APOYO!J:K,2,FALSE),C2857)</f>
        <v>VALLE SAN JOSE</v>
      </c>
      <c r="E2857">
        <v>2016</v>
      </c>
      <c r="H2857">
        <v>3</v>
      </c>
    </row>
    <row r="2858" spans="1:8" hidden="1" x14ac:dyDescent="0.25">
      <c r="A2858" t="str">
        <f>_xlfn.XLOOKUP(C2858, 'Códigos DANE Municipios'!$B$2:$B$1123, 'Códigos DANE Municipios'!$A$2:$A$1123, "No encontrado")</f>
        <v>20001</v>
      </c>
      <c r="B2858" t="str">
        <f>IFERROR(VLOOKUP(D2858,APOYO!K:L,2,FALSE),A2858)</f>
        <v>20001</v>
      </c>
      <c r="C2858" t="s">
        <v>808</v>
      </c>
      <c r="D2858" t="str">
        <f>IFERROR(VLOOKUP(C2858,APOYO!J:K,2,FALSE),C2858)</f>
        <v>VALLEDUPAR</v>
      </c>
      <c r="E2858">
        <v>2016</v>
      </c>
      <c r="F2858">
        <v>200137</v>
      </c>
      <c r="G2858">
        <v>2636</v>
      </c>
      <c r="H2858">
        <v>1795</v>
      </c>
    </row>
    <row r="2859" spans="1:8" hidden="1" x14ac:dyDescent="0.25">
      <c r="A2859" t="str">
        <f>_xlfn.XLOOKUP(C2859, 'Códigos DANE Municipios'!$B$2:$B$1123, 'Códigos DANE Municipios'!$A$2:$A$1123, "No encontrado")</f>
        <v>No encontrado</v>
      </c>
      <c r="B2859" t="str">
        <f>IFERROR(VLOOKUP(D2859,APOYO!K:L,2,FALSE),A2859)</f>
        <v>No encontrado</v>
      </c>
      <c r="C2859" t="s">
        <v>2409</v>
      </c>
      <c r="D2859" t="str">
        <f>IFERROR(VLOOKUP(C2859,APOYO!J:K,2,FALSE),C2859)</f>
        <v>VELEZ</v>
      </c>
      <c r="E2859">
        <v>2016</v>
      </c>
      <c r="H2859">
        <v>18</v>
      </c>
    </row>
    <row r="2860" spans="1:8" hidden="1" x14ac:dyDescent="0.25">
      <c r="A2860" t="str">
        <f>_xlfn.XLOOKUP(C2860, 'Códigos DANE Municipios'!$B$2:$B$1123, 'Códigos DANE Municipios'!$A$2:$A$1123, "No encontrado")</f>
        <v>73861</v>
      </c>
      <c r="B2860" t="str">
        <f>IFERROR(VLOOKUP(D2860,APOYO!K:L,2,FALSE),A2860)</f>
        <v>73861</v>
      </c>
      <c r="C2860" t="s">
        <v>1951</v>
      </c>
      <c r="D2860" t="str">
        <f>IFERROR(VLOOKUP(C2860,APOYO!J:K,2,FALSE),C2860)</f>
        <v>VENADILLO</v>
      </c>
      <c r="E2860">
        <v>2016</v>
      </c>
      <c r="H2860">
        <v>1</v>
      </c>
    </row>
    <row r="2861" spans="1:8" hidden="1" x14ac:dyDescent="0.25">
      <c r="A2861" t="str">
        <f>_xlfn.XLOOKUP(C2861, 'Códigos DANE Municipios'!$B$2:$B$1123, 'Códigos DANE Municipios'!$A$2:$A$1123, "No encontrado")</f>
        <v>05861</v>
      </c>
      <c r="B2861" t="str">
        <f>IFERROR(VLOOKUP(D2861,APOYO!K:L,2,FALSE),A2861)</f>
        <v>05861</v>
      </c>
      <c r="C2861" t="s">
        <v>248</v>
      </c>
      <c r="D2861" t="str">
        <f>IFERROR(VLOOKUP(C2861,APOYO!J:K,2,FALSE),C2861)</f>
        <v>VENECIA</v>
      </c>
      <c r="E2861">
        <v>2016</v>
      </c>
      <c r="H2861">
        <v>7</v>
      </c>
    </row>
    <row r="2862" spans="1:8" hidden="1" x14ac:dyDescent="0.25">
      <c r="A2862" t="str">
        <f>_xlfn.XLOOKUP(C2862, 'Códigos DANE Municipios'!$B$2:$B$1123, 'Códigos DANE Municipios'!$A$2:$A$1123, "No encontrado")</f>
        <v>15861</v>
      </c>
      <c r="B2862" t="str">
        <f>IFERROR(VLOOKUP(D2862,APOYO!K:L,2,FALSE),A2862)</f>
        <v>15861</v>
      </c>
      <c r="C2862" t="s">
        <v>638</v>
      </c>
      <c r="D2862" t="str">
        <f>IFERROR(VLOOKUP(C2862,APOYO!J:K,2,FALSE),C2862)</f>
        <v>VENTAQUEMADA</v>
      </c>
      <c r="E2862">
        <v>2016</v>
      </c>
      <c r="H2862">
        <v>5</v>
      </c>
    </row>
    <row r="2863" spans="1:8" hidden="1" x14ac:dyDescent="0.25">
      <c r="A2863" t="str">
        <f>_xlfn.XLOOKUP(C2863, 'Códigos DANE Municipios'!$B$2:$B$1123, 'Códigos DANE Municipios'!$A$2:$A$1123, "No encontrado")</f>
        <v>76863</v>
      </c>
      <c r="B2863" t="str">
        <f>IFERROR(VLOOKUP(D2863,APOYO!K:L,2,FALSE),A2863)</f>
        <v>76863</v>
      </c>
      <c r="C2863" t="s">
        <v>2024</v>
      </c>
      <c r="D2863" t="str">
        <f>IFERROR(VLOOKUP(C2863,APOYO!J:K,2,FALSE),C2863)</f>
        <v>VERSALLES</v>
      </c>
      <c r="E2863">
        <v>2016</v>
      </c>
      <c r="H2863">
        <v>10</v>
      </c>
    </row>
    <row r="2864" spans="1:8" hidden="1" x14ac:dyDescent="0.25">
      <c r="A2864" t="str">
        <f>_xlfn.XLOOKUP(C2864, 'Códigos DANE Municipios'!$B$2:$B$1123, 'Códigos DANE Municipios'!$A$2:$A$1123, "No encontrado")</f>
        <v>No encontrado</v>
      </c>
      <c r="B2864" t="str">
        <f>IFERROR(VLOOKUP(D2864,APOYO!K:L,2,FALSE),A2864)</f>
        <v>No encontrado</v>
      </c>
      <c r="C2864" t="s">
        <v>2410</v>
      </c>
      <c r="D2864" t="str">
        <f>IFERROR(VLOOKUP(C2864,APOYO!J:K,2,FALSE),C2864)</f>
        <v>VIANI</v>
      </c>
      <c r="E2864">
        <v>2016</v>
      </c>
      <c r="H2864">
        <v>1</v>
      </c>
    </row>
    <row r="2865" spans="1:9" hidden="1" x14ac:dyDescent="0.25">
      <c r="A2865" t="str">
        <f>_xlfn.XLOOKUP(C2865, 'Códigos DANE Municipios'!$B$2:$B$1123, 'Códigos DANE Municipios'!$A$2:$A$1123, "No encontrado")</f>
        <v>17867</v>
      </c>
      <c r="B2865" t="str">
        <f>IFERROR(VLOOKUP(D2865,APOYO!K:L,2,FALSE),A2865)</f>
        <v>17867</v>
      </c>
      <c r="C2865" t="s">
        <v>692</v>
      </c>
      <c r="D2865" t="str">
        <f>IFERROR(VLOOKUP(C2865,APOYO!J:K,2,FALSE),C2865)</f>
        <v>VICTORIA</v>
      </c>
      <c r="E2865">
        <v>2016</v>
      </c>
      <c r="H2865">
        <v>5</v>
      </c>
    </row>
    <row r="2866" spans="1:9" hidden="1" x14ac:dyDescent="0.25">
      <c r="A2866" t="str">
        <f>_xlfn.XLOOKUP(C2866, 'Códigos DANE Municipios'!$B$2:$B$1123, 'Códigos DANE Municipios'!$A$2:$A$1123, "No encontrado")</f>
        <v>76869</v>
      </c>
      <c r="B2866" t="str">
        <f>IFERROR(VLOOKUP(D2866,APOYO!K:L,2,FALSE),A2866)</f>
        <v>76869</v>
      </c>
      <c r="C2866" t="s">
        <v>2026</v>
      </c>
      <c r="D2866" t="str">
        <f>IFERROR(VLOOKUP(C2866,APOYO!J:K,2,FALSE),C2866)</f>
        <v>VIJES</v>
      </c>
      <c r="E2866">
        <v>2016</v>
      </c>
      <c r="H2866">
        <v>24</v>
      </c>
    </row>
    <row r="2867" spans="1:9" hidden="1" x14ac:dyDescent="0.25">
      <c r="A2867" t="str">
        <f>_xlfn.XLOOKUP(C2867, 'Códigos DANE Municipios'!$B$2:$B$1123, 'Códigos DANE Municipios'!$A$2:$A$1123, "No encontrado")</f>
        <v>15407</v>
      </c>
      <c r="B2867" t="str">
        <f>IFERROR(VLOOKUP(D2867,APOYO!K:L,2,FALSE),A2867)</f>
        <v>15407</v>
      </c>
      <c r="C2867" t="s">
        <v>498</v>
      </c>
      <c r="D2867" t="str">
        <f>IFERROR(VLOOKUP(C2867,APOYO!J:K,2,FALSE),C2867)</f>
        <v>VILLA DE LEYVA</v>
      </c>
      <c r="E2867">
        <v>2016</v>
      </c>
      <c r="H2867">
        <v>740</v>
      </c>
      <c r="I2867">
        <v>7375</v>
      </c>
    </row>
    <row r="2868" spans="1:9" hidden="1" x14ac:dyDescent="0.25">
      <c r="A2868" t="str">
        <f>_xlfn.XLOOKUP(C2868, 'Códigos DANE Municipios'!$B$2:$B$1123, 'Códigos DANE Municipios'!$A$2:$A$1123, "No encontrado")</f>
        <v>19845</v>
      </c>
      <c r="B2868" t="str">
        <f>IFERROR(VLOOKUP(D2868,APOYO!K:L,2,FALSE),A2868)</f>
        <v>19845</v>
      </c>
      <c r="C2868" t="s">
        <v>806</v>
      </c>
      <c r="D2868" t="str">
        <f>IFERROR(VLOOKUP(C2868,APOYO!J:K,2,FALSE),C2868)</f>
        <v>VILLA RICA</v>
      </c>
      <c r="E2868">
        <v>2016</v>
      </c>
      <c r="H2868">
        <v>13</v>
      </c>
    </row>
    <row r="2869" spans="1:9" hidden="1" x14ac:dyDescent="0.25">
      <c r="A2869" t="str">
        <f>_xlfn.XLOOKUP(C2869, 'Códigos DANE Municipios'!$B$2:$B$1123, 'Códigos DANE Municipios'!$A$2:$A$1123, "No encontrado")</f>
        <v>No encontrado</v>
      </c>
      <c r="B2869" t="str">
        <f>IFERROR(VLOOKUP(D2869,APOYO!K:L,2,FALSE),A2869)</f>
        <v>No encontrado</v>
      </c>
      <c r="C2869" t="s">
        <v>2411</v>
      </c>
      <c r="D2869" t="str">
        <f>IFERROR(VLOOKUP(C2869,APOYO!J:K,2,FALSE),C2869)</f>
        <v>VILLA ROSARIO</v>
      </c>
      <c r="E2869">
        <v>2016</v>
      </c>
      <c r="H2869">
        <v>86</v>
      </c>
    </row>
    <row r="2870" spans="1:9" hidden="1" x14ac:dyDescent="0.25">
      <c r="A2870" t="str">
        <f>_xlfn.XLOOKUP(C2870, 'Códigos DANE Municipios'!$B$2:$B$1123, 'Códigos DANE Municipios'!$A$2:$A$1123, "No encontrado")</f>
        <v>No encontrado</v>
      </c>
      <c r="B2870" t="str">
        <f>IFERROR(VLOOKUP(D2870,APOYO!K:L,2,FALSE),A2870)</f>
        <v>No encontrado</v>
      </c>
      <c r="C2870" t="s">
        <v>2412</v>
      </c>
      <c r="D2870" t="str">
        <f>IFERROR(VLOOKUP(C2870,APOYO!J:K,2,FALSE),C2870)</f>
        <v>VILLAGARZON</v>
      </c>
      <c r="E2870">
        <v>2016</v>
      </c>
      <c r="F2870">
        <v>11387</v>
      </c>
      <c r="H2870">
        <v>29</v>
      </c>
    </row>
    <row r="2871" spans="1:9" hidden="1" x14ac:dyDescent="0.25">
      <c r="A2871" t="str">
        <f>_xlfn.XLOOKUP(C2871, 'Códigos DANE Municipios'!$B$2:$B$1123, 'Códigos DANE Municipios'!$A$2:$A$1123, "No encontrado")</f>
        <v>No encontrado</v>
      </c>
      <c r="B2871" t="str">
        <f>IFERROR(VLOOKUP(D2871,APOYO!K:L,2,FALSE),A2871)</f>
        <v>No encontrado</v>
      </c>
      <c r="C2871" t="s">
        <v>2413</v>
      </c>
      <c r="D2871" t="str">
        <f>IFERROR(VLOOKUP(C2871,APOYO!J:K,2,FALSE),C2871)</f>
        <v>VILLAMARIA</v>
      </c>
      <c r="E2871">
        <v>2016</v>
      </c>
      <c r="H2871">
        <v>43</v>
      </c>
    </row>
    <row r="2872" spans="1:9" hidden="1" x14ac:dyDescent="0.25">
      <c r="A2872" t="str">
        <f>_xlfn.XLOOKUP(C2872, 'Códigos DANE Municipios'!$B$2:$B$1123, 'Códigos DANE Municipios'!$A$2:$A$1123, "No encontrado")</f>
        <v>13873</v>
      </c>
      <c r="B2872" t="str">
        <f>IFERROR(VLOOKUP(D2872,APOYO!K:L,2,FALSE),A2872)</f>
        <v>13873</v>
      </c>
      <c r="C2872" t="s">
        <v>397</v>
      </c>
      <c r="D2872" t="str">
        <f>IFERROR(VLOOKUP(C2872,APOYO!J:K,2,FALSE),C2872)</f>
        <v>VILLANUEVA</v>
      </c>
      <c r="E2872">
        <v>2016</v>
      </c>
      <c r="H2872">
        <v>47</v>
      </c>
    </row>
    <row r="2873" spans="1:9" hidden="1" x14ac:dyDescent="0.25">
      <c r="A2873" t="str">
        <f>_xlfn.XLOOKUP(C2873, 'Códigos DANE Municipios'!$B$2:$B$1123, 'Códigos DANE Municipios'!$A$2:$A$1123, "No encontrado")</f>
        <v>No encontrado</v>
      </c>
      <c r="B2873" t="str">
        <f>IFERROR(VLOOKUP(D2873,APOYO!K:L,2,FALSE),A2873)</f>
        <v>No encontrado</v>
      </c>
      <c r="C2873" t="s">
        <v>2414</v>
      </c>
      <c r="D2873" t="str">
        <f>IFERROR(VLOOKUP(C2873,APOYO!J:K,2,FALSE),C2873)</f>
        <v>VILLAPINZON</v>
      </c>
      <c r="E2873">
        <v>2016</v>
      </c>
      <c r="H2873">
        <v>10</v>
      </c>
    </row>
    <row r="2874" spans="1:9" hidden="1" x14ac:dyDescent="0.25">
      <c r="A2874" t="str">
        <f>_xlfn.XLOOKUP(C2874, 'Códigos DANE Municipios'!$B$2:$B$1123, 'Códigos DANE Municipios'!$A$2:$A$1123, "No encontrado")</f>
        <v>50001</v>
      </c>
      <c r="B2874" t="str">
        <f>IFERROR(VLOOKUP(D2874,APOYO!K:L,2,FALSE),A2874)</f>
        <v>50001</v>
      </c>
      <c r="C2874" t="s">
        <v>1358</v>
      </c>
      <c r="D2874" t="str">
        <f>IFERROR(VLOOKUP(C2874,APOYO!J:K,2,FALSE),C2874)</f>
        <v>VILLAVICENCIO</v>
      </c>
      <c r="E2874">
        <v>2016</v>
      </c>
      <c r="F2874">
        <v>47090</v>
      </c>
      <c r="G2874">
        <v>405</v>
      </c>
      <c r="H2874">
        <v>3517</v>
      </c>
    </row>
    <row r="2875" spans="1:9" hidden="1" x14ac:dyDescent="0.25">
      <c r="A2875" t="str">
        <f>_xlfn.XLOOKUP(C2875, 'Códigos DANE Municipios'!$B$2:$B$1123, 'Códigos DANE Municipios'!$A$2:$A$1123, "No encontrado")</f>
        <v>41872</v>
      </c>
      <c r="B2875" t="str">
        <f>IFERROR(VLOOKUP(D2875,APOYO!K:L,2,FALSE),A2875)</f>
        <v>41872</v>
      </c>
      <c r="C2875" t="s">
        <v>1268</v>
      </c>
      <c r="D2875" t="str">
        <f>IFERROR(VLOOKUP(C2875,APOYO!J:K,2,FALSE),C2875)</f>
        <v>VILLAVIEJA</v>
      </c>
      <c r="E2875">
        <v>2016</v>
      </c>
      <c r="H2875">
        <v>4</v>
      </c>
    </row>
    <row r="2876" spans="1:9" hidden="1" x14ac:dyDescent="0.25">
      <c r="A2876" t="str">
        <f>_xlfn.XLOOKUP(C2876, 'Códigos DANE Municipios'!$B$2:$B$1123, 'Códigos DANE Municipios'!$A$2:$A$1123, "No encontrado")</f>
        <v>25875</v>
      </c>
      <c r="B2876" t="str">
        <f>IFERROR(VLOOKUP(D2876,APOYO!K:L,2,FALSE),A2876)</f>
        <v>25875</v>
      </c>
      <c r="C2876" t="s">
        <v>1132</v>
      </c>
      <c r="D2876" t="str">
        <f>IFERROR(VLOOKUP(C2876,APOYO!J:K,2,FALSE),C2876)</f>
        <v>VILLETA</v>
      </c>
      <c r="E2876">
        <v>2016</v>
      </c>
      <c r="H2876">
        <v>96</v>
      </c>
    </row>
    <row r="2877" spans="1:9" hidden="1" x14ac:dyDescent="0.25">
      <c r="A2877" t="str">
        <f>_xlfn.XLOOKUP(C2877, 'Códigos DANE Municipios'!$B$2:$B$1123, 'Códigos DANE Municipios'!$A$2:$A$1123, "No encontrado")</f>
        <v>No encontrado</v>
      </c>
      <c r="B2877" t="str">
        <f>IFERROR(VLOOKUP(D2877,APOYO!K:L,2,FALSE),A2877)</f>
        <v>No encontrado</v>
      </c>
      <c r="C2877" t="s">
        <v>2415</v>
      </c>
      <c r="D2877" t="str">
        <f>IFERROR(VLOOKUP(C2877,APOYO!J:K,2,FALSE),C2877)</f>
        <v>VIOTA</v>
      </c>
      <c r="E2877">
        <v>2016</v>
      </c>
      <c r="H2877">
        <v>19</v>
      </c>
    </row>
    <row r="2878" spans="1:9" hidden="1" x14ac:dyDescent="0.25">
      <c r="A2878" t="str">
        <f>_xlfn.XLOOKUP(C2878, 'Códigos DANE Municipios'!$B$2:$B$1123, 'Códigos DANE Municipios'!$A$2:$A$1123, "No encontrado")</f>
        <v>No encontrado</v>
      </c>
      <c r="B2878" t="str">
        <f>IFERROR(VLOOKUP(D2878,APOYO!K:L,2,FALSE),A2878)</f>
        <v>No encontrado</v>
      </c>
      <c r="C2878" t="s">
        <v>2416</v>
      </c>
      <c r="D2878" t="str">
        <f>IFERROR(VLOOKUP(C2878,APOYO!J:K,2,FALSE),C2878)</f>
        <v>VIRACACHA</v>
      </c>
      <c r="E2878">
        <v>2016</v>
      </c>
      <c r="H2878" t="s">
        <v>2189</v>
      </c>
    </row>
    <row r="2879" spans="1:9" hidden="1" x14ac:dyDescent="0.25">
      <c r="A2879" t="str">
        <f>_xlfn.XLOOKUP(C2879, 'Códigos DANE Municipios'!$B$2:$B$1123, 'Códigos DANE Municipios'!$A$2:$A$1123, "No encontrado")</f>
        <v>No encontrado</v>
      </c>
      <c r="B2879" t="str">
        <f>IFERROR(VLOOKUP(D2879,APOYO!K:L,2,FALSE),A2879)</f>
        <v>No encontrado</v>
      </c>
      <c r="C2879" t="s">
        <v>2417</v>
      </c>
      <c r="D2879" t="str">
        <f>IFERROR(VLOOKUP(C2879,APOYO!J:K,2,FALSE),C2879)</f>
        <v>VISTA HERMOSA</v>
      </c>
      <c r="E2879">
        <v>2016</v>
      </c>
      <c r="H2879">
        <v>2</v>
      </c>
    </row>
    <row r="2880" spans="1:9" hidden="1" x14ac:dyDescent="0.25">
      <c r="A2880" t="str">
        <f>_xlfn.XLOOKUP(C2880, 'Códigos DANE Municipios'!$B$2:$B$1123, 'Códigos DANE Municipios'!$A$2:$A$1123, "No encontrado")</f>
        <v>17877</v>
      </c>
      <c r="B2880" t="str">
        <f>IFERROR(VLOOKUP(D2880,APOYO!K:L,2,FALSE),A2880)</f>
        <v>17877</v>
      </c>
      <c r="C2880" t="s">
        <v>696</v>
      </c>
      <c r="D2880" t="str">
        <f>IFERROR(VLOOKUP(C2880,APOYO!J:K,2,FALSE),C2880)</f>
        <v>VITERBO</v>
      </c>
      <c r="E2880">
        <v>2016</v>
      </c>
      <c r="H2880">
        <v>54</v>
      </c>
    </row>
    <row r="2881" spans="1:8" hidden="1" x14ac:dyDescent="0.25">
      <c r="A2881" t="str">
        <f>_xlfn.XLOOKUP(C2881, 'Códigos DANE Municipios'!$B$2:$B$1123, 'Códigos DANE Municipios'!$A$2:$A$1123, "No encontrado")</f>
        <v>No encontrado</v>
      </c>
      <c r="B2881" t="str">
        <f>IFERROR(VLOOKUP(D2881,APOYO!K:L,2,FALSE),A2881)</f>
        <v>No encontrado</v>
      </c>
      <c r="C2881" t="s">
        <v>2418</v>
      </c>
      <c r="D2881" t="str">
        <f>IFERROR(VLOOKUP(C2881,APOYO!J:K,2,FALSE),C2881)</f>
        <v>YAGUARA</v>
      </c>
      <c r="E2881">
        <v>2016</v>
      </c>
      <c r="H2881" t="s">
        <v>2189</v>
      </c>
    </row>
    <row r="2882" spans="1:8" hidden="1" x14ac:dyDescent="0.25">
      <c r="A2882" t="str">
        <f>_xlfn.XLOOKUP(C2882, 'Códigos DANE Municipios'!$B$2:$B$1123, 'Códigos DANE Municipios'!$A$2:$A$1123, "No encontrado")</f>
        <v>05887</v>
      </c>
      <c r="B2882" t="str">
        <f>IFERROR(VLOOKUP(D2882,APOYO!K:L,2,FALSE),A2882)</f>
        <v>05887</v>
      </c>
      <c r="C2882" t="s">
        <v>254</v>
      </c>
      <c r="D2882" t="str">
        <f>IFERROR(VLOOKUP(C2882,APOYO!J:K,2,FALSE),C2882)</f>
        <v>YARUMAL</v>
      </c>
      <c r="E2882">
        <v>2016</v>
      </c>
      <c r="H2882">
        <v>4</v>
      </c>
    </row>
    <row r="2883" spans="1:8" hidden="1" x14ac:dyDescent="0.25">
      <c r="A2883" t="str">
        <f>_xlfn.XLOOKUP(C2883, 'Códigos DANE Municipios'!$B$2:$B$1123, 'Códigos DANE Municipios'!$A$2:$A$1123, "No encontrado")</f>
        <v>No encontrado</v>
      </c>
      <c r="B2883" t="str">
        <f>IFERROR(VLOOKUP(D2883,APOYO!K:L,2,FALSE),A2883)</f>
        <v>No encontrado</v>
      </c>
      <c r="C2883" t="s">
        <v>2419</v>
      </c>
      <c r="D2883" t="str">
        <f>IFERROR(VLOOKUP(C2883,APOYO!J:K,2,FALSE),C2883)</f>
        <v>YOLOMBO</v>
      </c>
      <c r="E2883">
        <v>2016</v>
      </c>
      <c r="H2883">
        <v>1</v>
      </c>
    </row>
    <row r="2884" spans="1:8" hidden="1" x14ac:dyDescent="0.25">
      <c r="A2884" t="str">
        <f>_xlfn.XLOOKUP(C2884, 'Códigos DANE Municipios'!$B$2:$B$1123, 'Códigos DANE Municipios'!$A$2:$A$1123, "No encontrado")</f>
        <v>No encontrado</v>
      </c>
      <c r="B2884" t="str">
        <f>IFERROR(VLOOKUP(D2884,APOYO!K:L,2,FALSE),A2884)</f>
        <v>No encontrado</v>
      </c>
      <c r="C2884" t="s">
        <v>2420</v>
      </c>
      <c r="D2884" t="str">
        <f>IFERROR(VLOOKUP(C2884,APOYO!J:K,2,FALSE),C2884)</f>
        <v>YONDO</v>
      </c>
      <c r="E2884">
        <v>2016</v>
      </c>
      <c r="H2884">
        <v>7</v>
      </c>
    </row>
    <row r="2885" spans="1:8" hidden="1" x14ac:dyDescent="0.25">
      <c r="A2885" t="str">
        <f>_xlfn.XLOOKUP(C2885, 'Códigos DANE Municipios'!$B$2:$B$1123, 'Códigos DANE Municipios'!$A$2:$A$1123, "No encontrado")</f>
        <v>85001</v>
      </c>
      <c r="B2885" t="str">
        <f>IFERROR(VLOOKUP(D2885,APOYO!K:L,2,FALSE),A2885)</f>
        <v>85001</v>
      </c>
      <c r="C2885" t="s">
        <v>2048</v>
      </c>
      <c r="D2885" t="str">
        <f>IFERROR(VLOOKUP(C2885,APOYO!J:K,2,FALSE),C2885)</f>
        <v>YOPAL</v>
      </c>
      <c r="E2885">
        <v>2016</v>
      </c>
      <c r="F2885">
        <v>189304</v>
      </c>
      <c r="G2885">
        <v>542</v>
      </c>
      <c r="H2885">
        <v>596</v>
      </c>
    </row>
    <row r="2886" spans="1:8" hidden="1" x14ac:dyDescent="0.25">
      <c r="A2886" t="str">
        <f>_xlfn.XLOOKUP(C2886, 'Códigos DANE Municipios'!$B$2:$B$1123, 'Códigos DANE Municipios'!$A$2:$A$1123, "No encontrado")</f>
        <v>76890</v>
      </c>
      <c r="B2886" t="str">
        <f>IFERROR(VLOOKUP(D2886,APOYO!K:L,2,FALSE),A2886)</f>
        <v>76890</v>
      </c>
      <c r="C2886" t="s">
        <v>2028</v>
      </c>
      <c r="D2886" t="str">
        <f>IFERROR(VLOOKUP(C2886,APOYO!J:K,2,FALSE),C2886)</f>
        <v>YOTOCO</v>
      </c>
      <c r="E2886">
        <v>2016</v>
      </c>
      <c r="H2886">
        <v>24</v>
      </c>
    </row>
    <row r="2887" spans="1:8" hidden="1" x14ac:dyDescent="0.25">
      <c r="A2887" t="str">
        <f>_xlfn.XLOOKUP(C2887, 'Códigos DANE Municipios'!$B$2:$B$1123, 'Códigos DANE Municipios'!$A$2:$A$1123, "No encontrado")</f>
        <v>76892</v>
      </c>
      <c r="B2887" t="str">
        <f>IFERROR(VLOOKUP(D2887,APOYO!K:L,2,FALSE),A2887)</f>
        <v>76892</v>
      </c>
      <c r="C2887" t="s">
        <v>2030</v>
      </c>
      <c r="D2887" t="str">
        <f>IFERROR(VLOOKUP(C2887,APOYO!J:K,2,FALSE),C2887)</f>
        <v>YUMBO</v>
      </c>
      <c r="E2887">
        <v>2016</v>
      </c>
      <c r="H2887">
        <v>498</v>
      </c>
    </row>
    <row r="2888" spans="1:8" hidden="1" x14ac:dyDescent="0.25">
      <c r="A2888" t="str">
        <f>_xlfn.XLOOKUP(C2888, 'Códigos DANE Municipios'!$B$2:$B$1123, 'Códigos DANE Municipios'!$A$2:$A$1123, "No encontrado")</f>
        <v>68895</v>
      </c>
      <c r="B2888" t="str">
        <f>IFERROR(VLOOKUP(D2888,APOYO!K:L,2,FALSE),A2888)</f>
        <v>68895</v>
      </c>
      <c r="C2888" t="s">
        <v>1814</v>
      </c>
      <c r="D2888" t="str">
        <f>IFERROR(VLOOKUP(C2888,APOYO!J:K,2,FALSE),C2888)</f>
        <v>ZAPATOCA</v>
      </c>
      <c r="E2888">
        <v>2016</v>
      </c>
      <c r="H2888">
        <v>45</v>
      </c>
    </row>
    <row r="2889" spans="1:8" hidden="1" x14ac:dyDescent="0.25">
      <c r="A2889" t="str">
        <f>_xlfn.XLOOKUP(C2889, 'Códigos DANE Municipios'!$B$2:$B$1123, 'Códigos DANE Municipios'!$A$2:$A$1123, "No encontrado")</f>
        <v>05895</v>
      </c>
      <c r="B2889" t="str">
        <f>IFERROR(VLOOKUP(D2889,APOYO!K:L,2,FALSE),A2889)</f>
        <v>05895</v>
      </c>
      <c r="C2889" t="s">
        <v>260</v>
      </c>
      <c r="D2889" t="str">
        <f>IFERROR(VLOOKUP(C2889,APOYO!J:K,2,FALSE),C2889)</f>
        <v>ZARAGOZA</v>
      </c>
      <c r="E2889">
        <v>2016</v>
      </c>
      <c r="H2889">
        <v>3</v>
      </c>
    </row>
    <row r="2890" spans="1:8" hidden="1" x14ac:dyDescent="0.25">
      <c r="A2890" t="str">
        <f>_xlfn.XLOOKUP(C2890, 'Códigos DANE Municipios'!$B$2:$B$1123, 'Códigos DANE Municipios'!$A$2:$A$1123, "No encontrado")</f>
        <v>76895</v>
      </c>
      <c r="B2890" t="str">
        <f>IFERROR(VLOOKUP(D2890,APOYO!K:L,2,FALSE),A2890)</f>
        <v>76895</v>
      </c>
      <c r="C2890" t="s">
        <v>2032</v>
      </c>
      <c r="D2890" t="str">
        <f>IFERROR(VLOOKUP(C2890,APOYO!J:K,2,FALSE),C2890)</f>
        <v>ZARZAL</v>
      </c>
      <c r="E2890">
        <v>2016</v>
      </c>
      <c r="H2890">
        <v>165</v>
      </c>
    </row>
    <row r="2891" spans="1:8" hidden="1" x14ac:dyDescent="0.25">
      <c r="A2891" t="str">
        <f>_xlfn.XLOOKUP(C2891, 'Códigos DANE Municipios'!$B$2:$B$1123, 'Códigos DANE Municipios'!$A$2:$A$1123, "No encontrado")</f>
        <v>15897</v>
      </c>
      <c r="B2891" t="str">
        <f>IFERROR(VLOOKUP(D2891,APOYO!K:L,2,FALSE),A2891)</f>
        <v>15897</v>
      </c>
      <c r="C2891" t="s">
        <v>642</v>
      </c>
      <c r="D2891" t="str">
        <f>IFERROR(VLOOKUP(C2891,APOYO!J:K,2,FALSE),C2891)</f>
        <v>ZETAQUIRA</v>
      </c>
      <c r="E2891">
        <v>2016</v>
      </c>
      <c r="H2891">
        <v>1</v>
      </c>
    </row>
    <row r="2892" spans="1:8" hidden="1" x14ac:dyDescent="0.25">
      <c r="A2892" t="str">
        <f>_xlfn.XLOOKUP(C2892, 'Códigos DANE Municipios'!$B$2:$B$1123, 'Códigos DANE Municipios'!$A$2:$A$1123, "No encontrado")</f>
        <v>No encontrado</v>
      </c>
      <c r="B2892" t="str">
        <f>IFERROR(VLOOKUP(D2892,APOYO!K:L,2,FALSE),A2892)</f>
        <v>No encontrado</v>
      </c>
      <c r="C2892" t="s">
        <v>2421</v>
      </c>
      <c r="D2892" t="str">
        <f>IFERROR(VLOOKUP(C2892,APOYO!J:K,2,FALSE),C2892)</f>
        <v>ZIPACON</v>
      </c>
      <c r="E2892">
        <v>2016</v>
      </c>
      <c r="H2892">
        <v>16</v>
      </c>
    </row>
    <row r="2893" spans="1:8" hidden="1" x14ac:dyDescent="0.25">
      <c r="A2893" t="str">
        <f>_xlfn.XLOOKUP(C2893, 'Códigos DANE Municipios'!$B$2:$B$1123, 'Códigos DANE Municipios'!$A$2:$A$1123, "No encontrado")</f>
        <v>No encontrado</v>
      </c>
      <c r="B2893" t="str">
        <f>IFERROR(VLOOKUP(D2893,APOYO!K:L,2,FALSE),A2893)</f>
        <v>No encontrado</v>
      </c>
      <c r="C2893" t="s">
        <v>2422</v>
      </c>
      <c r="D2893" t="str">
        <f>IFERROR(VLOOKUP(C2893,APOYO!J:K,2,FALSE),C2893)</f>
        <v>ZIPAQUIRA</v>
      </c>
      <c r="E2893">
        <v>2016</v>
      </c>
      <c r="H2893">
        <v>770</v>
      </c>
    </row>
    <row r="2894" spans="1:8" hidden="1" x14ac:dyDescent="0.25">
      <c r="A2894" t="str">
        <f>_xlfn.XLOOKUP(C2894, 'Códigos DANE Municipios'!$B$2:$B$1123, 'Códigos DANE Municipios'!$A$2:$A$1123, "No encontrado")</f>
        <v>20570</v>
      </c>
      <c r="B2894" t="str">
        <f>IFERROR(VLOOKUP(D2894,APOYO!K:L,2,FALSE),A2894)</f>
        <v>20570</v>
      </c>
      <c r="C2894" t="s">
        <v>844</v>
      </c>
      <c r="D2894" t="str">
        <f>IFERROR(VLOOKUP(C2894,APOYO!J:K,2,FALSE),C2894)</f>
        <v>PUEBLO BELLO</v>
      </c>
      <c r="E2894">
        <v>2017</v>
      </c>
    </row>
    <row r="2895" spans="1:8" hidden="1" x14ac:dyDescent="0.25">
      <c r="A2895" t="str">
        <f>_xlfn.XLOOKUP(C2895, 'Códigos DANE Municipios'!$B$2:$B$1123, 'Códigos DANE Municipios'!$A$2:$A$1123, "No encontrado")</f>
        <v>44378</v>
      </c>
      <c r="B2895" t="str">
        <f>IFERROR(VLOOKUP(D2895,APOYO!K:L,2,FALSE),A2895)</f>
        <v>44378</v>
      </c>
      <c r="C2895" t="s">
        <v>1285</v>
      </c>
      <c r="D2895" t="str">
        <f>IFERROR(VLOOKUP(C2895,APOYO!J:K,2,FALSE),C2895)</f>
        <v>HATONUEVO</v>
      </c>
      <c r="E2895">
        <v>2017</v>
      </c>
    </row>
    <row r="2896" spans="1:8" hidden="1" x14ac:dyDescent="0.25">
      <c r="A2896" t="str">
        <f>_xlfn.XLOOKUP(C2896, 'Códigos DANE Municipios'!$B$2:$B$1123, 'Códigos DANE Municipios'!$A$2:$A$1123, "No encontrado")</f>
        <v>99624</v>
      </c>
      <c r="B2896" t="str">
        <f>IFERROR(VLOOKUP(D2896,APOYO!K:L,2,FALSE),A2896)</f>
        <v>99624</v>
      </c>
      <c r="C2896" t="s">
        <v>2167</v>
      </c>
      <c r="D2896" t="str">
        <f>IFERROR(VLOOKUP(C2896,APOYO!J:K,2,FALSE),C2896)</f>
        <v>SANTA ROSALÍA</v>
      </c>
      <c r="E2896">
        <v>2017</v>
      </c>
    </row>
    <row r="2897" spans="1:5" hidden="1" x14ac:dyDescent="0.25">
      <c r="A2897" t="str">
        <f>_xlfn.XLOOKUP(C2897, 'Códigos DANE Municipios'!$B$2:$B$1123, 'Códigos DANE Municipios'!$A$2:$A$1123, "No encontrado")</f>
        <v>05002</v>
      </c>
      <c r="B2897" t="str">
        <f>IFERROR(VLOOKUP(D2897,APOYO!K:L,2,FALSE),A2897)</f>
        <v>05002</v>
      </c>
      <c r="C2897" t="s">
        <v>14</v>
      </c>
      <c r="D2897" t="str">
        <f>IFERROR(VLOOKUP(C2897,APOYO!J:K,2,FALSE),C2897)</f>
        <v>ABEJORRAL</v>
      </c>
      <c r="E2897">
        <v>2017</v>
      </c>
    </row>
    <row r="2898" spans="1:5" hidden="1" x14ac:dyDescent="0.25">
      <c r="A2898" t="str">
        <f>_xlfn.XLOOKUP(C2898, 'Códigos DANE Municipios'!$B$2:$B$1123, 'Códigos DANE Municipios'!$A$2:$A$1123, "No encontrado")</f>
        <v>54003</v>
      </c>
      <c r="B2898" t="str">
        <f>IFERROR(VLOOKUP(D2898,APOYO!K:L,2,FALSE),A2898)</f>
        <v>54003</v>
      </c>
      <c r="C2898" t="s">
        <v>1531</v>
      </c>
      <c r="D2898" t="str">
        <f>IFERROR(VLOOKUP(C2898,APOYO!J:K,2,FALSE),C2898)</f>
        <v>ÁBREGO</v>
      </c>
      <c r="E2898">
        <v>2017</v>
      </c>
    </row>
    <row r="2899" spans="1:5" hidden="1" x14ac:dyDescent="0.25">
      <c r="A2899" t="str">
        <f>_xlfn.XLOOKUP(C2899, 'Códigos DANE Municipios'!$B$2:$B$1123, 'Códigos DANE Municipios'!$A$2:$A$1123, "No encontrado")</f>
        <v>05004</v>
      </c>
      <c r="B2899" t="str">
        <f>IFERROR(VLOOKUP(D2899,APOYO!K:L,2,FALSE),A2899)</f>
        <v>05004</v>
      </c>
      <c r="C2899" t="s">
        <v>16</v>
      </c>
      <c r="D2899" t="str">
        <f>IFERROR(VLOOKUP(C2899,APOYO!J:K,2,FALSE),C2899)</f>
        <v>ABRIAQUÍ</v>
      </c>
      <c r="E2899">
        <v>2017</v>
      </c>
    </row>
    <row r="2900" spans="1:5" hidden="1" x14ac:dyDescent="0.25">
      <c r="A2900" t="str">
        <f>_xlfn.XLOOKUP(C2900, 'Códigos DANE Municipios'!$B$2:$B$1123, 'Códigos DANE Municipios'!$A$2:$A$1123, "No encontrado")</f>
        <v>50006</v>
      </c>
      <c r="B2900" t="str">
        <f>IFERROR(VLOOKUP(D2900,APOYO!K:L,2,FALSE),A2900)</f>
        <v>50006</v>
      </c>
      <c r="C2900" t="s">
        <v>1360</v>
      </c>
      <c r="D2900" t="str">
        <f>IFERROR(VLOOKUP(C2900,APOYO!J:K,2,FALSE),C2900)</f>
        <v>ACACÍAS</v>
      </c>
      <c r="E2900">
        <v>2017</v>
      </c>
    </row>
    <row r="2901" spans="1:5" hidden="1" x14ac:dyDescent="0.25">
      <c r="A2901" t="str">
        <f>_xlfn.XLOOKUP(C2901, 'Códigos DANE Municipios'!$B$2:$B$1123, 'Códigos DANE Municipios'!$A$2:$A$1123, "No encontrado")</f>
        <v>27006</v>
      </c>
      <c r="B2901" t="str">
        <f>IFERROR(VLOOKUP(D2901,APOYO!K:L,2,FALSE),A2901)</f>
        <v>27006</v>
      </c>
      <c r="C2901" t="s">
        <v>1144</v>
      </c>
      <c r="D2901" t="str">
        <f>IFERROR(VLOOKUP(C2901,APOYO!J:K,2,FALSE),C2901)</f>
        <v>ACANDÍ</v>
      </c>
      <c r="E2901">
        <v>2017</v>
      </c>
    </row>
    <row r="2902" spans="1:5" hidden="1" x14ac:dyDescent="0.25">
      <c r="A2902" t="str">
        <f>_xlfn.XLOOKUP(C2902, 'Códigos DANE Municipios'!$B$2:$B$1123, 'Códigos DANE Municipios'!$A$2:$A$1123, "No encontrado")</f>
        <v>41006</v>
      </c>
      <c r="B2902" t="str">
        <f>IFERROR(VLOOKUP(D2902,APOYO!K:L,2,FALSE),A2902)</f>
        <v>41006</v>
      </c>
      <c r="C2902" t="s">
        <v>1203</v>
      </c>
      <c r="D2902" t="str">
        <f>IFERROR(VLOOKUP(C2902,APOYO!J:K,2,FALSE),C2902)</f>
        <v>ACEVEDO</v>
      </c>
      <c r="E2902">
        <v>2017</v>
      </c>
    </row>
    <row r="2903" spans="1:5" hidden="1" x14ac:dyDescent="0.25">
      <c r="A2903" t="str">
        <f>_xlfn.XLOOKUP(C2903, 'Códigos DANE Municipios'!$B$2:$B$1123, 'Códigos DANE Municipios'!$A$2:$A$1123, "No encontrado")</f>
        <v>13006</v>
      </c>
      <c r="B2903" t="str">
        <f>IFERROR(VLOOKUP(D2903,APOYO!K:L,2,FALSE),A2903)</f>
        <v>13006</v>
      </c>
      <c r="C2903" t="s">
        <v>311</v>
      </c>
      <c r="D2903" t="str">
        <f>IFERROR(VLOOKUP(C2903,APOYO!J:K,2,FALSE),C2903)</f>
        <v>ACHÍ</v>
      </c>
      <c r="E2903">
        <v>2017</v>
      </c>
    </row>
    <row r="2904" spans="1:5" hidden="1" x14ac:dyDescent="0.25">
      <c r="A2904" t="str">
        <f>_xlfn.XLOOKUP(C2904, 'Códigos DANE Municipios'!$B$2:$B$1123, 'Códigos DANE Municipios'!$A$2:$A$1123, "No encontrado")</f>
        <v>41013</v>
      </c>
      <c r="B2904" t="str">
        <f>IFERROR(VLOOKUP(D2904,APOYO!K:L,2,FALSE),A2904)</f>
        <v>41013</v>
      </c>
      <c r="C2904" t="s">
        <v>1205</v>
      </c>
      <c r="D2904" t="str">
        <f>IFERROR(VLOOKUP(C2904,APOYO!J:K,2,FALSE),C2904)</f>
        <v>AGRADO</v>
      </c>
      <c r="E2904">
        <v>2017</v>
      </c>
    </row>
    <row r="2905" spans="1:5" hidden="1" x14ac:dyDescent="0.25">
      <c r="A2905" t="str">
        <f>_xlfn.XLOOKUP(C2905, 'Códigos DANE Municipios'!$B$2:$B$1123, 'Códigos DANE Municipios'!$A$2:$A$1123, "No encontrado")</f>
        <v>25001</v>
      </c>
      <c r="B2905" t="str">
        <f>IFERROR(VLOOKUP(D2905,APOYO!K:L,2,FALSE),A2905)</f>
        <v>25001</v>
      </c>
      <c r="C2905" t="s">
        <v>916</v>
      </c>
      <c r="D2905" t="str">
        <f>IFERROR(VLOOKUP(C2905,APOYO!J:K,2,FALSE),C2905)</f>
        <v>AGUA DE DIOS</v>
      </c>
      <c r="E2905">
        <v>2017</v>
      </c>
    </row>
    <row r="2906" spans="1:5" hidden="1" x14ac:dyDescent="0.25">
      <c r="A2906" t="str">
        <f>_xlfn.XLOOKUP(C2906, 'Códigos DANE Municipios'!$B$2:$B$1123, 'Códigos DANE Municipios'!$A$2:$A$1123, "No encontrado")</f>
        <v>20011</v>
      </c>
      <c r="B2906" t="str">
        <f>IFERROR(VLOOKUP(D2906,APOYO!K:L,2,FALSE),A2906)</f>
        <v>20011</v>
      </c>
      <c r="C2906" t="s">
        <v>810</v>
      </c>
      <c r="D2906" t="str">
        <f>IFERROR(VLOOKUP(C2906,APOYO!J:K,2,FALSE),C2906)</f>
        <v>AGUACHICA</v>
      </c>
      <c r="E2906">
        <v>2017</v>
      </c>
    </row>
    <row r="2907" spans="1:5" hidden="1" x14ac:dyDescent="0.25">
      <c r="A2907" t="str">
        <f>_xlfn.XLOOKUP(C2907, 'Códigos DANE Municipios'!$B$2:$B$1123, 'Códigos DANE Municipios'!$A$2:$A$1123, "No encontrado")</f>
        <v>68013</v>
      </c>
      <c r="B2907" t="str">
        <f>IFERROR(VLOOKUP(D2907,APOYO!K:L,2,FALSE),A2907)</f>
        <v>68013</v>
      </c>
      <c r="C2907" t="s">
        <v>1657</v>
      </c>
      <c r="D2907" t="str">
        <f>IFERROR(VLOOKUP(C2907,APOYO!J:K,2,FALSE),C2907)</f>
        <v>AGUADA</v>
      </c>
      <c r="E2907">
        <v>2017</v>
      </c>
    </row>
    <row r="2908" spans="1:5" hidden="1" x14ac:dyDescent="0.25">
      <c r="A2908" t="str">
        <f>_xlfn.XLOOKUP(C2908, 'Códigos DANE Municipios'!$B$2:$B$1123, 'Códigos DANE Municipios'!$A$2:$A$1123, "No encontrado")</f>
        <v>17013</v>
      </c>
      <c r="B2908" t="str">
        <f>IFERROR(VLOOKUP(D2908,APOYO!K:L,2,FALSE),A2908)</f>
        <v>17013</v>
      </c>
      <c r="C2908" t="s">
        <v>646</v>
      </c>
      <c r="D2908" t="str">
        <f>IFERROR(VLOOKUP(C2908,APOYO!J:K,2,FALSE),C2908)</f>
        <v>AGUADAS</v>
      </c>
      <c r="E2908">
        <v>2017</v>
      </c>
    </row>
    <row r="2909" spans="1:5" hidden="1" x14ac:dyDescent="0.25">
      <c r="A2909" t="str">
        <f>_xlfn.XLOOKUP(C2909, 'Códigos DANE Municipios'!$B$2:$B$1123, 'Códigos DANE Municipios'!$A$2:$A$1123, "No encontrado")</f>
        <v>85010</v>
      </c>
      <c r="B2909" t="str">
        <f>IFERROR(VLOOKUP(D2909,APOYO!K:L,2,FALSE),A2909)</f>
        <v>85010</v>
      </c>
      <c r="C2909" t="s">
        <v>2050</v>
      </c>
      <c r="D2909" t="str">
        <f>IFERROR(VLOOKUP(C2909,APOYO!J:K,2,FALSE),C2909)</f>
        <v>AGUAZUL</v>
      </c>
      <c r="E2909">
        <v>2017</v>
      </c>
    </row>
    <row r="2910" spans="1:5" hidden="1" x14ac:dyDescent="0.25">
      <c r="A2910" t="str">
        <f>_xlfn.XLOOKUP(C2910, 'Códigos DANE Municipios'!$B$2:$B$1123, 'Códigos DANE Municipios'!$A$2:$A$1123, "No encontrado")</f>
        <v>20013</v>
      </c>
      <c r="B2910" t="str">
        <f>IFERROR(VLOOKUP(D2910,APOYO!K:L,2,FALSE),A2910)</f>
        <v>20013</v>
      </c>
      <c r="C2910" t="s">
        <v>812</v>
      </c>
      <c r="D2910" t="str">
        <f>IFERROR(VLOOKUP(C2910,APOYO!J:K,2,FALSE),C2910)</f>
        <v>AGUSTÍN CODAZZI</v>
      </c>
      <c r="E2910">
        <v>2017</v>
      </c>
    </row>
    <row r="2911" spans="1:5" hidden="1" x14ac:dyDescent="0.25">
      <c r="A2911" t="str">
        <f>_xlfn.XLOOKUP(C2911, 'Códigos DANE Municipios'!$B$2:$B$1123, 'Códigos DANE Municipios'!$A$2:$A$1123, "No encontrado")</f>
        <v>41016</v>
      </c>
      <c r="B2911" t="str">
        <f>IFERROR(VLOOKUP(D2911,APOYO!K:L,2,FALSE),A2911)</f>
        <v>41016</v>
      </c>
      <c r="C2911" t="s">
        <v>1207</v>
      </c>
      <c r="D2911" t="str">
        <f>IFERROR(VLOOKUP(C2911,APOYO!J:K,2,FALSE),C2911)</f>
        <v>AIPE</v>
      </c>
      <c r="E2911">
        <v>2017</v>
      </c>
    </row>
    <row r="2912" spans="1:5" hidden="1" x14ac:dyDescent="0.25">
      <c r="A2912" t="str">
        <f>_xlfn.XLOOKUP(C2912, 'Códigos DANE Municipios'!$B$2:$B$1123, 'Códigos DANE Municipios'!$A$2:$A$1123, "No encontrado")</f>
        <v>25019</v>
      </c>
      <c r="B2912" t="str">
        <f>IFERROR(VLOOKUP(D2912,APOYO!K:L,2,FALSE),A2912)</f>
        <v>25019</v>
      </c>
      <c r="C2912" t="s">
        <v>918</v>
      </c>
      <c r="D2912" t="str">
        <f>IFERROR(VLOOKUP(C2912,APOYO!J:K,2,FALSE),C2912)</f>
        <v>ALBÁN</v>
      </c>
      <c r="E2912">
        <v>2017</v>
      </c>
    </row>
    <row r="2913" spans="1:5" hidden="1" x14ac:dyDescent="0.25">
      <c r="A2913" t="str">
        <f>_xlfn.XLOOKUP(C2913, 'Códigos DANE Municipios'!$B$2:$B$1123, 'Códigos DANE Municipios'!$A$2:$A$1123, "No encontrado")</f>
        <v>18029</v>
      </c>
      <c r="B2913" t="str">
        <f>IFERROR(VLOOKUP(D2913,APOYO!K:L,2,FALSE),A2913)</f>
        <v>18029</v>
      </c>
      <c r="C2913" t="s">
        <v>700</v>
      </c>
      <c r="D2913" t="str">
        <f>IFERROR(VLOOKUP(C2913,APOYO!J:K,2,FALSE),C2913)</f>
        <v>ALBANIA</v>
      </c>
      <c r="E2913">
        <v>2017</v>
      </c>
    </row>
    <row r="2914" spans="1:5" hidden="1" x14ac:dyDescent="0.25">
      <c r="A2914" t="str">
        <f>_xlfn.XLOOKUP(C2914, 'Códigos DANE Municipios'!$B$2:$B$1123, 'Códigos DANE Municipios'!$A$2:$A$1123, "No encontrado")</f>
        <v>76020</v>
      </c>
      <c r="B2914" t="str">
        <f>IFERROR(VLOOKUP(D2914,APOYO!K:L,2,FALSE),A2914)</f>
        <v>76020</v>
      </c>
      <c r="C2914" t="s">
        <v>1959</v>
      </c>
      <c r="D2914" t="str">
        <f>IFERROR(VLOOKUP(C2914,APOYO!J:K,2,FALSE),C2914)</f>
        <v>ALCALÁ</v>
      </c>
      <c r="E2914">
        <v>2017</v>
      </c>
    </row>
    <row r="2915" spans="1:5" hidden="1" x14ac:dyDescent="0.25">
      <c r="A2915" t="str">
        <f>_xlfn.XLOOKUP(C2915, 'Códigos DANE Municipios'!$B$2:$B$1123, 'Códigos DANE Municipios'!$A$2:$A$1123, "No encontrado")</f>
        <v>05021</v>
      </c>
      <c r="B2915" t="str">
        <f>IFERROR(VLOOKUP(D2915,APOYO!K:L,2,FALSE),A2915)</f>
        <v>05021</v>
      </c>
      <c r="C2915" t="s">
        <v>18</v>
      </c>
      <c r="D2915" t="str">
        <f>IFERROR(VLOOKUP(C2915,APOYO!J:K,2,FALSE),C2915)</f>
        <v>ALEJANDRÍA</v>
      </c>
      <c r="E2915">
        <v>2017</v>
      </c>
    </row>
    <row r="2916" spans="1:5" hidden="1" x14ac:dyDescent="0.25">
      <c r="A2916" t="str">
        <f>_xlfn.XLOOKUP(C2916, 'Códigos DANE Municipios'!$B$2:$B$1123, 'Códigos DANE Municipios'!$A$2:$A$1123, "No encontrado")</f>
        <v>41020</v>
      </c>
      <c r="B2916" t="str">
        <f>IFERROR(VLOOKUP(D2916,APOYO!K:L,2,FALSE),A2916)</f>
        <v>41020</v>
      </c>
      <c r="C2916" t="s">
        <v>1209</v>
      </c>
      <c r="D2916" t="str">
        <f>IFERROR(VLOOKUP(C2916,APOYO!J:K,2,FALSE),C2916)</f>
        <v>ALGECIRAS</v>
      </c>
      <c r="E2916">
        <v>2017</v>
      </c>
    </row>
    <row r="2917" spans="1:5" hidden="1" x14ac:dyDescent="0.25">
      <c r="A2917" t="str">
        <f>_xlfn.XLOOKUP(C2917, 'Códigos DANE Municipios'!$B$2:$B$1123, 'Códigos DANE Municipios'!$A$2:$A$1123, "No encontrado")</f>
        <v>73024</v>
      </c>
      <c r="B2917" t="str">
        <f>IFERROR(VLOOKUP(D2917,APOYO!K:L,2,FALSE),A2917)</f>
        <v>73024</v>
      </c>
      <c r="C2917" t="s">
        <v>1867</v>
      </c>
      <c r="D2917" t="str">
        <f>IFERROR(VLOOKUP(C2917,APOYO!J:K,2,FALSE),C2917)</f>
        <v>ALPUJARRA</v>
      </c>
      <c r="E2917">
        <v>2017</v>
      </c>
    </row>
    <row r="2918" spans="1:5" hidden="1" x14ac:dyDescent="0.25">
      <c r="A2918" t="str">
        <f>_xlfn.XLOOKUP(C2918, 'Códigos DANE Municipios'!$B$2:$B$1123, 'Códigos DANE Municipios'!$A$2:$A$1123, "No encontrado")</f>
        <v>73026</v>
      </c>
      <c r="B2918" t="str">
        <f>IFERROR(VLOOKUP(D2918,APOYO!K:L,2,FALSE),A2918)</f>
        <v>73026</v>
      </c>
      <c r="C2918" t="s">
        <v>1869</v>
      </c>
      <c r="D2918" t="str">
        <f>IFERROR(VLOOKUP(C2918,APOYO!J:K,2,FALSE),C2918)</f>
        <v>ALVARADO</v>
      </c>
      <c r="E2918">
        <v>2017</v>
      </c>
    </row>
    <row r="2919" spans="1:5" hidden="1" x14ac:dyDescent="0.25">
      <c r="A2919" t="str">
        <f>_xlfn.XLOOKUP(C2919, 'Códigos DANE Municipios'!$B$2:$B$1123, 'Códigos DANE Municipios'!$A$2:$A$1123, "No encontrado")</f>
        <v>05030</v>
      </c>
      <c r="B2919" t="str">
        <f>IFERROR(VLOOKUP(D2919,APOYO!K:L,2,FALSE),A2919)</f>
        <v>05030</v>
      </c>
      <c r="C2919" t="s">
        <v>20</v>
      </c>
      <c r="D2919" t="str">
        <f>IFERROR(VLOOKUP(C2919,APOYO!J:K,2,FALSE),C2919)</f>
        <v>AMAGÁ</v>
      </c>
      <c r="E2919">
        <v>2017</v>
      </c>
    </row>
    <row r="2920" spans="1:5" hidden="1" x14ac:dyDescent="0.25">
      <c r="A2920" t="str">
        <f>_xlfn.XLOOKUP(C2920, 'Códigos DANE Municipios'!$B$2:$B$1123, 'Códigos DANE Municipios'!$A$2:$A$1123, "No encontrado")</f>
        <v>05031</v>
      </c>
      <c r="B2920" t="str">
        <f>IFERROR(VLOOKUP(D2920,APOYO!K:L,2,FALSE),A2920)</f>
        <v>05031</v>
      </c>
      <c r="C2920" t="s">
        <v>22</v>
      </c>
      <c r="D2920" t="str">
        <f>IFERROR(VLOOKUP(C2920,APOYO!J:K,2,FALSE),C2920)</f>
        <v>AMALFI</v>
      </c>
      <c r="E2920">
        <v>2017</v>
      </c>
    </row>
    <row r="2921" spans="1:5" hidden="1" x14ac:dyDescent="0.25">
      <c r="A2921" t="str">
        <f>_xlfn.XLOOKUP(C2921, 'Códigos DANE Municipios'!$B$2:$B$1123, 'Códigos DANE Municipios'!$A$2:$A$1123, "No encontrado")</f>
        <v>73030</v>
      </c>
      <c r="B2921" t="str">
        <f>IFERROR(VLOOKUP(D2921,APOYO!K:L,2,FALSE),A2921)</f>
        <v>73030</v>
      </c>
      <c r="C2921" t="s">
        <v>1871</v>
      </c>
      <c r="D2921" t="str">
        <f>IFERROR(VLOOKUP(C2921,APOYO!J:K,2,FALSE),C2921)</f>
        <v>AMBALEMA</v>
      </c>
      <c r="E2921">
        <v>2017</v>
      </c>
    </row>
    <row r="2922" spans="1:5" hidden="1" x14ac:dyDescent="0.25">
      <c r="A2922" t="str">
        <f>_xlfn.XLOOKUP(C2922, 'Códigos DANE Municipios'!$B$2:$B$1123, 'Códigos DANE Municipios'!$A$2:$A$1123, "No encontrado")</f>
        <v>25035</v>
      </c>
      <c r="B2922" t="str">
        <f>IFERROR(VLOOKUP(D2922,APOYO!K:L,2,FALSE),A2922)</f>
        <v>25035</v>
      </c>
      <c r="C2922" t="s">
        <v>920</v>
      </c>
      <c r="D2922" t="str">
        <f>IFERROR(VLOOKUP(C2922,APOYO!J:K,2,FALSE),C2922)</f>
        <v>ANAPOIMA</v>
      </c>
      <c r="E2922">
        <v>2017</v>
      </c>
    </row>
    <row r="2923" spans="1:5" hidden="1" x14ac:dyDescent="0.25">
      <c r="A2923" t="str">
        <f>_xlfn.XLOOKUP(C2923, 'Códigos DANE Municipios'!$B$2:$B$1123, 'Códigos DANE Municipios'!$A$2:$A$1123, "No encontrado")</f>
        <v>76036</v>
      </c>
      <c r="B2923" t="str">
        <f>IFERROR(VLOOKUP(D2923,APOYO!K:L,2,FALSE),A2923)</f>
        <v>76036</v>
      </c>
      <c r="C2923" t="s">
        <v>1961</v>
      </c>
      <c r="D2923" t="str">
        <f>IFERROR(VLOOKUP(C2923,APOYO!J:K,2,FALSE),C2923)</f>
        <v>ANDALUCÍA</v>
      </c>
      <c r="E2923">
        <v>2017</v>
      </c>
    </row>
    <row r="2924" spans="1:5" hidden="1" x14ac:dyDescent="0.25">
      <c r="A2924" t="str">
        <f>_xlfn.XLOOKUP(C2924, 'Códigos DANE Municipios'!$B$2:$B$1123, 'Códigos DANE Municipios'!$A$2:$A$1123, "No encontrado")</f>
        <v>05034</v>
      </c>
      <c r="B2924" t="str">
        <f>IFERROR(VLOOKUP(D2924,APOYO!K:L,2,FALSE),A2924)</f>
        <v>05034</v>
      </c>
      <c r="C2924" t="s">
        <v>24</v>
      </c>
      <c r="D2924" t="str">
        <f>IFERROR(VLOOKUP(C2924,APOYO!J:K,2,FALSE),C2924)</f>
        <v>ANDES</v>
      </c>
      <c r="E2924">
        <v>2017</v>
      </c>
    </row>
    <row r="2925" spans="1:5" hidden="1" x14ac:dyDescent="0.25">
      <c r="A2925" t="str">
        <f>_xlfn.XLOOKUP(C2925, 'Códigos DANE Municipios'!$B$2:$B$1123, 'Códigos DANE Municipios'!$A$2:$A$1123, "No encontrado")</f>
        <v>05036</v>
      </c>
      <c r="B2925" t="str">
        <f>IFERROR(VLOOKUP(D2925,APOYO!K:L,2,FALSE),A2925)</f>
        <v>05036</v>
      </c>
      <c r="C2925" t="s">
        <v>26</v>
      </c>
      <c r="D2925" t="str">
        <f>IFERROR(VLOOKUP(C2925,APOYO!J:K,2,FALSE),C2925)</f>
        <v>ANGELÓPOLIS</v>
      </c>
      <c r="E2925">
        <v>2017</v>
      </c>
    </row>
    <row r="2926" spans="1:5" hidden="1" x14ac:dyDescent="0.25">
      <c r="A2926" t="str">
        <f>_xlfn.XLOOKUP(C2926, 'Códigos DANE Municipios'!$B$2:$B$1123, 'Códigos DANE Municipios'!$A$2:$A$1123, "No encontrado")</f>
        <v>05038</v>
      </c>
      <c r="B2926" t="str">
        <f>IFERROR(VLOOKUP(D2926,APOYO!K:L,2,FALSE),A2926)</f>
        <v>05038</v>
      </c>
      <c r="C2926" t="s">
        <v>28</v>
      </c>
      <c r="D2926" t="str">
        <f>IFERROR(VLOOKUP(C2926,APOYO!J:K,2,FALSE),C2926)</f>
        <v>ANGOSTURA</v>
      </c>
      <c r="E2926">
        <v>2017</v>
      </c>
    </row>
    <row r="2927" spans="1:5" hidden="1" x14ac:dyDescent="0.25">
      <c r="A2927" t="str">
        <f>_xlfn.XLOOKUP(C2927, 'Códigos DANE Municipios'!$B$2:$B$1123, 'Códigos DANE Municipios'!$A$2:$A$1123, "No encontrado")</f>
        <v>25040</v>
      </c>
      <c r="B2927" t="str">
        <f>IFERROR(VLOOKUP(D2927,APOYO!K:L,2,FALSE),A2927)</f>
        <v>25040</v>
      </c>
      <c r="C2927" t="s">
        <v>922</v>
      </c>
      <c r="D2927" t="str">
        <f>IFERROR(VLOOKUP(C2927,APOYO!J:K,2,FALSE),C2927)</f>
        <v>ANOLAIMA</v>
      </c>
      <c r="E2927">
        <v>2017</v>
      </c>
    </row>
    <row r="2928" spans="1:5" hidden="1" x14ac:dyDescent="0.25">
      <c r="A2928" t="str">
        <f>_xlfn.XLOOKUP(C2928, 'Códigos DANE Municipios'!$B$2:$B$1123, 'Códigos DANE Municipios'!$A$2:$A$1123, "No encontrado")</f>
        <v>05040</v>
      </c>
      <c r="B2928" t="str">
        <f>IFERROR(VLOOKUP(D2928,APOYO!K:L,2,FALSE),A2928)</f>
        <v>05040</v>
      </c>
      <c r="C2928" t="s">
        <v>30</v>
      </c>
      <c r="D2928" t="str">
        <f>IFERROR(VLOOKUP(C2928,APOYO!J:K,2,FALSE),C2928)</f>
        <v>ANORÍ</v>
      </c>
      <c r="E2928">
        <v>2017</v>
      </c>
    </row>
    <row r="2929" spans="1:5" hidden="1" x14ac:dyDescent="0.25">
      <c r="A2929" t="str">
        <f>_xlfn.XLOOKUP(C2929, 'Códigos DANE Municipios'!$B$2:$B$1123, 'Códigos DANE Municipios'!$A$2:$A$1123, "No encontrado")</f>
        <v>17042</v>
      </c>
      <c r="B2929" t="str">
        <f>IFERROR(VLOOKUP(D2929,APOYO!K:L,2,FALSE),A2929)</f>
        <v>17042</v>
      </c>
      <c r="C2929" t="s">
        <v>648</v>
      </c>
      <c r="D2929" t="str">
        <f>IFERROR(VLOOKUP(C2929,APOYO!J:K,2,FALSE),C2929)</f>
        <v>ANSERMA</v>
      </c>
      <c r="E2929">
        <v>2017</v>
      </c>
    </row>
    <row r="2930" spans="1:5" hidden="1" x14ac:dyDescent="0.25">
      <c r="A2930" t="str">
        <f>_xlfn.XLOOKUP(C2930, 'Códigos DANE Municipios'!$B$2:$B$1123, 'Códigos DANE Municipios'!$A$2:$A$1123, "No encontrado")</f>
        <v>76041</v>
      </c>
      <c r="B2930" t="str">
        <f>IFERROR(VLOOKUP(D2930,APOYO!K:L,2,FALSE),A2930)</f>
        <v>76041</v>
      </c>
      <c r="C2930" t="s">
        <v>1963</v>
      </c>
      <c r="D2930" t="str">
        <f>IFERROR(VLOOKUP(C2930,APOYO!J:K,2,FALSE),C2930)</f>
        <v>ANSERMANUEVO</v>
      </c>
      <c r="E2930">
        <v>2017</v>
      </c>
    </row>
    <row r="2931" spans="1:5" hidden="1" x14ac:dyDescent="0.25">
      <c r="A2931" t="str">
        <f>_xlfn.XLOOKUP(C2931, 'Códigos DANE Municipios'!$B$2:$B$1123, 'Códigos DANE Municipios'!$A$2:$A$1123, "No encontrado")</f>
        <v>05042</v>
      </c>
      <c r="B2931" t="str">
        <f>IFERROR(VLOOKUP(D2931,APOYO!K:L,2,FALSE),A2931)</f>
        <v>05042</v>
      </c>
      <c r="C2931" t="s">
        <v>32</v>
      </c>
      <c r="D2931" t="str">
        <f>IFERROR(VLOOKUP(C2931,APOYO!J:K,2,FALSE),C2931)</f>
        <v>SANTA FÉ DE ANTIOQUIA</v>
      </c>
      <c r="E2931">
        <v>2017</v>
      </c>
    </row>
    <row r="2932" spans="1:5" hidden="1" x14ac:dyDescent="0.25">
      <c r="A2932" t="str">
        <f>_xlfn.XLOOKUP(C2932, 'Códigos DANE Municipios'!$B$2:$B$1123, 'Códigos DANE Municipios'!$A$2:$A$1123, "No encontrado")</f>
        <v>05044</v>
      </c>
      <c r="B2932" t="str">
        <f>IFERROR(VLOOKUP(D2932,APOYO!K:L,2,FALSE),A2932)</f>
        <v>05044</v>
      </c>
      <c r="C2932" t="s">
        <v>34</v>
      </c>
      <c r="D2932" t="str">
        <f>IFERROR(VLOOKUP(C2932,APOYO!J:K,2,FALSE),C2932)</f>
        <v>ANZÁ</v>
      </c>
      <c r="E2932">
        <v>2017</v>
      </c>
    </row>
    <row r="2933" spans="1:5" hidden="1" x14ac:dyDescent="0.25">
      <c r="A2933" t="str">
        <f>_xlfn.XLOOKUP(C2933, 'Códigos DANE Municipios'!$B$2:$B$1123, 'Códigos DANE Municipios'!$A$2:$A$1123, "No encontrado")</f>
        <v>05045</v>
      </c>
      <c r="B2933" t="str">
        <f>IFERROR(VLOOKUP(D2933,APOYO!K:L,2,FALSE),A2933)</f>
        <v>05045</v>
      </c>
      <c r="C2933" t="s">
        <v>36</v>
      </c>
      <c r="D2933" t="str">
        <f>IFERROR(VLOOKUP(C2933,APOYO!J:K,2,FALSE),C2933)</f>
        <v>APARTADÓ</v>
      </c>
      <c r="E2933">
        <v>2017</v>
      </c>
    </row>
    <row r="2934" spans="1:5" hidden="1" x14ac:dyDescent="0.25">
      <c r="A2934" t="str">
        <f>_xlfn.XLOOKUP(C2934, 'Códigos DANE Municipios'!$B$2:$B$1123, 'Códigos DANE Municipios'!$A$2:$A$1123, "No encontrado")</f>
        <v>66045</v>
      </c>
      <c r="B2934" t="str">
        <f>IFERROR(VLOOKUP(D2934,APOYO!K:L,2,FALSE),A2934)</f>
        <v>66045</v>
      </c>
      <c r="C2934" t="s">
        <v>1630</v>
      </c>
      <c r="D2934" t="str">
        <f>IFERROR(VLOOKUP(C2934,APOYO!J:K,2,FALSE),C2934)</f>
        <v>APÍA</v>
      </c>
      <c r="E2934">
        <v>2017</v>
      </c>
    </row>
    <row r="2935" spans="1:5" hidden="1" x14ac:dyDescent="0.25">
      <c r="A2935" t="str">
        <f>_xlfn.XLOOKUP(C2935, 'Códigos DANE Municipios'!$B$2:$B$1123, 'Códigos DANE Municipios'!$A$2:$A$1123, "No encontrado")</f>
        <v>15047</v>
      </c>
      <c r="B2935" t="str">
        <f>IFERROR(VLOOKUP(D2935,APOYO!K:L,2,FALSE),A2935)</f>
        <v>15047</v>
      </c>
      <c r="C2935" t="s">
        <v>405</v>
      </c>
      <c r="D2935" t="str">
        <f>IFERROR(VLOOKUP(C2935,APOYO!J:K,2,FALSE),C2935)</f>
        <v>AQUITANIA</v>
      </c>
      <c r="E2935">
        <v>2017</v>
      </c>
    </row>
    <row r="2936" spans="1:5" hidden="1" x14ac:dyDescent="0.25">
      <c r="A2936" t="str">
        <f>_xlfn.XLOOKUP(C2936, 'Códigos DANE Municipios'!$B$2:$B$1123, 'Códigos DANE Municipios'!$A$2:$A$1123, "No encontrado")</f>
        <v>47053</v>
      </c>
      <c r="B2936" t="str">
        <f>IFERROR(VLOOKUP(D2936,APOYO!K:L,2,FALSE),A2936)</f>
        <v>47053</v>
      </c>
      <c r="C2936" t="s">
        <v>1304</v>
      </c>
      <c r="D2936" t="str">
        <f>IFERROR(VLOOKUP(C2936,APOYO!J:K,2,FALSE),C2936)</f>
        <v>ARACATACA</v>
      </c>
      <c r="E2936">
        <v>2017</v>
      </c>
    </row>
    <row r="2937" spans="1:5" hidden="1" x14ac:dyDescent="0.25">
      <c r="A2937" t="str">
        <f>_xlfn.XLOOKUP(C2937, 'Códigos DANE Municipios'!$B$2:$B$1123, 'Códigos DANE Municipios'!$A$2:$A$1123, "No encontrado")</f>
        <v>17050</v>
      </c>
      <c r="B2937" t="str">
        <f>IFERROR(VLOOKUP(D2937,APOYO!K:L,2,FALSE),A2937)</f>
        <v>17050</v>
      </c>
      <c r="C2937" t="s">
        <v>650</v>
      </c>
      <c r="D2937" t="str">
        <f>IFERROR(VLOOKUP(C2937,APOYO!J:K,2,FALSE),C2937)</f>
        <v>ARANZAZU</v>
      </c>
      <c r="E2937">
        <v>2017</v>
      </c>
    </row>
    <row r="2938" spans="1:5" hidden="1" x14ac:dyDescent="0.25">
      <c r="A2938" t="str">
        <f>_xlfn.XLOOKUP(C2938, 'Códigos DANE Municipios'!$B$2:$B$1123, 'Códigos DANE Municipios'!$A$2:$A$1123, "No encontrado")</f>
        <v>68051</v>
      </c>
      <c r="B2938" t="str">
        <f>IFERROR(VLOOKUP(D2938,APOYO!K:L,2,FALSE),A2938)</f>
        <v>68051</v>
      </c>
      <c r="C2938" t="s">
        <v>1660</v>
      </c>
      <c r="D2938" t="str">
        <f>IFERROR(VLOOKUP(C2938,APOYO!J:K,2,FALSE),C2938)</f>
        <v>ARATOCA</v>
      </c>
      <c r="E2938">
        <v>2017</v>
      </c>
    </row>
    <row r="2939" spans="1:5" hidden="1" x14ac:dyDescent="0.25">
      <c r="A2939" t="str">
        <f>_xlfn.XLOOKUP(C2939, 'Códigos DANE Municipios'!$B$2:$B$1123, 'Códigos DANE Municipios'!$A$2:$A$1123, "No encontrado")</f>
        <v>81001</v>
      </c>
      <c r="B2939" t="str">
        <f>IFERROR(VLOOKUP(D2939,APOYO!K:L,2,FALSE),A2939)</f>
        <v>81001</v>
      </c>
      <c r="C2939" t="s">
        <v>2034</v>
      </c>
      <c r="D2939" t="str">
        <f>IFERROR(VLOOKUP(C2939,APOYO!J:K,2,FALSE),C2939)</f>
        <v>ARAUCA</v>
      </c>
      <c r="E2939">
        <v>2017</v>
      </c>
    </row>
    <row r="2940" spans="1:5" hidden="1" x14ac:dyDescent="0.25">
      <c r="A2940" t="str">
        <f>_xlfn.XLOOKUP(C2940, 'Códigos DANE Municipios'!$B$2:$B$1123, 'Códigos DANE Municipios'!$A$2:$A$1123, "No encontrado")</f>
        <v>81065</v>
      </c>
      <c r="B2940" t="str">
        <f>IFERROR(VLOOKUP(D2940,APOYO!K:L,2,FALSE),A2940)</f>
        <v>81065</v>
      </c>
      <c r="C2940" t="s">
        <v>2036</v>
      </c>
      <c r="D2940" t="str">
        <f>IFERROR(VLOOKUP(C2940,APOYO!J:K,2,FALSE),C2940)</f>
        <v>ARAUQUITA</v>
      </c>
      <c r="E2940">
        <v>2017</v>
      </c>
    </row>
    <row r="2941" spans="1:5" hidden="1" x14ac:dyDescent="0.25">
      <c r="A2941" t="str">
        <f>_xlfn.XLOOKUP(C2941, 'Códigos DANE Municipios'!$B$2:$B$1123, 'Códigos DANE Municipios'!$A$2:$A$1123, "No encontrado")</f>
        <v>25053</v>
      </c>
      <c r="B2941" t="str">
        <f>IFERROR(VLOOKUP(D2941,APOYO!K:L,2,FALSE),A2941)</f>
        <v>25053</v>
      </c>
      <c r="C2941" t="s">
        <v>924</v>
      </c>
      <c r="D2941" t="str">
        <f>IFERROR(VLOOKUP(C2941,APOYO!J:K,2,FALSE),C2941)</f>
        <v>ARBELÁEZ</v>
      </c>
      <c r="E2941">
        <v>2017</v>
      </c>
    </row>
    <row r="2942" spans="1:5" hidden="1" x14ac:dyDescent="0.25">
      <c r="A2942" t="str">
        <f>_xlfn.XLOOKUP(C2942, 'Códigos DANE Municipios'!$B$2:$B$1123, 'Códigos DANE Municipios'!$A$2:$A$1123, "No encontrado")</f>
        <v>54051</v>
      </c>
      <c r="B2942" t="str">
        <f>IFERROR(VLOOKUP(D2942,APOYO!K:L,2,FALSE),A2942)</f>
        <v>54051</v>
      </c>
      <c r="C2942" t="s">
        <v>1533</v>
      </c>
      <c r="D2942" t="str">
        <f>IFERROR(VLOOKUP(C2942,APOYO!J:K,2,FALSE),C2942)</f>
        <v>ARBOLEDAS</v>
      </c>
      <c r="E2942">
        <v>2017</v>
      </c>
    </row>
    <row r="2943" spans="1:5" hidden="1" x14ac:dyDescent="0.25">
      <c r="A2943" t="str">
        <f>_xlfn.XLOOKUP(C2943, 'Códigos DANE Municipios'!$B$2:$B$1123, 'Códigos DANE Municipios'!$A$2:$A$1123, "No encontrado")</f>
        <v>05051</v>
      </c>
      <c r="B2943" t="str">
        <f>IFERROR(VLOOKUP(D2943,APOYO!K:L,2,FALSE),A2943)</f>
        <v>05051</v>
      </c>
      <c r="C2943" t="s">
        <v>38</v>
      </c>
      <c r="D2943" t="str">
        <f>IFERROR(VLOOKUP(C2943,APOYO!J:K,2,FALSE),C2943)</f>
        <v>ARBOLETES</v>
      </c>
      <c r="E2943">
        <v>2017</v>
      </c>
    </row>
    <row r="2944" spans="1:5" hidden="1" x14ac:dyDescent="0.25">
      <c r="A2944" t="str">
        <f>_xlfn.XLOOKUP(C2944, 'Códigos DANE Municipios'!$B$2:$B$1123, 'Códigos DANE Municipios'!$A$2:$A$1123, "No encontrado")</f>
        <v>15051</v>
      </c>
      <c r="B2944" t="str">
        <f>IFERROR(VLOOKUP(D2944,APOYO!K:L,2,FALSE),A2944)</f>
        <v>15051</v>
      </c>
      <c r="C2944" t="s">
        <v>407</v>
      </c>
      <c r="D2944" t="str">
        <f>IFERROR(VLOOKUP(C2944,APOYO!J:K,2,FALSE),C2944)</f>
        <v>ARCABUCO</v>
      </c>
      <c r="E2944">
        <v>2017</v>
      </c>
    </row>
    <row r="2945" spans="1:5" hidden="1" x14ac:dyDescent="0.25">
      <c r="A2945" t="str">
        <f>_xlfn.XLOOKUP(C2945, 'Códigos DANE Municipios'!$B$2:$B$1123, 'Códigos DANE Municipios'!$A$2:$A$1123, "No encontrado")</f>
        <v>05055</v>
      </c>
      <c r="B2945" t="str">
        <f>IFERROR(VLOOKUP(D2945,APOYO!K:L,2,FALSE),A2945)</f>
        <v>05055</v>
      </c>
      <c r="C2945" t="s">
        <v>40</v>
      </c>
      <c r="D2945" t="str">
        <f>IFERROR(VLOOKUP(C2945,APOYO!J:K,2,FALSE),C2945)</f>
        <v>ARGELIA</v>
      </c>
      <c r="E2945">
        <v>2017</v>
      </c>
    </row>
    <row r="2946" spans="1:5" hidden="1" x14ac:dyDescent="0.25">
      <c r="A2946" t="str">
        <f>_xlfn.XLOOKUP(C2946, 'Códigos DANE Municipios'!$B$2:$B$1123, 'Códigos DANE Municipios'!$A$2:$A$1123, "No encontrado")</f>
        <v>47058</v>
      </c>
      <c r="B2946" t="str">
        <f>IFERROR(VLOOKUP(D2946,APOYO!K:L,2,FALSE),A2946)</f>
        <v>47058</v>
      </c>
      <c r="C2946" t="s">
        <v>1306</v>
      </c>
      <c r="D2946" t="str">
        <f>IFERROR(VLOOKUP(C2946,APOYO!J:K,2,FALSE),C2946)</f>
        <v>ARIGUANÍ</v>
      </c>
      <c r="E2946">
        <v>2017</v>
      </c>
    </row>
    <row r="2947" spans="1:5" hidden="1" x14ac:dyDescent="0.25">
      <c r="A2947" t="str">
        <f>_xlfn.XLOOKUP(C2947, 'Códigos DANE Municipios'!$B$2:$B$1123, 'Códigos DANE Municipios'!$A$2:$A$1123, "No encontrado")</f>
        <v>13052</v>
      </c>
      <c r="B2947" t="str">
        <f>IFERROR(VLOOKUP(D2947,APOYO!K:L,2,FALSE),A2947)</f>
        <v>13052</v>
      </c>
      <c r="C2947" t="s">
        <v>317</v>
      </c>
      <c r="D2947" t="str">
        <f>IFERROR(VLOOKUP(C2947,APOYO!J:K,2,FALSE),C2947)</f>
        <v>ARJONA</v>
      </c>
      <c r="E2947">
        <v>2017</v>
      </c>
    </row>
    <row r="2948" spans="1:5" hidden="1" x14ac:dyDescent="0.25">
      <c r="A2948" t="str">
        <f>_xlfn.XLOOKUP(C2948, 'Códigos DANE Municipios'!$B$2:$B$1123, 'Códigos DANE Municipios'!$A$2:$A$1123, "No encontrado")</f>
        <v>05059</v>
      </c>
      <c r="B2948" t="str">
        <f>IFERROR(VLOOKUP(D2948,APOYO!K:L,2,FALSE),A2948)</f>
        <v>05059</v>
      </c>
      <c r="C2948" t="s">
        <v>42</v>
      </c>
      <c r="D2948" t="str">
        <f>IFERROR(VLOOKUP(C2948,APOYO!J:K,2,FALSE),C2948)</f>
        <v>ARMENIA</v>
      </c>
      <c r="E2948">
        <v>2017</v>
      </c>
    </row>
    <row r="2949" spans="1:5" hidden="1" x14ac:dyDescent="0.25">
      <c r="A2949" t="str">
        <f>_xlfn.XLOOKUP(C2949, 'Códigos DANE Municipios'!$B$2:$B$1123, 'Códigos DANE Municipios'!$A$2:$A$1123, "No encontrado")</f>
        <v>73055</v>
      </c>
      <c r="B2949" t="str">
        <f>IFERROR(VLOOKUP(D2949,APOYO!K:L,2,FALSE),A2949)</f>
        <v>73055</v>
      </c>
      <c r="C2949" t="s">
        <v>1875</v>
      </c>
      <c r="D2949" t="str">
        <f>IFERROR(VLOOKUP(C2949,APOYO!J:K,2,FALSE),C2949)</f>
        <v>ARMERO GUAYABAL</v>
      </c>
      <c r="E2949">
        <v>2017</v>
      </c>
    </row>
    <row r="2950" spans="1:5" hidden="1" x14ac:dyDescent="0.25">
      <c r="A2950" t="str">
        <f>_xlfn.XLOOKUP(C2950, 'Códigos DANE Municipios'!$B$2:$B$1123, 'Códigos DANE Municipios'!$A$2:$A$1123, "No encontrado")</f>
        <v>20032</v>
      </c>
      <c r="B2950" t="str">
        <f>IFERROR(VLOOKUP(D2950,APOYO!K:L,2,FALSE),A2950)</f>
        <v>20032</v>
      </c>
      <c r="C2950" t="s">
        <v>814</v>
      </c>
      <c r="D2950" t="str">
        <f>IFERROR(VLOOKUP(C2950,APOYO!J:K,2,FALSE),C2950)</f>
        <v>ASTREA</v>
      </c>
      <c r="E2950">
        <v>2017</v>
      </c>
    </row>
    <row r="2951" spans="1:5" hidden="1" x14ac:dyDescent="0.25">
      <c r="A2951" t="str">
        <f>_xlfn.XLOOKUP(C2951, 'Códigos DANE Municipios'!$B$2:$B$1123, 'Códigos DANE Municipios'!$A$2:$A$1123, "No encontrado")</f>
        <v>23068</v>
      </c>
      <c r="B2951" t="str">
        <f>IFERROR(VLOOKUP(D2951,APOYO!K:L,2,FALSE),A2951)</f>
        <v>23068</v>
      </c>
      <c r="C2951" t="s">
        <v>860</v>
      </c>
      <c r="D2951" t="str">
        <f>IFERROR(VLOOKUP(C2951,APOYO!J:K,2,FALSE),C2951)</f>
        <v>AYAPEL</v>
      </c>
      <c r="E2951">
        <v>2017</v>
      </c>
    </row>
    <row r="2952" spans="1:5" hidden="1" x14ac:dyDescent="0.25">
      <c r="A2952" t="str">
        <f>_xlfn.XLOOKUP(C2952, 'Códigos DANE Municipios'!$B$2:$B$1123, 'Códigos DANE Municipios'!$A$2:$A$1123, "No encontrado")</f>
        <v>27073</v>
      </c>
      <c r="B2952" t="str">
        <f>IFERROR(VLOOKUP(D2952,APOYO!K:L,2,FALSE),A2952)</f>
        <v>27073</v>
      </c>
      <c r="C2952" t="s">
        <v>1150</v>
      </c>
      <c r="D2952" t="str">
        <f>IFERROR(VLOOKUP(C2952,APOYO!J:K,2,FALSE),C2952)</f>
        <v>BAGADÓ</v>
      </c>
      <c r="E2952">
        <v>2017</v>
      </c>
    </row>
    <row r="2953" spans="1:5" hidden="1" x14ac:dyDescent="0.25">
      <c r="A2953" t="str">
        <f>_xlfn.XLOOKUP(C2953, 'Códigos DANE Municipios'!$B$2:$B$1123, 'Códigos DANE Municipios'!$A$2:$A$1123, "No encontrado")</f>
        <v>27075</v>
      </c>
      <c r="B2953" t="str">
        <f>IFERROR(VLOOKUP(D2953,APOYO!K:L,2,FALSE),A2953)</f>
        <v>27075</v>
      </c>
      <c r="C2953" t="s">
        <v>1152</v>
      </c>
      <c r="D2953" t="str">
        <f>IFERROR(VLOOKUP(C2953,APOYO!J:K,2,FALSE),C2953)</f>
        <v>BAHÍA SOLANO</v>
      </c>
      <c r="E2953">
        <v>2017</v>
      </c>
    </row>
    <row r="2954" spans="1:5" hidden="1" x14ac:dyDescent="0.25">
      <c r="A2954" t="str">
        <f>_xlfn.XLOOKUP(C2954, 'Códigos DANE Municipios'!$B$2:$B$1123, 'Códigos DANE Municipios'!$A$2:$A$1123, "No encontrado")</f>
        <v>27077</v>
      </c>
      <c r="B2954" t="str">
        <f>IFERROR(VLOOKUP(D2954,APOYO!K:L,2,FALSE),A2954)</f>
        <v>27077</v>
      </c>
      <c r="C2954" t="s">
        <v>1154</v>
      </c>
      <c r="D2954" t="str">
        <f>IFERROR(VLOOKUP(C2954,APOYO!J:K,2,FALSE),C2954)</f>
        <v>BAJO BAUDÓ</v>
      </c>
      <c r="E2954">
        <v>2017</v>
      </c>
    </row>
    <row r="2955" spans="1:5" hidden="1" x14ac:dyDescent="0.25">
      <c r="A2955" t="str">
        <f>_xlfn.XLOOKUP(C2955, 'Códigos DANE Municipios'!$B$2:$B$1123, 'Códigos DANE Municipios'!$A$2:$A$1123, "No encontrado")</f>
        <v>19075</v>
      </c>
      <c r="B2955" t="str">
        <f>IFERROR(VLOOKUP(D2955,APOYO!K:L,2,FALSE),A2955)</f>
        <v>19075</v>
      </c>
      <c r="C2955" t="s">
        <v>734</v>
      </c>
      <c r="D2955" t="str">
        <f>IFERROR(VLOOKUP(C2955,APOYO!J:K,2,FALSE),C2955)</f>
        <v>BALBOA</v>
      </c>
      <c r="E2955">
        <v>2017</v>
      </c>
    </row>
    <row r="2956" spans="1:5" hidden="1" x14ac:dyDescent="0.25">
      <c r="A2956" t="str">
        <f>_xlfn.XLOOKUP(C2956, 'Códigos DANE Municipios'!$B$2:$B$1123, 'Códigos DANE Municipios'!$A$2:$A$1123, "No encontrado")</f>
        <v>08078</v>
      </c>
      <c r="B2956" t="str">
        <f>IFERROR(VLOOKUP(D2956,APOYO!K:L,2,FALSE),A2956)</f>
        <v>08078</v>
      </c>
      <c r="C2956" t="s">
        <v>264</v>
      </c>
      <c r="D2956" t="str">
        <f>IFERROR(VLOOKUP(C2956,APOYO!J:K,2,FALSE),C2956)</f>
        <v>BARANOA</v>
      </c>
      <c r="E2956">
        <v>2017</v>
      </c>
    </row>
    <row r="2957" spans="1:5" hidden="1" x14ac:dyDescent="0.25">
      <c r="A2957" t="str">
        <f>_xlfn.XLOOKUP(C2957, 'Códigos DANE Municipios'!$B$2:$B$1123, 'Códigos DANE Municipios'!$A$2:$A$1123, "No encontrado")</f>
        <v>41078</v>
      </c>
      <c r="B2957" t="str">
        <f>IFERROR(VLOOKUP(D2957,APOYO!K:L,2,FALSE),A2957)</f>
        <v>41078</v>
      </c>
      <c r="C2957" t="s">
        <v>1213</v>
      </c>
      <c r="D2957" t="str">
        <f>IFERROR(VLOOKUP(C2957,APOYO!J:K,2,FALSE),C2957)</f>
        <v>BARAYA</v>
      </c>
      <c r="E2957">
        <v>2017</v>
      </c>
    </row>
    <row r="2958" spans="1:5" hidden="1" x14ac:dyDescent="0.25">
      <c r="A2958" t="str">
        <f>_xlfn.XLOOKUP(C2958, 'Códigos DANE Municipios'!$B$2:$B$1123, 'Códigos DANE Municipios'!$A$2:$A$1123, "No encontrado")</f>
        <v>52079</v>
      </c>
      <c r="B2958" t="str">
        <f>IFERROR(VLOOKUP(D2958,APOYO!K:L,2,FALSE),A2958)</f>
        <v>52079</v>
      </c>
      <c r="C2958" t="s">
        <v>1421</v>
      </c>
      <c r="D2958" t="str">
        <f>IFERROR(VLOOKUP(C2958,APOYO!J:K,2,FALSE),C2958)</f>
        <v>BARBACOAS</v>
      </c>
      <c r="E2958">
        <v>2017</v>
      </c>
    </row>
    <row r="2959" spans="1:5" hidden="1" x14ac:dyDescent="0.25">
      <c r="A2959" t="str">
        <f>_xlfn.XLOOKUP(C2959, 'Códigos DANE Municipios'!$B$2:$B$1123, 'Códigos DANE Municipios'!$A$2:$A$1123, "No encontrado")</f>
        <v>05079</v>
      </c>
      <c r="B2959" t="str">
        <f>IFERROR(VLOOKUP(D2959,APOYO!K:L,2,FALSE),A2959)</f>
        <v>05079</v>
      </c>
      <c r="C2959" t="s">
        <v>44</v>
      </c>
      <c r="D2959" t="str">
        <f>IFERROR(VLOOKUP(C2959,APOYO!J:K,2,FALSE),C2959)</f>
        <v>BARBOSA</v>
      </c>
      <c r="E2959">
        <v>2017</v>
      </c>
    </row>
    <row r="2960" spans="1:5" hidden="1" x14ac:dyDescent="0.25">
      <c r="A2960" t="str">
        <f>_xlfn.XLOOKUP(C2960, 'Códigos DANE Municipios'!$B$2:$B$1123, 'Códigos DANE Municipios'!$A$2:$A$1123, "No encontrado")</f>
        <v>68079</v>
      </c>
      <c r="B2960" t="str">
        <f>IFERROR(VLOOKUP(D2960,APOYO!K:L,2,FALSE),A2960)</f>
        <v>68079</v>
      </c>
      <c r="C2960" t="s">
        <v>1663</v>
      </c>
      <c r="D2960" t="str">
        <f>IFERROR(VLOOKUP(C2960,APOYO!J:K,2,FALSE),C2960)</f>
        <v>BARICHARA</v>
      </c>
      <c r="E2960">
        <v>2017</v>
      </c>
    </row>
    <row r="2961" spans="1:5" hidden="1" x14ac:dyDescent="0.25">
      <c r="A2961" t="str">
        <f>_xlfn.XLOOKUP(C2961, 'Códigos DANE Municipios'!$B$2:$B$1123, 'Códigos DANE Municipios'!$A$2:$A$1123, "No encontrado")</f>
        <v>50110</v>
      </c>
      <c r="B2961" t="str">
        <f>IFERROR(VLOOKUP(D2961,APOYO!K:L,2,FALSE),A2961)</f>
        <v>50110</v>
      </c>
      <c r="C2961" t="s">
        <v>1362</v>
      </c>
      <c r="D2961" t="str">
        <f>IFERROR(VLOOKUP(C2961,APOYO!J:K,2,FALSE),C2961)</f>
        <v>BARRANCA DE UPÍA</v>
      </c>
      <c r="E2961">
        <v>2017</v>
      </c>
    </row>
    <row r="2962" spans="1:5" hidden="1" x14ac:dyDescent="0.25">
      <c r="A2962" t="str">
        <f>_xlfn.XLOOKUP(C2962, 'Códigos DANE Municipios'!$B$2:$B$1123, 'Códigos DANE Municipios'!$A$2:$A$1123, "No encontrado")</f>
        <v>68081</v>
      </c>
      <c r="B2962" t="str">
        <f>IFERROR(VLOOKUP(D2962,APOYO!K:L,2,FALSE),A2962)</f>
        <v>68081</v>
      </c>
      <c r="C2962" t="s">
        <v>1665</v>
      </c>
      <c r="D2962" t="str">
        <f>IFERROR(VLOOKUP(C2962,APOYO!J:K,2,FALSE),C2962)</f>
        <v>BARRANCABERMEJA</v>
      </c>
      <c r="E2962">
        <v>2017</v>
      </c>
    </row>
    <row r="2963" spans="1:5" hidden="1" x14ac:dyDescent="0.25">
      <c r="A2963" t="str">
        <f>_xlfn.XLOOKUP(C2963, 'Códigos DANE Municipios'!$B$2:$B$1123, 'Códigos DANE Municipios'!$A$2:$A$1123, "No encontrado")</f>
        <v>44078</v>
      </c>
      <c r="B2963" t="str">
        <f>IFERROR(VLOOKUP(D2963,APOYO!K:L,2,FALSE),A2963)</f>
        <v>44078</v>
      </c>
      <c r="C2963" t="s">
        <v>1275</v>
      </c>
      <c r="D2963" t="str">
        <f>IFERROR(VLOOKUP(C2963,APOYO!J:K,2,FALSE),C2963)</f>
        <v>BARRANCAS</v>
      </c>
      <c r="E2963">
        <v>2017</v>
      </c>
    </row>
    <row r="2964" spans="1:5" hidden="1" x14ac:dyDescent="0.25">
      <c r="A2964" t="str">
        <f>_xlfn.XLOOKUP(C2964, 'Códigos DANE Municipios'!$B$2:$B$1123, 'Códigos DANE Municipios'!$A$2:$A$1123, "No encontrado")</f>
        <v>08001</v>
      </c>
      <c r="B2964" t="str">
        <f>IFERROR(VLOOKUP(D2964,APOYO!K:L,2,FALSE),A2964)</f>
        <v>08001</v>
      </c>
      <c r="C2964" t="s">
        <v>262</v>
      </c>
      <c r="D2964" t="str">
        <f>IFERROR(VLOOKUP(C2964,APOYO!J:K,2,FALSE),C2964)</f>
        <v>BARRANQUILLA</v>
      </c>
      <c r="E2964">
        <v>2017</v>
      </c>
    </row>
    <row r="2965" spans="1:5" hidden="1" x14ac:dyDescent="0.25">
      <c r="A2965" t="str">
        <f>_xlfn.XLOOKUP(C2965, 'Códigos DANE Municipios'!$B$2:$B$1123, 'Códigos DANE Municipios'!$A$2:$A$1123, "No encontrado")</f>
        <v>17088</v>
      </c>
      <c r="B2965" t="str">
        <f>IFERROR(VLOOKUP(D2965,APOYO!K:L,2,FALSE),A2965)</f>
        <v>17088</v>
      </c>
      <c r="C2965" t="s">
        <v>652</v>
      </c>
      <c r="D2965" t="str">
        <f>IFERROR(VLOOKUP(C2965,APOYO!J:K,2,FALSE),C2965)</f>
        <v>BELALCÁZAR</v>
      </c>
      <c r="E2965">
        <v>2017</v>
      </c>
    </row>
    <row r="2966" spans="1:5" hidden="1" x14ac:dyDescent="0.25">
      <c r="A2966" t="str">
        <f>_xlfn.XLOOKUP(C2966, 'Códigos DANE Municipios'!$B$2:$B$1123, 'Códigos DANE Municipios'!$A$2:$A$1123, "No encontrado")</f>
        <v>15087</v>
      </c>
      <c r="B2966" t="str">
        <f>IFERROR(VLOOKUP(D2966,APOYO!K:L,2,FALSE),A2966)</f>
        <v>15087</v>
      </c>
      <c r="C2966" t="s">
        <v>409</v>
      </c>
      <c r="D2966" t="str">
        <f>IFERROR(VLOOKUP(C2966,APOYO!J:K,2,FALSE),C2966)</f>
        <v>BELÉN</v>
      </c>
      <c r="E2966">
        <v>2017</v>
      </c>
    </row>
    <row r="2967" spans="1:5" hidden="1" x14ac:dyDescent="0.25">
      <c r="A2967" t="str">
        <f>_xlfn.XLOOKUP(C2967, 'Códigos DANE Municipios'!$B$2:$B$1123, 'Códigos DANE Municipios'!$A$2:$A$1123, "No encontrado")</f>
        <v>66088</v>
      </c>
      <c r="B2967" t="str">
        <f>IFERROR(VLOOKUP(D2967,APOYO!K:L,2,FALSE),A2967)</f>
        <v>66088</v>
      </c>
      <c r="C2967" t="s">
        <v>1633</v>
      </c>
      <c r="D2967" t="str">
        <f>IFERROR(VLOOKUP(C2967,APOYO!J:K,2,FALSE),C2967)</f>
        <v>BELÉN DE UMBRÍA</v>
      </c>
      <c r="E2967">
        <v>2017</v>
      </c>
    </row>
    <row r="2968" spans="1:5" hidden="1" x14ac:dyDescent="0.25">
      <c r="A2968" t="str">
        <f>_xlfn.XLOOKUP(C2968, 'Códigos DANE Municipios'!$B$2:$B$1123, 'Códigos DANE Municipios'!$A$2:$A$1123, "No encontrado")</f>
        <v>05088</v>
      </c>
      <c r="B2968" t="str">
        <f>IFERROR(VLOOKUP(D2968,APOYO!K:L,2,FALSE),A2968)</f>
        <v>05088</v>
      </c>
      <c r="C2968" t="s">
        <v>48</v>
      </c>
      <c r="D2968" t="str">
        <f>IFERROR(VLOOKUP(C2968,APOYO!J:K,2,FALSE),C2968)</f>
        <v>BELLO</v>
      </c>
      <c r="E2968">
        <v>2017</v>
      </c>
    </row>
    <row r="2969" spans="1:5" hidden="1" x14ac:dyDescent="0.25">
      <c r="A2969" t="str">
        <f>_xlfn.XLOOKUP(C2969, 'Códigos DANE Municipios'!$B$2:$B$1123, 'Códigos DANE Municipios'!$A$2:$A$1123, "No encontrado")</f>
        <v>05086</v>
      </c>
      <c r="B2969" t="str">
        <f>IFERROR(VLOOKUP(D2969,APOYO!K:L,2,FALSE),A2969)</f>
        <v>05086</v>
      </c>
      <c r="C2969" t="s">
        <v>46</v>
      </c>
      <c r="D2969" t="str">
        <f>IFERROR(VLOOKUP(C2969,APOYO!J:K,2,FALSE),C2969)</f>
        <v>BELMIRA</v>
      </c>
      <c r="E2969">
        <v>2017</v>
      </c>
    </row>
    <row r="2970" spans="1:5" hidden="1" x14ac:dyDescent="0.25">
      <c r="A2970" t="str">
        <f>_xlfn.XLOOKUP(C2970, 'Códigos DANE Municipios'!$B$2:$B$1123, 'Códigos DANE Municipios'!$A$2:$A$1123, "No encontrado")</f>
        <v>25086</v>
      </c>
      <c r="B2970" t="str">
        <f>IFERROR(VLOOKUP(D2970,APOYO!K:L,2,FALSE),A2970)</f>
        <v>25086</v>
      </c>
      <c r="C2970" t="s">
        <v>926</v>
      </c>
      <c r="D2970" t="str">
        <f>IFERROR(VLOOKUP(C2970,APOYO!J:K,2,FALSE),C2970)</f>
        <v>BELTRÁN</v>
      </c>
      <c r="E2970">
        <v>2017</v>
      </c>
    </row>
    <row r="2971" spans="1:5" hidden="1" x14ac:dyDescent="0.25">
      <c r="A2971" t="str">
        <f>_xlfn.XLOOKUP(C2971, 'Códigos DANE Municipios'!$B$2:$B$1123, 'Códigos DANE Municipios'!$A$2:$A$1123, "No encontrado")</f>
        <v>05091</v>
      </c>
      <c r="B2971" t="str">
        <f>IFERROR(VLOOKUP(D2971,APOYO!K:L,2,FALSE),A2971)</f>
        <v>05091</v>
      </c>
      <c r="C2971" t="s">
        <v>50</v>
      </c>
      <c r="D2971" t="str">
        <f>IFERROR(VLOOKUP(C2971,APOYO!J:K,2,FALSE),C2971)</f>
        <v>BETANIA</v>
      </c>
      <c r="E2971">
        <v>2017</v>
      </c>
    </row>
    <row r="2972" spans="1:5" hidden="1" x14ac:dyDescent="0.25">
      <c r="A2972" t="str">
        <f>_xlfn.XLOOKUP(C2972, 'Códigos DANE Municipios'!$B$2:$B$1123, 'Códigos DANE Municipios'!$A$2:$A$1123, "No encontrado")</f>
        <v>05093</v>
      </c>
      <c r="B2972" t="str">
        <f>IFERROR(VLOOKUP(D2972,APOYO!K:L,2,FALSE),A2972)</f>
        <v>05093</v>
      </c>
      <c r="C2972" t="s">
        <v>52</v>
      </c>
      <c r="D2972" t="str">
        <f>IFERROR(VLOOKUP(C2972,APOYO!J:K,2,FALSE),C2972)</f>
        <v>BETULIA</v>
      </c>
      <c r="E2972">
        <v>2017</v>
      </c>
    </row>
    <row r="2973" spans="1:5" hidden="1" x14ac:dyDescent="0.25">
      <c r="A2973" t="str">
        <f>_xlfn.XLOOKUP(C2973, 'Códigos DANE Municipios'!$B$2:$B$1123, 'Códigos DANE Municipios'!$A$2:$A$1123, "No encontrado")</f>
        <v>25095</v>
      </c>
      <c r="B2973" t="str">
        <f>IFERROR(VLOOKUP(D2973,APOYO!K:L,2,FALSE),A2973)</f>
        <v>25095</v>
      </c>
      <c r="C2973" t="s">
        <v>928</v>
      </c>
      <c r="D2973" t="str">
        <f>IFERROR(VLOOKUP(C2973,APOYO!J:K,2,FALSE),C2973)</f>
        <v>BITUIMA</v>
      </c>
      <c r="E2973">
        <v>2017</v>
      </c>
    </row>
    <row r="2974" spans="1:5" hidden="1" x14ac:dyDescent="0.25">
      <c r="A2974" t="str">
        <f>_xlfn.XLOOKUP(C2974, 'Códigos DANE Municipios'!$B$2:$B$1123, 'Códigos DANE Municipios'!$A$2:$A$1123, "No encontrado")</f>
        <v>15097</v>
      </c>
      <c r="B2974" t="str">
        <f>IFERROR(VLOOKUP(D2974,APOYO!K:L,2,FALSE),A2974)</f>
        <v>15097</v>
      </c>
      <c r="C2974" t="s">
        <v>415</v>
      </c>
      <c r="D2974" t="str">
        <f>IFERROR(VLOOKUP(C2974,APOYO!J:K,2,FALSE),C2974)</f>
        <v>BOAVITA</v>
      </c>
      <c r="E2974">
        <v>2017</v>
      </c>
    </row>
    <row r="2975" spans="1:5" hidden="1" x14ac:dyDescent="0.25">
      <c r="A2975" t="str">
        <f>_xlfn.XLOOKUP(C2975, 'Códigos DANE Municipios'!$B$2:$B$1123, 'Códigos DANE Municipios'!$A$2:$A$1123, "No encontrado")</f>
        <v>54099</v>
      </c>
      <c r="B2975" t="str">
        <f>IFERROR(VLOOKUP(D2975,APOYO!K:L,2,FALSE),A2975)</f>
        <v>54099</v>
      </c>
      <c r="C2975" t="s">
        <v>1535</v>
      </c>
      <c r="D2975" t="str">
        <f>IFERROR(VLOOKUP(C2975,APOYO!J:K,2,FALSE),C2975)</f>
        <v>BOCHALEMA</v>
      </c>
      <c r="E2975">
        <v>2017</v>
      </c>
    </row>
    <row r="2976" spans="1:5" hidden="1" x14ac:dyDescent="0.25">
      <c r="A2976" t="str">
        <f>_xlfn.XLOOKUP(C2976, 'Códigos DANE Municipios'!$B$2:$B$1123, 'Códigos DANE Municipios'!$A$2:$A$1123, "No encontrado")</f>
        <v>11001</v>
      </c>
      <c r="B2976" t="str">
        <f>IFERROR(VLOOKUP(D2976,APOYO!K:L,2,FALSE),A2976)</f>
        <v>11001</v>
      </c>
      <c r="C2976" t="s">
        <v>307</v>
      </c>
      <c r="D2976" t="str">
        <f>IFERROR(VLOOKUP(C2976,APOYO!J:K,2,FALSE),C2976)</f>
        <v>BOGOTÁ, D.C.</v>
      </c>
      <c r="E2976">
        <v>2017</v>
      </c>
    </row>
    <row r="2977" spans="1:5" hidden="1" x14ac:dyDescent="0.25">
      <c r="A2977" t="str">
        <f>_xlfn.XLOOKUP(C2977, 'Códigos DANE Municipios'!$B$2:$B$1123, 'Códigos DANE Municipios'!$A$2:$A$1123, "No encontrado")</f>
        <v>25099</v>
      </c>
      <c r="B2977" t="str">
        <f>IFERROR(VLOOKUP(D2977,APOYO!K:L,2,FALSE),A2977)</f>
        <v>25099</v>
      </c>
      <c r="C2977" t="s">
        <v>930</v>
      </c>
      <c r="D2977" t="str">
        <f>IFERROR(VLOOKUP(C2977,APOYO!J:K,2,FALSE),C2977)</f>
        <v>BOJACÁ</v>
      </c>
      <c r="E2977">
        <v>2017</v>
      </c>
    </row>
    <row r="2978" spans="1:5" hidden="1" x14ac:dyDescent="0.25">
      <c r="A2978" t="str">
        <f>_xlfn.XLOOKUP(C2978, 'Códigos DANE Municipios'!$B$2:$B$1123, 'Códigos DANE Municipios'!$A$2:$A$1123, "No encontrado")</f>
        <v>19100</v>
      </c>
      <c r="B2978" t="str">
        <f>IFERROR(VLOOKUP(D2978,APOYO!K:L,2,FALSE),A2978)</f>
        <v>19100</v>
      </c>
      <c r="C2978" t="s">
        <v>736</v>
      </c>
      <c r="D2978" t="str">
        <f>IFERROR(VLOOKUP(C2978,APOYO!J:K,2,FALSE),C2978)</f>
        <v>BOLÍVAR</v>
      </c>
      <c r="E2978">
        <v>2017</v>
      </c>
    </row>
    <row r="2979" spans="1:5" hidden="1" x14ac:dyDescent="0.25">
      <c r="A2979" t="str">
        <f>_xlfn.XLOOKUP(C2979, 'Códigos DANE Municipios'!$B$2:$B$1123, 'Códigos DANE Municipios'!$A$2:$A$1123, "No encontrado")</f>
        <v>20060</v>
      </c>
      <c r="B2979" t="str">
        <f>IFERROR(VLOOKUP(D2979,APOYO!K:L,2,FALSE),A2979)</f>
        <v>20060</v>
      </c>
      <c r="C2979" t="s">
        <v>818</v>
      </c>
      <c r="D2979" t="str">
        <f>IFERROR(VLOOKUP(C2979,APOYO!J:K,2,FALSE),C2979)</f>
        <v>BOSCONIA</v>
      </c>
      <c r="E2979">
        <v>2017</v>
      </c>
    </row>
    <row r="2980" spans="1:5" hidden="1" x14ac:dyDescent="0.25">
      <c r="A2980" t="str">
        <f>_xlfn.XLOOKUP(C2980, 'Códigos DANE Municipios'!$B$2:$B$1123, 'Códigos DANE Municipios'!$A$2:$A$1123, "No encontrado")</f>
        <v>15104</v>
      </c>
      <c r="B2980" t="str">
        <f>IFERROR(VLOOKUP(D2980,APOYO!K:L,2,FALSE),A2980)</f>
        <v>15104</v>
      </c>
      <c r="C2980" t="s">
        <v>417</v>
      </c>
      <c r="D2980" t="str">
        <f>IFERROR(VLOOKUP(C2980,APOYO!J:K,2,FALSE),C2980)</f>
        <v>BOYACÁ</v>
      </c>
      <c r="E2980">
        <v>2017</v>
      </c>
    </row>
    <row r="2981" spans="1:5" hidden="1" x14ac:dyDescent="0.25">
      <c r="A2981" t="str">
        <f>_xlfn.XLOOKUP(C2981, 'Códigos DANE Municipios'!$B$2:$B$1123, 'Códigos DANE Municipios'!$A$2:$A$1123, "No encontrado")</f>
        <v>05107</v>
      </c>
      <c r="B2981" t="str">
        <f>IFERROR(VLOOKUP(D2981,APOYO!K:L,2,FALSE),A2981)</f>
        <v>05107</v>
      </c>
      <c r="C2981" t="s">
        <v>56</v>
      </c>
      <c r="D2981" t="str">
        <f>IFERROR(VLOOKUP(C2981,APOYO!J:K,2,FALSE),C2981)</f>
        <v>BRICEÑO</v>
      </c>
      <c r="E2981">
        <v>2017</v>
      </c>
    </row>
    <row r="2982" spans="1:5" hidden="1" x14ac:dyDescent="0.25">
      <c r="A2982" t="str">
        <f>_xlfn.XLOOKUP(C2982, 'Códigos DANE Municipios'!$B$2:$B$1123, 'Códigos DANE Municipios'!$A$2:$A$1123, "No encontrado")</f>
        <v>05107</v>
      </c>
      <c r="B2982" t="str">
        <f>IFERROR(VLOOKUP(D2982,APOYO!K:L,2,FALSE),A2982)</f>
        <v>05107</v>
      </c>
      <c r="C2982" t="s">
        <v>56</v>
      </c>
      <c r="D2982" t="str">
        <f>IFERROR(VLOOKUP(C2982,APOYO!J:K,2,FALSE),C2982)</f>
        <v>BRICEÑO</v>
      </c>
      <c r="E2982">
        <v>2017</v>
      </c>
    </row>
    <row r="2983" spans="1:5" hidden="1" x14ac:dyDescent="0.25">
      <c r="A2983" t="str">
        <f>_xlfn.XLOOKUP(C2983, 'Códigos DANE Municipios'!$B$2:$B$1123, 'Códigos DANE Municipios'!$A$2:$A$1123, "No encontrado")</f>
        <v>68001</v>
      </c>
      <c r="B2983" t="str">
        <f>IFERROR(VLOOKUP(D2983,APOYO!K:L,2,FALSE),A2983)</f>
        <v>68001</v>
      </c>
      <c r="C2983" t="s">
        <v>1655</v>
      </c>
      <c r="D2983" t="str">
        <f>IFERROR(VLOOKUP(C2983,APOYO!J:K,2,FALSE),C2983)</f>
        <v>BUCARAMANGA</v>
      </c>
      <c r="E2983">
        <v>2017</v>
      </c>
    </row>
    <row r="2984" spans="1:5" hidden="1" x14ac:dyDescent="0.25">
      <c r="A2984" t="str">
        <f>_xlfn.XLOOKUP(C2984, 'Códigos DANE Municipios'!$B$2:$B$1123, 'Códigos DANE Municipios'!$A$2:$A$1123, "No encontrado")</f>
        <v>76109</v>
      </c>
      <c r="B2984" t="str">
        <f>IFERROR(VLOOKUP(D2984,APOYO!K:L,2,FALSE),A2984)</f>
        <v>76109</v>
      </c>
      <c r="C2984" t="s">
        <v>1967</v>
      </c>
      <c r="D2984" t="str">
        <f>IFERROR(VLOOKUP(C2984,APOYO!J:K,2,FALSE),C2984)</f>
        <v>BUENAVENTURA</v>
      </c>
      <c r="E2984">
        <v>2017</v>
      </c>
    </row>
    <row r="2985" spans="1:5" hidden="1" x14ac:dyDescent="0.25">
      <c r="A2985" t="str">
        <f>_xlfn.XLOOKUP(C2985, 'Códigos DANE Municipios'!$B$2:$B$1123, 'Códigos DANE Municipios'!$A$2:$A$1123, "No encontrado")</f>
        <v>15109</v>
      </c>
      <c r="B2985" t="str">
        <f>IFERROR(VLOOKUP(D2985,APOYO!K:L,2,FALSE),A2985)</f>
        <v>15109</v>
      </c>
      <c r="C2985" t="s">
        <v>420</v>
      </c>
      <c r="D2985" t="str">
        <f>IFERROR(VLOOKUP(C2985,APOYO!J:K,2,FALSE),C2985)</f>
        <v>BUENAVISTA</v>
      </c>
      <c r="E2985">
        <v>2017</v>
      </c>
    </row>
    <row r="2986" spans="1:5" hidden="1" x14ac:dyDescent="0.25">
      <c r="A2986" t="str">
        <f>_xlfn.XLOOKUP(C2986, 'Códigos DANE Municipios'!$B$2:$B$1123, 'Códigos DANE Municipios'!$A$2:$A$1123, "No encontrado")</f>
        <v>52110</v>
      </c>
      <c r="B2986" t="str">
        <f>IFERROR(VLOOKUP(D2986,APOYO!K:L,2,FALSE),A2986)</f>
        <v>52110</v>
      </c>
      <c r="C2986" t="s">
        <v>1424</v>
      </c>
      <c r="D2986" t="str">
        <f>IFERROR(VLOOKUP(C2986,APOYO!J:K,2,FALSE),C2986)</f>
        <v>BUESACO</v>
      </c>
      <c r="E2986">
        <v>2017</v>
      </c>
    </row>
    <row r="2987" spans="1:5" hidden="1" x14ac:dyDescent="0.25">
      <c r="A2987" t="str">
        <f>_xlfn.XLOOKUP(C2987, 'Códigos DANE Municipios'!$B$2:$B$1123, 'Códigos DANE Municipios'!$A$2:$A$1123, "No encontrado")</f>
        <v>76111</v>
      </c>
      <c r="B2987" t="str">
        <f>IFERROR(VLOOKUP(D2987,APOYO!K:L,2,FALSE),A2987)</f>
        <v>76111</v>
      </c>
      <c r="C2987" t="s">
        <v>1969</v>
      </c>
      <c r="D2987" t="str">
        <f>IFERROR(VLOOKUP(C2987,APOYO!J:K,2,FALSE),C2987)</f>
        <v>GUADALAJARA DE BUGA</v>
      </c>
      <c r="E2987">
        <v>2017</v>
      </c>
    </row>
    <row r="2988" spans="1:5" hidden="1" x14ac:dyDescent="0.25">
      <c r="A2988" t="str">
        <f>_xlfn.XLOOKUP(C2988, 'Códigos DANE Municipios'!$B$2:$B$1123, 'Códigos DANE Municipios'!$A$2:$A$1123, "No encontrado")</f>
        <v>76113</v>
      </c>
      <c r="B2988" t="str">
        <f>IFERROR(VLOOKUP(D2988,APOYO!K:L,2,FALSE),A2988)</f>
        <v>76113</v>
      </c>
      <c r="C2988" t="s">
        <v>1971</v>
      </c>
      <c r="D2988" t="str">
        <f>IFERROR(VLOOKUP(C2988,APOYO!J:K,2,FALSE),C2988)</f>
        <v>BUGALAGRANDE</v>
      </c>
      <c r="E2988">
        <v>2017</v>
      </c>
    </row>
    <row r="2989" spans="1:5" hidden="1" x14ac:dyDescent="0.25">
      <c r="A2989" t="str">
        <f>_xlfn.XLOOKUP(C2989, 'Códigos DANE Municipios'!$B$2:$B$1123, 'Códigos DANE Municipios'!$A$2:$A$1123, "No encontrado")</f>
        <v>05113</v>
      </c>
      <c r="B2989" t="str">
        <f>IFERROR(VLOOKUP(D2989,APOYO!K:L,2,FALSE),A2989)</f>
        <v>05113</v>
      </c>
      <c r="C2989" t="s">
        <v>58</v>
      </c>
      <c r="D2989" t="str">
        <f>IFERROR(VLOOKUP(C2989,APOYO!J:K,2,FALSE),C2989)</f>
        <v>BURITICÁ</v>
      </c>
      <c r="E2989">
        <v>2017</v>
      </c>
    </row>
    <row r="2990" spans="1:5" hidden="1" x14ac:dyDescent="0.25">
      <c r="A2990" t="str">
        <f>_xlfn.XLOOKUP(C2990, 'Códigos DANE Municipios'!$B$2:$B$1123, 'Códigos DANE Municipios'!$A$2:$A$1123, "No encontrado")</f>
        <v>25120</v>
      </c>
      <c r="B2990" t="str">
        <f>IFERROR(VLOOKUP(D2990,APOYO!K:L,2,FALSE),A2990)</f>
        <v>25120</v>
      </c>
      <c r="C2990" t="s">
        <v>932</v>
      </c>
      <c r="D2990" t="str">
        <f>IFERROR(VLOOKUP(C2990,APOYO!J:K,2,FALSE),C2990)</f>
        <v>CABRERA</v>
      </c>
      <c r="E2990">
        <v>2017</v>
      </c>
    </row>
    <row r="2991" spans="1:5" hidden="1" x14ac:dyDescent="0.25">
      <c r="A2991" t="str">
        <f>_xlfn.XLOOKUP(C2991, 'Códigos DANE Municipios'!$B$2:$B$1123, 'Códigos DANE Municipios'!$A$2:$A$1123, "No encontrado")</f>
        <v>50124</v>
      </c>
      <c r="B2991" t="str">
        <f>IFERROR(VLOOKUP(D2991,APOYO!K:L,2,FALSE),A2991)</f>
        <v>50124</v>
      </c>
      <c r="C2991" t="s">
        <v>1364</v>
      </c>
      <c r="D2991" t="str">
        <f>IFERROR(VLOOKUP(C2991,APOYO!J:K,2,FALSE),C2991)</f>
        <v>CABUYARO</v>
      </c>
      <c r="E2991">
        <v>2017</v>
      </c>
    </row>
    <row r="2992" spans="1:5" hidden="1" x14ac:dyDescent="0.25">
      <c r="A2992" t="str">
        <f>_xlfn.XLOOKUP(C2992, 'Códigos DANE Municipios'!$B$2:$B$1123, 'Códigos DANE Municipios'!$A$2:$A$1123, "No encontrado")</f>
        <v>05120</v>
      </c>
      <c r="B2992" t="str">
        <f>IFERROR(VLOOKUP(D2992,APOYO!K:L,2,FALSE),A2992)</f>
        <v>05120</v>
      </c>
      <c r="C2992" t="s">
        <v>60</v>
      </c>
      <c r="D2992" t="str">
        <f>IFERROR(VLOOKUP(C2992,APOYO!J:K,2,FALSE),C2992)</f>
        <v>CÁCERES</v>
      </c>
      <c r="E2992">
        <v>2017</v>
      </c>
    </row>
    <row r="2993" spans="1:5" hidden="1" x14ac:dyDescent="0.25">
      <c r="A2993" t="str">
        <f>_xlfn.XLOOKUP(C2993, 'Códigos DANE Municipios'!$B$2:$B$1123, 'Códigos DANE Municipios'!$A$2:$A$1123, "No encontrado")</f>
        <v>25123</v>
      </c>
      <c r="B2993" t="str">
        <f>IFERROR(VLOOKUP(D2993,APOYO!K:L,2,FALSE),A2993)</f>
        <v>25123</v>
      </c>
      <c r="C2993" t="s">
        <v>934</v>
      </c>
      <c r="D2993" t="str">
        <f>IFERROR(VLOOKUP(C2993,APOYO!J:K,2,FALSE),C2993)</f>
        <v>CACHIPAY</v>
      </c>
      <c r="E2993">
        <v>2017</v>
      </c>
    </row>
    <row r="2994" spans="1:5" hidden="1" x14ac:dyDescent="0.25">
      <c r="A2994" t="str">
        <f>_xlfn.XLOOKUP(C2994, 'Códigos DANE Municipios'!$B$2:$B$1123, 'Códigos DANE Municipios'!$A$2:$A$1123, "No encontrado")</f>
        <v>54128</v>
      </c>
      <c r="B2994" t="str">
        <f>IFERROR(VLOOKUP(D2994,APOYO!K:L,2,FALSE),A2994)</f>
        <v>54128</v>
      </c>
      <c r="C2994" t="s">
        <v>1541</v>
      </c>
      <c r="D2994" t="str">
        <f>IFERROR(VLOOKUP(C2994,APOYO!J:K,2,FALSE),C2994)</f>
        <v>CÁCHIRA</v>
      </c>
      <c r="E2994">
        <v>2017</v>
      </c>
    </row>
    <row r="2995" spans="1:5" hidden="1" x14ac:dyDescent="0.25">
      <c r="A2995" t="str">
        <f>_xlfn.XLOOKUP(C2995, 'Códigos DANE Municipios'!$B$2:$B$1123, 'Códigos DANE Municipios'!$A$2:$A$1123, "No encontrado")</f>
        <v>54125</v>
      </c>
      <c r="B2995" t="str">
        <f>IFERROR(VLOOKUP(D2995,APOYO!K:L,2,FALSE),A2995)</f>
        <v>54125</v>
      </c>
      <c r="C2995" t="s">
        <v>1539</v>
      </c>
      <c r="D2995" t="str">
        <f>IFERROR(VLOOKUP(C2995,APOYO!J:K,2,FALSE),C2995)</f>
        <v>CÁCOTA</v>
      </c>
      <c r="E2995">
        <v>2017</v>
      </c>
    </row>
    <row r="2996" spans="1:5" hidden="1" x14ac:dyDescent="0.25">
      <c r="A2996" t="str">
        <f>_xlfn.XLOOKUP(C2996, 'Códigos DANE Municipios'!$B$2:$B$1123, 'Códigos DANE Municipios'!$A$2:$A$1123, "No encontrado")</f>
        <v>05125</v>
      </c>
      <c r="B2996" t="str">
        <f>IFERROR(VLOOKUP(D2996,APOYO!K:L,2,FALSE),A2996)</f>
        <v>05125</v>
      </c>
      <c r="C2996" t="s">
        <v>62</v>
      </c>
      <c r="D2996" t="str">
        <f>IFERROR(VLOOKUP(C2996,APOYO!J:K,2,FALSE),C2996)</f>
        <v>CAICEDO</v>
      </c>
      <c r="E2996">
        <v>2017</v>
      </c>
    </row>
    <row r="2997" spans="1:5" hidden="1" x14ac:dyDescent="0.25">
      <c r="A2997" t="str">
        <f>_xlfn.XLOOKUP(C2997, 'Códigos DANE Municipios'!$B$2:$B$1123, 'Códigos DANE Municipios'!$A$2:$A$1123, "No encontrado")</f>
        <v>76122</v>
      </c>
      <c r="B2997" t="str">
        <f>IFERROR(VLOOKUP(D2997,APOYO!K:L,2,FALSE),A2997)</f>
        <v>76122</v>
      </c>
      <c r="C2997" t="s">
        <v>1973</v>
      </c>
      <c r="D2997" t="str">
        <f>IFERROR(VLOOKUP(C2997,APOYO!J:K,2,FALSE),C2997)</f>
        <v>CAICEDONIA</v>
      </c>
      <c r="E2997">
        <v>2017</v>
      </c>
    </row>
    <row r="2998" spans="1:5" hidden="1" x14ac:dyDescent="0.25">
      <c r="A2998" t="str">
        <f>_xlfn.XLOOKUP(C2998, 'Códigos DANE Municipios'!$B$2:$B$1123, 'Códigos DANE Municipios'!$A$2:$A$1123, "No encontrado")</f>
        <v>73124</v>
      </c>
      <c r="B2998" t="str">
        <f>IFERROR(VLOOKUP(D2998,APOYO!K:L,2,FALSE),A2998)</f>
        <v>73124</v>
      </c>
      <c r="C2998" t="s">
        <v>1879</v>
      </c>
      <c r="D2998" t="str">
        <f>IFERROR(VLOOKUP(C2998,APOYO!J:K,2,FALSE),C2998)</f>
        <v>CAJAMARCA</v>
      </c>
      <c r="E2998">
        <v>2017</v>
      </c>
    </row>
    <row r="2999" spans="1:5" hidden="1" x14ac:dyDescent="0.25">
      <c r="A2999" t="str">
        <f>_xlfn.XLOOKUP(C2999, 'Códigos DANE Municipios'!$B$2:$B$1123, 'Códigos DANE Municipios'!$A$2:$A$1123, "No encontrado")</f>
        <v>19130</v>
      </c>
      <c r="B2999" t="str">
        <f>IFERROR(VLOOKUP(D2999,APOYO!K:L,2,FALSE),A2999)</f>
        <v>19130</v>
      </c>
      <c r="C2999" t="s">
        <v>740</v>
      </c>
      <c r="D2999" t="str">
        <f>IFERROR(VLOOKUP(C2999,APOYO!J:K,2,FALSE),C2999)</f>
        <v>CAJIBÍO</v>
      </c>
      <c r="E2999">
        <v>2017</v>
      </c>
    </row>
    <row r="3000" spans="1:5" hidden="1" x14ac:dyDescent="0.25">
      <c r="A3000" t="str">
        <f>_xlfn.XLOOKUP(C3000, 'Códigos DANE Municipios'!$B$2:$B$1123, 'Códigos DANE Municipios'!$A$2:$A$1123, "No encontrado")</f>
        <v>25126</v>
      </c>
      <c r="B3000" t="str">
        <f>IFERROR(VLOOKUP(D3000,APOYO!K:L,2,FALSE),A3000)</f>
        <v>25126</v>
      </c>
      <c r="C3000" t="s">
        <v>936</v>
      </c>
      <c r="D3000" t="str">
        <f>IFERROR(VLOOKUP(C3000,APOYO!J:K,2,FALSE),C3000)</f>
        <v>CAJICÁ</v>
      </c>
      <c r="E3000">
        <v>2017</v>
      </c>
    </row>
    <row r="3001" spans="1:5" hidden="1" x14ac:dyDescent="0.25">
      <c r="A3001" t="str">
        <f>_xlfn.XLOOKUP(C3001, 'Códigos DANE Municipios'!$B$2:$B$1123, 'Códigos DANE Municipios'!$A$2:$A$1123, "No encontrado")</f>
        <v>13140</v>
      </c>
      <c r="B3001" t="str">
        <f>IFERROR(VLOOKUP(D3001,APOYO!K:L,2,FALSE),A3001)</f>
        <v>13140</v>
      </c>
      <c r="C3001" t="s">
        <v>323</v>
      </c>
      <c r="D3001" t="str">
        <f>IFERROR(VLOOKUP(C3001,APOYO!J:K,2,FALSE),C3001)</f>
        <v>CALAMAR</v>
      </c>
      <c r="E3001">
        <v>2017</v>
      </c>
    </row>
    <row r="3002" spans="1:5" hidden="1" x14ac:dyDescent="0.25">
      <c r="A3002" t="str">
        <f>_xlfn.XLOOKUP(C3002, 'Códigos DANE Municipios'!$B$2:$B$1123, 'Códigos DANE Municipios'!$A$2:$A$1123, "No encontrado")</f>
        <v>63130</v>
      </c>
      <c r="B3002" t="str">
        <f>IFERROR(VLOOKUP(D3002,APOYO!K:L,2,FALSE),A3002)</f>
        <v>63130</v>
      </c>
      <c r="C3002" t="s">
        <v>1609</v>
      </c>
      <c r="D3002" t="str">
        <f>IFERROR(VLOOKUP(C3002,APOYO!J:K,2,FALSE),C3002)</f>
        <v>CALARCÁ</v>
      </c>
      <c r="E3002">
        <v>2017</v>
      </c>
    </row>
    <row r="3003" spans="1:5" hidden="1" x14ac:dyDescent="0.25">
      <c r="A3003" t="str">
        <f>_xlfn.XLOOKUP(C3003, 'Códigos DANE Municipios'!$B$2:$B$1123, 'Códigos DANE Municipios'!$A$2:$A$1123, "No encontrado")</f>
        <v>05129</v>
      </c>
      <c r="B3003" t="str">
        <f>IFERROR(VLOOKUP(D3003,APOYO!K:L,2,FALSE),A3003)</f>
        <v>05129</v>
      </c>
      <c r="C3003" t="s">
        <v>64</v>
      </c>
      <c r="D3003" t="str">
        <f>IFERROR(VLOOKUP(C3003,APOYO!J:K,2,FALSE),C3003)</f>
        <v>CALDAS</v>
      </c>
      <c r="E3003">
        <v>2017</v>
      </c>
    </row>
    <row r="3004" spans="1:5" hidden="1" x14ac:dyDescent="0.25">
      <c r="A3004" t="str">
        <f>_xlfn.XLOOKUP(C3004, 'Códigos DANE Municipios'!$B$2:$B$1123, 'Códigos DANE Municipios'!$A$2:$A$1123, "No encontrado")</f>
        <v>19137</v>
      </c>
      <c r="B3004" t="str">
        <f>IFERROR(VLOOKUP(D3004,APOYO!K:L,2,FALSE),A3004)</f>
        <v>19137</v>
      </c>
      <c r="C3004" t="s">
        <v>742</v>
      </c>
      <c r="D3004" t="str">
        <f>IFERROR(VLOOKUP(C3004,APOYO!J:K,2,FALSE),C3004)</f>
        <v>CALDONO</v>
      </c>
      <c r="E3004">
        <v>2017</v>
      </c>
    </row>
    <row r="3005" spans="1:5" hidden="1" x14ac:dyDescent="0.25">
      <c r="A3005" t="str">
        <f>_xlfn.XLOOKUP(C3005, 'Códigos DANE Municipios'!$B$2:$B$1123, 'Códigos DANE Municipios'!$A$2:$A$1123, "No encontrado")</f>
        <v>76001</v>
      </c>
      <c r="B3005" t="str">
        <f>IFERROR(VLOOKUP(D3005,APOYO!K:L,2,FALSE),A3005)</f>
        <v>76001</v>
      </c>
      <c r="C3005" t="s">
        <v>1957</v>
      </c>
      <c r="D3005" t="str">
        <f>IFERROR(VLOOKUP(C3005,APOYO!J:K,2,FALSE),C3005)</f>
        <v>CALI</v>
      </c>
      <c r="E3005">
        <v>2017</v>
      </c>
    </row>
    <row r="3006" spans="1:5" hidden="1" x14ac:dyDescent="0.25">
      <c r="A3006" t="str">
        <f>_xlfn.XLOOKUP(C3006, 'Códigos DANE Municipios'!$B$2:$B$1123, 'Códigos DANE Municipios'!$A$2:$A$1123, "No encontrado")</f>
        <v>68132</v>
      </c>
      <c r="B3006" t="str">
        <f>IFERROR(VLOOKUP(D3006,APOYO!K:L,2,FALSE),A3006)</f>
        <v>68132</v>
      </c>
      <c r="C3006" t="s">
        <v>1670</v>
      </c>
      <c r="D3006" t="str">
        <f>IFERROR(VLOOKUP(C3006,APOYO!J:K,2,FALSE),C3006)</f>
        <v>CALIFORNIA</v>
      </c>
      <c r="E3006">
        <v>2017</v>
      </c>
    </row>
    <row r="3007" spans="1:5" hidden="1" x14ac:dyDescent="0.25">
      <c r="A3007" t="str">
        <f>_xlfn.XLOOKUP(C3007, 'Códigos DANE Municipios'!$B$2:$B$1123, 'Códigos DANE Municipios'!$A$2:$A$1123, "No encontrado")</f>
        <v>76126</v>
      </c>
      <c r="B3007" t="str">
        <f>IFERROR(VLOOKUP(D3007,APOYO!K:L,2,FALSE),A3007)</f>
        <v>76126</v>
      </c>
      <c r="C3007" t="s">
        <v>1975</v>
      </c>
      <c r="D3007" t="str">
        <f>IFERROR(VLOOKUP(C3007,APOYO!J:K,2,FALSE),C3007)</f>
        <v>CALIMA</v>
      </c>
      <c r="E3007">
        <v>2017</v>
      </c>
    </row>
    <row r="3008" spans="1:5" hidden="1" x14ac:dyDescent="0.25">
      <c r="A3008" t="str">
        <f>_xlfn.XLOOKUP(C3008, 'Códigos DANE Municipios'!$B$2:$B$1123, 'Códigos DANE Municipios'!$A$2:$A$1123, "No encontrado")</f>
        <v>19142</v>
      </c>
      <c r="B3008" t="str">
        <f>IFERROR(VLOOKUP(D3008,APOYO!K:L,2,FALSE),A3008)</f>
        <v>19142</v>
      </c>
      <c r="C3008" t="s">
        <v>744</v>
      </c>
      <c r="D3008" t="str">
        <f>IFERROR(VLOOKUP(C3008,APOYO!J:K,2,FALSE),C3008)</f>
        <v>CALOTO</v>
      </c>
      <c r="E3008">
        <v>2017</v>
      </c>
    </row>
    <row r="3009" spans="1:5" hidden="1" x14ac:dyDescent="0.25">
      <c r="A3009" t="str">
        <f>_xlfn.XLOOKUP(C3009, 'Códigos DANE Municipios'!$B$2:$B$1123, 'Códigos DANE Municipios'!$A$2:$A$1123, "No encontrado")</f>
        <v>41132</v>
      </c>
      <c r="B3009" t="str">
        <f>IFERROR(VLOOKUP(D3009,APOYO!K:L,2,FALSE),A3009)</f>
        <v>41132</v>
      </c>
      <c r="C3009" t="s">
        <v>1215</v>
      </c>
      <c r="D3009" t="str">
        <f>IFERROR(VLOOKUP(C3009,APOYO!J:K,2,FALSE),C3009)</f>
        <v>CAMPOALEGRE</v>
      </c>
      <c r="E3009">
        <v>2017</v>
      </c>
    </row>
    <row r="3010" spans="1:5" hidden="1" x14ac:dyDescent="0.25">
      <c r="A3010" t="str">
        <f>_xlfn.XLOOKUP(C3010, 'Códigos DANE Municipios'!$B$2:$B$1123, 'Códigos DANE Municipios'!$A$2:$A$1123, "No encontrado")</f>
        <v>08141</v>
      </c>
      <c r="B3010" t="str">
        <f>IFERROR(VLOOKUP(D3010,APOYO!K:L,2,FALSE),A3010)</f>
        <v>08141</v>
      </c>
      <c r="C3010" t="s">
        <v>268</v>
      </c>
      <c r="D3010" t="str">
        <f>IFERROR(VLOOKUP(C3010,APOYO!J:K,2,FALSE),C3010)</f>
        <v>CANDELARIA</v>
      </c>
      <c r="E3010">
        <v>2017</v>
      </c>
    </row>
    <row r="3011" spans="1:5" hidden="1" x14ac:dyDescent="0.25">
      <c r="A3011" t="str">
        <f>_xlfn.XLOOKUP(C3011, 'Códigos DANE Municipios'!$B$2:$B$1123, 'Códigos DANE Municipios'!$A$2:$A$1123, "No encontrado")</f>
        <v>13160</v>
      </c>
      <c r="B3011" t="str">
        <f>IFERROR(VLOOKUP(D3011,APOYO!K:L,2,FALSE),A3011)</f>
        <v>13160</v>
      </c>
      <c r="C3011" t="s">
        <v>325</v>
      </c>
      <c r="D3011" t="str">
        <f>IFERROR(VLOOKUP(C3011,APOYO!J:K,2,FALSE),C3011)</f>
        <v>CANTAGALLO</v>
      </c>
      <c r="E3011">
        <v>2017</v>
      </c>
    </row>
    <row r="3012" spans="1:5" hidden="1" x14ac:dyDescent="0.25">
      <c r="A3012" t="str">
        <f>_xlfn.XLOOKUP(C3012, 'Códigos DANE Municipios'!$B$2:$B$1123, 'Códigos DANE Municipios'!$A$2:$A$1123, "No encontrado")</f>
        <v>05138</v>
      </c>
      <c r="B3012" t="str">
        <f>IFERROR(VLOOKUP(D3012,APOYO!K:L,2,FALSE),A3012)</f>
        <v>05138</v>
      </c>
      <c r="C3012" t="s">
        <v>68</v>
      </c>
      <c r="D3012" t="str">
        <f>IFERROR(VLOOKUP(C3012,APOYO!J:K,2,FALSE),C3012)</f>
        <v>CAÑASGORDAS</v>
      </c>
      <c r="E3012">
        <v>2017</v>
      </c>
    </row>
    <row r="3013" spans="1:5" hidden="1" x14ac:dyDescent="0.25">
      <c r="A3013" t="str">
        <f>_xlfn.XLOOKUP(C3013, 'Códigos DANE Municipios'!$B$2:$B$1123, 'Códigos DANE Municipios'!$A$2:$A$1123, "No encontrado")</f>
        <v>25148</v>
      </c>
      <c r="B3013" t="str">
        <f>IFERROR(VLOOKUP(D3013,APOYO!K:L,2,FALSE),A3013)</f>
        <v>25148</v>
      </c>
      <c r="C3013" t="s">
        <v>938</v>
      </c>
      <c r="D3013" t="str">
        <f>IFERROR(VLOOKUP(C3013,APOYO!J:K,2,FALSE),C3013)</f>
        <v>CAPARRAPÍ</v>
      </c>
      <c r="E3013">
        <v>2017</v>
      </c>
    </row>
    <row r="3014" spans="1:5" hidden="1" x14ac:dyDescent="0.25">
      <c r="A3014" t="str">
        <f>_xlfn.XLOOKUP(C3014, 'Códigos DANE Municipios'!$B$2:$B$1123, 'Códigos DANE Municipios'!$A$2:$A$1123, "No encontrado")</f>
        <v>68147</v>
      </c>
      <c r="B3014" t="str">
        <f>IFERROR(VLOOKUP(D3014,APOYO!K:L,2,FALSE),A3014)</f>
        <v>68147</v>
      </c>
      <c r="C3014" t="s">
        <v>1672</v>
      </c>
      <c r="D3014" t="str">
        <f>IFERROR(VLOOKUP(C3014,APOYO!J:K,2,FALSE),C3014)</f>
        <v>CAPITANEJO</v>
      </c>
      <c r="E3014">
        <v>2017</v>
      </c>
    </row>
    <row r="3015" spans="1:5" hidden="1" x14ac:dyDescent="0.25">
      <c r="A3015" t="str">
        <f>_xlfn.XLOOKUP(C3015, 'Códigos DANE Municipios'!$B$2:$B$1123, 'Códigos DANE Municipios'!$A$2:$A$1123, "No encontrado")</f>
        <v>25151</v>
      </c>
      <c r="B3015" t="str">
        <f>IFERROR(VLOOKUP(D3015,APOYO!K:L,2,FALSE),A3015)</f>
        <v>25151</v>
      </c>
      <c r="C3015" t="s">
        <v>940</v>
      </c>
      <c r="D3015" t="str">
        <f>IFERROR(VLOOKUP(C3015,APOYO!J:K,2,FALSE),C3015)</f>
        <v>CÁQUEZA</v>
      </c>
      <c r="E3015">
        <v>2017</v>
      </c>
    </row>
    <row r="3016" spans="1:5" hidden="1" x14ac:dyDescent="0.25">
      <c r="A3016" t="str">
        <f>_xlfn.XLOOKUP(C3016, 'Códigos DANE Municipios'!$B$2:$B$1123, 'Códigos DANE Municipios'!$A$2:$A$1123, "No encontrado")</f>
        <v>05142</v>
      </c>
      <c r="B3016" t="str">
        <f>IFERROR(VLOOKUP(D3016,APOYO!K:L,2,FALSE),A3016)</f>
        <v>05142</v>
      </c>
      <c r="C3016" t="s">
        <v>70</v>
      </c>
      <c r="D3016" t="str">
        <f>IFERROR(VLOOKUP(C3016,APOYO!J:K,2,FALSE),C3016)</f>
        <v>CARACOLÍ</v>
      </c>
      <c r="E3016">
        <v>2017</v>
      </c>
    </row>
    <row r="3017" spans="1:5" hidden="1" x14ac:dyDescent="0.25">
      <c r="A3017" t="str">
        <f>_xlfn.XLOOKUP(C3017, 'Códigos DANE Municipios'!$B$2:$B$1123, 'Códigos DANE Municipios'!$A$2:$A$1123, "No encontrado")</f>
        <v>05145</v>
      </c>
      <c r="B3017" t="str">
        <f>IFERROR(VLOOKUP(D3017,APOYO!K:L,2,FALSE),A3017)</f>
        <v>05145</v>
      </c>
      <c r="C3017" t="s">
        <v>72</v>
      </c>
      <c r="D3017" t="str">
        <f>IFERROR(VLOOKUP(C3017,APOYO!J:K,2,FALSE),C3017)</f>
        <v>CARAMANTA</v>
      </c>
      <c r="E3017">
        <v>2017</v>
      </c>
    </row>
    <row r="3018" spans="1:5" hidden="1" x14ac:dyDescent="0.25">
      <c r="A3018" t="str">
        <f>_xlfn.XLOOKUP(C3018, 'Códigos DANE Municipios'!$B$2:$B$1123, 'Códigos DANE Municipios'!$A$2:$A$1123, "No encontrado")</f>
        <v>05147</v>
      </c>
      <c r="B3018" t="str">
        <f>IFERROR(VLOOKUP(D3018,APOYO!K:L,2,FALSE),A3018)</f>
        <v>05147</v>
      </c>
      <c r="C3018" t="s">
        <v>74</v>
      </c>
      <c r="D3018" t="str">
        <f>IFERROR(VLOOKUP(C3018,APOYO!J:K,2,FALSE),C3018)</f>
        <v>CAREPA</v>
      </c>
      <c r="E3018">
        <v>2017</v>
      </c>
    </row>
    <row r="3019" spans="1:5" hidden="1" x14ac:dyDescent="0.25">
      <c r="A3019" t="str">
        <f>_xlfn.XLOOKUP(C3019, 'Códigos DANE Municipios'!$B$2:$B$1123, 'Códigos DANE Municipios'!$A$2:$A$1123, "No encontrado")</f>
        <v>73148</v>
      </c>
      <c r="B3019" t="str">
        <f>IFERROR(VLOOKUP(D3019,APOYO!K:L,2,FALSE),A3019)</f>
        <v>73148</v>
      </c>
      <c r="C3019" t="s">
        <v>1881</v>
      </c>
      <c r="D3019" t="str">
        <f>IFERROR(VLOOKUP(C3019,APOYO!J:K,2,FALSE),C3019)</f>
        <v>CARMEN DE APICALÁ</v>
      </c>
      <c r="E3019">
        <v>2017</v>
      </c>
    </row>
    <row r="3020" spans="1:5" hidden="1" x14ac:dyDescent="0.25">
      <c r="A3020" t="str">
        <f>_xlfn.XLOOKUP(C3020, 'Códigos DANE Municipios'!$B$2:$B$1123, 'Códigos DANE Municipios'!$A$2:$A$1123, "No encontrado")</f>
        <v>25154</v>
      </c>
      <c r="B3020" t="str">
        <f>IFERROR(VLOOKUP(D3020,APOYO!K:L,2,FALSE),A3020)</f>
        <v>25154</v>
      </c>
      <c r="C3020" t="s">
        <v>942</v>
      </c>
      <c r="D3020" t="str">
        <f>IFERROR(VLOOKUP(C3020,APOYO!J:K,2,FALSE),C3020)</f>
        <v>CARMEN DE CARUPA</v>
      </c>
      <c r="E3020">
        <v>2017</v>
      </c>
    </row>
    <row r="3021" spans="1:5" hidden="1" x14ac:dyDescent="0.25">
      <c r="A3021" t="str">
        <f>_xlfn.XLOOKUP(C3021, 'Códigos DANE Municipios'!$B$2:$B$1123, 'Códigos DANE Municipios'!$A$2:$A$1123, "No encontrado")</f>
        <v>05148</v>
      </c>
      <c r="B3021" t="str">
        <f>IFERROR(VLOOKUP(D3021,APOYO!K:L,2,FALSE),A3021)</f>
        <v>05148</v>
      </c>
      <c r="C3021" t="s">
        <v>76</v>
      </c>
      <c r="D3021" t="str">
        <f>IFERROR(VLOOKUP(C3021,APOYO!J:K,2,FALSE),C3021)</f>
        <v>EL CARMEN DE VIBORAL</v>
      </c>
      <c r="E3021">
        <v>2017</v>
      </c>
    </row>
    <row r="3022" spans="1:5" hidden="1" x14ac:dyDescent="0.25">
      <c r="A3022" t="str">
        <f>_xlfn.XLOOKUP(C3022, 'Códigos DANE Municipios'!$B$2:$B$1123, 'Códigos DANE Municipios'!$A$2:$A$1123, "No encontrado")</f>
        <v>05150</v>
      </c>
      <c r="B3022" t="str">
        <f>IFERROR(VLOOKUP(D3022,APOYO!K:L,2,FALSE),A3022)</f>
        <v>05150</v>
      </c>
      <c r="C3022" t="s">
        <v>78</v>
      </c>
      <c r="D3022" t="str">
        <f>IFERROR(VLOOKUP(C3022,APOYO!J:K,2,FALSE),C3022)</f>
        <v>CAROLINA</v>
      </c>
      <c r="E3022">
        <v>2017</v>
      </c>
    </row>
    <row r="3023" spans="1:5" hidden="1" x14ac:dyDescent="0.25">
      <c r="A3023" t="str">
        <f>_xlfn.XLOOKUP(C3023, 'Códigos DANE Municipios'!$B$2:$B$1123, 'Códigos DANE Municipios'!$A$2:$A$1123, "No encontrado")</f>
        <v>13001</v>
      </c>
      <c r="B3023" t="str">
        <f>IFERROR(VLOOKUP(D3023,APOYO!K:L,2,FALSE),A3023)</f>
        <v>13001</v>
      </c>
      <c r="C3023" t="s">
        <v>309</v>
      </c>
      <c r="D3023" t="str">
        <f>IFERROR(VLOOKUP(C3023,APOYO!J:K,2,FALSE),C3023)</f>
        <v>CARTAGENA DE INDIAS</v>
      </c>
      <c r="E3023">
        <v>2017</v>
      </c>
    </row>
    <row r="3024" spans="1:5" hidden="1" x14ac:dyDescent="0.25">
      <c r="A3024" t="str">
        <f>_xlfn.XLOOKUP(C3024, 'Códigos DANE Municipios'!$B$2:$B$1123, 'Códigos DANE Municipios'!$A$2:$A$1123, "No encontrado")</f>
        <v>18150</v>
      </c>
      <c r="B3024" t="str">
        <f>IFERROR(VLOOKUP(D3024,APOYO!K:L,2,FALSE),A3024)</f>
        <v>18150</v>
      </c>
      <c r="C3024" t="s">
        <v>704</v>
      </c>
      <c r="D3024" t="str">
        <f>IFERROR(VLOOKUP(C3024,APOYO!J:K,2,FALSE),C3024)</f>
        <v>CARTAGENA DEL CHAIRÁ</v>
      </c>
      <c r="E3024">
        <v>2017</v>
      </c>
    </row>
    <row r="3025" spans="1:5" hidden="1" x14ac:dyDescent="0.25">
      <c r="A3025" t="str">
        <f>_xlfn.XLOOKUP(C3025, 'Códigos DANE Municipios'!$B$2:$B$1123, 'Códigos DANE Municipios'!$A$2:$A$1123, "No encontrado")</f>
        <v>76147</v>
      </c>
      <c r="B3025" t="str">
        <f>IFERROR(VLOOKUP(D3025,APOYO!K:L,2,FALSE),A3025)</f>
        <v>76147</v>
      </c>
      <c r="C3025" t="s">
        <v>1978</v>
      </c>
      <c r="D3025" t="str">
        <f>IFERROR(VLOOKUP(C3025,APOYO!J:K,2,FALSE),C3025)</f>
        <v>CARTAGO</v>
      </c>
      <c r="E3025">
        <v>2017</v>
      </c>
    </row>
    <row r="3026" spans="1:5" hidden="1" x14ac:dyDescent="0.25">
      <c r="A3026" t="str">
        <f>_xlfn.XLOOKUP(C3026, 'Códigos DANE Municipios'!$B$2:$B$1123, 'Códigos DANE Municipios'!$A$2:$A$1123, "No encontrado")</f>
        <v>97161</v>
      </c>
      <c r="B3026" t="str">
        <f>IFERROR(VLOOKUP(D3026,APOYO!K:L,2,FALSE),A3026)</f>
        <v>97161</v>
      </c>
      <c r="C3026" t="s">
        <v>2153</v>
      </c>
      <c r="D3026" t="str">
        <f>IFERROR(VLOOKUP(C3026,APOYO!J:K,2,FALSE),C3026)</f>
        <v>CARURÚ</v>
      </c>
      <c r="E3026">
        <v>2017</v>
      </c>
    </row>
    <row r="3027" spans="1:5" hidden="1" x14ac:dyDescent="0.25">
      <c r="A3027" t="str">
        <f>_xlfn.XLOOKUP(C3027, 'Códigos DANE Municipios'!$B$2:$B$1123, 'Códigos DANE Municipios'!$A$2:$A$1123, "No encontrado")</f>
        <v>50150</v>
      </c>
      <c r="B3027" t="str">
        <f>IFERROR(VLOOKUP(D3027,APOYO!K:L,2,FALSE),A3027)</f>
        <v>50150</v>
      </c>
      <c r="C3027" t="s">
        <v>1366</v>
      </c>
      <c r="D3027" t="str">
        <f>IFERROR(VLOOKUP(C3027,APOYO!J:K,2,FALSE),C3027)</f>
        <v>CASTILLA LA NUEVA</v>
      </c>
      <c r="E3027">
        <v>2017</v>
      </c>
    </row>
    <row r="3028" spans="1:5" hidden="1" x14ac:dyDescent="0.25">
      <c r="A3028" t="str">
        <f>_xlfn.XLOOKUP(C3028, 'Códigos DANE Municipios'!$B$2:$B$1123, 'Códigos DANE Municipios'!$A$2:$A$1123, "No encontrado")</f>
        <v>05154</v>
      </c>
      <c r="B3028" t="str">
        <f>IFERROR(VLOOKUP(D3028,APOYO!K:L,2,FALSE),A3028)</f>
        <v>05154</v>
      </c>
      <c r="C3028" t="s">
        <v>80</v>
      </c>
      <c r="D3028" t="str">
        <f>IFERROR(VLOOKUP(C3028,APOYO!J:K,2,FALSE),C3028)</f>
        <v>CAUCASIA</v>
      </c>
      <c r="E3028">
        <v>2017</v>
      </c>
    </row>
    <row r="3029" spans="1:5" hidden="1" x14ac:dyDescent="0.25">
      <c r="A3029" t="str">
        <f>_xlfn.XLOOKUP(C3029, 'Códigos DANE Municipios'!$B$2:$B$1123, 'Códigos DANE Municipios'!$A$2:$A$1123, "No encontrado")</f>
        <v>68160</v>
      </c>
      <c r="B3029" t="str">
        <f>IFERROR(VLOOKUP(D3029,APOYO!K:L,2,FALSE),A3029)</f>
        <v>68160</v>
      </c>
      <c r="C3029" t="s">
        <v>1676</v>
      </c>
      <c r="D3029" t="str">
        <f>IFERROR(VLOOKUP(C3029,APOYO!J:K,2,FALSE),C3029)</f>
        <v>CEPITÁ</v>
      </c>
      <c r="E3029">
        <v>2017</v>
      </c>
    </row>
    <row r="3030" spans="1:5" hidden="1" x14ac:dyDescent="0.25">
      <c r="A3030" t="str">
        <f>_xlfn.XLOOKUP(C3030, 'Códigos DANE Municipios'!$B$2:$B$1123, 'Códigos DANE Municipios'!$A$2:$A$1123, "No encontrado")</f>
        <v>23162</v>
      </c>
      <c r="B3030" t="str">
        <f>IFERROR(VLOOKUP(D3030,APOYO!K:L,2,FALSE),A3030)</f>
        <v>23162</v>
      </c>
      <c r="C3030" t="s">
        <v>865</v>
      </c>
      <c r="D3030" t="str">
        <f>IFERROR(VLOOKUP(C3030,APOYO!J:K,2,FALSE),C3030)</f>
        <v>CERETÉ</v>
      </c>
      <c r="E3030">
        <v>2017</v>
      </c>
    </row>
    <row r="3031" spans="1:5" hidden="1" x14ac:dyDescent="0.25">
      <c r="A3031" t="str">
        <f>_xlfn.XLOOKUP(C3031, 'Códigos DANE Municipios'!$B$2:$B$1123, 'Códigos DANE Municipios'!$A$2:$A$1123, "No encontrado")</f>
        <v>52240</v>
      </c>
      <c r="B3031" t="str">
        <f>IFERROR(VLOOKUP(D3031,APOYO!K:L,2,FALSE),A3031)</f>
        <v>52240</v>
      </c>
      <c r="C3031" t="s">
        <v>1439</v>
      </c>
      <c r="D3031" t="str">
        <f>IFERROR(VLOOKUP(C3031,APOYO!J:K,2,FALSE),C3031)</f>
        <v>CHACHAGÜÍ</v>
      </c>
      <c r="E3031">
        <v>2017</v>
      </c>
    </row>
    <row r="3032" spans="1:5" hidden="1" x14ac:dyDescent="0.25">
      <c r="A3032" t="str">
        <f>_xlfn.XLOOKUP(C3032, 'Códigos DANE Municipios'!$B$2:$B$1123, 'Códigos DANE Municipios'!$A$2:$A$1123, "No encontrado")</f>
        <v>25168</v>
      </c>
      <c r="B3032" t="str">
        <f>IFERROR(VLOOKUP(D3032,APOYO!K:L,2,FALSE),A3032)</f>
        <v>25168</v>
      </c>
      <c r="C3032" t="s">
        <v>944</v>
      </c>
      <c r="D3032" t="str">
        <f>IFERROR(VLOOKUP(C3032,APOYO!J:K,2,FALSE),C3032)</f>
        <v>CHAGUANÍ</v>
      </c>
      <c r="E3032">
        <v>2017</v>
      </c>
    </row>
    <row r="3033" spans="1:5" hidden="1" x14ac:dyDescent="0.25">
      <c r="A3033" t="str">
        <f>_xlfn.XLOOKUP(C3033, 'Códigos DANE Municipios'!$B$2:$B$1123, 'Códigos DANE Municipios'!$A$2:$A$1123, "No encontrado")</f>
        <v>68167</v>
      </c>
      <c r="B3033" t="str">
        <f>IFERROR(VLOOKUP(D3033,APOYO!K:L,2,FALSE),A3033)</f>
        <v>68167</v>
      </c>
      <c r="C3033" t="s">
        <v>1680</v>
      </c>
      <c r="D3033" t="str">
        <f>IFERROR(VLOOKUP(C3033,APOYO!J:K,2,FALSE),C3033)</f>
        <v>CHARALÁ</v>
      </c>
      <c r="E3033">
        <v>2017</v>
      </c>
    </row>
    <row r="3034" spans="1:5" hidden="1" x14ac:dyDescent="0.25">
      <c r="A3034" t="str">
        <f>_xlfn.XLOOKUP(C3034, 'Códigos DANE Municipios'!$B$2:$B$1123, 'Códigos DANE Municipios'!$A$2:$A$1123, "No encontrado")</f>
        <v>25175</v>
      </c>
      <c r="B3034" t="str">
        <f>IFERROR(VLOOKUP(D3034,APOYO!K:L,2,FALSE),A3034)</f>
        <v>25175</v>
      </c>
      <c r="C3034" t="s">
        <v>946</v>
      </c>
      <c r="D3034" t="str">
        <f>IFERROR(VLOOKUP(C3034,APOYO!J:K,2,FALSE),C3034)</f>
        <v>CHÍA</v>
      </c>
      <c r="E3034">
        <v>2017</v>
      </c>
    </row>
    <row r="3035" spans="1:5" hidden="1" x14ac:dyDescent="0.25">
      <c r="A3035" t="str">
        <f>_xlfn.XLOOKUP(C3035, 'Códigos DANE Municipios'!$B$2:$B$1123, 'Códigos DANE Municipios'!$A$2:$A$1123, "No encontrado")</f>
        <v>05172</v>
      </c>
      <c r="B3035" t="str">
        <f>IFERROR(VLOOKUP(D3035,APOYO!K:L,2,FALSE),A3035)</f>
        <v>05172</v>
      </c>
      <c r="C3035" t="s">
        <v>82</v>
      </c>
      <c r="D3035" t="str">
        <f>IFERROR(VLOOKUP(C3035,APOYO!J:K,2,FALSE),C3035)</f>
        <v>CHIGORODÓ</v>
      </c>
      <c r="E3035">
        <v>2017</v>
      </c>
    </row>
    <row r="3036" spans="1:5" hidden="1" x14ac:dyDescent="0.25">
      <c r="A3036" t="str">
        <f>_xlfn.XLOOKUP(C3036, 'Códigos DANE Municipios'!$B$2:$B$1123, 'Códigos DANE Municipios'!$A$2:$A$1123, "No encontrado")</f>
        <v>20175</v>
      </c>
      <c r="B3036" t="str">
        <f>IFERROR(VLOOKUP(D3036,APOYO!K:L,2,FALSE),A3036)</f>
        <v>20175</v>
      </c>
      <c r="C3036" t="s">
        <v>820</v>
      </c>
      <c r="D3036" t="str">
        <f>IFERROR(VLOOKUP(C3036,APOYO!J:K,2,FALSE),C3036)</f>
        <v>CHIMICHAGUA</v>
      </c>
      <c r="E3036">
        <v>2017</v>
      </c>
    </row>
    <row r="3037" spans="1:5" hidden="1" x14ac:dyDescent="0.25">
      <c r="A3037" t="str">
        <f>_xlfn.XLOOKUP(C3037, 'Códigos DANE Municipios'!$B$2:$B$1123, 'Códigos DANE Municipios'!$A$2:$A$1123, "No encontrado")</f>
        <v>54172</v>
      </c>
      <c r="B3037" t="str">
        <f>IFERROR(VLOOKUP(D3037,APOYO!K:L,2,FALSE),A3037)</f>
        <v>54172</v>
      </c>
      <c r="C3037" t="s">
        <v>1543</v>
      </c>
      <c r="D3037" t="str">
        <f>IFERROR(VLOOKUP(C3037,APOYO!J:K,2,FALSE),C3037)</f>
        <v>CHINÁCOTA</v>
      </c>
      <c r="E3037">
        <v>2017</v>
      </c>
    </row>
    <row r="3038" spans="1:5" hidden="1" x14ac:dyDescent="0.25">
      <c r="A3038" t="str">
        <f>_xlfn.XLOOKUP(C3038, 'Códigos DANE Municipios'!$B$2:$B$1123, 'Códigos DANE Municipios'!$A$2:$A$1123, "No encontrado")</f>
        <v>17174</v>
      </c>
      <c r="B3038" t="str">
        <f>IFERROR(VLOOKUP(D3038,APOYO!K:L,2,FALSE),A3038)</f>
        <v>17174</v>
      </c>
      <c r="C3038" t="s">
        <v>654</v>
      </c>
      <c r="D3038" t="str">
        <f>IFERROR(VLOOKUP(C3038,APOYO!J:K,2,FALSE),C3038)</f>
        <v>CHINCHINÁ</v>
      </c>
      <c r="E3038">
        <v>2017</v>
      </c>
    </row>
    <row r="3039" spans="1:5" hidden="1" x14ac:dyDescent="0.25">
      <c r="A3039" t="str">
        <f>_xlfn.XLOOKUP(C3039, 'Códigos DANE Municipios'!$B$2:$B$1123, 'Códigos DANE Municipios'!$A$2:$A$1123, "No encontrado")</f>
        <v>23182</v>
      </c>
      <c r="B3039" t="str">
        <f>IFERROR(VLOOKUP(D3039,APOYO!K:L,2,FALSE),A3039)</f>
        <v>23182</v>
      </c>
      <c r="C3039" t="s">
        <v>869</v>
      </c>
      <c r="D3039" t="str">
        <f>IFERROR(VLOOKUP(C3039,APOYO!J:K,2,FALSE),C3039)</f>
        <v>CHINÚ</v>
      </c>
      <c r="E3039">
        <v>2017</v>
      </c>
    </row>
    <row r="3040" spans="1:5" hidden="1" x14ac:dyDescent="0.25">
      <c r="A3040" t="str">
        <f>_xlfn.XLOOKUP(C3040, 'Códigos DANE Municipios'!$B$2:$B$1123, 'Códigos DANE Municipios'!$A$2:$A$1123, "No encontrado")</f>
        <v>25178</v>
      </c>
      <c r="B3040" t="str">
        <f>IFERROR(VLOOKUP(D3040,APOYO!K:L,2,FALSE),A3040)</f>
        <v>25178</v>
      </c>
      <c r="C3040" t="s">
        <v>948</v>
      </c>
      <c r="D3040" t="str">
        <f>IFERROR(VLOOKUP(C3040,APOYO!J:K,2,FALSE),C3040)</f>
        <v>CHIPAQUE</v>
      </c>
      <c r="E3040">
        <v>2017</v>
      </c>
    </row>
    <row r="3041" spans="1:5" hidden="1" x14ac:dyDescent="0.25">
      <c r="A3041" t="str">
        <f>_xlfn.XLOOKUP(C3041, 'Códigos DANE Municipios'!$B$2:$B$1123, 'Códigos DANE Municipios'!$A$2:$A$1123, "No encontrado")</f>
        <v>15176</v>
      </c>
      <c r="B3041" t="str">
        <f>IFERROR(VLOOKUP(D3041,APOYO!K:L,2,FALSE),A3041)</f>
        <v>15176</v>
      </c>
      <c r="C3041" t="s">
        <v>431</v>
      </c>
      <c r="D3041" t="str">
        <f>IFERROR(VLOOKUP(C3041,APOYO!J:K,2,FALSE),C3041)</f>
        <v>CHIQUINQUIRÁ</v>
      </c>
      <c r="E3041">
        <v>2017</v>
      </c>
    </row>
    <row r="3042" spans="1:5" hidden="1" x14ac:dyDescent="0.25">
      <c r="A3042" t="str">
        <f>_xlfn.XLOOKUP(C3042, 'Códigos DANE Municipios'!$B$2:$B$1123, 'Códigos DANE Municipios'!$A$2:$A$1123, "No encontrado")</f>
        <v>20178</v>
      </c>
      <c r="B3042" t="str">
        <f>IFERROR(VLOOKUP(D3042,APOYO!K:L,2,FALSE),A3042)</f>
        <v>20178</v>
      </c>
      <c r="C3042" t="s">
        <v>822</v>
      </c>
      <c r="D3042" t="str">
        <f>IFERROR(VLOOKUP(C3042,APOYO!J:K,2,FALSE),C3042)</f>
        <v>CHIRIGUANÁ</v>
      </c>
      <c r="E3042">
        <v>2017</v>
      </c>
    </row>
    <row r="3043" spans="1:5" hidden="1" x14ac:dyDescent="0.25">
      <c r="A3043" t="str">
        <f>_xlfn.XLOOKUP(C3043, 'Códigos DANE Municipios'!$B$2:$B$1123, 'Códigos DANE Municipios'!$A$2:$A$1123, "No encontrado")</f>
        <v>15180</v>
      </c>
      <c r="B3043" t="str">
        <f>IFERROR(VLOOKUP(D3043,APOYO!K:L,2,FALSE),A3043)</f>
        <v>15180</v>
      </c>
      <c r="C3043" t="s">
        <v>433</v>
      </c>
      <c r="D3043" t="str">
        <f>IFERROR(VLOOKUP(C3043,APOYO!J:K,2,FALSE),C3043)</f>
        <v>CHISCAS</v>
      </c>
      <c r="E3043">
        <v>2017</v>
      </c>
    </row>
    <row r="3044" spans="1:5" hidden="1" x14ac:dyDescent="0.25">
      <c r="A3044" t="str">
        <f>_xlfn.XLOOKUP(C3044, 'Códigos DANE Municipios'!$B$2:$B$1123, 'Códigos DANE Municipios'!$A$2:$A$1123, "No encontrado")</f>
        <v>54174</v>
      </c>
      <c r="B3044" t="str">
        <f>IFERROR(VLOOKUP(D3044,APOYO!K:L,2,FALSE),A3044)</f>
        <v>54174</v>
      </c>
      <c r="C3044" t="s">
        <v>1545</v>
      </c>
      <c r="D3044" t="str">
        <f>IFERROR(VLOOKUP(C3044,APOYO!J:K,2,FALSE),C3044)</f>
        <v>CHITAGÁ</v>
      </c>
      <c r="E3044">
        <v>2017</v>
      </c>
    </row>
    <row r="3045" spans="1:5" hidden="1" x14ac:dyDescent="0.25">
      <c r="A3045" t="str">
        <f>_xlfn.XLOOKUP(C3045, 'Códigos DANE Municipios'!$B$2:$B$1123, 'Códigos DANE Municipios'!$A$2:$A$1123, "No encontrado")</f>
        <v>15236</v>
      </c>
      <c r="B3045" t="str">
        <f>IFERROR(VLOOKUP(D3045,APOYO!K:L,2,FALSE),A3045)</f>
        <v>15236</v>
      </c>
      <c r="C3045" t="s">
        <v>459</v>
      </c>
      <c r="D3045" t="str">
        <f>IFERROR(VLOOKUP(C3045,APOYO!J:K,2,FALSE),C3045)</f>
        <v>CHIVOR</v>
      </c>
      <c r="E3045">
        <v>2017</v>
      </c>
    </row>
    <row r="3046" spans="1:5" hidden="1" x14ac:dyDescent="0.25">
      <c r="A3046" t="str">
        <f>_xlfn.XLOOKUP(C3046, 'Códigos DANE Municipios'!$B$2:$B$1123, 'Códigos DANE Municipios'!$A$2:$A$1123, "No encontrado")</f>
        <v>25181</v>
      </c>
      <c r="B3046" t="str">
        <f>IFERROR(VLOOKUP(D3046,APOYO!K:L,2,FALSE),A3046)</f>
        <v>25181</v>
      </c>
      <c r="C3046" t="s">
        <v>950</v>
      </c>
      <c r="D3046" t="str">
        <f>IFERROR(VLOOKUP(C3046,APOYO!J:K,2,FALSE),C3046)</f>
        <v>CHOACHÍ</v>
      </c>
      <c r="E3046">
        <v>2017</v>
      </c>
    </row>
    <row r="3047" spans="1:5" hidden="1" x14ac:dyDescent="0.25">
      <c r="A3047" t="str">
        <f>_xlfn.XLOOKUP(C3047, 'Códigos DANE Municipios'!$B$2:$B$1123, 'Códigos DANE Municipios'!$A$2:$A$1123, "No encontrado")</f>
        <v>25183</v>
      </c>
      <c r="B3047" t="str">
        <f>IFERROR(VLOOKUP(D3047,APOYO!K:L,2,FALSE),A3047)</f>
        <v>25183</v>
      </c>
      <c r="C3047" t="s">
        <v>952</v>
      </c>
      <c r="D3047" t="str">
        <f>IFERROR(VLOOKUP(C3047,APOYO!J:K,2,FALSE),C3047)</f>
        <v>CHOCONTÁ</v>
      </c>
      <c r="E3047">
        <v>2017</v>
      </c>
    </row>
    <row r="3048" spans="1:5" hidden="1" x14ac:dyDescent="0.25">
      <c r="A3048" t="str">
        <f>_xlfn.XLOOKUP(C3048, 'Códigos DANE Municipios'!$B$2:$B$1123, 'Códigos DANE Municipios'!$A$2:$A$1123, "No encontrado")</f>
        <v>47189</v>
      </c>
      <c r="B3048" t="str">
        <f>IFERROR(VLOOKUP(D3048,APOYO!K:L,2,FALSE),A3048)</f>
        <v>47189</v>
      </c>
      <c r="C3048" t="s">
        <v>1312</v>
      </c>
      <c r="D3048" t="str">
        <f>IFERROR(VLOOKUP(C3048,APOYO!J:K,2,FALSE),C3048)</f>
        <v>CIÉNAGA</v>
      </c>
      <c r="E3048">
        <v>2017</v>
      </c>
    </row>
    <row r="3049" spans="1:5" hidden="1" x14ac:dyDescent="0.25">
      <c r="A3049" t="str">
        <f>_xlfn.XLOOKUP(C3049, 'Códigos DANE Municipios'!$B$2:$B$1123, 'Códigos DANE Municipios'!$A$2:$A$1123, "No encontrado")</f>
        <v>23189</v>
      </c>
      <c r="B3049" t="str">
        <f>IFERROR(VLOOKUP(D3049,APOYO!K:L,2,FALSE),A3049)</f>
        <v>23189</v>
      </c>
      <c r="C3049" t="s">
        <v>871</v>
      </c>
      <c r="D3049" t="str">
        <f>IFERROR(VLOOKUP(C3049,APOYO!J:K,2,FALSE),C3049)</f>
        <v>CIÉNAGA DE ORO</v>
      </c>
      <c r="E3049">
        <v>2017</v>
      </c>
    </row>
    <row r="3050" spans="1:5" hidden="1" x14ac:dyDescent="0.25">
      <c r="A3050" t="str">
        <f>_xlfn.XLOOKUP(C3050, 'Códigos DANE Municipios'!$B$2:$B$1123, 'Códigos DANE Municipios'!$A$2:$A$1123, "No encontrado")</f>
        <v>68190</v>
      </c>
      <c r="B3050" t="str">
        <f>IFERROR(VLOOKUP(D3050,APOYO!K:L,2,FALSE),A3050)</f>
        <v>68190</v>
      </c>
      <c r="C3050" t="s">
        <v>1688</v>
      </c>
      <c r="D3050" t="str">
        <f>IFERROR(VLOOKUP(C3050,APOYO!J:K,2,FALSE),C3050)</f>
        <v>CIMITARRA</v>
      </c>
      <c r="E3050">
        <v>2017</v>
      </c>
    </row>
    <row r="3051" spans="1:5" hidden="1" x14ac:dyDescent="0.25">
      <c r="A3051" t="str">
        <f>_xlfn.XLOOKUP(C3051, 'Códigos DANE Municipios'!$B$2:$B$1123, 'Códigos DANE Municipios'!$A$2:$A$1123, "No encontrado")</f>
        <v>63190</v>
      </c>
      <c r="B3051" t="str">
        <f>IFERROR(VLOOKUP(D3051,APOYO!K:L,2,FALSE),A3051)</f>
        <v>63190</v>
      </c>
      <c r="C3051" t="s">
        <v>1611</v>
      </c>
      <c r="D3051" t="str">
        <f>IFERROR(VLOOKUP(C3051,APOYO!J:K,2,FALSE),C3051)</f>
        <v>CIRCASIA</v>
      </c>
      <c r="E3051">
        <v>2017</v>
      </c>
    </row>
    <row r="3052" spans="1:5" hidden="1" x14ac:dyDescent="0.25">
      <c r="A3052" t="str">
        <f>_xlfn.XLOOKUP(C3052, 'Códigos DANE Municipios'!$B$2:$B$1123, 'Códigos DANE Municipios'!$A$2:$A$1123, "No encontrado")</f>
        <v>05190</v>
      </c>
      <c r="B3052" t="str">
        <f>IFERROR(VLOOKUP(D3052,APOYO!K:L,2,FALSE),A3052)</f>
        <v>05190</v>
      </c>
      <c r="C3052" t="s">
        <v>84</v>
      </c>
      <c r="D3052" t="str">
        <f>IFERROR(VLOOKUP(C3052,APOYO!J:K,2,FALSE),C3052)</f>
        <v>CISNEROS</v>
      </c>
      <c r="E3052">
        <v>2017</v>
      </c>
    </row>
    <row r="3053" spans="1:5" hidden="1" x14ac:dyDescent="0.25">
      <c r="A3053" t="str">
        <f>_xlfn.XLOOKUP(C3053, 'Códigos DANE Municipios'!$B$2:$B$1123, 'Códigos DANE Municipios'!$A$2:$A$1123, "No encontrado")</f>
        <v>05197</v>
      </c>
      <c r="B3053" t="str">
        <f>IFERROR(VLOOKUP(D3053,APOYO!K:L,2,FALSE),A3053)</f>
        <v>05197</v>
      </c>
      <c r="C3053" t="s">
        <v>86</v>
      </c>
      <c r="D3053" t="str">
        <f>IFERROR(VLOOKUP(C3053,APOYO!J:K,2,FALSE),C3053)</f>
        <v>COCORNÁ</v>
      </c>
      <c r="E3053">
        <v>2017</v>
      </c>
    </row>
    <row r="3054" spans="1:5" hidden="1" x14ac:dyDescent="0.25">
      <c r="A3054" t="str">
        <f>_xlfn.XLOOKUP(C3054, 'Códigos DANE Municipios'!$B$2:$B$1123, 'Códigos DANE Municipios'!$A$2:$A$1123, "No encontrado")</f>
        <v>05190</v>
      </c>
      <c r="B3054" t="str">
        <f>IFERROR(VLOOKUP(D3054,APOYO!K:L,2,FALSE),A3054)</f>
        <v>05190</v>
      </c>
      <c r="C3054" t="s">
        <v>84</v>
      </c>
      <c r="D3054" t="str">
        <f>IFERROR(VLOOKUP(C3054,APOYO!J:K,2,FALSE),C3054)</f>
        <v>CISNEROS</v>
      </c>
      <c r="E3054">
        <v>2017</v>
      </c>
    </row>
    <row r="3055" spans="1:5" hidden="1" x14ac:dyDescent="0.25">
      <c r="A3055" t="str">
        <f>_xlfn.XLOOKUP(C3055, 'Códigos DANE Municipios'!$B$2:$B$1123, 'Códigos DANE Municipios'!$A$2:$A$1123, "No encontrado")</f>
        <v>05197</v>
      </c>
      <c r="B3055" t="str">
        <f>IFERROR(VLOOKUP(D3055,APOYO!K:L,2,FALSE),A3055)</f>
        <v>05197</v>
      </c>
      <c r="C3055" t="s">
        <v>86</v>
      </c>
      <c r="D3055" t="str">
        <f>IFERROR(VLOOKUP(C3055,APOYO!J:K,2,FALSE),C3055)</f>
        <v>COCORNÁ</v>
      </c>
      <c r="E3055">
        <v>2017</v>
      </c>
    </row>
    <row r="3056" spans="1:5" hidden="1" x14ac:dyDescent="0.25">
      <c r="A3056" t="str">
        <f>_xlfn.XLOOKUP(C3056, 'Códigos DANE Municipios'!$B$2:$B$1123, 'Códigos DANE Municipios'!$A$2:$A$1123, "No encontrado")</f>
        <v>73200</v>
      </c>
      <c r="B3056" t="str">
        <f>IFERROR(VLOOKUP(D3056,APOYO!K:L,2,FALSE),A3056)</f>
        <v>73200</v>
      </c>
      <c r="C3056" t="s">
        <v>1887</v>
      </c>
      <c r="D3056" t="str">
        <f>IFERROR(VLOOKUP(C3056,APOYO!J:K,2,FALSE),C3056)</f>
        <v>COELLO</v>
      </c>
      <c r="E3056">
        <v>2017</v>
      </c>
    </row>
    <row r="3057" spans="1:5" hidden="1" x14ac:dyDescent="0.25">
      <c r="A3057" t="str">
        <f>_xlfn.XLOOKUP(C3057, 'Códigos DANE Municipios'!$B$2:$B$1123, 'Códigos DANE Municipios'!$A$2:$A$1123, "No encontrado")</f>
        <v>25200</v>
      </c>
      <c r="B3057" t="str">
        <f>IFERROR(VLOOKUP(D3057,APOYO!K:L,2,FALSE),A3057)</f>
        <v>25200</v>
      </c>
      <c r="C3057" t="s">
        <v>954</v>
      </c>
      <c r="D3057" t="str">
        <f>IFERROR(VLOOKUP(C3057,APOYO!J:K,2,FALSE),C3057)</f>
        <v>COGUA</v>
      </c>
      <c r="E3057">
        <v>2017</v>
      </c>
    </row>
    <row r="3058" spans="1:5" hidden="1" x14ac:dyDescent="0.25">
      <c r="A3058" t="str">
        <f>_xlfn.XLOOKUP(C3058, 'Códigos DANE Municipios'!$B$2:$B$1123, 'Códigos DANE Municipios'!$A$2:$A$1123, "No encontrado")</f>
        <v>41206</v>
      </c>
      <c r="B3058" t="str">
        <f>IFERROR(VLOOKUP(D3058,APOYO!K:L,2,FALSE),A3058)</f>
        <v>41206</v>
      </c>
      <c r="C3058" t="s">
        <v>1217</v>
      </c>
      <c r="D3058" t="str">
        <f>IFERROR(VLOOKUP(C3058,APOYO!J:K,2,FALSE),C3058)</f>
        <v>COLOMBIA</v>
      </c>
      <c r="E3058">
        <v>2017</v>
      </c>
    </row>
    <row r="3059" spans="1:5" hidden="1" x14ac:dyDescent="0.25">
      <c r="A3059" t="str">
        <f>_xlfn.XLOOKUP(C3059, 'Códigos DANE Municipios'!$B$2:$B$1123, 'Códigos DANE Municipios'!$A$2:$A$1123, "No encontrado")</f>
        <v>52203</v>
      </c>
      <c r="B3059" t="str">
        <f>IFERROR(VLOOKUP(D3059,APOYO!K:L,2,FALSE),A3059)</f>
        <v>52203</v>
      </c>
      <c r="C3059" t="s">
        <v>1426</v>
      </c>
      <c r="D3059" t="str">
        <f>IFERROR(VLOOKUP(C3059,APOYO!J:K,2,FALSE),C3059)</f>
        <v>COLÓN</v>
      </c>
      <c r="E3059">
        <v>2017</v>
      </c>
    </row>
    <row r="3060" spans="1:5" hidden="1" x14ac:dyDescent="0.25">
      <c r="A3060" t="str">
        <f>_xlfn.XLOOKUP(C3060, 'Códigos DANE Municipios'!$B$2:$B$1123, 'Códigos DANE Municipios'!$A$2:$A$1123, "No encontrado")</f>
        <v>15204</v>
      </c>
      <c r="B3060" t="str">
        <f>IFERROR(VLOOKUP(D3060,APOYO!K:L,2,FALSE),A3060)</f>
        <v>15204</v>
      </c>
      <c r="C3060" t="s">
        <v>443</v>
      </c>
      <c r="D3060" t="str">
        <f>IFERROR(VLOOKUP(C3060,APOYO!J:K,2,FALSE),C3060)</f>
        <v>CÓMBITA</v>
      </c>
      <c r="E3060">
        <v>2017</v>
      </c>
    </row>
    <row r="3061" spans="1:5" hidden="1" x14ac:dyDescent="0.25">
      <c r="A3061" t="str">
        <f>_xlfn.XLOOKUP(C3061, 'Códigos DANE Municipios'!$B$2:$B$1123, 'Códigos DANE Municipios'!$A$2:$A$1123, "No encontrado")</f>
        <v>05206</v>
      </c>
      <c r="B3061" t="str">
        <f>IFERROR(VLOOKUP(D3061,APOYO!K:L,2,FALSE),A3061)</f>
        <v>05206</v>
      </c>
      <c r="C3061" t="s">
        <v>88</v>
      </c>
      <c r="D3061" t="str">
        <f>IFERROR(VLOOKUP(C3061,APOYO!J:K,2,FALSE),C3061)</f>
        <v>CONCEPCIÓN</v>
      </c>
      <c r="E3061">
        <v>2017</v>
      </c>
    </row>
    <row r="3062" spans="1:5" hidden="1" x14ac:dyDescent="0.25">
      <c r="A3062" t="str">
        <f>_xlfn.XLOOKUP(C3062, 'Códigos DANE Municipios'!$B$2:$B$1123, 'Códigos DANE Municipios'!$A$2:$A$1123, "No encontrado")</f>
        <v>05209</v>
      </c>
      <c r="B3062" t="str">
        <f>IFERROR(VLOOKUP(D3062,APOYO!K:L,2,FALSE),A3062)</f>
        <v>05209</v>
      </c>
      <c r="C3062" t="s">
        <v>90</v>
      </c>
      <c r="D3062" t="str">
        <f>IFERROR(VLOOKUP(C3062,APOYO!J:K,2,FALSE),C3062)</f>
        <v>CONCORDIA</v>
      </c>
      <c r="E3062">
        <v>2017</v>
      </c>
    </row>
    <row r="3063" spans="1:5" hidden="1" x14ac:dyDescent="0.25">
      <c r="A3063" t="str">
        <f>_xlfn.XLOOKUP(C3063, 'Códigos DANE Municipios'!$B$2:$B$1123, 'Códigos DANE Municipios'!$A$2:$A$1123, "No encontrado")</f>
        <v>27205</v>
      </c>
      <c r="B3063" t="str">
        <f>IFERROR(VLOOKUP(D3063,APOYO!K:L,2,FALSE),A3063)</f>
        <v>27205</v>
      </c>
      <c r="C3063" t="s">
        <v>1164</v>
      </c>
      <c r="D3063" t="str">
        <f>IFERROR(VLOOKUP(C3063,APOYO!J:K,2,FALSE),C3063)</f>
        <v>CONDOTO</v>
      </c>
      <c r="E3063">
        <v>2017</v>
      </c>
    </row>
    <row r="3064" spans="1:5" hidden="1" x14ac:dyDescent="0.25">
      <c r="A3064" t="str">
        <f>_xlfn.XLOOKUP(C3064, 'Códigos DANE Municipios'!$B$2:$B$1123, 'Códigos DANE Municipios'!$A$2:$A$1123, "No encontrado")</f>
        <v>52207</v>
      </c>
      <c r="B3064" t="str">
        <f>IFERROR(VLOOKUP(D3064,APOYO!K:L,2,FALSE),A3064)</f>
        <v>52207</v>
      </c>
      <c r="C3064" t="s">
        <v>1428</v>
      </c>
      <c r="D3064" t="str">
        <f>IFERROR(VLOOKUP(C3064,APOYO!J:K,2,FALSE),C3064)</f>
        <v>CONSACÁ</v>
      </c>
      <c r="E3064">
        <v>2017</v>
      </c>
    </row>
    <row r="3065" spans="1:5" hidden="1" x14ac:dyDescent="0.25">
      <c r="A3065" t="str">
        <f>_xlfn.XLOOKUP(C3065, 'Códigos DANE Municipios'!$B$2:$B$1123, 'Códigos DANE Municipios'!$A$2:$A$1123, "No encontrado")</f>
        <v>68211</v>
      </c>
      <c r="B3065" t="str">
        <f>IFERROR(VLOOKUP(D3065,APOYO!K:L,2,FALSE),A3065)</f>
        <v>68211</v>
      </c>
      <c r="C3065" t="s">
        <v>1693</v>
      </c>
      <c r="D3065" t="str">
        <f>IFERROR(VLOOKUP(C3065,APOYO!J:K,2,FALSE),C3065)</f>
        <v>CONTRATACIÓN</v>
      </c>
      <c r="E3065">
        <v>2017</v>
      </c>
    </row>
    <row r="3066" spans="1:5" hidden="1" x14ac:dyDescent="0.25">
      <c r="A3066" t="str">
        <f>_xlfn.XLOOKUP(C3066, 'Códigos DANE Municipios'!$B$2:$B$1123, 'Códigos DANE Municipios'!$A$2:$A$1123, "No encontrado")</f>
        <v>52210</v>
      </c>
      <c r="B3066" t="str">
        <f>IFERROR(VLOOKUP(D3066,APOYO!K:L,2,FALSE),A3066)</f>
        <v>52210</v>
      </c>
      <c r="C3066" t="s">
        <v>1430</v>
      </c>
      <c r="D3066" t="str">
        <f>IFERROR(VLOOKUP(C3066,APOYO!J:K,2,FALSE),C3066)</f>
        <v>CONTADERO</v>
      </c>
      <c r="E3066">
        <v>2017</v>
      </c>
    </row>
    <row r="3067" spans="1:5" hidden="1" x14ac:dyDescent="0.25">
      <c r="A3067" t="str">
        <f>_xlfn.XLOOKUP(C3067, 'Códigos DANE Municipios'!$B$2:$B$1123, 'Códigos DANE Municipios'!$A$2:$A$1123, "No encontrado")</f>
        <v>05212</v>
      </c>
      <c r="B3067" t="str">
        <f>IFERROR(VLOOKUP(D3067,APOYO!K:L,2,FALSE),A3067)</f>
        <v>05212</v>
      </c>
      <c r="C3067" t="s">
        <v>92</v>
      </c>
      <c r="D3067" t="str">
        <f>IFERROR(VLOOKUP(C3067,APOYO!J:K,2,FALSE),C3067)</f>
        <v>COPACABANA</v>
      </c>
      <c r="E3067">
        <v>2017</v>
      </c>
    </row>
    <row r="3068" spans="1:5" hidden="1" x14ac:dyDescent="0.25">
      <c r="A3068" t="str">
        <f>_xlfn.XLOOKUP(C3068, 'Códigos DANE Municipios'!$B$2:$B$1123, 'Códigos DANE Municipios'!$A$2:$A$1123, "No encontrado")</f>
        <v>13212</v>
      </c>
      <c r="B3068" t="str">
        <f>IFERROR(VLOOKUP(D3068,APOYO!K:L,2,FALSE),A3068)</f>
        <v>13212</v>
      </c>
      <c r="C3068" t="s">
        <v>329</v>
      </c>
      <c r="D3068" t="str">
        <f>IFERROR(VLOOKUP(C3068,APOYO!J:K,2,FALSE),C3068)</f>
        <v>CÓRDOBA</v>
      </c>
      <c r="E3068">
        <v>2017</v>
      </c>
    </row>
    <row r="3069" spans="1:5" hidden="1" x14ac:dyDescent="0.25">
      <c r="A3069" t="str">
        <f>_xlfn.XLOOKUP(C3069, 'Códigos DANE Municipios'!$B$2:$B$1123, 'Códigos DANE Municipios'!$A$2:$A$1123, "No encontrado")</f>
        <v>19212</v>
      </c>
      <c r="B3069" t="str">
        <f>IFERROR(VLOOKUP(D3069,APOYO!K:L,2,FALSE),A3069)</f>
        <v>19212</v>
      </c>
      <c r="C3069" t="s">
        <v>746</v>
      </c>
      <c r="D3069" t="str">
        <f>IFERROR(VLOOKUP(C3069,APOYO!J:K,2,FALSE),C3069)</f>
        <v>CORINTO</v>
      </c>
      <c r="E3069">
        <v>2017</v>
      </c>
    </row>
    <row r="3070" spans="1:5" hidden="1" x14ac:dyDescent="0.25">
      <c r="A3070" t="str">
        <f>_xlfn.XLOOKUP(C3070, 'Códigos DANE Municipios'!$B$2:$B$1123, 'Códigos DANE Municipios'!$A$2:$A$1123, "No encontrado")</f>
        <v>70215</v>
      </c>
      <c r="B3070" t="str">
        <f>IFERROR(VLOOKUP(D3070,APOYO!K:L,2,FALSE),A3070)</f>
        <v>70215</v>
      </c>
      <c r="C3070" t="s">
        <v>1823</v>
      </c>
      <c r="D3070" t="str">
        <f>IFERROR(VLOOKUP(C3070,APOYO!J:K,2,FALSE),C3070)</f>
        <v>COROZAL</v>
      </c>
      <c r="E3070">
        <v>2017</v>
      </c>
    </row>
    <row r="3071" spans="1:5" hidden="1" x14ac:dyDescent="0.25">
      <c r="A3071" t="str">
        <f>_xlfn.XLOOKUP(C3071, 'Códigos DANE Municipios'!$B$2:$B$1123, 'Códigos DANE Municipios'!$A$2:$A$1123, "No encontrado")</f>
        <v>25214</v>
      </c>
      <c r="B3071" t="str">
        <f>IFERROR(VLOOKUP(D3071,APOYO!K:L,2,FALSE),A3071)</f>
        <v>25214</v>
      </c>
      <c r="C3071" t="s">
        <v>956</v>
      </c>
      <c r="D3071" t="str">
        <f>IFERROR(VLOOKUP(C3071,APOYO!J:K,2,FALSE),C3071)</f>
        <v>COTA</v>
      </c>
      <c r="E3071">
        <v>2017</v>
      </c>
    </row>
    <row r="3072" spans="1:5" hidden="1" x14ac:dyDescent="0.25">
      <c r="A3072" t="str">
        <f>_xlfn.XLOOKUP(C3072, 'Códigos DANE Municipios'!$B$2:$B$1123, 'Códigos DANE Municipios'!$A$2:$A$1123, "No encontrado")</f>
        <v>70221</v>
      </c>
      <c r="B3072" t="str">
        <f>IFERROR(VLOOKUP(D3072,APOYO!K:L,2,FALSE),A3072)</f>
        <v>70221</v>
      </c>
      <c r="C3072" t="s">
        <v>1825</v>
      </c>
      <c r="D3072" t="str">
        <f>IFERROR(VLOOKUP(C3072,APOYO!J:K,2,FALSE),C3072)</f>
        <v>COVEÑAS</v>
      </c>
      <c r="E3072">
        <v>2017</v>
      </c>
    </row>
    <row r="3073" spans="1:5" hidden="1" x14ac:dyDescent="0.25">
      <c r="A3073" t="str">
        <f>_xlfn.XLOOKUP(C3073, 'Códigos DANE Municipios'!$B$2:$B$1123, 'Códigos DANE Municipios'!$A$2:$A$1123, "No encontrado")</f>
        <v>81220</v>
      </c>
      <c r="B3073" t="str">
        <f>IFERROR(VLOOKUP(D3073,APOYO!K:L,2,FALSE),A3073)</f>
        <v>81220</v>
      </c>
      <c r="C3073" t="s">
        <v>2038</v>
      </c>
      <c r="D3073" t="str">
        <f>IFERROR(VLOOKUP(C3073,APOYO!J:K,2,FALSE),C3073)</f>
        <v>CRAVO NORTE</v>
      </c>
      <c r="E3073">
        <v>2017</v>
      </c>
    </row>
    <row r="3074" spans="1:5" hidden="1" x14ac:dyDescent="0.25">
      <c r="A3074" t="str">
        <f>_xlfn.XLOOKUP(C3074, 'Códigos DANE Municipios'!$B$2:$B$1123, 'Códigos DANE Municipios'!$A$2:$A$1123, "No encontrado")</f>
        <v>15223</v>
      </c>
      <c r="B3074" t="str">
        <f>IFERROR(VLOOKUP(D3074,APOYO!K:L,2,FALSE),A3074)</f>
        <v>15223</v>
      </c>
      <c r="C3074" t="s">
        <v>451</v>
      </c>
      <c r="D3074" t="str">
        <f>IFERROR(VLOOKUP(C3074,APOYO!J:K,2,FALSE),C3074)</f>
        <v>CUBARÁ</v>
      </c>
      <c r="E3074">
        <v>2017</v>
      </c>
    </row>
    <row r="3075" spans="1:5" hidden="1" x14ac:dyDescent="0.25">
      <c r="A3075" t="str">
        <f>_xlfn.XLOOKUP(C3075, 'Códigos DANE Municipios'!$B$2:$B$1123, 'Códigos DANE Municipios'!$A$2:$A$1123, "No encontrado")</f>
        <v>50223</v>
      </c>
      <c r="B3075" t="str">
        <f>IFERROR(VLOOKUP(D3075,APOYO!K:L,2,FALSE),A3075)</f>
        <v>50223</v>
      </c>
      <c r="C3075" t="s">
        <v>1368</v>
      </c>
      <c r="D3075" t="str">
        <f>IFERROR(VLOOKUP(C3075,APOYO!J:K,2,FALSE),C3075)</f>
        <v>SAN LUIS DE CUBARRAL</v>
      </c>
      <c r="E3075">
        <v>2017</v>
      </c>
    </row>
    <row r="3076" spans="1:5" hidden="1" x14ac:dyDescent="0.25">
      <c r="A3076" t="str">
        <f>_xlfn.XLOOKUP(C3076, 'Códigos DANE Municipios'!$B$2:$B$1123, 'Códigos DANE Municipios'!$A$2:$A$1123, "No encontrado")</f>
        <v>15224</v>
      </c>
      <c r="B3076" t="str">
        <f>IFERROR(VLOOKUP(D3076,APOYO!K:L,2,FALSE),A3076)</f>
        <v>15224</v>
      </c>
      <c r="C3076" t="s">
        <v>453</v>
      </c>
      <c r="D3076" t="str">
        <f>IFERROR(VLOOKUP(C3076,APOYO!J:K,2,FALSE),C3076)</f>
        <v>CUCAITA</v>
      </c>
      <c r="E3076">
        <v>2017</v>
      </c>
    </row>
    <row r="3077" spans="1:5" hidden="1" x14ac:dyDescent="0.25">
      <c r="A3077" t="str">
        <f>_xlfn.XLOOKUP(C3077, 'Códigos DANE Municipios'!$B$2:$B$1123, 'Códigos DANE Municipios'!$A$2:$A$1123, "No encontrado")</f>
        <v>25224</v>
      </c>
      <c r="B3077" t="str">
        <f>IFERROR(VLOOKUP(D3077,APOYO!K:L,2,FALSE),A3077)</f>
        <v>25224</v>
      </c>
      <c r="C3077" t="s">
        <v>958</v>
      </c>
      <c r="D3077" t="str">
        <f>IFERROR(VLOOKUP(C3077,APOYO!J:K,2,FALSE),C3077)</f>
        <v>CUCUNUBÁ</v>
      </c>
      <c r="E3077">
        <v>2017</v>
      </c>
    </row>
    <row r="3078" spans="1:5" hidden="1" x14ac:dyDescent="0.25">
      <c r="A3078" t="str">
        <f>_xlfn.XLOOKUP(C3078, 'Códigos DANE Municipios'!$B$2:$B$1123, 'Códigos DANE Municipios'!$A$2:$A$1123, "No encontrado")</f>
        <v>54001</v>
      </c>
      <c r="B3078" t="str">
        <f>IFERROR(VLOOKUP(D3078,APOYO!K:L,2,FALSE),A3078)</f>
        <v>54001</v>
      </c>
      <c r="C3078" t="s">
        <v>1529</v>
      </c>
      <c r="D3078" t="str">
        <f>IFERROR(VLOOKUP(C3078,APOYO!J:K,2,FALSE),C3078)</f>
        <v>CÚCUTA</v>
      </c>
      <c r="E3078">
        <v>2017</v>
      </c>
    </row>
    <row r="3079" spans="1:5" hidden="1" x14ac:dyDescent="0.25">
      <c r="A3079" t="str">
        <f>_xlfn.XLOOKUP(C3079, 'Códigos DANE Municipios'!$B$2:$B$1123, 'Códigos DANE Municipios'!$A$2:$A$1123, "No encontrado")</f>
        <v>54223</v>
      </c>
      <c r="B3079" t="str">
        <f>IFERROR(VLOOKUP(D3079,APOYO!K:L,2,FALSE),A3079)</f>
        <v>54223</v>
      </c>
      <c r="C3079" t="s">
        <v>1549</v>
      </c>
      <c r="D3079" t="str">
        <f>IFERROR(VLOOKUP(C3079,APOYO!J:K,2,FALSE),C3079)</f>
        <v>CUCUTILLA</v>
      </c>
      <c r="E3079">
        <v>2017</v>
      </c>
    </row>
    <row r="3080" spans="1:5" hidden="1" x14ac:dyDescent="0.25">
      <c r="A3080" t="str">
        <f>_xlfn.XLOOKUP(C3080, 'Códigos DANE Municipios'!$B$2:$B$1123, 'Códigos DANE Municipios'!$A$2:$A$1123, "No encontrado")</f>
        <v>15226</v>
      </c>
      <c r="B3080" t="str">
        <f>IFERROR(VLOOKUP(D3080,APOYO!K:L,2,FALSE),A3080)</f>
        <v>15226</v>
      </c>
      <c r="C3080" t="s">
        <v>455</v>
      </c>
      <c r="D3080" t="str">
        <f>IFERROR(VLOOKUP(C3080,APOYO!J:K,2,FALSE),C3080)</f>
        <v>CUÍTIVA</v>
      </c>
      <c r="E3080">
        <v>2017</v>
      </c>
    </row>
    <row r="3081" spans="1:5" hidden="1" x14ac:dyDescent="0.25">
      <c r="A3081" t="str">
        <f>_xlfn.XLOOKUP(C3081, 'Códigos DANE Municipios'!$B$2:$B$1123, 'Códigos DANE Municipios'!$A$2:$A$1123, "No encontrado")</f>
        <v>50226</v>
      </c>
      <c r="B3081" t="str">
        <f>IFERROR(VLOOKUP(D3081,APOYO!K:L,2,FALSE),A3081)</f>
        <v>50226</v>
      </c>
      <c r="C3081" t="s">
        <v>1370</v>
      </c>
      <c r="D3081" t="str">
        <f>IFERROR(VLOOKUP(C3081,APOYO!J:K,2,FALSE),C3081)</f>
        <v>CUMARAL</v>
      </c>
      <c r="E3081">
        <v>2017</v>
      </c>
    </row>
    <row r="3082" spans="1:5" hidden="1" x14ac:dyDescent="0.25">
      <c r="A3082" t="str">
        <f>_xlfn.XLOOKUP(C3082, 'Códigos DANE Municipios'!$B$2:$B$1123, 'Códigos DANE Municipios'!$A$2:$A$1123, "No encontrado")</f>
        <v>99773</v>
      </c>
      <c r="B3082" t="str">
        <f>IFERROR(VLOOKUP(D3082,APOYO!K:L,2,FALSE),A3082)</f>
        <v>99773</v>
      </c>
      <c r="C3082" t="s">
        <v>2169</v>
      </c>
      <c r="D3082" t="str">
        <f>IFERROR(VLOOKUP(C3082,APOYO!J:K,2,FALSE),C3082)</f>
        <v>CUMARIBO</v>
      </c>
      <c r="E3082">
        <v>2017</v>
      </c>
    </row>
    <row r="3083" spans="1:5" hidden="1" x14ac:dyDescent="0.25">
      <c r="A3083" t="str">
        <f>_xlfn.XLOOKUP(C3083, 'Códigos DANE Municipios'!$B$2:$B$1123, 'Códigos DANE Municipios'!$A$2:$A$1123, "No encontrado")</f>
        <v>52227</v>
      </c>
      <c r="B3083" t="str">
        <f>IFERROR(VLOOKUP(D3083,APOYO!K:L,2,FALSE),A3083)</f>
        <v>52227</v>
      </c>
      <c r="C3083" t="s">
        <v>1435</v>
      </c>
      <c r="D3083" t="str">
        <f>IFERROR(VLOOKUP(C3083,APOYO!J:K,2,FALSE),C3083)</f>
        <v>CUMBAL</v>
      </c>
      <c r="E3083">
        <v>2017</v>
      </c>
    </row>
    <row r="3084" spans="1:5" hidden="1" x14ac:dyDescent="0.25">
      <c r="A3084" t="str">
        <f>_xlfn.XLOOKUP(C3084, 'Códigos DANE Municipios'!$B$2:$B$1123, 'Códigos DANE Municipios'!$A$2:$A$1123, "No encontrado")</f>
        <v>73226</v>
      </c>
      <c r="B3084" t="str">
        <f>IFERROR(VLOOKUP(D3084,APOYO!K:L,2,FALSE),A3084)</f>
        <v>73226</v>
      </c>
      <c r="C3084" t="s">
        <v>1891</v>
      </c>
      <c r="D3084" t="str">
        <f>IFERROR(VLOOKUP(C3084,APOYO!J:K,2,FALSE),C3084)</f>
        <v>CUNDAY</v>
      </c>
      <c r="E3084">
        <v>2017</v>
      </c>
    </row>
    <row r="3085" spans="1:5" hidden="1" x14ac:dyDescent="0.25">
      <c r="A3085" t="str">
        <f>_xlfn.XLOOKUP(C3085, 'Códigos DANE Municipios'!$B$2:$B$1123, 'Códigos DANE Municipios'!$A$2:$A$1123, "No encontrado")</f>
        <v>68229</v>
      </c>
      <c r="B3085" t="str">
        <f>IFERROR(VLOOKUP(D3085,APOYO!K:L,2,FALSE),A3085)</f>
        <v>68229</v>
      </c>
      <c r="C3085" t="s">
        <v>1697</v>
      </c>
      <c r="D3085" t="str">
        <f>IFERROR(VLOOKUP(C3085,APOYO!J:K,2,FALSE),C3085)</f>
        <v>CURITÍ</v>
      </c>
      <c r="E3085">
        <v>2017</v>
      </c>
    </row>
    <row r="3086" spans="1:5" hidden="1" x14ac:dyDescent="0.25">
      <c r="A3086" t="str">
        <f>_xlfn.XLOOKUP(C3086, 'Códigos DANE Municipios'!$B$2:$B$1123, 'Códigos DANE Municipios'!$A$2:$A$1123, "No encontrado")</f>
        <v>20228</v>
      </c>
      <c r="B3086" t="str">
        <f>IFERROR(VLOOKUP(D3086,APOYO!K:L,2,FALSE),A3086)</f>
        <v>20228</v>
      </c>
      <c r="C3086" t="s">
        <v>824</v>
      </c>
      <c r="D3086" t="str">
        <f>IFERROR(VLOOKUP(C3086,APOYO!J:K,2,FALSE),C3086)</f>
        <v>CURUMANÍ</v>
      </c>
      <c r="E3086">
        <v>2017</v>
      </c>
    </row>
    <row r="3087" spans="1:5" hidden="1" x14ac:dyDescent="0.25">
      <c r="A3087" t="str">
        <f>_xlfn.XLOOKUP(C3087, 'Códigos DANE Municipios'!$B$2:$B$1123, 'Códigos DANE Municipios'!$A$2:$A$1123, "No encontrado")</f>
        <v>76233</v>
      </c>
      <c r="B3087" t="str">
        <f>IFERROR(VLOOKUP(D3087,APOYO!K:L,2,FALSE),A3087)</f>
        <v>76233</v>
      </c>
      <c r="C3087" t="s">
        <v>1980</v>
      </c>
      <c r="D3087" t="str">
        <f>IFERROR(VLOOKUP(C3087,APOYO!J:K,2,FALSE),C3087)</f>
        <v>DAGUA</v>
      </c>
      <c r="E3087">
        <v>2017</v>
      </c>
    </row>
    <row r="3088" spans="1:5" hidden="1" x14ac:dyDescent="0.25">
      <c r="A3088" t="str">
        <f>_xlfn.XLOOKUP(C3088, 'Códigos DANE Municipios'!$B$2:$B$1123, 'Códigos DANE Municipios'!$A$2:$A$1123, "No encontrado")</f>
        <v>44090</v>
      </c>
      <c r="B3088" t="str">
        <f>IFERROR(VLOOKUP(D3088,APOYO!K:L,2,FALSE),A3088)</f>
        <v>44090</v>
      </c>
      <c r="C3088" t="s">
        <v>1277</v>
      </c>
      <c r="D3088" t="str">
        <f>IFERROR(VLOOKUP(C3088,APOYO!J:K,2,FALSE),C3088)</f>
        <v>DIBULLA</v>
      </c>
      <c r="E3088">
        <v>2017</v>
      </c>
    </row>
    <row r="3089" spans="1:5" hidden="1" x14ac:dyDescent="0.25">
      <c r="A3089" t="str">
        <f>_xlfn.XLOOKUP(C3089, 'Códigos DANE Municipios'!$B$2:$B$1123, 'Códigos DANE Municipios'!$A$2:$A$1123, "No encontrado")</f>
        <v>44098</v>
      </c>
      <c r="B3089" t="str">
        <f>IFERROR(VLOOKUP(D3089,APOYO!K:L,2,FALSE),A3089)</f>
        <v>44098</v>
      </c>
      <c r="C3089" t="s">
        <v>1279</v>
      </c>
      <c r="D3089" t="str">
        <f>IFERROR(VLOOKUP(C3089,APOYO!J:K,2,FALSE),C3089)</f>
        <v>DISTRACCIÓN</v>
      </c>
      <c r="E3089">
        <v>2017</v>
      </c>
    </row>
    <row r="3090" spans="1:5" hidden="1" x14ac:dyDescent="0.25">
      <c r="A3090" t="str">
        <f>_xlfn.XLOOKUP(C3090, 'Códigos DANE Municipios'!$B$2:$B$1123, 'Códigos DANE Municipios'!$A$2:$A$1123, "No encontrado")</f>
        <v>05237</v>
      </c>
      <c r="B3090" t="str">
        <f>IFERROR(VLOOKUP(D3090,APOYO!K:L,2,FALSE),A3090)</f>
        <v>05237</v>
      </c>
      <c r="C3090" t="s">
        <v>96</v>
      </c>
      <c r="D3090" t="str">
        <f>IFERROR(VLOOKUP(C3090,APOYO!J:K,2,FALSE),C3090)</f>
        <v>DONMATÍAS</v>
      </c>
      <c r="E3090">
        <v>2017</v>
      </c>
    </row>
    <row r="3091" spans="1:5" hidden="1" x14ac:dyDescent="0.25">
      <c r="A3091" t="str">
        <f>_xlfn.XLOOKUP(C3091, 'Códigos DANE Municipios'!$B$2:$B$1123, 'Códigos DANE Municipios'!$A$2:$A$1123, "No encontrado")</f>
        <v>66170</v>
      </c>
      <c r="B3091" t="str">
        <f>IFERROR(VLOOKUP(D3091,APOYO!K:L,2,FALSE),A3091)</f>
        <v>66170</v>
      </c>
      <c r="C3091" t="s">
        <v>1635</v>
      </c>
      <c r="D3091" t="str">
        <f>IFERROR(VLOOKUP(C3091,APOYO!J:K,2,FALSE),C3091)</f>
        <v>DOSQUEBRADAS</v>
      </c>
      <c r="E3091">
        <v>2017</v>
      </c>
    </row>
    <row r="3092" spans="1:5" hidden="1" x14ac:dyDescent="0.25">
      <c r="A3092" t="str">
        <f>_xlfn.XLOOKUP(C3092, 'Códigos DANE Municipios'!$B$2:$B$1123, 'Códigos DANE Municipios'!$A$2:$A$1123, "No encontrado")</f>
        <v>15238</v>
      </c>
      <c r="B3092" t="str">
        <f>IFERROR(VLOOKUP(D3092,APOYO!K:L,2,FALSE),A3092)</f>
        <v>15238</v>
      </c>
      <c r="C3092" t="s">
        <v>461</v>
      </c>
      <c r="D3092" t="str">
        <f>IFERROR(VLOOKUP(C3092,APOYO!J:K,2,FALSE),C3092)</f>
        <v>DUITAMA</v>
      </c>
      <c r="E3092">
        <v>2017</v>
      </c>
    </row>
    <row r="3093" spans="1:5" hidden="1" x14ac:dyDescent="0.25">
      <c r="A3093" t="str">
        <f>_xlfn.XLOOKUP(C3093, 'Códigos DANE Municipios'!$B$2:$B$1123, 'Códigos DANE Municipios'!$A$2:$A$1123, "No encontrado")</f>
        <v>05240</v>
      </c>
      <c r="B3093" t="str">
        <f>IFERROR(VLOOKUP(D3093,APOYO!K:L,2,FALSE),A3093)</f>
        <v>05240</v>
      </c>
      <c r="C3093" t="s">
        <v>98</v>
      </c>
      <c r="D3093" t="str">
        <f>IFERROR(VLOOKUP(C3093,APOYO!J:K,2,FALSE),C3093)</f>
        <v>EBÉJICO</v>
      </c>
      <c r="E3093">
        <v>2017</v>
      </c>
    </row>
    <row r="3094" spans="1:5" hidden="1" x14ac:dyDescent="0.25">
      <c r="A3094" t="str">
        <f>_xlfn.XLOOKUP(C3094, 'Códigos DANE Municipios'!$B$2:$B$1123, 'Códigos DANE Municipios'!$A$2:$A$1123, "No encontrado")</f>
        <v>05250</v>
      </c>
      <c r="B3094" t="str">
        <f>IFERROR(VLOOKUP(D3094,APOYO!K:L,2,FALSE),A3094)</f>
        <v>05250</v>
      </c>
      <c r="C3094" t="s">
        <v>100</v>
      </c>
      <c r="D3094" t="str">
        <f>IFERROR(VLOOKUP(C3094,APOYO!J:K,2,FALSE),C3094)</f>
        <v>EL BAGRE</v>
      </c>
      <c r="E3094">
        <v>2017</v>
      </c>
    </row>
    <row r="3095" spans="1:5" hidden="1" x14ac:dyDescent="0.25">
      <c r="A3095" t="str">
        <f>_xlfn.XLOOKUP(C3095, 'Códigos DANE Municipios'!$B$2:$B$1123, 'Códigos DANE Municipios'!$A$2:$A$1123, "No encontrado")</f>
        <v>47245</v>
      </c>
      <c r="B3095" t="str">
        <f>IFERROR(VLOOKUP(D3095,APOYO!K:L,2,FALSE),A3095)</f>
        <v>47245</v>
      </c>
      <c r="C3095" t="s">
        <v>1315</v>
      </c>
      <c r="D3095" t="str">
        <f>IFERROR(VLOOKUP(C3095,APOYO!J:K,2,FALSE),C3095)</f>
        <v>EL BANCO</v>
      </c>
      <c r="E3095">
        <v>2017</v>
      </c>
    </row>
    <row r="3096" spans="1:5" hidden="1" x14ac:dyDescent="0.25">
      <c r="A3096" t="str">
        <f>_xlfn.XLOOKUP(C3096, 'Códigos DANE Municipios'!$B$2:$B$1123, 'Códigos DANE Municipios'!$A$2:$A$1123, "No encontrado")</f>
        <v>76246</v>
      </c>
      <c r="B3096" t="str">
        <f>IFERROR(VLOOKUP(D3096,APOYO!K:L,2,FALSE),A3096)</f>
        <v>76246</v>
      </c>
      <c r="C3096" t="s">
        <v>1984</v>
      </c>
      <c r="D3096" t="str">
        <f>IFERROR(VLOOKUP(C3096,APOYO!J:K,2,FALSE),C3096)</f>
        <v>EL CAIRO</v>
      </c>
      <c r="E3096">
        <v>2017</v>
      </c>
    </row>
    <row r="3097" spans="1:5" hidden="1" x14ac:dyDescent="0.25">
      <c r="A3097" t="str">
        <f>_xlfn.XLOOKUP(C3097, 'Códigos DANE Municipios'!$B$2:$B$1123, 'Códigos DANE Municipios'!$A$2:$A$1123, "No encontrado")</f>
        <v>54245</v>
      </c>
      <c r="B3097" t="str">
        <f>IFERROR(VLOOKUP(D3097,APOYO!K:L,2,FALSE),A3097)</f>
        <v>54245</v>
      </c>
      <c r="C3097" t="s">
        <v>1553</v>
      </c>
      <c r="D3097" t="str">
        <f>IFERROR(VLOOKUP(C3097,APOYO!J:K,2,FALSE),C3097)</f>
        <v>EL CARMEN</v>
      </c>
      <c r="E3097">
        <v>2017</v>
      </c>
    </row>
    <row r="3098" spans="1:5" hidden="1" x14ac:dyDescent="0.25">
      <c r="A3098" t="str">
        <f>_xlfn.XLOOKUP(C3098, 'Códigos DANE Municipios'!$B$2:$B$1123, 'Códigos DANE Municipios'!$A$2:$A$1123, "No encontrado")</f>
        <v>13244</v>
      </c>
      <c r="B3098" t="str">
        <f>IFERROR(VLOOKUP(D3098,APOYO!K:L,2,FALSE),A3098)</f>
        <v>13244</v>
      </c>
      <c r="C3098" t="s">
        <v>333</v>
      </c>
      <c r="D3098" t="str">
        <f>IFERROR(VLOOKUP(C3098,APOYO!J:K,2,FALSE),C3098)</f>
        <v>EL CARMEN DE BOLÍVAR</v>
      </c>
      <c r="E3098">
        <v>2017</v>
      </c>
    </row>
    <row r="3099" spans="1:5" hidden="1" x14ac:dyDescent="0.25">
      <c r="A3099" t="str">
        <f>_xlfn.XLOOKUP(C3099, 'Códigos DANE Municipios'!$B$2:$B$1123, 'Códigos DANE Municipios'!$A$2:$A$1123, "No encontrado")</f>
        <v>50251</v>
      </c>
      <c r="B3099" t="str">
        <f>IFERROR(VLOOKUP(D3099,APOYO!K:L,2,FALSE),A3099)</f>
        <v>50251</v>
      </c>
      <c r="C3099" t="s">
        <v>1374</v>
      </c>
      <c r="D3099" t="str">
        <f>IFERROR(VLOOKUP(C3099,APOYO!J:K,2,FALSE),C3099)</f>
        <v>EL CASTILLO</v>
      </c>
      <c r="E3099">
        <v>2017</v>
      </c>
    </row>
    <row r="3100" spans="1:5" hidden="1" x14ac:dyDescent="0.25">
      <c r="A3100" t="str">
        <f>_xlfn.XLOOKUP(C3100, 'Códigos DANE Municipios'!$B$2:$B$1123, 'Códigos DANE Municipios'!$A$2:$A$1123, "No encontrado")</f>
        <v>76248</v>
      </c>
      <c r="B3100" t="str">
        <f>IFERROR(VLOOKUP(D3100,APOYO!K:L,2,FALSE),A3100)</f>
        <v>76248</v>
      </c>
      <c r="C3100" t="s">
        <v>1986</v>
      </c>
      <c r="D3100" t="str">
        <f>IFERROR(VLOOKUP(C3100,APOYO!J:K,2,FALSE),C3100)</f>
        <v>EL CERRITO</v>
      </c>
      <c r="E3100">
        <v>2017</v>
      </c>
    </row>
    <row r="3101" spans="1:5" hidden="1" x14ac:dyDescent="0.25">
      <c r="A3101" t="str">
        <f>_xlfn.XLOOKUP(C3101, 'Códigos DANE Municipios'!$B$2:$B$1123, 'Códigos DANE Municipios'!$A$2:$A$1123, "No encontrado")</f>
        <v>15244</v>
      </c>
      <c r="B3101" t="str">
        <f>IFERROR(VLOOKUP(D3101,APOYO!K:L,2,FALSE),A3101)</f>
        <v>15244</v>
      </c>
      <c r="C3101" t="s">
        <v>463</v>
      </c>
      <c r="D3101" t="str">
        <f>IFERROR(VLOOKUP(C3101,APOYO!J:K,2,FALSE),C3101)</f>
        <v>EL COCUY</v>
      </c>
      <c r="E3101">
        <v>2017</v>
      </c>
    </row>
    <row r="3102" spans="1:5" hidden="1" x14ac:dyDescent="0.25">
      <c r="A3102" t="str">
        <f>_xlfn.XLOOKUP(C3102, 'Códigos DANE Municipios'!$B$2:$B$1123, 'Códigos DANE Municipios'!$A$2:$A$1123, "No encontrado")</f>
        <v>25245</v>
      </c>
      <c r="B3102" t="str">
        <f>IFERROR(VLOOKUP(D3102,APOYO!K:L,2,FALSE),A3102)</f>
        <v>25245</v>
      </c>
      <c r="C3102" t="s">
        <v>960</v>
      </c>
      <c r="D3102" t="str">
        <f>IFERROR(VLOOKUP(C3102,APOYO!J:K,2,FALSE),C3102)</f>
        <v>EL COLEGIO</v>
      </c>
      <c r="E3102">
        <v>2017</v>
      </c>
    </row>
    <row r="3103" spans="1:5" hidden="1" x14ac:dyDescent="0.25">
      <c r="A3103" t="str">
        <f>_xlfn.XLOOKUP(C3103, 'Códigos DANE Municipios'!$B$2:$B$1123, 'Códigos DANE Municipios'!$A$2:$A$1123, "No encontrado")</f>
        <v>20238</v>
      </c>
      <c r="B3103" t="str">
        <f>IFERROR(VLOOKUP(D3103,APOYO!K:L,2,FALSE),A3103)</f>
        <v>20238</v>
      </c>
      <c r="C3103" t="s">
        <v>826</v>
      </c>
      <c r="D3103" t="str">
        <f>IFERROR(VLOOKUP(C3103,APOYO!J:K,2,FALSE),C3103)</f>
        <v>EL COPEY</v>
      </c>
      <c r="E3103">
        <v>2017</v>
      </c>
    </row>
    <row r="3104" spans="1:5" hidden="1" x14ac:dyDescent="0.25">
      <c r="A3104" t="str">
        <f>_xlfn.XLOOKUP(C3104, 'Códigos DANE Municipios'!$B$2:$B$1123, 'Códigos DANE Municipios'!$A$2:$A$1123, "No encontrado")</f>
        <v>18247</v>
      </c>
      <c r="B3104" t="str">
        <f>IFERROR(VLOOKUP(D3104,APOYO!K:L,2,FALSE),A3104)</f>
        <v>18247</v>
      </c>
      <c r="C3104" t="s">
        <v>708</v>
      </c>
      <c r="D3104" t="str">
        <f>IFERROR(VLOOKUP(C3104,APOYO!J:K,2,FALSE),C3104)</f>
        <v>EL DONCELLO</v>
      </c>
      <c r="E3104">
        <v>2017</v>
      </c>
    </row>
    <row r="3105" spans="1:5" hidden="1" x14ac:dyDescent="0.25">
      <c r="A3105" t="str">
        <f>_xlfn.XLOOKUP(C3105, 'Códigos DANE Municipios'!$B$2:$B$1123, 'Códigos DANE Municipios'!$A$2:$A$1123, "No encontrado")</f>
        <v>50270</v>
      </c>
      <c r="B3105" t="str">
        <f>IFERROR(VLOOKUP(D3105,APOYO!K:L,2,FALSE),A3105)</f>
        <v>50270</v>
      </c>
      <c r="C3105" t="s">
        <v>1376</v>
      </c>
      <c r="D3105" t="str">
        <f>IFERROR(VLOOKUP(C3105,APOYO!J:K,2,FALSE),C3105)</f>
        <v>EL DORADO</v>
      </c>
      <c r="E3105">
        <v>2017</v>
      </c>
    </row>
    <row r="3106" spans="1:5" hidden="1" x14ac:dyDescent="0.25">
      <c r="A3106" t="str">
        <f>_xlfn.XLOOKUP(C3106, 'Códigos DANE Municipios'!$B$2:$B$1123, 'Códigos DANE Municipios'!$A$2:$A$1123, "No encontrado")</f>
        <v>76250</v>
      </c>
      <c r="B3106" t="str">
        <f>IFERROR(VLOOKUP(D3106,APOYO!K:L,2,FALSE),A3106)</f>
        <v>76250</v>
      </c>
      <c r="C3106" t="s">
        <v>1988</v>
      </c>
      <c r="D3106" t="str">
        <f>IFERROR(VLOOKUP(C3106,APOYO!J:K,2,FALSE),C3106)</f>
        <v>EL DOVIO</v>
      </c>
      <c r="E3106">
        <v>2017</v>
      </c>
    </row>
    <row r="3107" spans="1:5" hidden="1" x14ac:dyDescent="0.25">
      <c r="A3107" t="str">
        <f>_xlfn.XLOOKUP(C3107, 'Códigos DANE Municipios'!$B$2:$B$1123, 'Códigos DANE Municipios'!$A$2:$A$1123, "No encontrado")</f>
        <v>20250</v>
      </c>
      <c r="B3107" t="str">
        <f>IFERROR(VLOOKUP(D3107,APOYO!K:L,2,FALSE),A3107)</f>
        <v>20250</v>
      </c>
      <c r="C3107" t="s">
        <v>828</v>
      </c>
      <c r="D3107" t="str">
        <f>IFERROR(VLOOKUP(C3107,APOYO!J:K,2,FALSE),C3107)</f>
        <v>EL PASO</v>
      </c>
      <c r="E3107">
        <v>2017</v>
      </c>
    </row>
    <row r="3108" spans="1:5" hidden="1" x14ac:dyDescent="0.25">
      <c r="A3108" t="str">
        <f>_xlfn.XLOOKUP(C3108, 'Códigos DANE Municipios'!$B$2:$B$1123, 'Códigos DANE Municipios'!$A$2:$A$1123, "No encontrado")</f>
        <v>18256</v>
      </c>
      <c r="B3108" t="str">
        <f>IFERROR(VLOOKUP(D3108,APOYO!K:L,2,FALSE),A3108)</f>
        <v>18256</v>
      </c>
      <c r="C3108" t="s">
        <v>710</v>
      </c>
      <c r="D3108" t="str">
        <f>IFERROR(VLOOKUP(C3108,APOYO!J:K,2,FALSE),C3108)</f>
        <v>EL PAUJÍL</v>
      </c>
      <c r="E3108">
        <v>2017</v>
      </c>
    </row>
    <row r="3109" spans="1:5" hidden="1" x14ac:dyDescent="0.25">
      <c r="A3109" t="str">
        <f>_xlfn.XLOOKUP(C3109, 'Códigos DANE Municipios'!$B$2:$B$1123, 'Códigos DANE Municipios'!$A$2:$A$1123, "No encontrado")</f>
        <v>13268</v>
      </c>
      <c r="B3109" t="str">
        <f>IFERROR(VLOOKUP(D3109,APOYO!K:L,2,FALSE),A3109)</f>
        <v>13268</v>
      </c>
      <c r="C3109" t="s">
        <v>337</v>
      </c>
      <c r="D3109" t="str">
        <f>IFERROR(VLOOKUP(C3109,APOYO!J:K,2,FALSE),C3109)</f>
        <v>EL PEÑÓN</v>
      </c>
      <c r="E3109">
        <v>2017</v>
      </c>
    </row>
    <row r="3110" spans="1:5" hidden="1" x14ac:dyDescent="0.25">
      <c r="A3110" t="str">
        <f>_xlfn.XLOOKUP(C3110, 'Códigos DANE Municipios'!$B$2:$B$1123, 'Códigos DANE Municipios'!$A$2:$A$1123, "No encontrado")</f>
        <v>68255</v>
      </c>
      <c r="B3110" t="str">
        <f>IFERROR(VLOOKUP(D3110,APOYO!K:L,2,FALSE),A3110)</f>
        <v>68255</v>
      </c>
      <c r="C3110" t="s">
        <v>1704</v>
      </c>
      <c r="D3110" t="str">
        <f>IFERROR(VLOOKUP(C3110,APOYO!J:K,2,FALSE),C3110)</f>
        <v>EL PLAYÓN</v>
      </c>
      <c r="E3110">
        <v>2017</v>
      </c>
    </row>
    <row r="3111" spans="1:5" hidden="1" x14ac:dyDescent="0.25">
      <c r="A3111" t="str">
        <f>_xlfn.XLOOKUP(C3111, 'Códigos DANE Municipios'!$B$2:$B$1123, 'Códigos DANE Municipios'!$A$2:$A$1123, "No encontrado")</f>
        <v>95025</v>
      </c>
      <c r="B3111" t="str">
        <f>IFERROR(VLOOKUP(D3111,APOYO!K:L,2,FALSE),A3111)</f>
        <v>95025</v>
      </c>
      <c r="C3111" t="s">
        <v>2148</v>
      </c>
      <c r="D3111" t="str">
        <f>IFERROR(VLOOKUP(C3111,APOYO!J:K,2,FALSE),C3111)</f>
        <v>EL RETORNO</v>
      </c>
      <c r="E3111">
        <v>2017</v>
      </c>
    </row>
    <row r="3112" spans="1:5" hidden="1" x14ac:dyDescent="0.25">
      <c r="A3112" t="str">
        <f>_xlfn.XLOOKUP(C3112, 'Códigos DANE Municipios'!$B$2:$B$1123, 'Códigos DANE Municipios'!$A$2:$A$1123, "No encontrado")</f>
        <v>25260</v>
      </c>
      <c r="B3112" t="str">
        <f>IFERROR(VLOOKUP(D3112,APOYO!K:L,2,FALSE),A3112)</f>
        <v>25260</v>
      </c>
      <c r="C3112" t="s">
        <v>963</v>
      </c>
      <c r="D3112" t="str">
        <f>IFERROR(VLOOKUP(C3112,APOYO!J:K,2,FALSE),C3112)</f>
        <v>EL ROSAL</v>
      </c>
      <c r="E3112">
        <v>2017</v>
      </c>
    </row>
    <row r="3113" spans="1:5" hidden="1" x14ac:dyDescent="0.25">
      <c r="A3113" t="str">
        <f>_xlfn.XLOOKUP(C3113, 'Códigos DANE Municipios'!$B$2:$B$1123, 'Códigos DANE Municipios'!$A$2:$A$1123, "No encontrado")</f>
        <v>52256</v>
      </c>
      <c r="B3113" t="str">
        <f>IFERROR(VLOOKUP(D3113,APOYO!K:L,2,FALSE),A3113)</f>
        <v>52256</v>
      </c>
      <c r="C3113" t="s">
        <v>1445</v>
      </c>
      <c r="D3113" t="str">
        <f>IFERROR(VLOOKUP(C3113,APOYO!J:K,2,FALSE),C3113)</f>
        <v>EL ROSARIO</v>
      </c>
      <c r="E3113">
        <v>2017</v>
      </c>
    </row>
    <row r="3114" spans="1:5" hidden="1" x14ac:dyDescent="0.25">
      <c r="A3114" t="str">
        <f>_xlfn.XLOOKUP(C3114, 'Códigos DANE Municipios'!$B$2:$B$1123, 'Códigos DANE Municipios'!$A$2:$A$1123, "No encontrado")</f>
        <v>19256</v>
      </c>
      <c r="B3114" t="str">
        <f>IFERROR(VLOOKUP(D3114,APOYO!K:L,2,FALSE),A3114)</f>
        <v>19256</v>
      </c>
      <c r="C3114" t="s">
        <v>748</v>
      </c>
      <c r="D3114" t="str">
        <f>IFERROR(VLOOKUP(C3114,APOYO!J:K,2,FALSE),C3114)</f>
        <v>EL TAMBO</v>
      </c>
      <c r="E3114">
        <v>2017</v>
      </c>
    </row>
    <row r="3115" spans="1:5" hidden="1" x14ac:dyDescent="0.25">
      <c r="A3115" t="str">
        <f>_xlfn.XLOOKUP(C3115, 'Códigos DANE Municipios'!$B$2:$B$1123, 'Códigos DANE Municipios'!$A$2:$A$1123, "No encontrado")</f>
        <v>54250</v>
      </c>
      <c r="B3115" t="str">
        <f>IFERROR(VLOOKUP(D3115,APOYO!K:L,2,FALSE),A3115)</f>
        <v>54250</v>
      </c>
      <c r="C3115" t="s">
        <v>1555</v>
      </c>
      <c r="D3115" t="str">
        <f>IFERROR(VLOOKUP(C3115,APOYO!J:K,2,FALSE),C3115)</f>
        <v>EL TARRA</v>
      </c>
      <c r="E3115">
        <v>2017</v>
      </c>
    </row>
    <row r="3116" spans="1:5" hidden="1" x14ac:dyDescent="0.25">
      <c r="A3116" t="str">
        <f>_xlfn.XLOOKUP(C3116, 'Códigos DANE Municipios'!$B$2:$B$1123, 'Códigos DANE Municipios'!$A$2:$A$1123, "No encontrado")</f>
        <v>54261</v>
      </c>
      <c r="B3116" t="str">
        <f>IFERROR(VLOOKUP(D3116,APOYO!K:L,2,FALSE),A3116)</f>
        <v>54261</v>
      </c>
      <c r="C3116" t="s">
        <v>1557</v>
      </c>
      <c r="D3116" t="str">
        <f>IFERROR(VLOOKUP(C3116,APOYO!J:K,2,FALSE),C3116)</f>
        <v>EL ZULIA</v>
      </c>
      <c r="E3116">
        <v>2017</v>
      </c>
    </row>
    <row r="3117" spans="1:5" hidden="1" x14ac:dyDescent="0.25">
      <c r="A3117" t="str">
        <f>_xlfn.XLOOKUP(C3117, 'Códigos DANE Municipios'!$B$2:$B$1123, 'Códigos DANE Municipios'!$A$2:$A$1123, "No encontrado")</f>
        <v>68266</v>
      </c>
      <c r="B3117" t="str">
        <f>IFERROR(VLOOKUP(D3117,APOYO!K:L,2,FALSE),A3117)</f>
        <v>68266</v>
      </c>
      <c r="C3117" t="s">
        <v>1708</v>
      </c>
      <c r="D3117" t="str">
        <f>IFERROR(VLOOKUP(C3117,APOYO!J:K,2,FALSE),C3117)</f>
        <v>ENCISO</v>
      </c>
      <c r="E3117">
        <v>2017</v>
      </c>
    </row>
    <row r="3118" spans="1:5" hidden="1" x14ac:dyDescent="0.25">
      <c r="A3118" t="str">
        <f>_xlfn.XLOOKUP(C3118, 'Códigos DANE Municipios'!$B$2:$B$1123, 'Códigos DANE Municipios'!$A$2:$A$1123, "No encontrado")</f>
        <v>41244</v>
      </c>
      <c r="B3118" t="str">
        <f>IFERROR(VLOOKUP(D3118,APOYO!K:L,2,FALSE),A3118)</f>
        <v>41244</v>
      </c>
      <c r="C3118" t="s">
        <v>1219</v>
      </c>
      <c r="D3118" t="str">
        <f>IFERROR(VLOOKUP(C3118,APOYO!J:K,2,FALSE),C3118)</f>
        <v>ELÍAS</v>
      </c>
      <c r="E3118">
        <v>2017</v>
      </c>
    </row>
    <row r="3119" spans="1:5" hidden="1" x14ac:dyDescent="0.25">
      <c r="A3119" t="str">
        <f>_xlfn.XLOOKUP(C3119, 'Códigos DANE Municipios'!$B$2:$B$1123, 'Códigos DANE Municipios'!$A$2:$A$1123, "No encontrado")</f>
        <v>05264</v>
      </c>
      <c r="B3119" t="str">
        <f>IFERROR(VLOOKUP(D3119,APOYO!K:L,2,FALSE),A3119)</f>
        <v>05264</v>
      </c>
      <c r="C3119" t="s">
        <v>102</v>
      </c>
      <c r="D3119" t="str">
        <f>IFERROR(VLOOKUP(C3119,APOYO!J:K,2,FALSE),C3119)</f>
        <v>ENTRERRÍOS</v>
      </c>
      <c r="E3119">
        <v>2017</v>
      </c>
    </row>
    <row r="3120" spans="1:5" hidden="1" x14ac:dyDescent="0.25">
      <c r="A3120" t="str">
        <f>_xlfn.XLOOKUP(C3120, 'Códigos DANE Municipios'!$B$2:$B$1123, 'Códigos DANE Municipios'!$A$2:$A$1123, "No encontrado")</f>
        <v>05266</v>
      </c>
      <c r="B3120" t="str">
        <f>IFERROR(VLOOKUP(D3120,APOYO!K:L,2,FALSE),A3120)</f>
        <v>05266</v>
      </c>
      <c r="C3120" t="s">
        <v>104</v>
      </c>
      <c r="D3120" t="str">
        <f>IFERROR(VLOOKUP(C3120,APOYO!J:K,2,FALSE),C3120)</f>
        <v>ENVIGADO</v>
      </c>
      <c r="E3120">
        <v>2017</v>
      </c>
    </row>
    <row r="3121" spans="1:5" hidden="1" x14ac:dyDescent="0.25">
      <c r="A3121" t="str">
        <f>_xlfn.XLOOKUP(C3121, 'Códigos DANE Municipios'!$B$2:$B$1123, 'Códigos DANE Municipios'!$A$2:$A$1123, "No encontrado")</f>
        <v>73268</v>
      </c>
      <c r="B3121" t="str">
        <f>IFERROR(VLOOKUP(D3121,APOYO!K:L,2,FALSE),A3121)</f>
        <v>73268</v>
      </c>
      <c r="C3121" t="s">
        <v>1895</v>
      </c>
      <c r="D3121" t="str">
        <f>IFERROR(VLOOKUP(C3121,APOYO!J:K,2,FALSE),C3121)</f>
        <v>ESPINAL</v>
      </c>
      <c r="E3121">
        <v>2017</v>
      </c>
    </row>
    <row r="3122" spans="1:5" hidden="1" x14ac:dyDescent="0.25">
      <c r="A3122" t="str">
        <f>_xlfn.XLOOKUP(C3122, 'Códigos DANE Municipios'!$B$2:$B$1123, 'Códigos DANE Municipios'!$A$2:$A$1123, "No encontrado")</f>
        <v>25269</v>
      </c>
      <c r="B3122" t="str">
        <f>IFERROR(VLOOKUP(D3122,APOYO!K:L,2,FALSE),A3122)</f>
        <v>25269</v>
      </c>
      <c r="C3122" t="s">
        <v>965</v>
      </c>
      <c r="D3122" t="str">
        <f>IFERROR(VLOOKUP(C3122,APOYO!J:K,2,FALSE),C3122)</f>
        <v>FACATATIVÁ</v>
      </c>
      <c r="E3122">
        <v>2017</v>
      </c>
    </row>
    <row r="3123" spans="1:5" hidden="1" x14ac:dyDescent="0.25">
      <c r="A3123" t="str">
        <f>_xlfn.XLOOKUP(C3123, 'Códigos DANE Municipios'!$B$2:$B$1123, 'Códigos DANE Municipios'!$A$2:$A$1123, "No encontrado")</f>
        <v>17272</v>
      </c>
      <c r="B3123" t="str">
        <f>IFERROR(VLOOKUP(D3123,APOYO!K:L,2,FALSE),A3123)</f>
        <v>17272</v>
      </c>
      <c r="C3123" t="s">
        <v>656</v>
      </c>
      <c r="D3123" t="str">
        <f>IFERROR(VLOOKUP(C3123,APOYO!J:K,2,FALSE),C3123)</f>
        <v>FILADELFIA</v>
      </c>
      <c r="E3123">
        <v>2017</v>
      </c>
    </row>
    <row r="3124" spans="1:5" hidden="1" x14ac:dyDescent="0.25">
      <c r="A3124" t="str">
        <f>_xlfn.XLOOKUP(C3124, 'Códigos DANE Municipios'!$B$2:$B$1123, 'Códigos DANE Municipios'!$A$2:$A$1123, "No encontrado")</f>
        <v>63272</v>
      </c>
      <c r="B3124" t="str">
        <f>IFERROR(VLOOKUP(D3124,APOYO!K:L,2,FALSE),A3124)</f>
        <v>63272</v>
      </c>
      <c r="C3124" t="s">
        <v>1614</v>
      </c>
      <c r="D3124" t="str">
        <f>IFERROR(VLOOKUP(C3124,APOYO!J:K,2,FALSE),C3124)</f>
        <v>FILANDIA</v>
      </c>
      <c r="E3124">
        <v>2017</v>
      </c>
    </row>
    <row r="3125" spans="1:5" hidden="1" x14ac:dyDescent="0.25">
      <c r="A3125" t="str">
        <f>_xlfn.XLOOKUP(C3125, 'Códigos DANE Municipios'!$B$2:$B$1123, 'Códigos DANE Municipios'!$A$2:$A$1123, "No encontrado")</f>
        <v>15272</v>
      </c>
      <c r="B3125" t="str">
        <f>IFERROR(VLOOKUP(D3125,APOYO!K:L,2,FALSE),A3125)</f>
        <v>15272</v>
      </c>
      <c r="C3125" t="s">
        <v>467</v>
      </c>
      <c r="D3125" t="str">
        <f>IFERROR(VLOOKUP(C3125,APOYO!J:K,2,FALSE),C3125)</f>
        <v>FIRAVITOBA</v>
      </c>
      <c r="E3125">
        <v>2017</v>
      </c>
    </row>
    <row r="3126" spans="1:5" hidden="1" x14ac:dyDescent="0.25">
      <c r="A3126" t="str">
        <f>_xlfn.XLOOKUP(C3126, 'Códigos DANE Municipios'!$B$2:$B$1123, 'Códigos DANE Municipios'!$A$2:$A$1123, "No encontrado")</f>
        <v>73275</v>
      </c>
      <c r="B3126" t="str">
        <f>IFERROR(VLOOKUP(D3126,APOYO!K:L,2,FALSE),A3126)</f>
        <v>73275</v>
      </c>
      <c r="C3126" t="s">
        <v>1899</v>
      </c>
      <c r="D3126" t="str">
        <f>IFERROR(VLOOKUP(C3126,APOYO!J:K,2,FALSE),C3126)</f>
        <v>FLANDES</v>
      </c>
      <c r="E3126">
        <v>2017</v>
      </c>
    </row>
    <row r="3127" spans="1:5" hidden="1" x14ac:dyDescent="0.25">
      <c r="A3127" t="str">
        <f>_xlfn.XLOOKUP(C3127, 'Códigos DANE Municipios'!$B$2:$B$1123, 'Códigos DANE Municipios'!$A$2:$A$1123, "No encontrado")</f>
        <v>18001</v>
      </c>
      <c r="B3127" t="str">
        <f>IFERROR(VLOOKUP(D3127,APOYO!K:L,2,FALSE),A3127)</f>
        <v>18001</v>
      </c>
      <c r="C3127" t="s">
        <v>698</v>
      </c>
      <c r="D3127" t="str">
        <f>IFERROR(VLOOKUP(C3127,APOYO!J:K,2,FALSE),C3127)</f>
        <v>FLORENCIA</v>
      </c>
      <c r="E3127">
        <v>2017</v>
      </c>
    </row>
    <row r="3128" spans="1:5" hidden="1" x14ac:dyDescent="0.25">
      <c r="A3128" t="str">
        <f>_xlfn.XLOOKUP(C3128, 'Códigos DANE Municipios'!$B$2:$B$1123, 'Códigos DANE Municipios'!$A$2:$A$1123, "No encontrado")</f>
        <v>15276</v>
      </c>
      <c r="B3128" t="str">
        <f>IFERROR(VLOOKUP(D3128,APOYO!K:L,2,FALSE),A3128)</f>
        <v>15276</v>
      </c>
      <c r="C3128" t="s">
        <v>469</v>
      </c>
      <c r="D3128" t="str">
        <f>IFERROR(VLOOKUP(C3128,APOYO!J:K,2,FALSE),C3128)</f>
        <v>FLORESTA</v>
      </c>
      <c r="E3128">
        <v>2017</v>
      </c>
    </row>
    <row r="3129" spans="1:5" hidden="1" x14ac:dyDescent="0.25">
      <c r="A3129" t="str">
        <f>_xlfn.XLOOKUP(C3129, 'Códigos DANE Municipios'!$B$2:$B$1123, 'Códigos DANE Municipios'!$A$2:$A$1123, "No encontrado")</f>
        <v>68271</v>
      </c>
      <c r="B3129" t="str">
        <f>IFERROR(VLOOKUP(D3129,APOYO!K:L,2,FALSE),A3129)</f>
        <v>68271</v>
      </c>
      <c r="C3129" t="s">
        <v>1710</v>
      </c>
      <c r="D3129" t="str">
        <f>IFERROR(VLOOKUP(C3129,APOYO!J:K,2,FALSE),C3129)</f>
        <v>FLORIÁN</v>
      </c>
      <c r="E3129">
        <v>2017</v>
      </c>
    </row>
    <row r="3130" spans="1:5" hidden="1" x14ac:dyDescent="0.25">
      <c r="A3130" t="str">
        <f>_xlfn.XLOOKUP(C3130, 'Códigos DANE Municipios'!$B$2:$B$1123, 'Códigos DANE Municipios'!$A$2:$A$1123, "No encontrado")</f>
        <v>76275</v>
      </c>
      <c r="B3130" t="str">
        <f>IFERROR(VLOOKUP(D3130,APOYO!K:L,2,FALSE),A3130)</f>
        <v>76275</v>
      </c>
      <c r="C3130" t="s">
        <v>1990</v>
      </c>
      <c r="D3130" t="str">
        <f>IFERROR(VLOOKUP(C3130,APOYO!J:K,2,FALSE),C3130)</f>
        <v>FLORIDA</v>
      </c>
      <c r="E3130">
        <v>2017</v>
      </c>
    </row>
    <row r="3131" spans="1:5" hidden="1" x14ac:dyDescent="0.25">
      <c r="A3131" t="str">
        <f>_xlfn.XLOOKUP(C3131, 'Códigos DANE Municipios'!$B$2:$B$1123, 'Códigos DANE Municipios'!$A$2:$A$1123, "No encontrado")</f>
        <v>68276</v>
      </c>
      <c r="B3131" t="str">
        <f>IFERROR(VLOOKUP(D3131,APOYO!K:L,2,FALSE),A3131)</f>
        <v>68276</v>
      </c>
      <c r="C3131" t="s">
        <v>1712</v>
      </c>
      <c r="D3131" t="str">
        <f>IFERROR(VLOOKUP(C3131,APOYO!J:K,2,FALSE),C3131)</f>
        <v>FLORIDABLANCA</v>
      </c>
      <c r="E3131">
        <v>2017</v>
      </c>
    </row>
    <row r="3132" spans="1:5" hidden="1" x14ac:dyDescent="0.25">
      <c r="A3132" t="str">
        <f>_xlfn.XLOOKUP(C3132, 'Códigos DANE Municipios'!$B$2:$B$1123, 'Códigos DANE Municipios'!$A$2:$A$1123, "No encontrado")</f>
        <v>25279</v>
      </c>
      <c r="B3132" t="str">
        <f>IFERROR(VLOOKUP(D3132,APOYO!K:L,2,FALSE),A3132)</f>
        <v>25279</v>
      </c>
      <c r="C3132" t="s">
        <v>967</v>
      </c>
      <c r="D3132" t="str">
        <f>IFERROR(VLOOKUP(C3132,APOYO!J:K,2,FALSE),C3132)</f>
        <v>FÓMEQUE</v>
      </c>
      <c r="E3132">
        <v>2017</v>
      </c>
    </row>
    <row r="3133" spans="1:5" hidden="1" x14ac:dyDescent="0.25">
      <c r="A3133" t="str">
        <f>_xlfn.XLOOKUP(C3133, 'Códigos DANE Municipios'!$B$2:$B$1123, 'Códigos DANE Municipios'!$A$2:$A$1123, "No encontrado")</f>
        <v>44279</v>
      </c>
      <c r="B3133" t="str">
        <f>IFERROR(VLOOKUP(D3133,APOYO!K:L,2,FALSE),A3133)</f>
        <v>44279</v>
      </c>
      <c r="C3133" t="s">
        <v>1283</v>
      </c>
      <c r="D3133" t="str">
        <f>IFERROR(VLOOKUP(C3133,APOYO!J:K,2,FALSE),C3133)</f>
        <v>FONSECA</v>
      </c>
      <c r="E3133">
        <v>2017</v>
      </c>
    </row>
    <row r="3134" spans="1:5" hidden="1" x14ac:dyDescent="0.25">
      <c r="A3134" t="str">
        <f>_xlfn.XLOOKUP(C3134, 'Códigos DANE Municipios'!$B$2:$B$1123, 'Códigos DANE Municipios'!$A$2:$A$1123, "No encontrado")</f>
        <v>81300</v>
      </c>
      <c r="B3134" t="str">
        <f>IFERROR(VLOOKUP(D3134,APOYO!K:L,2,FALSE),A3134)</f>
        <v>81300</v>
      </c>
      <c r="C3134" t="s">
        <v>2040</v>
      </c>
      <c r="D3134" t="str">
        <f>IFERROR(VLOOKUP(C3134,APOYO!J:K,2,FALSE),C3134)</f>
        <v>FORTUL</v>
      </c>
      <c r="E3134">
        <v>2017</v>
      </c>
    </row>
    <row r="3135" spans="1:5" hidden="1" x14ac:dyDescent="0.25">
      <c r="A3135" t="str">
        <f>_xlfn.XLOOKUP(C3135, 'Códigos DANE Municipios'!$B$2:$B$1123, 'Códigos DANE Municipios'!$A$2:$A$1123, "No encontrado")</f>
        <v>05282</v>
      </c>
      <c r="B3135" t="str">
        <f>IFERROR(VLOOKUP(D3135,APOYO!K:L,2,FALSE),A3135)</f>
        <v>05282</v>
      </c>
      <c r="C3135" t="s">
        <v>106</v>
      </c>
      <c r="D3135" t="str">
        <f>IFERROR(VLOOKUP(C3135,APOYO!J:K,2,FALSE),C3135)</f>
        <v>FREDONIA</v>
      </c>
      <c r="E3135">
        <v>2017</v>
      </c>
    </row>
    <row r="3136" spans="1:5" hidden="1" x14ac:dyDescent="0.25">
      <c r="A3136" t="str">
        <f>_xlfn.XLOOKUP(C3136, 'Códigos DANE Municipios'!$B$2:$B$1123, 'Códigos DANE Municipios'!$A$2:$A$1123, "No encontrado")</f>
        <v>73283</v>
      </c>
      <c r="B3136" t="str">
        <f>IFERROR(VLOOKUP(D3136,APOYO!K:L,2,FALSE),A3136)</f>
        <v>73283</v>
      </c>
      <c r="C3136" t="s">
        <v>1901</v>
      </c>
      <c r="D3136" t="str">
        <f>IFERROR(VLOOKUP(C3136,APOYO!J:K,2,FALSE),C3136)</f>
        <v>FRESNO</v>
      </c>
      <c r="E3136">
        <v>2017</v>
      </c>
    </row>
    <row r="3137" spans="1:5" hidden="1" x14ac:dyDescent="0.25">
      <c r="A3137" t="str">
        <f>_xlfn.XLOOKUP(C3137, 'Códigos DANE Municipios'!$B$2:$B$1123, 'Códigos DANE Municipios'!$A$2:$A$1123, "No encontrado")</f>
        <v>05284</v>
      </c>
      <c r="B3137" t="str">
        <f>IFERROR(VLOOKUP(D3137,APOYO!K:L,2,FALSE),A3137)</f>
        <v>05284</v>
      </c>
      <c r="C3137" t="s">
        <v>108</v>
      </c>
      <c r="D3137" t="str">
        <f>IFERROR(VLOOKUP(C3137,APOYO!J:K,2,FALSE),C3137)</f>
        <v>FRONTINO</v>
      </c>
      <c r="E3137">
        <v>2017</v>
      </c>
    </row>
    <row r="3138" spans="1:5" hidden="1" x14ac:dyDescent="0.25">
      <c r="A3138" t="str">
        <f>_xlfn.XLOOKUP(C3138, 'Códigos DANE Municipios'!$B$2:$B$1123, 'Códigos DANE Municipios'!$A$2:$A$1123, "No encontrado")</f>
        <v>50287</v>
      </c>
      <c r="B3138" t="str">
        <f>IFERROR(VLOOKUP(D3138,APOYO!K:L,2,FALSE),A3138)</f>
        <v>50287</v>
      </c>
      <c r="C3138" t="s">
        <v>1378</v>
      </c>
      <c r="D3138" t="str">
        <f>IFERROR(VLOOKUP(C3138,APOYO!J:K,2,FALSE),C3138)</f>
        <v>FUENTE DE ORO</v>
      </c>
      <c r="E3138">
        <v>2017</v>
      </c>
    </row>
    <row r="3139" spans="1:5" hidden="1" x14ac:dyDescent="0.25">
      <c r="A3139" t="str">
        <f>_xlfn.XLOOKUP(C3139, 'Códigos DANE Municipios'!$B$2:$B$1123, 'Códigos DANE Municipios'!$A$2:$A$1123, "No encontrado")</f>
        <v>47288</v>
      </c>
      <c r="B3139" t="str">
        <f>IFERROR(VLOOKUP(D3139,APOYO!K:L,2,FALSE),A3139)</f>
        <v>47288</v>
      </c>
      <c r="C3139" t="s">
        <v>1321</v>
      </c>
      <c r="D3139" t="str">
        <f>IFERROR(VLOOKUP(C3139,APOYO!J:K,2,FALSE),C3139)</f>
        <v>FUNDACIÓN</v>
      </c>
      <c r="E3139">
        <v>2017</v>
      </c>
    </row>
    <row r="3140" spans="1:5" hidden="1" x14ac:dyDescent="0.25">
      <c r="A3140" t="str">
        <f>_xlfn.XLOOKUP(C3140, 'Códigos DANE Municipios'!$B$2:$B$1123, 'Códigos DANE Municipios'!$A$2:$A$1123, "No encontrado")</f>
        <v>52287</v>
      </c>
      <c r="B3140" t="str">
        <f>IFERROR(VLOOKUP(D3140,APOYO!K:L,2,FALSE),A3140)</f>
        <v>52287</v>
      </c>
      <c r="C3140" t="s">
        <v>1450</v>
      </c>
      <c r="D3140" t="str">
        <f>IFERROR(VLOOKUP(C3140,APOYO!J:K,2,FALSE),C3140)</f>
        <v>FUNES</v>
      </c>
      <c r="E3140">
        <v>2017</v>
      </c>
    </row>
    <row r="3141" spans="1:5" hidden="1" x14ac:dyDescent="0.25">
      <c r="A3141" t="str">
        <f>_xlfn.XLOOKUP(C3141, 'Códigos DANE Municipios'!$B$2:$B$1123, 'Códigos DANE Municipios'!$A$2:$A$1123, "No encontrado")</f>
        <v>25286</v>
      </c>
      <c r="B3141" t="str">
        <f>IFERROR(VLOOKUP(D3141,APOYO!K:L,2,FALSE),A3141)</f>
        <v>25286</v>
      </c>
      <c r="C3141" t="s">
        <v>971</v>
      </c>
      <c r="D3141" t="str">
        <f>IFERROR(VLOOKUP(C3141,APOYO!J:K,2,FALSE),C3141)</f>
        <v>FUNZA</v>
      </c>
      <c r="E3141">
        <v>2017</v>
      </c>
    </row>
    <row r="3142" spans="1:5" hidden="1" x14ac:dyDescent="0.25">
      <c r="A3142" t="str">
        <f>_xlfn.XLOOKUP(C3142, 'Códigos DANE Municipios'!$B$2:$B$1123, 'Códigos DANE Municipios'!$A$2:$A$1123, "No encontrado")</f>
        <v>25288</v>
      </c>
      <c r="B3142" t="str">
        <f>IFERROR(VLOOKUP(D3142,APOYO!K:L,2,FALSE),A3142)</f>
        <v>25288</v>
      </c>
      <c r="C3142" t="s">
        <v>973</v>
      </c>
      <c r="D3142" t="str">
        <f>IFERROR(VLOOKUP(C3142,APOYO!J:K,2,FALSE),C3142)</f>
        <v>FÚQUENE</v>
      </c>
      <c r="E3142">
        <v>2017</v>
      </c>
    </row>
    <row r="3143" spans="1:5" hidden="1" x14ac:dyDescent="0.25">
      <c r="A3143" t="str">
        <f>_xlfn.XLOOKUP(C3143, 'Códigos DANE Municipios'!$B$2:$B$1123, 'Códigos DANE Municipios'!$A$2:$A$1123, "No encontrado")</f>
        <v>25290</v>
      </c>
      <c r="B3143" t="str">
        <f>IFERROR(VLOOKUP(D3143,APOYO!K:L,2,FALSE),A3143)</f>
        <v>25290</v>
      </c>
      <c r="C3143" t="s">
        <v>975</v>
      </c>
      <c r="D3143" t="str">
        <f>IFERROR(VLOOKUP(C3143,APOYO!J:K,2,FALSE),C3143)</f>
        <v>FUSAGASUGÁ</v>
      </c>
      <c r="E3143">
        <v>2017</v>
      </c>
    </row>
    <row r="3144" spans="1:5" hidden="1" x14ac:dyDescent="0.25">
      <c r="A3144" t="str">
        <f>_xlfn.XLOOKUP(C3144, 'Códigos DANE Municipios'!$B$2:$B$1123, 'Códigos DANE Municipios'!$A$2:$A$1123, "No encontrado")</f>
        <v>25295</v>
      </c>
      <c r="B3144" t="str">
        <f>IFERROR(VLOOKUP(D3144,APOYO!K:L,2,FALSE),A3144)</f>
        <v>25295</v>
      </c>
      <c r="C3144" t="s">
        <v>979</v>
      </c>
      <c r="D3144" t="str">
        <f>IFERROR(VLOOKUP(C3144,APOYO!J:K,2,FALSE),C3144)</f>
        <v>GACHANCIPÁ</v>
      </c>
      <c r="E3144">
        <v>2017</v>
      </c>
    </row>
    <row r="3145" spans="1:5" hidden="1" x14ac:dyDescent="0.25">
      <c r="A3145" t="str">
        <f>_xlfn.XLOOKUP(C3145, 'Códigos DANE Municipios'!$B$2:$B$1123, 'Códigos DANE Municipios'!$A$2:$A$1123, "No encontrado")</f>
        <v>25297</v>
      </c>
      <c r="B3145" t="str">
        <f>IFERROR(VLOOKUP(D3145,APOYO!K:L,2,FALSE),A3145)</f>
        <v>25297</v>
      </c>
      <c r="C3145" t="s">
        <v>981</v>
      </c>
      <c r="D3145" t="str">
        <f>IFERROR(VLOOKUP(C3145,APOYO!J:K,2,FALSE),C3145)</f>
        <v>GACHETÁ</v>
      </c>
      <c r="E3145">
        <v>2017</v>
      </c>
    </row>
    <row r="3146" spans="1:5" hidden="1" x14ac:dyDescent="0.25">
      <c r="A3146" t="str">
        <f>_xlfn.XLOOKUP(C3146, 'Códigos DANE Municipios'!$B$2:$B$1123, 'Códigos DANE Municipios'!$A$2:$A$1123, "No encontrado")</f>
        <v>08296</v>
      </c>
      <c r="B3146" t="str">
        <f>IFERROR(VLOOKUP(D3146,APOYO!K:L,2,FALSE),A3146)</f>
        <v>08296</v>
      </c>
      <c r="C3146" t="s">
        <v>270</v>
      </c>
      <c r="D3146" t="str">
        <f>IFERROR(VLOOKUP(C3146,APOYO!J:K,2,FALSE),C3146)</f>
        <v>GALAPA</v>
      </c>
      <c r="E3146">
        <v>2017</v>
      </c>
    </row>
    <row r="3147" spans="1:5" hidden="1" x14ac:dyDescent="0.25">
      <c r="A3147" t="str">
        <f>_xlfn.XLOOKUP(C3147, 'Códigos DANE Municipios'!$B$2:$B$1123, 'Códigos DANE Municipios'!$A$2:$A$1123, "No encontrado")</f>
        <v>68298</v>
      </c>
      <c r="B3147" t="str">
        <f>IFERROR(VLOOKUP(D3147,APOYO!K:L,2,FALSE),A3147)</f>
        <v>68298</v>
      </c>
      <c r="C3147" t="s">
        <v>1716</v>
      </c>
      <c r="D3147" t="str">
        <f>IFERROR(VLOOKUP(C3147,APOYO!J:K,2,FALSE),C3147)</f>
        <v>GÁMBITA</v>
      </c>
      <c r="E3147">
        <v>2017</v>
      </c>
    </row>
    <row r="3148" spans="1:5" hidden="1" x14ac:dyDescent="0.25">
      <c r="A3148" t="str">
        <f>_xlfn.XLOOKUP(C3148, 'Códigos DANE Municipios'!$B$2:$B$1123, 'Códigos DANE Municipios'!$A$2:$A$1123, "No encontrado")</f>
        <v>15293</v>
      </c>
      <c r="B3148" t="str">
        <f>IFERROR(VLOOKUP(D3148,APOYO!K:L,2,FALSE),A3148)</f>
        <v>15293</v>
      </c>
      <c r="C3148" t="s">
        <v>471</v>
      </c>
      <c r="D3148" t="str">
        <f>IFERROR(VLOOKUP(C3148,APOYO!J:K,2,FALSE),C3148)</f>
        <v>GACHANTIVÁ</v>
      </c>
      <c r="E3148">
        <v>2017</v>
      </c>
    </row>
    <row r="3149" spans="1:5" hidden="1" x14ac:dyDescent="0.25">
      <c r="A3149" t="str">
        <f>_xlfn.XLOOKUP(C3149, 'Códigos DANE Municipios'!$B$2:$B$1123, 'Códigos DANE Municipios'!$A$2:$A$1123, "No encontrado")</f>
        <v>68296</v>
      </c>
      <c r="B3149" t="str">
        <f>IFERROR(VLOOKUP(D3149,APOYO!K:L,2,FALSE),A3149)</f>
        <v>68296</v>
      </c>
      <c r="C3149" t="s">
        <v>1714</v>
      </c>
      <c r="D3149" t="str">
        <f>IFERROR(VLOOKUP(C3149,APOYO!J:K,2,FALSE),C3149)</f>
        <v>GALÁN</v>
      </c>
      <c r="E3149">
        <v>2017</v>
      </c>
    </row>
    <row r="3150" spans="1:5" hidden="1" x14ac:dyDescent="0.25">
      <c r="A3150" t="str">
        <f>_xlfn.XLOOKUP(C3150, 'Códigos DANE Municipios'!$B$2:$B$1123, 'Códigos DANE Municipios'!$A$2:$A$1123, "No encontrado")</f>
        <v>08296</v>
      </c>
      <c r="B3150" t="str">
        <f>IFERROR(VLOOKUP(D3150,APOYO!K:L,2,FALSE),A3150)</f>
        <v>08296</v>
      </c>
      <c r="C3150" t="s">
        <v>270</v>
      </c>
      <c r="D3150" t="str">
        <f>IFERROR(VLOOKUP(C3150,APOYO!J:K,2,FALSE),C3150)</f>
        <v>GALAPA</v>
      </c>
      <c r="E3150">
        <v>2017</v>
      </c>
    </row>
    <row r="3151" spans="1:5" hidden="1" x14ac:dyDescent="0.25">
      <c r="A3151" t="str">
        <f>_xlfn.XLOOKUP(C3151, 'Códigos DANE Municipios'!$B$2:$B$1123, 'Códigos DANE Municipios'!$A$2:$A$1123, "No encontrado")</f>
        <v>15299</v>
      </c>
      <c r="B3151" t="str">
        <f>IFERROR(VLOOKUP(D3151,APOYO!K:L,2,FALSE),A3151)</f>
        <v>15299</v>
      </c>
      <c r="C3151" t="s">
        <v>475</v>
      </c>
      <c r="D3151" t="str">
        <f>IFERROR(VLOOKUP(C3151,APOYO!J:K,2,FALSE),C3151)</f>
        <v>GARAGOA</v>
      </c>
      <c r="E3151">
        <v>2017</v>
      </c>
    </row>
    <row r="3152" spans="1:5" hidden="1" x14ac:dyDescent="0.25">
      <c r="A3152" t="str">
        <f>_xlfn.XLOOKUP(C3152, 'Códigos DANE Municipios'!$B$2:$B$1123, 'Códigos DANE Municipios'!$A$2:$A$1123, "No encontrado")</f>
        <v>41298</v>
      </c>
      <c r="B3152" t="str">
        <f>IFERROR(VLOOKUP(D3152,APOYO!K:L,2,FALSE),A3152)</f>
        <v>41298</v>
      </c>
      <c r="C3152" t="s">
        <v>1221</v>
      </c>
      <c r="D3152" t="str">
        <f>IFERROR(VLOOKUP(C3152,APOYO!J:K,2,FALSE),C3152)</f>
        <v>GARZÓN</v>
      </c>
      <c r="E3152">
        <v>2017</v>
      </c>
    </row>
    <row r="3153" spans="1:5" hidden="1" x14ac:dyDescent="0.25">
      <c r="A3153" t="str">
        <f>_xlfn.XLOOKUP(C3153, 'Códigos DANE Municipios'!$B$2:$B$1123, 'Códigos DANE Municipios'!$A$2:$A$1123, "No encontrado")</f>
        <v>63302</v>
      </c>
      <c r="B3153" t="str">
        <f>IFERROR(VLOOKUP(D3153,APOYO!K:L,2,FALSE),A3153)</f>
        <v>63302</v>
      </c>
      <c r="C3153" t="s">
        <v>1616</v>
      </c>
      <c r="D3153" t="str">
        <f>IFERROR(VLOOKUP(C3153,APOYO!J:K,2,FALSE),C3153)</f>
        <v>GÉNOVA</v>
      </c>
      <c r="E3153">
        <v>2017</v>
      </c>
    </row>
    <row r="3154" spans="1:5" hidden="1" x14ac:dyDescent="0.25">
      <c r="A3154" t="str">
        <f>_xlfn.XLOOKUP(C3154, 'Códigos DANE Municipios'!$B$2:$B$1123, 'Códigos DANE Municipios'!$A$2:$A$1123, "No encontrado")</f>
        <v>41306</v>
      </c>
      <c r="B3154" t="str">
        <f>IFERROR(VLOOKUP(D3154,APOYO!K:L,2,FALSE),A3154)</f>
        <v>41306</v>
      </c>
      <c r="C3154" t="s">
        <v>1223</v>
      </c>
      <c r="D3154" t="str">
        <f>IFERROR(VLOOKUP(C3154,APOYO!J:K,2,FALSE),C3154)</f>
        <v>GIGANTE</v>
      </c>
      <c r="E3154">
        <v>2017</v>
      </c>
    </row>
    <row r="3155" spans="1:5" hidden="1" x14ac:dyDescent="0.25">
      <c r="A3155" t="str">
        <f>_xlfn.XLOOKUP(C3155, 'Códigos DANE Municipios'!$B$2:$B$1123, 'Códigos DANE Municipios'!$A$2:$A$1123, "No encontrado")</f>
        <v>76306</v>
      </c>
      <c r="B3155" t="str">
        <f>IFERROR(VLOOKUP(D3155,APOYO!K:L,2,FALSE),A3155)</f>
        <v>76306</v>
      </c>
      <c r="C3155" t="s">
        <v>1992</v>
      </c>
      <c r="D3155" t="str">
        <f>IFERROR(VLOOKUP(C3155,APOYO!J:K,2,FALSE),C3155)</f>
        <v>GINEBRA</v>
      </c>
      <c r="E3155">
        <v>2017</v>
      </c>
    </row>
    <row r="3156" spans="1:5" hidden="1" x14ac:dyDescent="0.25">
      <c r="A3156" t="str">
        <f>_xlfn.XLOOKUP(C3156, 'Códigos DANE Municipios'!$B$2:$B$1123, 'Códigos DANE Municipios'!$A$2:$A$1123, "No encontrado")</f>
        <v>05306</v>
      </c>
      <c r="B3156" t="str">
        <f>IFERROR(VLOOKUP(D3156,APOYO!K:L,2,FALSE),A3156)</f>
        <v>05306</v>
      </c>
      <c r="C3156" t="s">
        <v>110</v>
      </c>
      <c r="D3156" t="str">
        <f>IFERROR(VLOOKUP(C3156,APOYO!J:K,2,FALSE),C3156)</f>
        <v>GIRALDO</v>
      </c>
      <c r="E3156">
        <v>2017</v>
      </c>
    </row>
    <row r="3157" spans="1:5" hidden="1" x14ac:dyDescent="0.25">
      <c r="A3157" t="str">
        <f>_xlfn.XLOOKUP(C3157, 'Códigos DANE Municipios'!$B$2:$B$1123, 'Códigos DANE Municipios'!$A$2:$A$1123, "No encontrado")</f>
        <v>25307</v>
      </c>
      <c r="B3157" t="str">
        <f>IFERROR(VLOOKUP(D3157,APOYO!K:L,2,FALSE),A3157)</f>
        <v>25307</v>
      </c>
      <c r="C3157" t="s">
        <v>985</v>
      </c>
      <c r="D3157" t="str">
        <f>IFERROR(VLOOKUP(C3157,APOYO!J:K,2,FALSE),C3157)</f>
        <v>GIRARDOT</v>
      </c>
      <c r="E3157">
        <v>2017</v>
      </c>
    </row>
    <row r="3158" spans="1:5" hidden="1" x14ac:dyDescent="0.25">
      <c r="A3158" t="str">
        <f>_xlfn.XLOOKUP(C3158, 'Códigos DANE Municipios'!$B$2:$B$1123, 'Códigos DANE Municipios'!$A$2:$A$1123, "No encontrado")</f>
        <v>05308</v>
      </c>
      <c r="B3158" t="str">
        <f>IFERROR(VLOOKUP(D3158,APOYO!K:L,2,FALSE),A3158)</f>
        <v>05308</v>
      </c>
      <c r="C3158" t="s">
        <v>112</v>
      </c>
      <c r="D3158" t="str">
        <f>IFERROR(VLOOKUP(C3158,APOYO!J:K,2,FALSE),C3158)</f>
        <v>GIRARDOTA</v>
      </c>
      <c r="E3158">
        <v>2017</v>
      </c>
    </row>
    <row r="3159" spans="1:5" hidden="1" x14ac:dyDescent="0.25">
      <c r="A3159" t="str">
        <f>_xlfn.XLOOKUP(C3159, 'Códigos DANE Municipios'!$B$2:$B$1123, 'Códigos DANE Municipios'!$A$2:$A$1123, "No encontrado")</f>
        <v>68307</v>
      </c>
      <c r="B3159" t="str">
        <f>IFERROR(VLOOKUP(D3159,APOYO!K:L,2,FALSE),A3159)</f>
        <v>68307</v>
      </c>
      <c r="C3159" t="s">
        <v>1718</v>
      </c>
      <c r="D3159" t="str">
        <f>IFERROR(VLOOKUP(C3159,APOYO!J:K,2,FALSE),C3159)</f>
        <v>GIRÓN</v>
      </c>
      <c r="E3159">
        <v>2017</v>
      </c>
    </row>
    <row r="3160" spans="1:5" hidden="1" x14ac:dyDescent="0.25">
      <c r="A3160" t="str">
        <f>_xlfn.XLOOKUP(C3160, 'Códigos DANE Municipios'!$B$2:$B$1123, 'Códigos DANE Municipios'!$A$2:$A$1123, "No encontrado")</f>
        <v>05310</v>
      </c>
      <c r="B3160" t="str">
        <f>IFERROR(VLOOKUP(D3160,APOYO!K:L,2,FALSE),A3160)</f>
        <v>05310</v>
      </c>
      <c r="C3160" t="s">
        <v>114</v>
      </c>
      <c r="D3160" t="str">
        <f>IFERROR(VLOOKUP(C3160,APOYO!J:K,2,FALSE),C3160)</f>
        <v>GÓMEZ PLATA</v>
      </c>
      <c r="E3160">
        <v>2017</v>
      </c>
    </row>
    <row r="3161" spans="1:5" hidden="1" x14ac:dyDescent="0.25">
      <c r="A3161" t="str">
        <f>_xlfn.XLOOKUP(C3161, 'Códigos DANE Municipios'!$B$2:$B$1123, 'Códigos DANE Municipios'!$A$2:$A$1123, "No encontrado")</f>
        <v>05313</v>
      </c>
      <c r="B3161" t="str">
        <f>IFERROR(VLOOKUP(D3161,APOYO!K:L,2,FALSE),A3161)</f>
        <v>05313</v>
      </c>
      <c r="C3161" t="s">
        <v>116</v>
      </c>
      <c r="D3161" t="str">
        <f>IFERROR(VLOOKUP(C3161,APOYO!J:K,2,FALSE),C3161)</f>
        <v>GRANADA</v>
      </c>
      <c r="E3161">
        <v>2017</v>
      </c>
    </row>
    <row r="3162" spans="1:5" hidden="1" x14ac:dyDescent="0.25">
      <c r="A3162" t="str">
        <f>_xlfn.XLOOKUP(C3162, 'Códigos DANE Municipios'!$B$2:$B$1123, 'Códigos DANE Municipios'!$A$2:$A$1123, "No encontrado")</f>
        <v>05313</v>
      </c>
      <c r="B3162" t="str">
        <f>IFERROR(VLOOKUP(D3162,APOYO!K:L,2,FALSE),A3162)</f>
        <v>05313</v>
      </c>
      <c r="C3162" t="s">
        <v>116</v>
      </c>
      <c r="D3162" t="str">
        <f>IFERROR(VLOOKUP(C3162,APOYO!J:K,2,FALSE),C3162)</f>
        <v>GRANADA</v>
      </c>
      <c r="E3162">
        <v>2017</v>
      </c>
    </row>
    <row r="3163" spans="1:5" hidden="1" x14ac:dyDescent="0.25">
      <c r="A3163" t="str">
        <f>_xlfn.XLOOKUP(C3163, 'Códigos DANE Municipios'!$B$2:$B$1123, 'Códigos DANE Municipios'!$A$2:$A$1123, "No encontrado")</f>
        <v>05313</v>
      </c>
      <c r="B3163" t="str">
        <f>IFERROR(VLOOKUP(D3163,APOYO!K:L,2,FALSE),A3163)</f>
        <v>05313</v>
      </c>
      <c r="C3163" t="s">
        <v>116</v>
      </c>
      <c r="D3163" t="str">
        <f>IFERROR(VLOOKUP(C3163,APOYO!J:K,2,FALSE),C3163)</f>
        <v>GRANADA</v>
      </c>
      <c r="E3163">
        <v>2017</v>
      </c>
    </row>
    <row r="3164" spans="1:5" hidden="1" x14ac:dyDescent="0.25">
      <c r="A3164" t="str">
        <f>_xlfn.XLOOKUP(C3164, 'Códigos DANE Municipios'!$B$2:$B$1123, 'Códigos DANE Municipios'!$A$2:$A$1123, "No encontrado")</f>
        <v>15317</v>
      </c>
      <c r="B3164" t="str">
        <f>IFERROR(VLOOKUP(D3164,APOYO!K:L,2,FALSE),A3164)</f>
        <v>15317</v>
      </c>
      <c r="C3164" t="s">
        <v>477</v>
      </c>
      <c r="D3164" t="str">
        <f>IFERROR(VLOOKUP(C3164,APOYO!J:K,2,FALSE),C3164)</f>
        <v>GUACAMAYAS</v>
      </c>
      <c r="E3164">
        <v>2017</v>
      </c>
    </row>
    <row r="3165" spans="1:5" hidden="1" x14ac:dyDescent="0.25">
      <c r="A3165" t="str">
        <f>_xlfn.XLOOKUP(C3165, 'Códigos DANE Municipios'!$B$2:$B$1123, 'Códigos DANE Municipios'!$A$2:$A$1123, "No encontrado")</f>
        <v>76318</v>
      </c>
      <c r="B3165" t="str">
        <f>IFERROR(VLOOKUP(D3165,APOYO!K:L,2,FALSE),A3165)</f>
        <v>76318</v>
      </c>
      <c r="C3165" t="s">
        <v>1994</v>
      </c>
      <c r="D3165" t="str">
        <f>IFERROR(VLOOKUP(C3165,APOYO!J:K,2,FALSE),C3165)</f>
        <v>GUACARÍ</v>
      </c>
      <c r="E3165">
        <v>2017</v>
      </c>
    </row>
    <row r="3166" spans="1:5" hidden="1" x14ac:dyDescent="0.25">
      <c r="A3166" t="str">
        <f>_xlfn.XLOOKUP(C3166, 'Códigos DANE Municipios'!$B$2:$B$1123, 'Códigos DANE Municipios'!$A$2:$A$1123, "No encontrado")</f>
        <v>25317</v>
      </c>
      <c r="B3166" t="str">
        <f>IFERROR(VLOOKUP(D3166,APOYO!K:L,2,FALSE),A3166)</f>
        <v>25317</v>
      </c>
      <c r="C3166" t="s">
        <v>988</v>
      </c>
      <c r="D3166" t="str">
        <f>IFERROR(VLOOKUP(C3166,APOYO!J:K,2,FALSE),C3166)</f>
        <v>GUACHETÁ</v>
      </c>
      <c r="E3166">
        <v>2017</v>
      </c>
    </row>
    <row r="3167" spans="1:5" hidden="1" x14ac:dyDescent="0.25">
      <c r="A3167" t="str">
        <f>_xlfn.XLOOKUP(C3167, 'Códigos DANE Municipios'!$B$2:$B$1123, 'Códigos DANE Municipios'!$A$2:$A$1123, "No encontrado")</f>
        <v>52317</v>
      </c>
      <c r="B3167" t="str">
        <f>IFERROR(VLOOKUP(D3167,APOYO!K:L,2,FALSE),A3167)</f>
        <v>52317</v>
      </c>
      <c r="C3167" t="s">
        <v>1452</v>
      </c>
      <c r="D3167" t="str">
        <f>IFERROR(VLOOKUP(C3167,APOYO!J:K,2,FALSE),C3167)</f>
        <v>GUACHUCAL</v>
      </c>
      <c r="E3167">
        <v>2017</v>
      </c>
    </row>
    <row r="3168" spans="1:5" hidden="1" x14ac:dyDescent="0.25">
      <c r="A3168" t="str">
        <f>_xlfn.XLOOKUP(C3168, 'Códigos DANE Municipios'!$B$2:$B$1123, 'Códigos DANE Municipios'!$A$2:$A$1123, "No encontrado")</f>
        <v>05315</v>
      </c>
      <c r="B3168" t="str">
        <f>IFERROR(VLOOKUP(D3168,APOYO!K:L,2,FALSE),A3168)</f>
        <v>05315</v>
      </c>
      <c r="C3168" t="s">
        <v>118</v>
      </c>
      <c r="D3168" t="str">
        <f>IFERROR(VLOOKUP(C3168,APOYO!J:K,2,FALSE),C3168)</f>
        <v>GUADALUPE</v>
      </c>
      <c r="E3168">
        <v>2017</v>
      </c>
    </row>
    <row r="3169" spans="1:5" hidden="1" x14ac:dyDescent="0.25">
      <c r="A3169" t="str">
        <f>_xlfn.XLOOKUP(C3169, 'Códigos DANE Municipios'!$B$2:$B$1123, 'Códigos DANE Municipios'!$A$2:$A$1123, "No encontrado")</f>
        <v>25320</v>
      </c>
      <c r="B3169" t="str">
        <f>IFERROR(VLOOKUP(D3169,APOYO!K:L,2,FALSE),A3169)</f>
        <v>25320</v>
      </c>
      <c r="C3169" t="s">
        <v>990</v>
      </c>
      <c r="D3169" t="str">
        <f>IFERROR(VLOOKUP(C3169,APOYO!J:K,2,FALSE),C3169)</f>
        <v>GUADUAS</v>
      </c>
      <c r="E3169">
        <v>2017</v>
      </c>
    </row>
    <row r="3170" spans="1:5" hidden="1" x14ac:dyDescent="0.25">
      <c r="A3170" t="str">
        <f>_xlfn.XLOOKUP(C3170, 'Códigos DANE Municipios'!$B$2:$B$1123, 'Códigos DANE Municipios'!$A$2:$A$1123, "No encontrado")</f>
        <v>47318</v>
      </c>
      <c r="B3170" t="str">
        <f>IFERROR(VLOOKUP(D3170,APOYO!K:L,2,FALSE),A3170)</f>
        <v>47318</v>
      </c>
      <c r="C3170" t="s">
        <v>1323</v>
      </c>
      <c r="D3170" t="str">
        <f>IFERROR(VLOOKUP(C3170,APOYO!J:K,2,FALSE),C3170)</f>
        <v>GUAMAL</v>
      </c>
      <c r="E3170">
        <v>2017</v>
      </c>
    </row>
    <row r="3171" spans="1:5" hidden="1" x14ac:dyDescent="0.25">
      <c r="A3171" t="str">
        <f>_xlfn.XLOOKUP(C3171, 'Códigos DANE Municipios'!$B$2:$B$1123, 'Códigos DANE Municipios'!$A$2:$A$1123, "No encontrado")</f>
        <v>73319</v>
      </c>
      <c r="B3171" t="str">
        <f>IFERROR(VLOOKUP(D3171,APOYO!K:L,2,FALSE),A3171)</f>
        <v>73319</v>
      </c>
      <c r="C3171" t="s">
        <v>1903</v>
      </c>
      <c r="D3171" t="str">
        <f>IFERROR(VLOOKUP(C3171,APOYO!J:K,2,FALSE),C3171)</f>
        <v>GUAMO</v>
      </c>
      <c r="E3171">
        <v>2017</v>
      </c>
    </row>
    <row r="3172" spans="1:5" hidden="1" x14ac:dyDescent="0.25">
      <c r="A3172" t="str">
        <f>_xlfn.XLOOKUP(C3172, 'Códigos DANE Municipios'!$B$2:$B$1123, 'Códigos DANE Municipios'!$A$2:$A$1123, "No encontrado")</f>
        <v>19318</v>
      </c>
      <c r="B3172" t="str">
        <f>IFERROR(VLOOKUP(D3172,APOYO!K:L,2,FALSE),A3172)</f>
        <v>19318</v>
      </c>
      <c r="C3172" t="s">
        <v>753</v>
      </c>
      <c r="D3172" t="str">
        <f>IFERROR(VLOOKUP(C3172,APOYO!J:K,2,FALSE),C3172)</f>
        <v>GUAPÍ</v>
      </c>
      <c r="E3172">
        <v>2017</v>
      </c>
    </row>
    <row r="3173" spans="1:5" hidden="1" x14ac:dyDescent="0.25">
      <c r="A3173" t="str">
        <f>_xlfn.XLOOKUP(C3173, 'Códigos DANE Municipios'!$B$2:$B$1123, 'Códigos DANE Municipios'!$A$2:$A$1123, "No encontrado")</f>
        <v>70265</v>
      </c>
      <c r="B3173" t="str">
        <f>IFERROR(VLOOKUP(D3173,APOYO!K:L,2,FALSE),A3173)</f>
        <v>70265</v>
      </c>
      <c r="C3173" t="s">
        <v>1833</v>
      </c>
      <c r="D3173" t="str">
        <f>IFERROR(VLOOKUP(C3173,APOYO!J:K,2,FALSE),C3173)</f>
        <v>GUARANDA</v>
      </c>
      <c r="E3173">
        <v>2017</v>
      </c>
    </row>
    <row r="3174" spans="1:5" hidden="1" x14ac:dyDescent="0.25">
      <c r="A3174" t="str">
        <f>_xlfn.XLOOKUP(C3174, 'Códigos DANE Municipios'!$B$2:$B$1123, 'Códigos DANE Municipios'!$A$2:$A$1123, "No encontrado")</f>
        <v>05318</v>
      </c>
      <c r="B3174" t="str">
        <f>IFERROR(VLOOKUP(D3174,APOYO!K:L,2,FALSE),A3174)</f>
        <v>05318</v>
      </c>
      <c r="C3174" t="s">
        <v>120</v>
      </c>
      <c r="D3174" t="str">
        <f>IFERROR(VLOOKUP(C3174,APOYO!J:K,2,FALSE),C3174)</f>
        <v>GUARNE</v>
      </c>
      <c r="E3174">
        <v>2017</v>
      </c>
    </row>
    <row r="3175" spans="1:5" hidden="1" x14ac:dyDescent="0.25">
      <c r="A3175" t="str">
        <f>_xlfn.XLOOKUP(C3175, 'Códigos DANE Municipios'!$B$2:$B$1123, 'Códigos DANE Municipios'!$A$2:$A$1123, "No encontrado")</f>
        <v>25322</v>
      </c>
      <c r="B3175" t="str">
        <f>IFERROR(VLOOKUP(D3175,APOYO!K:L,2,FALSE),A3175)</f>
        <v>25322</v>
      </c>
      <c r="C3175" t="s">
        <v>992</v>
      </c>
      <c r="D3175" t="str">
        <f>IFERROR(VLOOKUP(C3175,APOYO!J:K,2,FALSE),C3175)</f>
        <v>GUASCA</v>
      </c>
      <c r="E3175">
        <v>2017</v>
      </c>
    </row>
    <row r="3176" spans="1:5" hidden="1" x14ac:dyDescent="0.25">
      <c r="A3176" t="str">
        <f>_xlfn.XLOOKUP(C3176, 'Códigos DANE Municipios'!$B$2:$B$1123, 'Códigos DANE Municipios'!$A$2:$A$1123, "No encontrado")</f>
        <v>05321</v>
      </c>
      <c r="B3176" t="str">
        <f>IFERROR(VLOOKUP(D3176,APOYO!K:L,2,FALSE),A3176)</f>
        <v>05321</v>
      </c>
      <c r="C3176" t="s">
        <v>122</v>
      </c>
      <c r="D3176" t="str">
        <f>IFERROR(VLOOKUP(C3176,APOYO!J:K,2,FALSE),C3176)</f>
        <v>GUATAPÉ</v>
      </c>
      <c r="E3176">
        <v>2017</v>
      </c>
    </row>
    <row r="3177" spans="1:5" hidden="1" x14ac:dyDescent="0.25">
      <c r="A3177" t="str">
        <f>_xlfn.XLOOKUP(C3177, 'Códigos DANE Municipios'!$B$2:$B$1123, 'Códigos DANE Municipios'!$A$2:$A$1123, "No encontrado")</f>
        <v>25324</v>
      </c>
      <c r="B3177" t="str">
        <f>IFERROR(VLOOKUP(D3177,APOYO!K:L,2,FALSE),A3177)</f>
        <v>25324</v>
      </c>
      <c r="C3177" t="s">
        <v>994</v>
      </c>
      <c r="D3177" t="str">
        <f>IFERROR(VLOOKUP(C3177,APOYO!J:K,2,FALSE),C3177)</f>
        <v>GUATAQUÍ</v>
      </c>
      <c r="E3177">
        <v>2017</v>
      </c>
    </row>
    <row r="3178" spans="1:5" hidden="1" x14ac:dyDescent="0.25">
      <c r="A3178" t="str">
        <f>_xlfn.XLOOKUP(C3178, 'Códigos DANE Municipios'!$B$2:$B$1123, 'Códigos DANE Municipios'!$A$2:$A$1123, "No encontrado")</f>
        <v>25326</v>
      </c>
      <c r="B3178" t="str">
        <f>IFERROR(VLOOKUP(D3178,APOYO!K:L,2,FALSE),A3178)</f>
        <v>25326</v>
      </c>
      <c r="C3178" t="s">
        <v>996</v>
      </c>
      <c r="D3178" t="str">
        <f>IFERROR(VLOOKUP(C3178,APOYO!J:K,2,FALSE),C3178)</f>
        <v>GUATAVITA</v>
      </c>
      <c r="E3178">
        <v>2017</v>
      </c>
    </row>
    <row r="3179" spans="1:5" hidden="1" x14ac:dyDescent="0.25">
      <c r="A3179" t="str">
        <f>_xlfn.XLOOKUP(C3179, 'Códigos DANE Municipios'!$B$2:$B$1123, 'Códigos DANE Municipios'!$A$2:$A$1123, "No encontrado")</f>
        <v>15322</v>
      </c>
      <c r="B3179" t="str">
        <f>IFERROR(VLOOKUP(D3179,APOYO!K:L,2,FALSE),A3179)</f>
        <v>15322</v>
      </c>
      <c r="C3179" t="s">
        <v>479</v>
      </c>
      <c r="D3179" t="str">
        <f>IFERROR(VLOOKUP(C3179,APOYO!J:K,2,FALSE),C3179)</f>
        <v>GUATEQUE</v>
      </c>
      <c r="E3179">
        <v>2017</v>
      </c>
    </row>
    <row r="3180" spans="1:5" hidden="1" x14ac:dyDescent="0.25">
      <c r="A3180" t="str">
        <f>_xlfn.XLOOKUP(C3180, 'Códigos DANE Municipios'!$B$2:$B$1123, 'Códigos DANE Municipios'!$A$2:$A$1123, "No encontrado")</f>
        <v>66318</v>
      </c>
      <c r="B3180" t="str">
        <f>IFERROR(VLOOKUP(D3180,APOYO!K:L,2,FALSE),A3180)</f>
        <v>66318</v>
      </c>
      <c r="C3180" t="s">
        <v>1637</v>
      </c>
      <c r="D3180" t="str">
        <f>IFERROR(VLOOKUP(C3180,APOYO!J:K,2,FALSE),C3180)</f>
        <v>GUÁTICA</v>
      </c>
      <c r="E3180">
        <v>2017</v>
      </c>
    </row>
    <row r="3181" spans="1:5" hidden="1" x14ac:dyDescent="0.25">
      <c r="A3181" t="str">
        <f>_xlfn.XLOOKUP(C3181, 'Códigos DANE Municipios'!$B$2:$B$1123, 'Códigos DANE Municipios'!$A$2:$A$1123, "No encontrado")</f>
        <v>15325</v>
      </c>
      <c r="B3181" t="str">
        <f>IFERROR(VLOOKUP(D3181,APOYO!K:L,2,FALSE),A3181)</f>
        <v>15325</v>
      </c>
      <c r="C3181" t="s">
        <v>481</v>
      </c>
      <c r="D3181" t="str">
        <f>IFERROR(VLOOKUP(C3181,APOYO!J:K,2,FALSE),C3181)</f>
        <v>GUAYATÁ</v>
      </c>
      <c r="E3181">
        <v>2017</v>
      </c>
    </row>
    <row r="3182" spans="1:5" hidden="1" x14ac:dyDescent="0.25">
      <c r="A3182" t="str">
        <f>_xlfn.XLOOKUP(C3182, 'Códigos DANE Municipios'!$B$2:$B$1123, 'Códigos DANE Municipios'!$A$2:$A$1123, "No encontrado")</f>
        <v>68327</v>
      </c>
      <c r="B3182" t="str">
        <f>IFERROR(VLOOKUP(D3182,APOYO!K:L,2,FALSE),A3182)</f>
        <v>68327</v>
      </c>
      <c r="C3182" t="s">
        <v>1727</v>
      </c>
      <c r="D3182" t="str">
        <f>IFERROR(VLOOKUP(C3182,APOYO!J:K,2,FALSE),C3182)</f>
        <v>GÜEPSA</v>
      </c>
      <c r="E3182">
        <v>2017</v>
      </c>
    </row>
    <row r="3183" spans="1:5" hidden="1" x14ac:dyDescent="0.25">
      <c r="A3183" t="str">
        <f>_xlfn.XLOOKUP(C3183, 'Códigos DANE Municipios'!$B$2:$B$1123, 'Códigos DANE Municipios'!$A$2:$A$1123, "No encontrado")</f>
        <v>15332</v>
      </c>
      <c r="B3183" t="str">
        <f>IFERROR(VLOOKUP(D3183,APOYO!K:L,2,FALSE),A3183)</f>
        <v>15332</v>
      </c>
      <c r="C3183" t="s">
        <v>483</v>
      </c>
      <c r="D3183" t="str">
        <f>IFERROR(VLOOKUP(C3183,APOYO!J:K,2,FALSE),C3183)</f>
        <v>GÜICÁN</v>
      </c>
      <c r="E3183">
        <v>2017</v>
      </c>
    </row>
    <row r="3184" spans="1:5" hidden="1" x14ac:dyDescent="0.25">
      <c r="A3184" t="str">
        <f>_xlfn.XLOOKUP(C3184, 'Códigos DANE Municipios'!$B$2:$B$1123, 'Códigos DANE Municipios'!$A$2:$A$1123, "No encontrado")</f>
        <v>85125</v>
      </c>
      <c r="B3184" t="str">
        <f>IFERROR(VLOOKUP(D3184,APOYO!K:L,2,FALSE),A3184)</f>
        <v>85125</v>
      </c>
      <c r="C3184" t="s">
        <v>2054</v>
      </c>
      <c r="D3184" t="str">
        <f>IFERROR(VLOOKUP(C3184,APOYO!J:K,2,FALSE),C3184)</f>
        <v>HATO COROZAL</v>
      </c>
      <c r="E3184">
        <v>2017</v>
      </c>
    </row>
    <row r="3185" spans="1:5" hidden="1" x14ac:dyDescent="0.25">
      <c r="A3185" t="str">
        <f>_xlfn.XLOOKUP(C3185, 'Códigos DANE Municipios'!$B$2:$B$1123, 'Códigos DANE Municipios'!$A$2:$A$1123, "No encontrado")</f>
        <v>05347</v>
      </c>
      <c r="B3185" t="str">
        <f>IFERROR(VLOOKUP(D3185,APOYO!K:L,2,FALSE),A3185)</f>
        <v>05347</v>
      </c>
      <c r="C3185" t="s">
        <v>124</v>
      </c>
      <c r="D3185" t="str">
        <f>IFERROR(VLOOKUP(C3185,APOYO!J:K,2,FALSE),C3185)</f>
        <v>HELICONIA</v>
      </c>
      <c r="E3185">
        <v>2017</v>
      </c>
    </row>
    <row r="3186" spans="1:5" hidden="1" x14ac:dyDescent="0.25">
      <c r="A3186" t="str">
        <f>_xlfn.XLOOKUP(C3186, 'Códigos DANE Municipios'!$B$2:$B$1123, 'Códigos DANE Municipios'!$A$2:$A$1123, "No encontrado")</f>
        <v>73347</v>
      </c>
      <c r="B3186" t="str">
        <f>IFERROR(VLOOKUP(D3186,APOYO!K:L,2,FALSE),A3186)</f>
        <v>73347</v>
      </c>
      <c r="C3186" t="s">
        <v>1905</v>
      </c>
      <c r="D3186" t="str">
        <f>IFERROR(VLOOKUP(C3186,APOYO!J:K,2,FALSE),C3186)</f>
        <v>HERVEO</v>
      </c>
      <c r="E3186">
        <v>2017</v>
      </c>
    </row>
    <row r="3187" spans="1:5" hidden="1" x14ac:dyDescent="0.25">
      <c r="A3187" t="str">
        <f>_xlfn.XLOOKUP(C3187, 'Códigos DANE Municipios'!$B$2:$B$1123, 'Códigos DANE Municipios'!$A$2:$A$1123, "No encontrado")</f>
        <v>05353</v>
      </c>
      <c r="B3187" t="str">
        <f>IFERROR(VLOOKUP(D3187,APOYO!K:L,2,FALSE),A3187)</f>
        <v>05353</v>
      </c>
      <c r="C3187" t="s">
        <v>126</v>
      </c>
      <c r="D3187" t="str">
        <f>IFERROR(VLOOKUP(C3187,APOYO!J:K,2,FALSE),C3187)</f>
        <v>HISPANIA</v>
      </c>
      <c r="E3187">
        <v>2017</v>
      </c>
    </row>
    <row r="3188" spans="1:5" hidden="1" x14ac:dyDescent="0.25">
      <c r="A3188" t="str">
        <f>_xlfn.XLOOKUP(C3188, 'Códigos DANE Municipios'!$B$2:$B$1123, 'Códigos DANE Municipios'!$A$2:$A$1123, "No encontrado")</f>
        <v>73349</v>
      </c>
      <c r="B3188" t="str">
        <f>IFERROR(VLOOKUP(D3188,APOYO!K:L,2,FALSE),A3188)</f>
        <v>73349</v>
      </c>
      <c r="C3188" t="s">
        <v>1907</v>
      </c>
      <c r="D3188" t="str">
        <f>IFERROR(VLOOKUP(C3188,APOYO!J:K,2,FALSE),C3188)</f>
        <v>HONDA</v>
      </c>
      <c r="E3188">
        <v>2017</v>
      </c>
    </row>
    <row r="3189" spans="1:5" hidden="1" x14ac:dyDescent="0.25">
      <c r="A3189" t="str">
        <f>_xlfn.XLOOKUP(C3189, 'Códigos DANE Municipios'!$B$2:$B$1123, 'Códigos DANE Municipios'!$A$2:$A$1123, "No encontrado")</f>
        <v>73001</v>
      </c>
      <c r="B3189" t="str">
        <f>IFERROR(VLOOKUP(D3189,APOYO!K:L,2,FALSE),A3189)</f>
        <v>73001</v>
      </c>
      <c r="C3189" t="s">
        <v>1865</v>
      </c>
      <c r="D3189" t="str">
        <f>IFERROR(VLOOKUP(C3189,APOYO!J:K,2,FALSE),C3189)</f>
        <v>IBAGUÉ</v>
      </c>
      <c r="E3189">
        <v>2017</v>
      </c>
    </row>
    <row r="3190" spans="1:5" hidden="1" x14ac:dyDescent="0.25">
      <c r="A3190" t="str">
        <f>_xlfn.XLOOKUP(C3190, 'Códigos DANE Municipios'!$B$2:$B$1123, 'Códigos DANE Municipios'!$A$2:$A$1123, "No encontrado")</f>
        <v>73352</v>
      </c>
      <c r="B3190" t="str">
        <f>IFERROR(VLOOKUP(D3190,APOYO!K:L,2,FALSE),A3190)</f>
        <v>73352</v>
      </c>
      <c r="C3190" t="s">
        <v>1909</v>
      </c>
      <c r="D3190" t="str">
        <f>IFERROR(VLOOKUP(C3190,APOYO!J:K,2,FALSE),C3190)</f>
        <v>ICONONZO</v>
      </c>
      <c r="E3190">
        <v>2017</v>
      </c>
    </row>
    <row r="3191" spans="1:5" hidden="1" x14ac:dyDescent="0.25">
      <c r="A3191" t="str">
        <f>_xlfn.XLOOKUP(C3191, 'Códigos DANE Municipios'!$B$2:$B$1123, 'Códigos DANE Municipios'!$A$2:$A$1123, "No encontrado")</f>
        <v>41357</v>
      </c>
      <c r="B3191" t="str">
        <f>IFERROR(VLOOKUP(D3191,APOYO!K:L,2,FALSE),A3191)</f>
        <v>41357</v>
      </c>
      <c r="C3191" t="s">
        <v>1228</v>
      </c>
      <c r="D3191" t="str">
        <f>IFERROR(VLOOKUP(C3191,APOYO!J:K,2,FALSE),C3191)</f>
        <v>ÍQUIRA</v>
      </c>
      <c r="E3191">
        <v>2017</v>
      </c>
    </row>
    <row r="3192" spans="1:5" hidden="1" x14ac:dyDescent="0.25">
      <c r="A3192" t="str">
        <f>_xlfn.XLOOKUP(C3192, 'Códigos DANE Municipios'!$B$2:$B$1123, 'Códigos DANE Municipios'!$A$2:$A$1123, "No encontrado")</f>
        <v>52352</v>
      </c>
      <c r="B3192" t="str">
        <f>IFERROR(VLOOKUP(D3192,APOYO!K:L,2,FALSE),A3192)</f>
        <v>52352</v>
      </c>
      <c r="C3192" t="s">
        <v>1458</v>
      </c>
      <c r="D3192" t="str">
        <f>IFERROR(VLOOKUP(C3192,APOYO!J:K,2,FALSE),C3192)</f>
        <v>ILES</v>
      </c>
      <c r="E3192">
        <v>2017</v>
      </c>
    </row>
    <row r="3193" spans="1:5" hidden="1" x14ac:dyDescent="0.25">
      <c r="A3193" t="str">
        <f>_xlfn.XLOOKUP(C3193, 'Códigos DANE Municipios'!$B$2:$B$1123, 'Códigos DANE Municipios'!$A$2:$A$1123, "No encontrado")</f>
        <v>19355</v>
      </c>
      <c r="B3193" t="str">
        <f>IFERROR(VLOOKUP(D3193,APOYO!K:L,2,FALSE),A3193)</f>
        <v>19355</v>
      </c>
      <c r="C3193" t="s">
        <v>755</v>
      </c>
      <c r="D3193" t="str">
        <f>IFERROR(VLOOKUP(C3193,APOYO!J:K,2,FALSE),C3193)</f>
        <v>INZÁ</v>
      </c>
      <c r="E3193">
        <v>2017</v>
      </c>
    </row>
    <row r="3194" spans="1:5" hidden="1" x14ac:dyDescent="0.25">
      <c r="A3194" t="str">
        <f>_xlfn.XLOOKUP(C3194, 'Códigos DANE Municipios'!$B$2:$B$1123, 'Códigos DANE Municipios'!$A$2:$A$1123, "No encontrado")</f>
        <v>52356</v>
      </c>
      <c r="B3194" t="str">
        <f>IFERROR(VLOOKUP(D3194,APOYO!K:L,2,FALSE),A3194)</f>
        <v>52356</v>
      </c>
      <c r="C3194" t="s">
        <v>1462</v>
      </c>
      <c r="D3194" t="str">
        <f>IFERROR(VLOOKUP(C3194,APOYO!J:K,2,FALSE),C3194)</f>
        <v>IPIALES</v>
      </c>
      <c r="E3194">
        <v>2017</v>
      </c>
    </row>
    <row r="3195" spans="1:5" hidden="1" x14ac:dyDescent="0.25">
      <c r="A3195" t="str">
        <f>_xlfn.XLOOKUP(C3195, 'Códigos DANE Municipios'!$B$2:$B$1123, 'Códigos DANE Municipios'!$A$2:$A$1123, "No encontrado")</f>
        <v>27361</v>
      </c>
      <c r="B3195" t="str">
        <f>IFERROR(VLOOKUP(D3195,APOYO!K:L,2,FALSE),A3195)</f>
        <v>27361</v>
      </c>
      <c r="C3195" t="s">
        <v>1170</v>
      </c>
      <c r="D3195" t="str">
        <f>IFERROR(VLOOKUP(C3195,APOYO!J:K,2,FALSE),C3195)</f>
        <v>ISTMINA</v>
      </c>
      <c r="E3195">
        <v>2017</v>
      </c>
    </row>
    <row r="3196" spans="1:5" hidden="1" x14ac:dyDescent="0.25">
      <c r="A3196" t="str">
        <f>_xlfn.XLOOKUP(C3196, 'Códigos DANE Municipios'!$B$2:$B$1123, 'Códigos DANE Municipios'!$A$2:$A$1123, "No encontrado")</f>
        <v>05360</v>
      </c>
      <c r="B3196" t="str">
        <f>IFERROR(VLOOKUP(D3196,APOYO!K:L,2,FALSE),A3196)</f>
        <v>05360</v>
      </c>
      <c r="C3196" t="s">
        <v>128</v>
      </c>
      <c r="D3196" t="str">
        <f>IFERROR(VLOOKUP(C3196,APOYO!J:K,2,FALSE),C3196)</f>
        <v>ITAGÜÍ</v>
      </c>
      <c r="E3196">
        <v>2017</v>
      </c>
    </row>
    <row r="3197" spans="1:5" hidden="1" x14ac:dyDescent="0.25">
      <c r="A3197" t="str">
        <f>_xlfn.XLOOKUP(C3197, 'Códigos DANE Municipios'!$B$2:$B$1123, 'Códigos DANE Municipios'!$A$2:$A$1123, "No encontrado")</f>
        <v>05361</v>
      </c>
      <c r="B3197" t="str">
        <f>IFERROR(VLOOKUP(D3197,APOYO!K:L,2,FALSE),A3197)</f>
        <v>05361</v>
      </c>
      <c r="C3197" t="s">
        <v>130</v>
      </c>
      <c r="D3197" t="str">
        <f>IFERROR(VLOOKUP(C3197,APOYO!J:K,2,FALSE),C3197)</f>
        <v>ITUANGO</v>
      </c>
      <c r="E3197">
        <v>2017</v>
      </c>
    </row>
    <row r="3198" spans="1:5" hidden="1" x14ac:dyDescent="0.25">
      <c r="A3198" t="str">
        <f>_xlfn.XLOOKUP(C3198, 'Códigos DANE Municipios'!$B$2:$B$1123, 'Códigos DANE Municipios'!$A$2:$A$1123, "No encontrado")</f>
        <v>15362</v>
      </c>
      <c r="B3198" t="str">
        <f>IFERROR(VLOOKUP(D3198,APOYO!K:L,2,FALSE),A3198)</f>
        <v>15362</v>
      </c>
      <c r="C3198" t="s">
        <v>485</v>
      </c>
      <c r="D3198" t="str">
        <f>IFERROR(VLOOKUP(C3198,APOYO!J:K,2,FALSE),C3198)</f>
        <v>IZA</v>
      </c>
      <c r="E3198">
        <v>2017</v>
      </c>
    </row>
    <row r="3199" spans="1:5" hidden="1" x14ac:dyDescent="0.25">
      <c r="A3199" t="str">
        <f>_xlfn.XLOOKUP(C3199, 'Códigos DANE Municipios'!$B$2:$B$1123, 'Códigos DANE Municipios'!$A$2:$A$1123, "No encontrado")</f>
        <v>76364</v>
      </c>
      <c r="B3199" t="str">
        <f>IFERROR(VLOOKUP(D3199,APOYO!K:L,2,FALSE),A3199)</f>
        <v>76364</v>
      </c>
      <c r="C3199" t="s">
        <v>1996</v>
      </c>
      <c r="D3199" t="str">
        <f>IFERROR(VLOOKUP(C3199,APOYO!J:K,2,FALSE),C3199)</f>
        <v>JAMUNDÍ</v>
      </c>
      <c r="E3199">
        <v>2017</v>
      </c>
    </row>
    <row r="3200" spans="1:5" hidden="1" x14ac:dyDescent="0.25">
      <c r="A3200" t="str">
        <f>_xlfn.XLOOKUP(C3200, 'Códigos DANE Municipios'!$B$2:$B$1123, 'Códigos DANE Municipios'!$A$2:$A$1123, "No encontrado")</f>
        <v>05364</v>
      </c>
      <c r="B3200" t="str">
        <f>IFERROR(VLOOKUP(D3200,APOYO!K:L,2,FALSE),A3200)</f>
        <v>05364</v>
      </c>
      <c r="C3200" t="s">
        <v>132</v>
      </c>
      <c r="D3200" t="str">
        <f>IFERROR(VLOOKUP(C3200,APOYO!J:K,2,FALSE),C3200)</f>
        <v>JARDÍN</v>
      </c>
      <c r="E3200">
        <v>2017</v>
      </c>
    </row>
    <row r="3201" spans="1:5" hidden="1" x14ac:dyDescent="0.25">
      <c r="A3201" t="str">
        <f>_xlfn.XLOOKUP(C3201, 'Códigos DANE Municipios'!$B$2:$B$1123, 'Códigos DANE Municipios'!$A$2:$A$1123, "No encontrado")</f>
        <v>15367</v>
      </c>
      <c r="B3201" t="str">
        <f>IFERROR(VLOOKUP(D3201,APOYO!K:L,2,FALSE),A3201)</f>
        <v>15367</v>
      </c>
      <c r="C3201" t="s">
        <v>487</v>
      </c>
      <c r="D3201" t="str">
        <f>IFERROR(VLOOKUP(C3201,APOYO!J:K,2,FALSE),C3201)</f>
        <v>JENESANO</v>
      </c>
      <c r="E3201">
        <v>2017</v>
      </c>
    </row>
    <row r="3202" spans="1:5" hidden="1" x14ac:dyDescent="0.25">
      <c r="A3202" t="str">
        <f>_xlfn.XLOOKUP(C3202, 'Códigos DANE Municipios'!$B$2:$B$1123, 'Códigos DANE Municipios'!$A$2:$A$1123, "No encontrado")</f>
        <v>05368</v>
      </c>
      <c r="B3202" t="str">
        <f>IFERROR(VLOOKUP(D3202,APOYO!K:L,2,FALSE),A3202)</f>
        <v>05368</v>
      </c>
      <c r="C3202" t="s">
        <v>134</v>
      </c>
      <c r="D3202" t="str">
        <f>IFERROR(VLOOKUP(C3202,APOYO!J:K,2,FALSE),C3202)</f>
        <v>JERICÓ</v>
      </c>
      <c r="E3202">
        <v>2017</v>
      </c>
    </row>
    <row r="3203" spans="1:5" hidden="1" x14ac:dyDescent="0.25">
      <c r="A3203" t="str">
        <f>_xlfn.XLOOKUP(C3203, 'Códigos DANE Municipios'!$B$2:$B$1123, 'Códigos DANE Municipios'!$A$2:$A$1123, "No encontrado")</f>
        <v>08372</v>
      </c>
      <c r="B3203" t="str">
        <f>IFERROR(VLOOKUP(D3203,APOYO!K:L,2,FALSE),A3203)</f>
        <v>08372</v>
      </c>
      <c r="C3203" t="s">
        <v>272</v>
      </c>
      <c r="D3203" t="str">
        <f>IFERROR(VLOOKUP(C3203,APOYO!J:K,2,FALSE),C3203)</f>
        <v>JUAN DE ACOSTA</v>
      </c>
      <c r="E3203">
        <v>2017</v>
      </c>
    </row>
    <row r="3204" spans="1:5" hidden="1" x14ac:dyDescent="0.25">
      <c r="A3204" t="str">
        <f>_xlfn.XLOOKUP(C3204, 'Códigos DANE Municipios'!$B$2:$B$1123, 'Códigos DANE Municipios'!$A$2:$A$1123, "No encontrado")</f>
        <v>25372</v>
      </c>
      <c r="B3204" t="str">
        <f>IFERROR(VLOOKUP(D3204,APOYO!K:L,2,FALSE),A3204)</f>
        <v>25372</v>
      </c>
      <c r="C3204" t="s">
        <v>1006</v>
      </c>
      <c r="D3204" t="str">
        <f>IFERROR(VLOOKUP(C3204,APOYO!J:K,2,FALSE),C3204)</f>
        <v>JUNÍN</v>
      </c>
      <c r="E3204">
        <v>2017</v>
      </c>
    </row>
    <row r="3205" spans="1:5" hidden="1" x14ac:dyDescent="0.25">
      <c r="A3205" t="str">
        <f>_xlfn.XLOOKUP(C3205, 'Códigos DANE Municipios'!$B$2:$B$1123, 'Códigos DANE Municipios'!$A$2:$A$1123, "No encontrado")</f>
        <v>27372</v>
      </c>
      <c r="B3205" t="str">
        <f>IFERROR(VLOOKUP(D3205,APOYO!K:L,2,FALSE),A3205)</f>
        <v>27372</v>
      </c>
      <c r="C3205" t="s">
        <v>1172</v>
      </c>
      <c r="D3205" t="str">
        <f>IFERROR(VLOOKUP(C3205,APOYO!J:K,2,FALSE),C3205)</f>
        <v>JURADÓ</v>
      </c>
      <c r="E3205">
        <v>2017</v>
      </c>
    </row>
    <row r="3206" spans="1:5" hidden="1" x14ac:dyDescent="0.25">
      <c r="A3206" t="str">
        <f>_xlfn.XLOOKUP(C3206, 'Códigos DANE Municipios'!$B$2:$B$1123, 'Códigos DANE Municipios'!$A$2:$A$1123, "No encontrado")</f>
        <v>41378</v>
      </c>
      <c r="B3206" t="str">
        <f>IFERROR(VLOOKUP(D3206,APOYO!K:L,2,FALSE),A3206)</f>
        <v>41378</v>
      </c>
      <c r="C3206" t="s">
        <v>1232</v>
      </c>
      <c r="D3206" t="str">
        <f>IFERROR(VLOOKUP(C3206,APOYO!J:K,2,FALSE),C3206)</f>
        <v>LA ARGENTINA</v>
      </c>
      <c r="E3206">
        <v>2017</v>
      </c>
    </row>
    <row r="3207" spans="1:5" hidden="1" x14ac:dyDescent="0.25">
      <c r="A3207" t="str">
        <f>_xlfn.XLOOKUP(C3207, 'Códigos DANE Municipios'!$B$2:$B$1123, 'Códigos DANE Municipios'!$A$2:$A$1123, "No encontrado")</f>
        <v>25377</v>
      </c>
      <c r="B3207" t="str">
        <f>IFERROR(VLOOKUP(D3207,APOYO!K:L,2,FALSE),A3207)</f>
        <v>25377</v>
      </c>
      <c r="C3207" t="s">
        <v>1008</v>
      </c>
      <c r="D3207" t="str">
        <f>IFERROR(VLOOKUP(C3207,APOYO!J:K,2,FALSE),C3207)</f>
        <v>LA CALERA</v>
      </c>
      <c r="E3207">
        <v>2017</v>
      </c>
    </row>
    <row r="3208" spans="1:5" hidden="1" x14ac:dyDescent="0.25">
      <c r="A3208" t="str">
        <f>_xlfn.XLOOKUP(C3208, 'Códigos DANE Municipios'!$B$2:$B$1123, 'Códigos DANE Municipios'!$A$2:$A$1123, "No encontrado")</f>
        <v>05376</v>
      </c>
      <c r="B3208" t="str">
        <f>IFERROR(VLOOKUP(D3208,APOYO!K:L,2,FALSE),A3208)</f>
        <v>05376</v>
      </c>
      <c r="C3208" t="s">
        <v>136</v>
      </c>
      <c r="D3208" t="str">
        <f>IFERROR(VLOOKUP(C3208,APOYO!J:K,2,FALSE),C3208)</f>
        <v>LA CEJA</v>
      </c>
      <c r="E3208">
        <v>2017</v>
      </c>
    </row>
    <row r="3209" spans="1:5" hidden="1" x14ac:dyDescent="0.25">
      <c r="A3209" t="str">
        <f>_xlfn.XLOOKUP(C3209, 'Códigos DANE Municipios'!$B$2:$B$1123, 'Códigos DANE Municipios'!$A$2:$A$1123, "No encontrado")</f>
        <v>66383</v>
      </c>
      <c r="B3209" t="str">
        <f>IFERROR(VLOOKUP(D3209,APOYO!K:L,2,FALSE),A3209)</f>
        <v>66383</v>
      </c>
      <c r="C3209" t="s">
        <v>1639</v>
      </c>
      <c r="D3209" t="str">
        <f>IFERROR(VLOOKUP(C3209,APOYO!J:K,2,FALSE),C3209)</f>
        <v>LA CELIA</v>
      </c>
      <c r="E3209">
        <v>2017</v>
      </c>
    </row>
    <row r="3210" spans="1:5" hidden="1" x14ac:dyDescent="0.25">
      <c r="A3210" t="str">
        <f>_xlfn.XLOOKUP(C3210, 'Códigos DANE Municipios'!$B$2:$B$1123, 'Códigos DANE Municipios'!$A$2:$A$1123, "No encontrado")</f>
        <v>91405</v>
      </c>
      <c r="B3210" t="str">
        <f>IFERROR(VLOOKUP(D3210,APOYO!K:L,2,FALSE),A3210)</f>
        <v>91405</v>
      </c>
      <c r="C3210" t="s">
        <v>2112</v>
      </c>
      <c r="D3210" t="str">
        <f>IFERROR(VLOOKUP(C3210,APOYO!J:K,2,FALSE),C3210)</f>
        <v>LA CHORRERA</v>
      </c>
      <c r="E3210">
        <v>2017</v>
      </c>
    </row>
    <row r="3211" spans="1:5" hidden="1" x14ac:dyDescent="0.25">
      <c r="A3211" t="str">
        <f>_xlfn.XLOOKUP(C3211, 'Códigos DANE Municipios'!$B$2:$B$1123, 'Códigos DANE Municipios'!$A$2:$A$1123, "No encontrado")</f>
        <v>52378</v>
      </c>
      <c r="B3211" t="str">
        <f>IFERROR(VLOOKUP(D3211,APOYO!K:L,2,FALSE),A3211)</f>
        <v>52378</v>
      </c>
      <c r="C3211" t="s">
        <v>1464</v>
      </c>
      <c r="D3211" t="str">
        <f>IFERROR(VLOOKUP(C3211,APOYO!J:K,2,FALSE),C3211)</f>
        <v>LA CRUZ</v>
      </c>
      <c r="E3211">
        <v>2017</v>
      </c>
    </row>
    <row r="3212" spans="1:5" hidden="1" x14ac:dyDescent="0.25">
      <c r="A3212" t="str">
        <f>_xlfn.XLOOKUP(C3212, 'Códigos DANE Municipios'!$B$2:$B$1123, 'Códigos DANE Municipios'!$A$2:$A$1123, "No encontrado")</f>
        <v>76377</v>
      </c>
      <c r="B3212" t="str">
        <f>IFERROR(VLOOKUP(D3212,APOYO!K:L,2,FALSE),A3212)</f>
        <v>76377</v>
      </c>
      <c r="C3212" t="s">
        <v>1998</v>
      </c>
      <c r="D3212" t="str">
        <f>IFERROR(VLOOKUP(C3212,APOYO!J:K,2,FALSE),C3212)</f>
        <v>LA CUMBRE</v>
      </c>
      <c r="E3212">
        <v>2017</v>
      </c>
    </row>
    <row r="3213" spans="1:5" hidden="1" x14ac:dyDescent="0.25">
      <c r="A3213" t="str">
        <f>_xlfn.XLOOKUP(C3213, 'Códigos DANE Municipios'!$B$2:$B$1123, 'Códigos DANE Municipios'!$A$2:$A$1123, "No encontrado")</f>
        <v>17380</v>
      </c>
      <c r="B3213" t="str">
        <f>IFERROR(VLOOKUP(D3213,APOYO!K:L,2,FALSE),A3213)</f>
        <v>17380</v>
      </c>
      <c r="C3213" t="s">
        <v>658</v>
      </c>
      <c r="D3213" t="str">
        <f>IFERROR(VLOOKUP(C3213,APOYO!J:K,2,FALSE),C3213)</f>
        <v>LA DORADA</v>
      </c>
      <c r="E3213">
        <v>2017</v>
      </c>
    </row>
    <row r="3214" spans="1:5" hidden="1" x14ac:dyDescent="0.25">
      <c r="A3214" t="str">
        <f>_xlfn.XLOOKUP(C3214, 'Códigos DANE Municipios'!$B$2:$B$1123, 'Códigos DANE Municipios'!$A$2:$A$1123, "No encontrado")</f>
        <v>05380</v>
      </c>
      <c r="B3214" t="str">
        <f>IFERROR(VLOOKUP(D3214,APOYO!K:L,2,FALSE),A3214)</f>
        <v>05380</v>
      </c>
      <c r="C3214" t="s">
        <v>138</v>
      </c>
      <c r="D3214" t="str">
        <f>IFERROR(VLOOKUP(C3214,APOYO!J:K,2,FALSE),C3214)</f>
        <v>LA ESTRELLA</v>
      </c>
      <c r="E3214">
        <v>2017</v>
      </c>
    </row>
    <row r="3215" spans="1:5" hidden="1" x14ac:dyDescent="0.25">
      <c r="A3215" t="str">
        <f>_xlfn.XLOOKUP(C3215, 'Códigos DANE Municipios'!$B$2:$B$1123, 'Códigos DANE Municipios'!$A$2:$A$1123, "No encontrado")</f>
        <v>52381</v>
      </c>
      <c r="B3215" t="str">
        <f>IFERROR(VLOOKUP(D3215,APOYO!K:L,2,FALSE),A3215)</f>
        <v>52381</v>
      </c>
      <c r="C3215" t="s">
        <v>1466</v>
      </c>
      <c r="D3215" t="str">
        <f>IFERROR(VLOOKUP(C3215,APOYO!J:K,2,FALSE),C3215)</f>
        <v>LA FLORIDA</v>
      </c>
      <c r="E3215">
        <v>2017</v>
      </c>
    </row>
    <row r="3216" spans="1:5" hidden="1" x14ac:dyDescent="0.25">
      <c r="A3216" t="str">
        <f>_xlfn.XLOOKUP(C3216, 'Códigos DANE Municipios'!$B$2:$B$1123, 'Códigos DANE Municipios'!$A$2:$A$1123, "No encontrado")</f>
        <v>20383</v>
      </c>
      <c r="B3216" t="str">
        <f>IFERROR(VLOOKUP(D3216,APOYO!K:L,2,FALSE),A3216)</f>
        <v>20383</v>
      </c>
      <c r="C3216" t="s">
        <v>834</v>
      </c>
      <c r="D3216" t="str">
        <f>IFERROR(VLOOKUP(C3216,APOYO!J:K,2,FALSE),C3216)</f>
        <v>LA GLORIA</v>
      </c>
      <c r="E3216">
        <v>2017</v>
      </c>
    </row>
    <row r="3217" spans="1:5" hidden="1" x14ac:dyDescent="0.25">
      <c r="A3217" t="str">
        <f>_xlfn.XLOOKUP(C3217, 'Códigos DANE Municipios'!$B$2:$B$1123, 'Códigos DANE Municipios'!$A$2:$A$1123, "No encontrado")</f>
        <v>20400</v>
      </c>
      <c r="B3217" t="str">
        <f>IFERROR(VLOOKUP(D3217,APOYO!K:L,2,FALSE),A3217)</f>
        <v>20400</v>
      </c>
      <c r="C3217" t="s">
        <v>836</v>
      </c>
      <c r="D3217" t="str">
        <f>IFERROR(VLOOKUP(C3217,APOYO!J:K,2,FALSE),C3217)</f>
        <v>LA JAGUA DE IBIRICO</v>
      </c>
      <c r="E3217">
        <v>2017</v>
      </c>
    </row>
    <row r="3218" spans="1:5" hidden="1" x14ac:dyDescent="0.25">
      <c r="A3218" t="str">
        <f>_xlfn.XLOOKUP(C3218, 'Códigos DANE Municipios'!$B$2:$B$1123, 'Códigos DANE Municipios'!$A$2:$A$1123, "No encontrado")</f>
        <v>50350</v>
      </c>
      <c r="B3218" t="str">
        <f>IFERROR(VLOOKUP(D3218,APOYO!K:L,2,FALSE),A3218)</f>
        <v>50350</v>
      </c>
      <c r="C3218" t="s">
        <v>1386</v>
      </c>
      <c r="D3218" t="str">
        <f>IFERROR(VLOOKUP(C3218,APOYO!J:K,2,FALSE),C3218)</f>
        <v>LA MACARENA</v>
      </c>
      <c r="E3218">
        <v>2017</v>
      </c>
    </row>
    <row r="3219" spans="1:5" hidden="1" x14ac:dyDescent="0.25">
      <c r="A3219" t="str">
        <f>_xlfn.XLOOKUP(C3219, 'Códigos DANE Municipios'!$B$2:$B$1123, 'Códigos DANE Municipios'!$A$2:$A$1123, "No encontrado")</f>
        <v>17388</v>
      </c>
      <c r="B3219" t="str">
        <f>IFERROR(VLOOKUP(D3219,APOYO!K:L,2,FALSE),A3219)</f>
        <v>17388</v>
      </c>
      <c r="C3219" t="s">
        <v>660</v>
      </c>
      <c r="D3219" t="str">
        <f>IFERROR(VLOOKUP(C3219,APOYO!J:K,2,FALSE),C3219)</f>
        <v>LA MERCED</v>
      </c>
      <c r="E3219">
        <v>2017</v>
      </c>
    </row>
    <row r="3220" spans="1:5" hidden="1" x14ac:dyDescent="0.25">
      <c r="A3220" t="str">
        <f>_xlfn.XLOOKUP(C3220, 'Códigos DANE Municipios'!$B$2:$B$1123, 'Códigos DANE Municipios'!$A$2:$A$1123, "No encontrado")</f>
        <v>25386</v>
      </c>
      <c r="B3220" t="str">
        <f>IFERROR(VLOOKUP(D3220,APOYO!K:L,2,FALSE),A3220)</f>
        <v>25386</v>
      </c>
      <c r="C3220" t="s">
        <v>1010</v>
      </c>
      <c r="D3220" t="str">
        <f>IFERROR(VLOOKUP(C3220,APOYO!J:K,2,FALSE),C3220)</f>
        <v>LA MESA</v>
      </c>
      <c r="E3220">
        <v>2017</v>
      </c>
    </row>
    <row r="3221" spans="1:5" hidden="1" x14ac:dyDescent="0.25">
      <c r="A3221" t="str">
        <f>_xlfn.XLOOKUP(C3221, 'Códigos DANE Municipios'!$B$2:$B$1123, 'Códigos DANE Municipios'!$A$2:$A$1123, "No encontrado")</f>
        <v>20621</v>
      </c>
      <c r="B3221" t="str">
        <f>IFERROR(VLOOKUP(D3221,APOYO!K:L,2,FALSE),A3221)</f>
        <v>20621</v>
      </c>
      <c r="C3221" t="s">
        <v>848</v>
      </c>
      <c r="D3221" t="str">
        <f>IFERROR(VLOOKUP(C3221,APOYO!J:K,2,FALSE),C3221)</f>
        <v>LA PAZ</v>
      </c>
      <c r="E3221">
        <v>2017</v>
      </c>
    </row>
    <row r="3222" spans="1:5" hidden="1" x14ac:dyDescent="0.25">
      <c r="A3222" t="str">
        <f>_xlfn.XLOOKUP(C3222, 'Códigos DANE Municipios'!$B$2:$B$1123, 'Códigos DANE Municipios'!$A$2:$A$1123, "No encontrado")</f>
        <v>91407</v>
      </c>
      <c r="B3222" t="str">
        <f>IFERROR(VLOOKUP(D3222,APOYO!K:L,2,FALSE),A3222)</f>
        <v>91407</v>
      </c>
      <c r="C3222" t="s">
        <v>2114</v>
      </c>
      <c r="D3222" t="str">
        <f>IFERROR(VLOOKUP(C3222,APOYO!J:K,2,FALSE),C3222)</f>
        <v>LA PEDRERA</v>
      </c>
      <c r="E3222">
        <v>2017</v>
      </c>
    </row>
    <row r="3223" spans="1:5" hidden="1" x14ac:dyDescent="0.25">
      <c r="A3223" t="str">
        <f>_xlfn.XLOOKUP(C3223, 'Códigos DANE Municipios'!$B$2:$B$1123, 'Códigos DANE Municipios'!$A$2:$A$1123, "No encontrado")</f>
        <v>25398</v>
      </c>
      <c r="B3223" t="str">
        <f>IFERROR(VLOOKUP(D3223,APOYO!K:L,2,FALSE),A3223)</f>
        <v>25398</v>
      </c>
      <c r="C3223" t="s">
        <v>1014</v>
      </c>
      <c r="D3223" t="str">
        <f>IFERROR(VLOOKUP(C3223,APOYO!J:K,2,FALSE),C3223)</f>
        <v>LA PEÑA</v>
      </c>
      <c r="E3223">
        <v>2017</v>
      </c>
    </row>
    <row r="3224" spans="1:5" hidden="1" x14ac:dyDescent="0.25">
      <c r="A3224" t="str">
        <f>_xlfn.XLOOKUP(C3224, 'Códigos DANE Municipios'!$B$2:$B$1123, 'Códigos DANE Municipios'!$A$2:$A$1123, "No encontrado")</f>
        <v>05390</v>
      </c>
      <c r="B3224" t="str">
        <f>IFERROR(VLOOKUP(D3224,APOYO!K:L,2,FALSE),A3224)</f>
        <v>05390</v>
      </c>
      <c r="C3224" t="s">
        <v>140</v>
      </c>
      <c r="D3224" t="str">
        <f>IFERROR(VLOOKUP(C3224,APOYO!J:K,2,FALSE),C3224)</f>
        <v>LA PINTADA</v>
      </c>
      <c r="E3224">
        <v>2017</v>
      </c>
    </row>
    <row r="3225" spans="1:5" hidden="1" x14ac:dyDescent="0.25">
      <c r="A3225" t="str">
        <f>_xlfn.XLOOKUP(C3225, 'Códigos DANE Municipios'!$B$2:$B$1123, 'Códigos DANE Municipios'!$A$2:$A$1123, "No encontrado")</f>
        <v>41396</v>
      </c>
      <c r="B3225" t="str">
        <f>IFERROR(VLOOKUP(D3225,APOYO!K:L,2,FALSE),A3225)</f>
        <v>41396</v>
      </c>
      <c r="C3225" t="s">
        <v>1234</v>
      </c>
      <c r="D3225" t="str">
        <f>IFERROR(VLOOKUP(C3225,APOYO!J:K,2,FALSE),C3225)</f>
        <v>LA PLATA</v>
      </c>
      <c r="E3225">
        <v>2017</v>
      </c>
    </row>
    <row r="3226" spans="1:5" hidden="1" x14ac:dyDescent="0.25">
      <c r="A3226" t="str">
        <f>_xlfn.XLOOKUP(C3226, 'Códigos DANE Municipios'!$B$2:$B$1123, 'Códigos DANE Municipios'!$A$2:$A$1123, "No encontrado")</f>
        <v>54398</v>
      </c>
      <c r="B3226" t="str">
        <f>IFERROR(VLOOKUP(D3226,APOYO!K:L,2,FALSE),A3226)</f>
        <v>54398</v>
      </c>
      <c r="C3226" t="s">
        <v>1569</v>
      </c>
      <c r="D3226" t="str">
        <f>IFERROR(VLOOKUP(C3226,APOYO!J:K,2,FALSE),C3226)</f>
        <v>LA PLAYA</v>
      </c>
      <c r="E3226">
        <v>2017</v>
      </c>
    </row>
    <row r="3227" spans="1:5" hidden="1" x14ac:dyDescent="0.25">
      <c r="A3227" t="str">
        <f>_xlfn.XLOOKUP(C3227, 'Códigos DANE Municipios'!$B$2:$B$1123, 'Códigos DANE Municipios'!$A$2:$A$1123, "No encontrado")</f>
        <v>99524</v>
      </c>
      <c r="B3227" t="str">
        <f>IFERROR(VLOOKUP(D3227,APOYO!K:L,2,FALSE),A3227)</f>
        <v>99524</v>
      </c>
      <c r="C3227" t="s">
        <v>2165</v>
      </c>
      <c r="D3227" t="str">
        <f>IFERROR(VLOOKUP(C3227,APOYO!J:K,2,FALSE),C3227)</f>
        <v>LA PRIMAVERA</v>
      </c>
      <c r="E3227">
        <v>2017</v>
      </c>
    </row>
    <row r="3228" spans="1:5" hidden="1" x14ac:dyDescent="0.25">
      <c r="A3228" t="str">
        <f>_xlfn.XLOOKUP(C3228, 'Códigos DANE Municipios'!$B$2:$B$1123, 'Códigos DANE Municipios'!$A$2:$A$1123, "No encontrado")</f>
        <v>19392</v>
      </c>
      <c r="B3228" t="str">
        <f>IFERROR(VLOOKUP(D3228,APOYO!K:L,2,FALSE),A3228)</f>
        <v>19392</v>
      </c>
      <c r="C3228" t="s">
        <v>759</v>
      </c>
      <c r="D3228" t="str">
        <f>IFERROR(VLOOKUP(C3228,APOYO!J:K,2,FALSE),C3228)</f>
        <v>LA SIERRA</v>
      </c>
      <c r="E3228">
        <v>2017</v>
      </c>
    </row>
    <row r="3229" spans="1:5" hidden="1" x14ac:dyDescent="0.25">
      <c r="A3229" t="str">
        <f>_xlfn.XLOOKUP(C3229, 'Códigos DANE Municipios'!$B$2:$B$1123, 'Códigos DANE Municipios'!$A$2:$A$1123, "No encontrado")</f>
        <v>63401</v>
      </c>
      <c r="B3229" t="str">
        <f>IFERROR(VLOOKUP(D3229,APOYO!K:L,2,FALSE),A3229)</f>
        <v>63401</v>
      </c>
      <c r="C3229" t="s">
        <v>1618</v>
      </c>
      <c r="D3229" t="str">
        <f>IFERROR(VLOOKUP(C3229,APOYO!J:K,2,FALSE),C3229)</f>
        <v>LA TEBAIDA</v>
      </c>
      <c r="E3229">
        <v>2017</v>
      </c>
    </row>
    <row r="3230" spans="1:5" hidden="1" x14ac:dyDescent="0.25">
      <c r="A3230" t="str">
        <f>_xlfn.XLOOKUP(C3230, 'Códigos DANE Municipios'!$B$2:$B$1123, 'Códigos DANE Municipios'!$A$2:$A$1123, "No encontrado")</f>
        <v>05400</v>
      </c>
      <c r="B3230" t="str">
        <f>IFERROR(VLOOKUP(D3230,APOYO!K:L,2,FALSE),A3230)</f>
        <v>05400</v>
      </c>
      <c r="C3230" t="s">
        <v>142</v>
      </c>
      <c r="D3230" t="str">
        <f>IFERROR(VLOOKUP(C3230,APOYO!J:K,2,FALSE),C3230)</f>
        <v>LA UNIÓN</v>
      </c>
      <c r="E3230">
        <v>2017</v>
      </c>
    </row>
    <row r="3231" spans="1:5" hidden="1" x14ac:dyDescent="0.25">
      <c r="A3231" t="str">
        <f>_xlfn.XLOOKUP(C3231, 'Códigos DANE Municipios'!$B$2:$B$1123, 'Códigos DANE Municipios'!$A$2:$A$1123, "No encontrado")</f>
        <v>50370</v>
      </c>
      <c r="B3231" t="str">
        <f>IFERROR(VLOOKUP(D3231,APOYO!K:L,2,FALSE),A3231)</f>
        <v>50370</v>
      </c>
      <c r="C3231" t="s">
        <v>1388</v>
      </c>
      <c r="D3231" t="str">
        <f>IFERROR(VLOOKUP(C3231,APOYO!J:K,2,FALSE),C3231)</f>
        <v>URIBE</v>
      </c>
      <c r="E3231">
        <v>2017</v>
      </c>
    </row>
    <row r="3232" spans="1:5" hidden="1" x14ac:dyDescent="0.25">
      <c r="A3232" t="str">
        <f>_xlfn.XLOOKUP(C3232, 'Códigos DANE Municipios'!$B$2:$B$1123, 'Códigos DANE Municipios'!$A$2:$A$1123, "No encontrado")</f>
        <v>19397</v>
      </c>
      <c r="B3232" t="str">
        <f>IFERROR(VLOOKUP(D3232,APOYO!K:L,2,FALSE),A3232)</f>
        <v>19397</v>
      </c>
      <c r="C3232" t="s">
        <v>761</v>
      </c>
      <c r="D3232" t="str">
        <f>IFERROR(VLOOKUP(C3232,APOYO!J:K,2,FALSE),C3232)</f>
        <v>LA VEGA</v>
      </c>
      <c r="E3232">
        <v>2017</v>
      </c>
    </row>
    <row r="3233" spans="1:5" hidden="1" x14ac:dyDescent="0.25">
      <c r="A3233" t="str">
        <f>_xlfn.XLOOKUP(C3233, 'Códigos DANE Municipios'!$B$2:$B$1123, 'Códigos DANE Municipios'!$A$2:$A$1123, "No encontrado")</f>
        <v>15401</v>
      </c>
      <c r="B3233" t="str">
        <f>IFERROR(VLOOKUP(D3233,APOYO!K:L,2,FALSE),A3233)</f>
        <v>15401</v>
      </c>
      <c r="C3233" t="s">
        <v>494</v>
      </c>
      <c r="D3233" t="str">
        <f>IFERROR(VLOOKUP(C3233,APOYO!J:K,2,FALSE),C3233)</f>
        <v>LA VICTORIA</v>
      </c>
      <c r="E3233">
        <v>2017</v>
      </c>
    </row>
    <row r="3234" spans="1:5" hidden="1" x14ac:dyDescent="0.25">
      <c r="A3234" t="str">
        <f>_xlfn.XLOOKUP(C3234, 'Códigos DANE Municipios'!$B$2:$B$1123, 'Códigos DANE Municipios'!$A$2:$A$1123, "No encontrado")</f>
        <v>66400</v>
      </c>
      <c r="B3234" t="str">
        <f>IFERROR(VLOOKUP(D3234,APOYO!K:L,2,FALSE),A3234)</f>
        <v>66400</v>
      </c>
      <c r="C3234" t="s">
        <v>1641</v>
      </c>
      <c r="D3234" t="str">
        <f>IFERROR(VLOOKUP(C3234,APOYO!J:K,2,FALSE),C3234)</f>
        <v>LA VIRGINIA</v>
      </c>
      <c r="E3234">
        <v>2017</v>
      </c>
    </row>
    <row r="3235" spans="1:5" hidden="1" x14ac:dyDescent="0.25">
      <c r="A3235" t="str">
        <f>_xlfn.XLOOKUP(C3235, 'Códigos DANE Municipios'!$B$2:$B$1123, 'Códigos DANE Municipios'!$A$2:$A$1123, "No encontrado")</f>
        <v>68385</v>
      </c>
      <c r="B3235" t="str">
        <f>IFERROR(VLOOKUP(D3235,APOYO!K:L,2,FALSE),A3235)</f>
        <v>68385</v>
      </c>
      <c r="C3235" t="s">
        <v>1737</v>
      </c>
      <c r="D3235" t="str">
        <f>IFERROR(VLOOKUP(C3235,APOYO!J:K,2,FALSE),C3235)</f>
        <v>LANDÁZURI</v>
      </c>
      <c r="E3235">
        <v>2017</v>
      </c>
    </row>
    <row r="3236" spans="1:5" hidden="1" x14ac:dyDescent="0.25">
      <c r="A3236" t="str">
        <f>_xlfn.XLOOKUP(C3236, 'Códigos DANE Municipios'!$B$2:$B$1123, 'Códigos DANE Municipios'!$A$2:$A$1123, "No encontrado")</f>
        <v>68406</v>
      </c>
      <c r="B3236" t="str">
        <f>IFERROR(VLOOKUP(D3236,APOYO!K:L,2,FALSE),A3236)</f>
        <v>68406</v>
      </c>
      <c r="C3236" t="s">
        <v>1740</v>
      </c>
      <c r="D3236" t="str">
        <f>IFERROR(VLOOKUP(C3236,APOYO!J:K,2,FALSE),C3236)</f>
        <v>LEBRIJA</v>
      </c>
      <c r="E3236">
        <v>2017</v>
      </c>
    </row>
    <row r="3237" spans="1:5" hidden="1" x14ac:dyDescent="0.25">
      <c r="A3237" t="str">
        <f>_xlfn.XLOOKUP(C3237, 'Códigos DANE Municipios'!$B$2:$B$1123, 'Códigos DANE Municipios'!$A$2:$A$1123, "No encontrado")</f>
        <v>50400</v>
      </c>
      <c r="B3237" t="str">
        <f>IFERROR(VLOOKUP(D3237,APOYO!K:L,2,FALSE),A3237)</f>
        <v>50400</v>
      </c>
      <c r="C3237" t="s">
        <v>1390</v>
      </c>
      <c r="D3237" t="str">
        <f>IFERROR(VLOOKUP(C3237,APOYO!J:K,2,FALSE),C3237)</f>
        <v>LEJANÍAS</v>
      </c>
      <c r="E3237">
        <v>2017</v>
      </c>
    </row>
    <row r="3238" spans="1:5" hidden="1" x14ac:dyDescent="0.25">
      <c r="A3238" t="str">
        <f>_xlfn.XLOOKUP(C3238, 'Códigos DANE Municipios'!$B$2:$B$1123, 'Códigos DANE Municipios'!$A$2:$A$1123, "No encontrado")</f>
        <v>25407</v>
      </c>
      <c r="B3238" t="str">
        <f>IFERROR(VLOOKUP(D3238,APOYO!K:L,2,FALSE),A3238)</f>
        <v>25407</v>
      </c>
      <c r="C3238" t="s">
        <v>1017</v>
      </c>
      <c r="D3238" t="str">
        <f>IFERROR(VLOOKUP(C3238,APOYO!J:K,2,FALSE),C3238)</f>
        <v>LENGUAZAQUE</v>
      </c>
      <c r="E3238">
        <v>2017</v>
      </c>
    </row>
    <row r="3239" spans="1:5" hidden="1" x14ac:dyDescent="0.25">
      <c r="A3239" t="str">
        <f>_xlfn.XLOOKUP(C3239, 'Códigos DANE Municipios'!$B$2:$B$1123, 'Códigos DANE Municipios'!$A$2:$A$1123, "No encontrado")</f>
        <v>73408</v>
      </c>
      <c r="B3239" t="str">
        <f>IFERROR(VLOOKUP(D3239,APOYO!K:L,2,FALSE),A3239)</f>
        <v>73408</v>
      </c>
      <c r="C3239" t="s">
        <v>1911</v>
      </c>
      <c r="D3239" t="str">
        <f>IFERROR(VLOOKUP(C3239,APOYO!J:K,2,FALSE),C3239)</f>
        <v>LÉRIDA</v>
      </c>
      <c r="E3239">
        <v>2017</v>
      </c>
    </row>
    <row r="3240" spans="1:5" hidden="1" x14ac:dyDescent="0.25">
      <c r="A3240" t="str">
        <f>_xlfn.XLOOKUP(C3240, 'Códigos DANE Municipios'!$B$2:$B$1123, 'Códigos DANE Municipios'!$A$2:$A$1123, "No encontrado")</f>
        <v>91001</v>
      </c>
      <c r="B3240" t="str">
        <f>IFERROR(VLOOKUP(D3240,APOYO!K:L,2,FALSE),A3240)</f>
        <v>91001</v>
      </c>
      <c r="C3240" t="s">
        <v>2108</v>
      </c>
      <c r="D3240" t="str">
        <f>IFERROR(VLOOKUP(C3240,APOYO!J:K,2,FALSE),C3240)</f>
        <v>LETICIA</v>
      </c>
      <c r="E3240">
        <v>2017</v>
      </c>
    </row>
    <row r="3241" spans="1:5" hidden="1" x14ac:dyDescent="0.25">
      <c r="A3241" t="str">
        <f>_xlfn.XLOOKUP(C3241, 'Códigos DANE Municipios'!$B$2:$B$1123, 'Códigos DANE Municipios'!$A$2:$A$1123, "No encontrado")</f>
        <v>73411</v>
      </c>
      <c r="B3241" t="str">
        <f>IFERROR(VLOOKUP(D3241,APOYO!K:L,2,FALSE),A3241)</f>
        <v>73411</v>
      </c>
      <c r="C3241" t="s">
        <v>1913</v>
      </c>
      <c r="D3241" t="str">
        <f>IFERROR(VLOOKUP(C3241,APOYO!J:K,2,FALSE),C3241)</f>
        <v>LÍBANO</v>
      </c>
      <c r="E3241">
        <v>2017</v>
      </c>
    </row>
    <row r="3242" spans="1:5" hidden="1" x14ac:dyDescent="0.25">
      <c r="A3242" t="str">
        <f>_xlfn.XLOOKUP(C3242, 'Códigos DANE Municipios'!$B$2:$B$1123, 'Códigos DANE Municipios'!$A$2:$A$1123, "No encontrado")</f>
        <v>52411</v>
      </c>
      <c r="B3242" t="str">
        <f>IFERROR(VLOOKUP(D3242,APOYO!K:L,2,FALSE),A3242)</f>
        <v>52411</v>
      </c>
      <c r="C3242" t="s">
        <v>1475</v>
      </c>
      <c r="D3242" t="str">
        <f>IFERROR(VLOOKUP(C3242,APOYO!J:K,2,FALSE),C3242)</f>
        <v>LINARES</v>
      </c>
      <c r="E3242">
        <v>2017</v>
      </c>
    </row>
    <row r="3243" spans="1:5" hidden="1" x14ac:dyDescent="0.25">
      <c r="A3243" t="str">
        <f>_xlfn.XLOOKUP(C3243, 'Códigos DANE Municipios'!$B$2:$B$1123, 'Códigos DANE Municipios'!$A$2:$A$1123, "No encontrado")</f>
        <v>27413</v>
      </c>
      <c r="B3243" t="str">
        <f>IFERROR(VLOOKUP(D3243,APOYO!K:L,2,FALSE),A3243)</f>
        <v>27413</v>
      </c>
      <c r="C3243" t="s">
        <v>1174</v>
      </c>
      <c r="D3243" t="str">
        <f>IFERROR(VLOOKUP(C3243,APOYO!J:K,2,FALSE),C3243)</f>
        <v>LLORÓ</v>
      </c>
      <c r="E3243">
        <v>2017</v>
      </c>
    </row>
    <row r="3244" spans="1:5" hidden="1" x14ac:dyDescent="0.25">
      <c r="A3244" t="str">
        <f>_xlfn.XLOOKUP(C3244, 'Códigos DANE Municipios'!$B$2:$B$1123, 'Códigos DANE Municipios'!$A$2:$A$1123, "No encontrado")</f>
        <v>05411</v>
      </c>
      <c r="B3244" t="str">
        <f>IFERROR(VLOOKUP(D3244,APOYO!K:L,2,FALSE),A3244)</f>
        <v>05411</v>
      </c>
      <c r="C3244" t="s">
        <v>144</v>
      </c>
      <c r="D3244" t="str">
        <f>IFERROR(VLOOKUP(C3244,APOYO!J:K,2,FALSE),C3244)</f>
        <v>LIBORINA</v>
      </c>
      <c r="E3244">
        <v>2017</v>
      </c>
    </row>
    <row r="3245" spans="1:5" hidden="1" x14ac:dyDescent="0.25">
      <c r="A3245" t="str">
        <f>_xlfn.XLOOKUP(C3245, 'Códigos DANE Municipios'!$B$2:$B$1123, 'Códigos DANE Municipios'!$A$2:$A$1123, "No encontrado")</f>
        <v>23417</v>
      </c>
      <c r="B3245" t="str">
        <f>IFERROR(VLOOKUP(D3245,APOYO!K:L,2,FALSE),A3245)</f>
        <v>23417</v>
      </c>
      <c r="C3245" t="s">
        <v>877</v>
      </c>
      <c r="D3245" t="str">
        <f>IFERROR(VLOOKUP(C3245,APOYO!J:K,2,FALSE),C3245)</f>
        <v>LORICA</v>
      </c>
      <c r="E3245">
        <v>2017</v>
      </c>
    </row>
    <row r="3246" spans="1:5" hidden="1" x14ac:dyDescent="0.25">
      <c r="A3246" t="str">
        <f>_xlfn.XLOOKUP(C3246, 'Códigos DANE Municipios'!$B$2:$B$1123, 'Códigos DANE Municipios'!$A$2:$A$1123, "No encontrado")</f>
        <v>52418</v>
      </c>
      <c r="B3246" t="str">
        <f>IFERROR(VLOOKUP(D3246,APOYO!K:L,2,FALSE),A3246)</f>
        <v>52418</v>
      </c>
      <c r="C3246" t="s">
        <v>1477</v>
      </c>
      <c r="D3246" t="str">
        <f>IFERROR(VLOOKUP(C3246,APOYO!J:K,2,FALSE),C3246)</f>
        <v>LOS ANDES</v>
      </c>
      <c r="E3246">
        <v>2017</v>
      </c>
    </row>
    <row r="3247" spans="1:5" hidden="1" x14ac:dyDescent="0.25">
      <c r="A3247" t="str">
        <f>_xlfn.XLOOKUP(C3247, 'Códigos DANE Municipios'!$B$2:$B$1123, 'Códigos DANE Municipios'!$A$2:$A$1123, "No encontrado")</f>
        <v>70418</v>
      </c>
      <c r="B3247" t="str">
        <f>IFERROR(VLOOKUP(D3247,APOYO!K:L,2,FALSE),A3247)</f>
        <v>70418</v>
      </c>
      <c r="C3247" t="s">
        <v>1836</v>
      </c>
      <c r="D3247" t="str">
        <f>IFERROR(VLOOKUP(C3247,APOYO!J:K,2,FALSE),C3247)</f>
        <v>LOS PALMITOS</v>
      </c>
      <c r="E3247">
        <v>2017</v>
      </c>
    </row>
    <row r="3248" spans="1:5" hidden="1" x14ac:dyDescent="0.25">
      <c r="A3248" t="str">
        <f>_xlfn.XLOOKUP(C3248, 'Códigos DANE Municipios'!$B$2:$B$1123, 'Códigos DANE Municipios'!$A$2:$A$1123, "No encontrado")</f>
        <v>54405</v>
      </c>
      <c r="B3248" t="str">
        <f>IFERROR(VLOOKUP(D3248,APOYO!K:L,2,FALSE),A3248)</f>
        <v>54405</v>
      </c>
      <c r="C3248" t="s">
        <v>1571</v>
      </c>
      <c r="D3248" t="str">
        <f>IFERROR(VLOOKUP(C3248,APOYO!J:K,2,FALSE),C3248)</f>
        <v>LOS PATIOS</v>
      </c>
      <c r="E3248">
        <v>2017</v>
      </c>
    </row>
    <row r="3249" spans="1:5" hidden="1" x14ac:dyDescent="0.25">
      <c r="A3249" t="str">
        <f>_xlfn.XLOOKUP(C3249, 'Códigos DANE Municipios'!$B$2:$B$1123, 'Códigos DANE Municipios'!$A$2:$A$1123, "No encontrado")</f>
        <v>68418</v>
      </c>
      <c r="B3249" t="str">
        <f>IFERROR(VLOOKUP(D3249,APOYO!K:L,2,FALSE),A3249)</f>
        <v>68418</v>
      </c>
      <c r="C3249" t="s">
        <v>1742</v>
      </c>
      <c r="D3249" t="str">
        <f>IFERROR(VLOOKUP(C3249,APOYO!J:K,2,FALSE),C3249)</f>
        <v>LOS SANTOS</v>
      </c>
      <c r="E3249">
        <v>2017</v>
      </c>
    </row>
    <row r="3250" spans="1:5" hidden="1" x14ac:dyDescent="0.25">
      <c r="A3250" t="str">
        <f>_xlfn.XLOOKUP(C3250, 'Códigos DANE Municipios'!$B$2:$B$1123, 'Códigos DANE Municipios'!$A$2:$A$1123, "No encontrado")</f>
        <v>08421</v>
      </c>
      <c r="B3250" t="str">
        <f>IFERROR(VLOOKUP(D3250,APOYO!K:L,2,FALSE),A3250)</f>
        <v>08421</v>
      </c>
      <c r="C3250" t="s">
        <v>274</v>
      </c>
      <c r="D3250" t="str">
        <f>IFERROR(VLOOKUP(C3250,APOYO!J:K,2,FALSE),C3250)</f>
        <v>LURUACO</v>
      </c>
      <c r="E3250">
        <v>2017</v>
      </c>
    </row>
    <row r="3251" spans="1:5" hidden="1" x14ac:dyDescent="0.25">
      <c r="A3251" t="str">
        <f>_xlfn.XLOOKUP(C3251, 'Códigos DANE Municipios'!$B$2:$B$1123, 'Códigos DANE Municipios'!$A$2:$A$1123, "No encontrado")</f>
        <v>05425</v>
      </c>
      <c r="B3251" t="str">
        <f>IFERROR(VLOOKUP(D3251,APOYO!K:L,2,FALSE),A3251)</f>
        <v>05425</v>
      </c>
      <c r="C3251" t="s">
        <v>146</v>
      </c>
      <c r="D3251" t="str">
        <f>IFERROR(VLOOKUP(C3251,APOYO!J:K,2,FALSE),C3251)</f>
        <v>MACEO</v>
      </c>
      <c r="E3251">
        <v>2017</v>
      </c>
    </row>
    <row r="3252" spans="1:5" hidden="1" x14ac:dyDescent="0.25">
      <c r="A3252" t="str">
        <f>_xlfn.XLOOKUP(C3252, 'Códigos DANE Municipios'!$B$2:$B$1123, 'Códigos DANE Municipios'!$A$2:$A$1123, "No encontrado")</f>
        <v>25426</v>
      </c>
      <c r="B3252" t="str">
        <f>IFERROR(VLOOKUP(D3252,APOYO!K:L,2,FALSE),A3252)</f>
        <v>25426</v>
      </c>
      <c r="C3252" t="s">
        <v>1019</v>
      </c>
      <c r="D3252" t="str">
        <f>IFERROR(VLOOKUP(C3252,APOYO!J:K,2,FALSE),C3252)</f>
        <v>MACHETÁ</v>
      </c>
      <c r="E3252">
        <v>2017</v>
      </c>
    </row>
    <row r="3253" spans="1:5" hidden="1" x14ac:dyDescent="0.25">
      <c r="A3253" t="str">
        <f>_xlfn.XLOOKUP(C3253, 'Códigos DANE Municipios'!$B$2:$B$1123, 'Códigos DANE Municipios'!$A$2:$A$1123, "No encontrado")</f>
        <v>25430</v>
      </c>
      <c r="B3253" t="str">
        <f>IFERROR(VLOOKUP(D3253,APOYO!K:L,2,FALSE),A3253)</f>
        <v>25430</v>
      </c>
      <c r="C3253" t="s">
        <v>1021</v>
      </c>
      <c r="D3253" t="str">
        <f>IFERROR(VLOOKUP(C3253,APOYO!J:K,2,FALSE),C3253)</f>
        <v>MADRID</v>
      </c>
      <c r="E3253">
        <v>2017</v>
      </c>
    </row>
    <row r="3254" spans="1:5" hidden="1" x14ac:dyDescent="0.25">
      <c r="A3254" t="str">
        <f>_xlfn.XLOOKUP(C3254, 'Códigos DANE Municipios'!$B$2:$B$1123, 'Códigos DANE Municipios'!$A$2:$A$1123, "No encontrado")</f>
        <v>13430</v>
      </c>
      <c r="B3254" t="str">
        <f>IFERROR(VLOOKUP(D3254,APOYO!K:L,2,FALSE),A3254)</f>
        <v>13430</v>
      </c>
      <c r="C3254" t="s">
        <v>341</v>
      </c>
      <c r="D3254" t="str">
        <f>IFERROR(VLOOKUP(C3254,APOYO!J:K,2,FALSE),C3254)</f>
        <v>MAGANGUÉ</v>
      </c>
      <c r="E3254">
        <v>2017</v>
      </c>
    </row>
    <row r="3255" spans="1:5" hidden="1" x14ac:dyDescent="0.25">
      <c r="A3255" t="str">
        <f>_xlfn.XLOOKUP(C3255, 'Códigos DANE Municipios'!$B$2:$B$1123, 'Códigos DANE Municipios'!$A$2:$A$1123, "No encontrado")</f>
        <v>13433</v>
      </c>
      <c r="B3255" t="str">
        <f>IFERROR(VLOOKUP(D3255,APOYO!K:L,2,FALSE),A3255)</f>
        <v>13433</v>
      </c>
      <c r="C3255" t="s">
        <v>343</v>
      </c>
      <c r="D3255" t="str">
        <f>IFERROR(VLOOKUP(C3255,APOYO!J:K,2,FALSE),C3255)</f>
        <v>MAHATES</v>
      </c>
      <c r="E3255">
        <v>2017</v>
      </c>
    </row>
    <row r="3256" spans="1:5" hidden="1" x14ac:dyDescent="0.25">
      <c r="A3256" t="str">
        <f>_xlfn.XLOOKUP(C3256, 'Códigos DANE Municipios'!$B$2:$B$1123, 'Códigos DANE Municipios'!$A$2:$A$1123, "No encontrado")</f>
        <v>44430</v>
      </c>
      <c r="B3256" t="str">
        <f>IFERROR(VLOOKUP(D3256,APOYO!K:L,2,FALSE),A3256)</f>
        <v>44430</v>
      </c>
      <c r="C3256" t="s">
        <v>1289</v>
      </c>
      <c r="D3256" t="str">
        <f>IFERROR(VLOOKUP(C3256,APOYO!J:K,2,FALSE),C3256)</f>
        <v>MAICAO</v>
      </c>
      <c r="E3256">
        <v>2017</v>
      </c>
    </row>
    <row r="3257" spans="1:5" hidden="1" x14ac:dyDescent="0.25">
      <c r="A3257" t="str">
        <f>_xlfn.XLOOKUP(C3257, 'Códigos DANE Municipios'!$B$2:$B$1123, 'Códigos DANE Municipios'!$A$2:$A$1123, "No encontrado")</f>
        <v>68432</v>
      </c>
      <c r="B3257" t="str">
        <f>IFERROR(VLOOKUP(D3257,APOYO!K:L,2,FALSE),A3257)</f>
        <v>68432</v>
      </c>
      <c r="C3257" t="s">
        <v>1746</v>
      </c>
      <c r="D3257" t="str">
        <f>IFERROR(VLOOKUP(C3257,APOYO!J:K,2,FALSE),C3257)</f>
        <v>MÁLAGA</v>
      </c>
      <c r="E3257">
        <v>2017</v>
      </c>
    </row>
    <row r="3258" spans="1:5" hidden="1" x14ac:dyDescent="0.25">
      <c r="A3258" t="str">
        <f>_xlfn.XLOOKUP(C3258, 'Códigos DANE Municipios'!$B$2:$B$1123, 'Códigos DANE Municipios'!$A$2:$A$1123, "No encontrado")</f>
        <v>08433</v>
      </c>
      <c r="B3258" t="str">
        <f>IFERROR(VLOOKUP(D3258,APOYO!K:L,2,FALSE),A3258)</f>
        <v>08433</v>
      </c>
      <c r="C3258" t="s">
        <v>276</v>
      </c>
      <c r="D3258" t="str">
        <f>IFERROR(VLOOKUP(C3258,APOYO!J:K,2,FALSE),C3258)</f>
        <v>MALAMBO</v>
      </c>
      <c r="E3258">
        <v>2017</v>
      </c>
    </row>
    <row r="3259" spans="1:5" hidden="1" x14ac:dyDescent="0.25">
      <c r="A3259" t="str">
        <f>_xlfn.XLOOKUP(C3259, 'Códigos DANE Municipios'!$B$2:$B$1123, 'Códigos DANE Municipios'!$A$2:$A$1123, "No encontrado")</f>
        <v>44560</v>
      </c>
      <c r="B3259" t="str">
        <f>IFERROR(VLOOKUP(D3259,APOYO!K:L,2,FALSE),A3259)</f>
        <v>44560</v>
      </c>
      <c r="C3259" t="s">
        <v>1291</v>
      </c>
      <c r="D3259" t="str">
        <f>IFERROR(VLOOKUP(C3259,APOYO!J:K,2,FALSE),C3259)</f>
        <v>MANAURE</v>
      </c>
      <c r="E3259">
        <v>2017</v>
      </c>
    </row>
    <row r="3260" spans="1:5" hidden="1" x14ac:dyDescent="0.25">
      <c r="A3260" t="str">
        <f>_xlfn.XLOOKUP(C3260, 'Códigos DANE Municipios'!$B$2:$B$1123, 'Códigos DANE Municipios'!$A$2:$A$1123, "No encontrado")</f>
        <v>20443</v>
      </c>
      <c r="B3260" t="str">
        <f>IFERROR(VLOOKUP(D3260,APOYO!K:L,2,FALSE),A3260)</f>
        <v>20443</v>
      </c>
      <c r="C3260" t="s">
        <v>838</v>
      </c>
      <c r="D3260" t="str">
        <f>IFERROR(VLOOKUP(C3260,APOYO!J:K,2,FALSE),C3260)</f>
        <v>MANAURE BALCÓN DEL CESAR</v>
      </c>
      <c r="E3260">
        <v>2017</v>
      </c>
    </row>
    <row r="3261" spans="1:5" hidden="1" x14ac:dyDescent="0.25">
      <c r="A3261" t="str">
        <f>_xlfn.XLOOKUP(C3261, 'Códigos DANE Municipios'!$B$2:$B$1123, 'Códigos DANE Municipios'!$A$2:$A$1123, "No encontrado")</f>
        <v>85139</v>
      </c>
      <c r="B3261" t="str">
        <f>IFERROR(VLOOKUP(D3261,APOYO!K:L,2,FALSE),A3261)</f>
        <v>85139</v>
      </c>
      <c r="C3261" t="s">
        <v>2058</v>
      </c>
      <c r="D3261" t="str">
        <f>IFERROR(VLOOKUP(C3261,APOYO!J:K,2,FALSE),C3261)</f>
        <v>MANÍ</v>
      </c>
      <c r="E3261">
        <v>2017</v>
      </c>
    </row>
    <row r="3262" spans="1:5" hidden="1" x14ac:dyDescent="0.25">
      <c r="A3262" t="str">
        <f>_xlfn.XLOOKUP(C3262, 'Códigos DANE Municipios'!$B$2:$B$1123, 'Códigos DANE Municipios'!$A$2:$A$1123, "No encontrado")</f>
        <v>17001</v>
      </c>
      <c r="B3262" t="str">
        <f>IFERROR(VLOOKUP(D3262,APOYO!K:L,2,FALSE),A3262)</f>
        <v>17001</v>
      </c>
      <c r="C3262" t="s">
        <v>644</v>
      </c>
      <c r="D3262" t="str">
        <f>IFERROR(VLOOKUP(C3262,APOYO!J:K,2,FALSE),C3262)</f>
        <v>MANIZALES</v>
      </c>
      <c r="E3262">
        <v>2017</v>
      </c>
    </row>
    <row r="3263" spans="1:5" hidden="1" x14ac:dyDescent="0.25">
      <c r="A3263" t="str">
        <f>_xlfn.XLOOKUP(C3263, 'Códigos DANE Municipios'!$B$2:$B$1123, 'Códigos DANE Municipios'!$A$2:$A$1123, "No encontrado")</f>
        <v>25436</v>
      </c>
      <c r="B3263" t="str">
        <f>IFERROR(VLOOKUP(D3263,APOYO!K:L,2,FALSE),A3263)</f>
        <v>25436</v>
      </c>
      <c r="C3263" t="s">
        <v>1023</v>
      </c>
      <c r="D3263" t="str">
        <f>IFERROR(VLOOKUP(C3263,APOYO!J:K,2,FALSE),C3263)</f>
        <v>MANTA</v>
      </c>
      <c r="E3263">
        <v>2017</v>
      </c>
    </row>
    <row r="3264" spans="1:5" hidden="1" x14ac:dyDescent="0.25">
      <c r="A3264" t="str">
        <f>_xlfn.XLOOKUP(C3264, 'Códigos DANE Municipios'!$B$2:$B$1123, 'Códigos DANE Municipios'!$A$2:$A$1123, "No encontrado")</f>
        <v>17433</v>
      </c>
      <c r="B3264" t="str">
        <f>IFERROR(VLOOKUP(D3264,APOYO!K:L,2,FALSE),A3264)</f>
        <v>17433</v>
      </c>
      <c r="C3264" t="s">
        <v>662</v>
      </c>
      <c r="D3264" t="str">
        <f>IFERROR(VLOOKUP(C3264,APOYO!J:K,2,FALSE),C3264)</f>
        <v>MANZANARES</v>
      </c>
      <c r="E3264">
        <v>2017</v>
      </c>
    </row>
    <row r="3265" spans="1:5" hidden="1" x14ac:dyDescent="0.25">
      <c r="A3265" t="str">
        <f>_xlfn.XLOOKUP(C3265, 'Códigos DANE Municipios'!$B$2:$B$1123, 'Códigos DANE Municipios'!$A$2:$A$1123, "No encontrado")</f>
        <v>50325</v>
      </c>
      <c r="B3265" t="str">
        <f>IFERROR(VLOOKUP(D3265,APOYO!K:L,2,FALSE),A3265)</f>
        <v>50325</v>
      </c>
      <c r="C3265" t="s">
        <v>1382</v>
      </c>
      <c r="D3265" t="str">
        <f>IFERROR(VLOOKUP(C3265,APOYO!J:K,2,FALSE),C3265)</f>
        <v>MAPIRIPÁN</v>
      </c>
      <c r="E3265">
        <v>2017</v>
      </c>
    </row>
    <row r="3266" spans="1:5" hidden="1" x14ac:dyDescent="0.25">
      <c r="A3266" t="str">
        <f>_xlfn.XLOOKUP(C3266, 'Códigos DANE Municipios'!$B$2:$B$1123, 'Códigos DANE Municipios'!$A$2:$A$1123, "No encontrado")</f>
        <v>05440</v>
      </c>
      <c r="B3266" t="str">
        <f>IFERROR(VLOOKUP(D3266,APOYO!K:L,2,FALSE),A3266)</f>
        <v>05440</v>
      </c>
      <c r="C3266" t="s">
        <v>148</v>
      </c>
      <c r="D3266" t="str">
        <f>IFERROR(VLOOKUP(C3266,APOYO!J:K,2,FALSE),C3266)</f>
        <v>MARINILLA</v>
      </c>
      <c r="E3266">
        <v>2017</v>
      </c>
    </row>
    <row r="3267" spans="1:5" hidden="1" x14ac:dyDescent="0.25">
      <c r="A3267" t="str">
        <f>_xlfn.XLOOKUP(C3267, 'Códigos DANE Municipios'!$B$2:$B$1123, 'Códigos DANE Municipios'!$A$2:$A$1123, "No encontrado")</f>
        <v>73443</v>
      </c>
      <c r="B3267" t="str">
        <f>IFERROR(VLOOKUP(D3267,APOYO!K:L,2,FALSE),A3267)</f>
        <v>73443</v>
      </c>
      <c r="C3267" t="s">
        <v>1915</v>
      </c>
      <c r="D3267" t="str">
        <f>IFERROR(VLOOKUP(C3267,APOYO!J:K,2,FALSE),C3267)</f>
        <v>SAN SEBASTIÁN DE MARIQUITA</v>
      </c>
      <c r="E3267">
        <v>2017</v>
      </c>
    </row>
    <row r="3268" spans="1:5" hidden="1" x14ac:dyDescent="0.25">
      <c r="A3268" t="str">
        <f>_xlfn.XLOOKUP(C3268, 'Códigos DANE Municipios'!$B$2:$B$1123, 'Códigos DANE Municipios'!$A$2:$A$1123, "No encontrado")</f>
        <v>17444</v>
      </c>
      <c r="B3268" t="str">
        <f>IFERROR(VLOOKUP(D3268,APOYO!K:L,2,FALSE),A3268)</f>
        <v>17444</v>
      </c>
      <c r="C3268" t="s">
        <v>666</v>
      </c>
      <c r="D3268" t="str">
        <f>IFERROR(VLOOKUP(C3268,APOYO!J:K,2,FALSE),C3268)</f>
        <v>MARQUETALIA</v>
      </c>
      <c r="E3268">
        <v>2017</v>
      </c>
    </row>
    <row r="3269" spans="1:5" hidden="1" x14ac:dyDescent="0.25">
      <c r="A3269" t="str">
        <f>_xlfn.XLOOKUP(C3269, 'Códigos DANE Municipios'!$B$2:$B$1123, 'Códigos DANE Municipios'!$A$2:$A$1123, "No encontrado")</f>
        <v>66440</v>
      </c>
      <c r="B3269" t="str">
        <f>IFERROR(VLOOKUP(D3269,APOYO!K:L,2,FALSE),A3269)</f>
        <v>66440</v>
      </c>
      <c r="C3269" t="s">
        <v>1643</v>
      </c>
      <c r="D3269" t="str">
        <f>IFERROR(VLOOKUP(C3269,APOYO!J:K,2,FALSE),C3269)</f>
        <v>MARSELLA</v>
      </c>
      <c r="E3269">
        <v>2017</v>
      </c>
    </row>
    <row r="3270" spans="1:5" hidden="1" x14ac:dyDescent="0.25">
      <c r="A3270" t="str">
        <f>_xlfn.XLOOKUP(C3270, 'Códigos DANE Municipios'!$B$2:$B$1123, 'Códigos DANE Municipios'!$A$2:$A$1123, "No encontrado")</f>
        <v>17446</v>
      </c>
      <c r="B3270" t="str">
        <f>IFERROR(VLOOKUP(D3270,APOYO!K:L,2,FALSE),A3270)</f>
        <v>17446</v>
      </c>
      <c r="C3270" t="s">
        <v>668</v>
      </c>
      <c r="D3270" t="str">
        <f>IFERROR(VLOOKUP(C3270,APOYO!J:K,2,FALSE),C3270)</f>
        <v>MARULANDA</v>
      </c>
      <c r="E3270">
        <v>2017</v>
      </c>
    </row>
    <row r="3271" spans="1:5" hidden="1" x14ac:dyDescent="0.25">
      <c r="A3271" t="str">
        <f>_xlfn.XLOOKUP(C3271, 'Códigos DANE Municipios'!$B$2:$B$1123, 'Códigos DANE Municipios'!$A$2:$A$1123, "No encontrado")</f>
        <v>68444</v>
      </c>
      <c r="B3271" t="str">
        <f>IFERROR(VLOOKUP(D3271,APOYO!K:L,2,FALSE),A3271)</f>
        <v>68444</v>
      </c>
      <c r="C3271" t="s">
        <v>1748</v>
      </c>
      <c r="D3271" t="str">
        <f>IFERROR(VLOOKUP(C3271,APOYO!J:K,2,FALSE),C3271)</f>
        <v>MATANZA</v>
      </c>
      <c r="E3271">
        <v>2017</v>
      </c>
    </row>
    <row r="3272" spans="1:5" hidden="1" x14ac:dyDescent="0.25">
      <c r="A3272" t="str">
        <f>_xlfn.XLOOKUP(C3272, 'Códigos DANE Municipios'!$B$2:$B$1123, 'Códigos DANE Municipios'!$A$2:$A$1123, "No encontrado")</f>
        <v>05001</v>
      </c>
      <c r="B3272" t="str">
        <f>IFERROR(VLOOKUP(D3272,APOYO!K:L,2,FALSE),A3272)</f>
        <v>05001</v>
      </c>
      <c r="C3272" t="s">
        <v>12</v>
      </c>
      <c r="D3272" t="str">
        <f>IFERROR(VLOOKUP(C3272,APOYO!J:K,2,FALSE),C3272)</f>
        <v>MEDELLÍN</v>
      </c>
      <c r="E3272">
        <v>2017</v>
      </c>
    </row>
    <row r="3273" spans="1:5" hidden="1" x14ac:dyDescent="0.25">
      <c r="A3273" t="str">
        <f>_xlfn.XLOOKUP(C3273, 'Códigos DANE Municipios'!$B$2:$B$1123, 'Códigos DANE Municipios'!$A$2:$A$1123, "No encontrado")</f>
        <v>25438</v>
      </c>
      <c r="B3273" t="str">
        <f>IFERROR(VLOOKUP(D3273,APOYO!K:L,2,FALSE),A3273)</f>
        <v>25438</v>
      </c>
      <c r="C3273" t="s">
        <v>1025</v>
      </c>
      <c r="D3273" t="str">
        <f>IFERROR(VLOOKUP(C3273,APOYO!J:K,2,FALSE),C3273)</f>
        <v>MEDINA</v>
      </c>
      <c r="E3273">
        <v>2017</v>
      </c>
    </row>
    <row r="3274" spans="1:5" hidden="1" x14ac:dyDescent="0.25">
      <c r="A3274" t="str">
        <f>_xlfn.XLOOKUP(C3274, 'Códigos DANE Municipios'!$B$2:$B$1123, 'Códigos DANE Municipios'!$A$2:$A$1123, "No encontrado")</f>
        <v>27430</v>
      </c>
      <c r="B3274" t="str">
        <f>IFERROR(VLOOKUP(D3274,APOYO!K:L,2,FALSE),A3274)</f>
        <v>27430</v>
      </c>
      <c r="C3274" t="s">
        <v>1178</v>
      </c>
      <c r="D3274" t="str">
        <f>IFERROR(VLOOKUP(C3274,APOYO!J:K,2,FALSE),C3274)</f>
        <v>MEDIO BAUDÓ</v>
      </c>
      <c r="E3274">
        <v>2017</v>
      </c>
    </row>
    <row r="3275" spans="1:5" hidden="1" x14ac:dyDescent="0.25">
      <c r="A3275" t="str">
        <f>_xlfn.XLOOKUP(C3275, 'Códigos DANE Municipios'!$B$2:$B$1123, 'Códigos DANE Municipios'!$A$2:$A$1123, "No encontrado")</f>
        <v>73449</v>
      </c>
      <c r="B3275" t="str">
        <f>IFERROR(VLOOKUP(D3275,APOYO!K:L,2,FALSE),A3275)</f>
        <v>73449</v>
      </c>
      <c r="C3275" t="s">
        <v>1917</v>
      </c>
      <c r="D3275" t="str">
        <f>IFERROR(VLOOKUP(C3275,APOYO!J:K,2,FALSE),C3275)</f>
        <v>MELGAR</v>
      </c>
      <c r="E3275">
        <v>2017</v>
      </c>
    </row>
    <row r="3276" spans="1:5" hidden="1" x14ac:dyDescent="0.25">
      <c r="A3276" t="str">
        <f>_xlfn.XLOOKUP(C3276, 'Códigos DANE Municipios'!$B$2:$B$1123, 'Códigos DANE Municipios'!$A$2:$A$1123, "No encontrado")</f>
        <v>50330</v>
      </c>
      <c r="B3276" t="str">
        <f>IFERROR(VLOOKUP(D3276,APOYO!K:L,2,FALSE),A3276)</f>
        <v>50330</v>
      </c>
      <c r="C3276" t="s">
        <v>1384</v>
      </c>
      <c r="D3276" t="str">
        <f>IFERROR(VLOOKUP(C3276,APOYO!J:K,2,FALSE),C3276)</f>
        <v>MESETAS</v>
      </c>
      <c r="E3276">
        <v>2017</v>
      </c>
    </row>
    <row r="3277" spans="1:5" hidden="1" x14ac:dyDescent="0.25">
      <c r="A3277" t="str">
        <f>_xlfn.XLOOKUP(C3277, 'Códigos DANE Municipios'!$B$2:$B$1123, 'Códigos DANE Municipios'!$A$2:$A$1123, "No encontrado")</f>
        <v>15455</v>
      </c>
      <c r="B3277" t="str">
        <f>IFERROR(VLOOKUP(D3277,APOYO!K:L,2,FALSE),A3277)</f>
        <v>15455</v>
      </c>
      <c r="C3277" t="s">
        <v>504</v>
      </c>
      <c r="D3277" t="str">
        <f>IFERROR(VLOOKUP(C3277,APOYO!J:K,2,FALSE),C3277)</f>
        <v>MIRAFLORES</v>
      </c>
      <c r="E3277">
        <v>2017</v>
      </c>
    </row>
    <row r="3278" spans="1:5" hidden="1" x14ac:dyDescent="0.25">
      <c r="A3278" t="str">
        <f>_xlfn.XLOOKUP(C3278, 'Códigos DANE Municipios'!$B$2:$B$1123, 'Códigos DANE Municipios'!$A$2:$A$1123, "No encontrado")</f>
        <v>19455</v>
      </c>
      <c r="B3278" t="str">
        <f>IFERROR(VLOOKUP(D3278,APOYO!K:L,2,FALSE),A3278)</f>
        <v>19455</v>
      </c>
      <c r="C3278" t="s">
        <v>767</v>
      </c>
      <c r="D3278" t="str">
        <f>IFERROR(VLOOKUP(C3278,APOYO!J:K,2,FALSE),C3278)</f>
        <v>MIRANDA</v>
      </c>
      <c r="E3278">
        <v>2017</v>
      </c>
    </row>
    <row r="3279" spans="1:5" hidden="1" x14ac:dyDescent="0.25">
      <c r="A3279" t="str">
        <f>_xlfn.XLOOKUP(C3279, 'Códigos DANE Municipios'!$B$2:$B$1123, 'Códigos DANE Municipios'!$A$2:$A$1123, "No encontrado")</f>
        <v>66456</v>
      </c>
      <c r="B3279" t="str">
        <f>IFERROR(VLOOKUP(D3279,APOYO!K:L,2,FALSE),A3279)</f>
        <v>66456</v>
      </c>
      <c r="C3279" t="s">
        <v>1645</v>
      </c>
      <c r="D3279" t="str">
        <f>IFERROR(VLOOKUP(C3279,APOYO!J:K,2,FALSE),C3279)</f>
        <v>MISTRATÓ</v>
      </c>
      <c r="E3279">
        <v>2017</v>
      </c>
    </row>
    <row r="3280" spans="1:5" hidden="1" x14ac:dyDescent="0.25">
      <c r="A3280" t="str">
        <f>_xlfn.XLOOKUP(C3280, 'Códigos DANE Municipios'!$B$2:$B$1123, 'Códigos DANE Municipios'!$A$2:$A$1123, "No encontrado")</f>
        <v>97001</v>
      </c>
      <c r="B3280" t="str">
        <f>IFERROR(VLOOKUP(D3280,APOYO!K:L,2,FALSE),A3280)</f>
        <v>97001</v>
      </c>
      <c r="C3280" t="s">
        <v>2151</v>
      </c>
      <c r="D3280" t="str">
        <f>IFERROR(VLOOKUP(C3280,APOYO!J:K,2,FALSE),C3280)</f>
        <v>MITÚ</v>
      </c>
      <c r="E3280">
        <v>2017</v>
      </c>
    </row>
    <row r="3281" spans="1:5" hidden="1" x14ac:dyDescent="0.25">
      <c r="A3281" t="str">
        <f>_xlfn.XLOOKUP(C3281, 'Códigos DANE Municipios'!$B$2:$B$1123, 'Códigos DANE Municipios'!$A$2:$A$1123, "No encontrado")</f>
        <v>86001</v>
      </c>
      <c r="B3281" t="str">
        <f>IFERROR(VLOOKUP(D3281,APOYO!K:L,2,FALSE),A3281)</f>
        <v>86001</v>
      </c>
      <c r="C3281" t="s">
        <v>2084</v>
      </c>
      <c r="D3281" t="str">
        <f>IFERROR(VLOOKUP(C3281,APOYO!J:K,2,FALSE),C3281)</f>
        <v>MOCOA</v>
      </c>
      <c r="E3281">
        <v>2017</v>
      </c>
    </row>
    <row r="3282" spans="1:5" hidden="1" x14ac:dyDescent="0.25">
      <c r="A3282" t="str">
        <f>_xlfn.XLOOKUP(C3282, 'Códigos DANE Municipios'!$B$2:$B$1123, 'Códigos DANE Municipios'!$A$2:$A$1123, "No encontrado")</f>
        <v>68464</v>
      </c>
      <c r="B3282" t="str">
        <f>IFERROR(VLOOKUP(D3282,APOYO!K:L,2,FALSE),A3282)</f>
        <v>68464</v>
      </c>
      <c r="C3282" t="s">
        <v>1750</v>
      </c>
      <c r="D3282" t="str">
        <f>IFERROR(VLOOKUP(C3282,APOYO!J:K,2,FALSE),C3282)</f>
        <v>MOGOTES</v>
      </c>
      <c r="E3282">
        <v>2017</v>
      </c>
    </row>
    <row r="3283" spans="1:5" hidden="1" x14ac:dyDescent="0.25">
      <c r="A3283" t="str">
        <f>_xlfn.XLOOKUP(C3283, 'Códigos DANE Municipios'!$B$2:$B$1123, 'Códigos DANE Municipios'!$A$2:$A$1123, "No encontrado")</f>
        <v>13468</v>
      </c>
      <c r="B3283" t="str">
        <f>IFERROR(VLOOKUP(D3283,APOYO!K:L,2,FALSE),A3283)</f>
        <v>13468</v>
      </c>
      <c r="C3283" t="s">
        <v>351</v>
      </c>
      <c r="D3283" t="str">
        <f>IFERROR(VLOOKUP(C3283,APOYO!J:K,2,FALSE),C3283)</f>
        <v>MOMPÓS</v>
      </c>
      <c r="E3283">
        <v>2017</v>
      </c>
    </row>
    <row r="3284" spans="1:5" hidden="1" x14ac:dyDescent="0.25">
      <c r="A3284" t="str">
        <f>_xlfn.XLOOKUP(C3284, 'Códigos DANE Municipios'!$B$2:$B$1123, 'Códigos DANE Municipios'!$A$2:$A$1123, "No encontrado")</f>
        <v>15469</v>
      </c>
      <c r="B3284" t="str">
        <f>IFERROR(VLOOKUP(D3284,APOYO!K:L,2,FALSE),A3284)</f>
        <v>15469</v>
      </c>
      <c r="C3284" t="s">
        <v>510</v>
      </c>
      <c r="D3284" t="str">
        <f>IFERROR(VLOOKUP(C3284,APOYO!J:K,2,FALSE),C3284)</f>
        <v>MONIQUIRÁ</v>
      </c>
      <c r="E3284">
        <v>2017</v>
      </c>
    </row>
    <row r="3285" spans="1:5" hidden="1" x14ac:dyDescent="0.25">
      <c r="A3285" t="str">
        <f>_xlfn.XLOOKUP(C3285, 'Códigos DANE Municipios'!$B$2:$B$1123, 'Códigos DANE Municipios'!$A$2:$A$1123, "No encontrado")</f>
        <v>23500</v>
      </c>
      <c r="B3285" t="str">
        <f>IFERROR(VLOOKUP(D3285,APOYO!K:L,2,FALSE),A3285)</f>
        <v>23500</v>
      </c>
      <c r="C3285" t="s">
        <v>885</v>
      </c>
      <c r="D3285" t="str">
        <f>IFERROR(VLOOKUP(C3285,APOYO!J:K,2,FALSE),C3285)</f>
        <v>MOÑITOS</v>
      </c>
      <c r="E3285">
        <v>2017</v>
      </c>
    </row>
    <row r="3286" spans="1:5" hidden="1" x14ac:dyDescent="0.25">
      <c r="A3286" t="str">
        <f>_xlfn.XLOOKUP(C3286, 'Códigos DANE Municipios'!$B$2:$B$1123, 'Códigos DANE Municipios'!$A$2:$A$1123, "No encontrado")</f>
        <v>05467</v>
      </c>
      <c r="B3286" t="str">
        <f>IFERROR(VLOOKUP(D3286,APOYO!K:L,2,FALSE),A3286)</f>
        <v>05467</v>
      </c>
      <c r="C3286" t="s">
        <v>150</v>
      </c>
      <c r="D3286" t="str">
        <f>IFERROR(VLOOKUP(C3286,APOYO!J:K,2,FALSE),C3286)</f>
        <v>MONTEBELLO</v>
      </c>
      <c r="E3286">
        <v>2017</v>
      </c>
    </row>
    <row r="3287" spans="1:5" hidden="1" x14ac:dyDescent="0.25">
      <c r="A3287" t="str">
        <f>_xlfn.XLOOKUP(C3287, 'Códigos DANE Municipios'!$B$2:$B$1123, 'Códigos DANE Municipios'!$A$2:$A$1123, "No encontrado")</f>
        <v>23466</v>
      </c>
      <c r="B3287" t="str">
        <f>IFERROR(VLOOKUP(D3287,APOYO!K:L,2,FALSE),A3287)</f>
        <v>23466</v>
      </c>
      <c r="C3287" t="s">
        <v>883</v>
      </c>
      <c r="D3287" t="str">
        <f>IFERROR(VLOOKUP(C3287,APOYO!J:K,2,FALSE),C3287)</f>
        <v>MONTELÍBANO</v>
      </c>
      <c r="E3287">
        <v>2017</v>
      </c>
    </row>
    <row r="3288" spans="1:5" hidden="1" x14ac:dyDescent="0.25">
      <c r="A3288" t="str">
        <f>_xlfn.XLOOKUP(C3288, 'Códigos DANE Municipios'!$B$2:$B$1123, 'Códigos DANE Municipios'!$A$2:$A$1123, "No encontrado")</f>
        <v>63470</v>
      </c>
      <c r="B3288" t="str">
        <f>IFERROR(VLOOKUP(D3288,APOYO!K:L,2,FALSE),A3288)</f>
        <v>63470</v>
      </c>
      <c r="C3288" t="s">
        <v>1620</v>
      </c>
      <c r="D3288" t="str">
        <f>IFERROR(VLOOKUP(C3288,APOYO!J:K,2,FALSE),C3288)</f>
        <v>MONTENEGRO</v>
      </c>
      <c r="E3288">
        <v>2017</v>
      </c>
    </row>
    <row r="3289" spans="1:5" hidden="1" x14ac:dyDescent="0.25">
      <c r="A3289" t="str">
        <f>_xlfn.XLOOKUP(C3289, 'Códigos DANE Municipios'!$B$2:$B$1123, 'Códigos DANE Municipios'!$A$2:$A$1123, "No encontrado")</f>
        <v>23001</v>
      </c>
      <c r="B3289" t="str">
        <f>IFERROR(VLOOKUP(D3289,APOYO!K:L,2,FALSE),A3289)</f>
        <v>23001</v>
      </c>
      <c r="C3289" t="s">
        <v>858</v>
      </c>
      <c r="D3289" t="str">
        <f>IFERROR(VLOOKUP(C3289,APOYO!J:K,2,FALSE),C3289)</f>
        <v>MONTERÍA</v>
      </c>
      <c r="E3289">
        <v>2017</v>
      </c>
    </row>
    <row r="3290" spans="1:5" hidden="1" x14ac:dyDescent="0.25">
      <c r="A3290" t="str">
        <f>_xlfn.XLOOKUP(C3290, 'Códigos DANE Municipios'!$B$2:$B$1123, 'Códigos DANE Municipios'!$A$2:$A$1123, "No encontrado")</f>
        <v>85162</v>
      </c>
      <c r="B3290" t="str">
        <f>IFERROR(VLOOKUP(D3290,APOYO!K:L,2,FALSE),A3290)</f>
        <v>85162</v>
      </c>
      <c r="C3290" t="s">
        <v>2060</v>
      </c>
      <c r="D3290" t="str">
        <f>IFERROR(VLOOKUP(C3290,APOYO!J:K,2,FALSE),C3290)</f>
        <v>MONTERREY</v>
      </c>
      <c r="E3290">
        <v>2017</v>
      </c>
    </row>
    <row r="3291" spans="1:5" hidden="1" x14ac:dyDescent="0.25">
      <c r="A3291" t="str">
        <f>_xlfn.XLOOKUP(C3291, 'Códigos DANE Municipios'!$B$2:$B$1123, 'Códigos DANE Municipios'!$A$2:$A$1123, "No encontrado")</f>
        <v>13473</v>
      </c>
      <c r="B3291" t="str">
        <f>IFERROR(VLOOKUP(D3291,APOYO!K:L,2,FALSE),A3291)</f>
        <v>13473</v>
      </c>
      <c r="C3291" t="s">
        <v>353</v>
      </c>
      <c r="D3291" t="str">
        <f>IFERROR(VLOOKUP(C3291,APOYO!J:K,2,FALSE),C3291)</f>
        <v>MORALES</v>
      </c>
      <c r="E3291">
        <v>2017</v>
      </c>
    </row>
    <row r="3292" spans="1:5" hidden="1" x14ac:dyDescent="0.25">
      <c r="A3292" t="str">
        <f>_xlfn.XLOOKUP(C3292, 'Códigos DANE Municipios'!$B$2:$B$1123, 'Códigos DANE Municipios'!$A$2:$A$1123, "No encontrado")</f>
        <v>70473</v>
      </c>
      <c r="B3292" t="str">
        <f>IFERROR(VLOOKUP(D3292,APOYO!K:L,2,FALSE),A3292)</f>
        <v>70473</v>
      </c>
      <c r="C3292" t="s">
        <v>1840</v>
      </c>
      <c r="D3292" t="str">
        <f>IFERROR(VLOOKUP(C3292,APOYO!J:K,2,FALSE),C3292)</f>
        <v>MORROA</v>
      </c>
      <c r="E3292">
        <v>2017</v>
      </c>
    </row>
    <row r="3293" spans="1:5" hidden="1" x14ac:dyDescent="0.25">
      <c r="A3293" t="str">
        <f>_xlfn.XLOOKUP(C3293, 'Códigos DANE Municipios'!$B$2:$B$1123, 'Códigos DANE Municipios'!$A$2:$A$1123, "No encontrado")</f>
        <v>18479</v>
      </c>
      <c r="B3293" t="str">
        <f>IFERROR(VLOOKUP(D3293,APOYO!K:L,2,FALSE),A3293)</f>
        <v>18479</v>
      </c>
      <c r="C3293" t="s">
        <v>716</v>
      </c>
      <c r="D3293" t="str">
        <f>IFERROR(VLOOKUP(C3293,APOYO!J:K,2,FALSE),C3293)</f>
        <v>MORELIA</v>
      </c>
      <c r="E3293">
        <v>2017</v>
      </c>
    </row>
    <row r="3294" spans="1:5" hidden="1" x14ac:dyDescent="0.25">
      <c r="A3294" t="str">
        <f>_xlfn.XLOOKUP(C3294, 'Códigos DANE Municipios'!$B$2:$B$1123, 'Códigos DANE Municipios'!$A$2:$A$1123, "No encontrado")</f>
        <v>25473</v>
      </c>
      <c r="B3294" t="str">
        <f>IFERROR(VLOOKUP(D3294,APOYO!K:L,2,FALSE),A3294)</f>
        <v>25473</v>
      </c>
      <c r="C3294" t="s">
        <v>1027</v>
      </c>
      <c r="D3294" t="str">
        <f>IFERROR(VLOOKUP(C3294,APOYO!J:K,2,FALSE),C3294)</f>
        <v>MOSQUERA</v>
      </c>
      <c r="E3294">
        <v>2017</v>
      </c>
    </row>
    <row r="3295" spans="1:5" hidden="1" x14ac:dyDescent="0.25">
      <c r="A3295" t="str">
        <f>_xlfn.XLOOKUP(C3295, 'Códigos DANE Municipios'!$B$2:$B$1123, 'Códigos DANE Municipios'!$A$2:$A$1123, "No encontrado")</f>
        <v>73461</v>
      </c>
      <c r="B3295" t="str">
        <f>IFERROR(VLOOKUP(D3295,APOYO!K:L,2,FALSE),A3295)</f>
        <v>73461</v>
      </c>
      <c r="C3295" t="s">
        <v>1919</v>
      </c>
      <c r="D3295" t="str">
        <f>IFERROR(VLOOKUP(C3295,APOYO!J:K,2,FALSE),C3295)</f>
        <v>MURILLO</v>
      </c>
      <c r="E3295">
        <v>2017</v>
      </c>
    </row>
    <row r="3296" spans="1:5" hidden="1" x14ac:dyDescent="0.25">
      <c r="A3296" t="str">
        <f>_xlfn.XLOOKUP(C3296, 'Códigos DANE Municipios'!$B$2:$B$1123, 'Códigos DANE Municipios'!$A$2:$A$1123, "No encontrado")</f>
        <v>05480</v>
      </c>
      <c r="B3296" t="str">
        <f>IFERROR(VLOOKUP(D3296,APOYO!K:L,2,FALSE),A3296)</f>
        <v>05480</v>
      </c>
      <c r="C3296" t="s">
        <v>154</v>
      </c>
      <c r="D3296" t="str">
        <f>IFERROR(VLOOKUP(C3296,APOYO!J:K,2,FALSE),C3296)</f>
        <v>MUTATÁ</v>
      </c>
      <c r="E3296">
        <v>2017</v>
      </c>
    </row>
    <row r="3297" spans="1:5" hidden="1" x14ac:dyDescent="0.25">
      <c r="A3297" t="str">
        <f>_xlfn.XLOOKUP(C3297, 'Códigos DANE Municipios'!$B$2:$B$1123, 'Códigos DANE Municipios'!$A$2:$A$1123, "No encontrado")</f>
        <v>15480</v>
      </c>
      <c r="B3297" t="str">
        <f>IFERROR(VLOOKUP(D3297,APOYO!K:L,2,FALSE),A3297)</f>
        <v>15480</v>
      </c>
      <c r="C3297" t="s">
        <v>514</v>
      </c>
      <c r="D3297" t="str">
        <f>IFERROR(VLOOKUP(C3297,APOYO!J:K,2,FALSE),C3297)</f>
        <v>MUZO</v>
      </c>
      <c r="E3297">
        <v>2017</v>
      </c>
    </row>
    <row r="3298" spans="1:5" hidden="1" x14ac:dyDescent="0.25">
      <c r="A3298" t="str">
        <f>_xlfn.XLOOKUP(C3298, 'Códigos DANE Municipios'!$B$2:$B$1123, 'Códigos DANE Municipios'!$A$2:$A$1123, "No encontrado")</f>
        <v>05483</v>
      </c>
      <c r="B3298" t="str">
        <f>IFERROR(VLOOKUP(D3298,APOYO!K:L,2,FALSE),A3298)</f>
        <v>05483</v>
      </c>
      <c r="C3298" t="s">
        <v>156</v>
      </c>
      <c r="D3298" t="str">
        <f>IFERROR(VLOOKUP(C3298,APOYO!J:K,2,FALSE),C3298)</f>
        <v>NARIÑO</v>
      </c>
      <c r="E3298">
        <v>2017</v>
      </c>
    </row>
    <row r="3299" spans="1:5" hidden="1" x14ac:dyDescent="0.25">
      <c r="A3299" t="str">
        <f>_xlfn.XLOOKUP(C3299, 'Códigos DANE Municipios'!$B$2:$B$1123, 'Códigos DANE Municipios'!$A$2:$A$1123, "No encontrado")</f>
        <v>41483</v>
      </c>
      <c r="B3299" t="str">
        <f>IFERROR(VLOOKUP(D3299,APOYO!K:L,2,FALSE),A3299)</f>
        <v>41483</v>
      </c>
      <c r="C3299" t="s">
        <v>1236</v>
      </c>
      <c r="D3299" t="str">
        <f>IFERROR(VLOOKUP(C3299,APOYO!J:K,2,FALSE),C3299)</f>
        <v>NÁTAGA</v>
      </c>
      <c r="E3299">
        <v>2017</v>
      </c>
    </row>
    <row r="3300" spans="1:5" hidden="1" x14ac:dyDescent="0.25">
      <c r="A3300" t="str">
        <f>_xlfn.XLOOKUP(C3300, 'Códigos DANE Municipios'!$B$2:$B$1123, 'Códigos DANE Municipios'!$A$2:$A$1123, "No encontrado")</f>
        <v>73483</v>
      </c>
      <c r="B3300" t="str">
        <f>IFERROR(VLOOKUP(D3300,APOYO!K:L,2,FALSE),A3300)</f>
        <v>73483</v>
      </c>
      <c r="C3300" t="s">
        <v>1921</v>
      </c>
      <c r="D3300" t="str">
        <f>IFERROR(VLOOKUP(C3300,APOYO!J:K,2,FALSE),C3300)</f>
        <v>NATAGAIMA</v>
      </c>
      <c r="E3300">
        <v>2017</v>
      </c>
    </row>
    <row r="3301" spans="1:5" hidden="1" x14ac:dyDescent="0.25">
      <c r="A3301" t="str">
        <f>_xlfn.XLOOKUP(C3301, 'Códigos DANE Municipios'!$B$2:$B$1123, 'Códigos DANE Municipios'!$A$2:$A$1123, "No encontrado")</f>
        <v>05490</v>
      </c>
      <c r="B3301" t="str">
        <f>IFERROR(VLOOKUP(D3301,APOYO!K:L,2,FALSE),A3301)</f>
        <v>05490</v>
      </c>
      <c r="C3301" t="s">
        <v>158</v>
      </c>
      <c r="D3301" t="str">
        <f>IFERROR(VLOOKUP(C3301,APOYO!J:K,2,FALSE),C3301)</f>
        <v>NECOCLÍ</v>
      </c>
      <c r="E3301">
        <v>2017</v>
      </c>
    </row>
    <row r="3302" spans="1:5" hidden="1" x14ac:dyDescent="0.25">
      <c r="A3302" t="str">
        <f>_xlfn.XLOOKUP(C3302, 'Códigos DANE Municipios'!$B$2:$B$1123, 'Códigos DANE Municipios'!$A$2:$A$1123, "No encontrado")</f>
        <v>17486</v>
      </c>
      <c r="B3302" t="str">
        <f>IFERROR(VLOOKUP(D3302,APOYO!K:L,2,FALSE),A3302)</f>
        <v>17486</v>
      </c>
      <c r="C3302" t="s">
        <v>670</v>
      </c>
      <c r="D3302" t="str">
        <f>IFERROR(VLOOKUP(C3302,APOYO!J:K,2,FALSE),C3302)</f>
        <v>NEIRA</v>
      </c>
      <c r="E3302">
        <v>2017</v>
      </c>
    </row>
    <row r="3303" spans="1:5" hidden="1" x14ac:dyDescent="0.25">
      <c r="A3303" t="str">
        <f>_xlfn.XLOOKUP(C3303, 'Códigos DANE Municipios'!$B$2:$B$1123, 'Códigos DANE Municipios'!$A$2:$A$1123, "No encontrado")</f>
        <v>41001</v>
      </c>
      <c r="B3303" t="str">
        <f>IFERROR(VLOOKUP(D3303,APOYO!K:L,2,FALSE),A3303)</f>
        <v>41001</v>
      </c>
      <c r="C3303" t="s">
        <v>1201</v>
      </c>
      <c r="D3303" t="str">
        <f>IFERROR(VLOOKUP(C3303,APOYO!J:K,2,FALSE),C3303)</f>
        <v>NEIVA</v>
      </c>
      <c r="E3303">
        <v>2017</v>
      </c>
    </row>
    <row r="3304" spans="1:5" hidden="1" x14ac:dyDescent="0.25">
      <c r="A3304" t="str">
        <f>_xlfn.XLOOKUP(C3304, 'Códigos DANE Municipios'!$B$2:$B$1123, 'Códigos DANE Municipios'!$A$2:$A$1123, "No encontrado")</f>
        <v>25486</v>
      </c>
      <c r="B3304" t="str">
        <f>IFERROR(VLOOKUP(D3304,APOYO!K:L,2,FALSE),A3304)</f>
        <v>25486</v>
      </c>
      <c r="C3304" t="s">
        <v>1030</v>
      </c>
      <c r="D3304" t="str">
        <f>IFERROR(VLOOKUP(C3304,APOYO!J:K,2,FALSE),C3304)</f>
        <v>NEMOCÓN</v>
      </c>
      <c r="E3304">
        <v>2017</v>
      </c>
    </row>
    <row r="3305" spans="1:5" hidden="1" x14ac:dyDescent="0.25">
      <c r="A3305" t="str">
        <f>_xlfn.XLOOKUP(C3305, 'Códigos DANE Municipios'!$B$2:$B$1123, 'Códigos DANE Municipios'!$A$2:$A$1123, "No encontrado")</f>
        <v>25488</v>
      </c>
      <c r="B3305" t="str">
        <f>IFERROR(VLOOKUP(D3305,APOYO!K:L,2,FALSE),A3305)</f>
        <v>25488</v>
      </c>
      <c r="C3305" t="s">
        <v>1032</v>
      </c>
      <c r="D3305" t="str">
        <f>IFERROR(VLOOKUP(C3305,APOYO!J:K,2,FALSE),C3305)</f>
        <v>NILO</v>
      </c>
      <c r="E3305">
        <v>2017</v>
      </c>
    </row>
    <row r="3306" spans="1:5" hidden="1" x14ac:dyDescent="0.25">
      <c r="A3306" t="str">
        <f>_xlfn.XLOOKUP(C3306, 'Códigos DANE Municipios'!$B$2:$B$1123, 'Códigos DANE Municipios'!$A$2:$A$1123, "No encontrado")</f>
        <v>25489</v>
      </c>
      <c r="B3306" t="str">
        <f>IFERROR(VLOOKUP(D3306,APOYO!K:L,2,FALSE),A3306)</f>
        <v>25489</v>
      </c>
      <c r="C3306" t="s">
        <v>1034</v>
      </c>
      <c r="D3306" t="str">
        <f>IFERROR(VLOOKUP(C3306,APOYO!J:K,2,FALSE),C3306)</f>
        <v>NIMAIMA</v>
      </c>
      <c r="E3306">
        <v>2017</v>
      </c>
    </row>
    <row r="3307" spans="1:5" hidden="1" x14ac:dyDescent="0.25">
      <c r="A3307" t="str">
        <f>_xlfn.XLOOKUP(C3307, 'Códigos DANE Municipios'!$B$2:$B$1123, 'Códigos DANE Municipios'!$A$2:$A$1123, "No encontrado")</f>
        <v>15491</v>
      </c>
      <c r="B3307" t="str">
        <f>IFERROR(VLOOKUP(D3307,APOYO!K:L,2,FALSE),A3307)</f>
        <v>15491</v>
      </c>
      <c r="C3307" t="s">
        <v>516</v>
      </c>
      <c r="D3307" t="str">
        <f>IFERROR(VLOOKUP(C3307,APOYO!J:K,2,FALSE),C3307)</f>
        <v>NOBSA</v>
      </c>
      <c r="E3307">
        <v>2017</v>
      </c>
    </row>
    <row r="3308" spans="1:5" hidden="1" x14ac:dyDescent="0.25">
      <c r="A3308" t="str">
        <f>_xlfn.XLOOKUP(C3308, 'Códigos DANE Municipios'!$B$2:$B$1123, 'Códigos DANE Municipios'!$A$2:$A$1123, "No encontrado")</f>
        <v>25491</v>
      </c>
      <c r="B3308" t="str">
        <f>IFERROR(VLOOKUP(D3308,APOYO!K:L,2,FALSE),A3308)</f>
        <v>25491</v>
      </c>
      <c r="C3308" t="s">
        <v>1036</v>
      </c>
      <c r="D3308" t="str">
        <f>IFERROR(VLOOKUP(C3308,APOYO!J:K,2,FALSE),C3308)</f>
        <v>NOCAIMA</v>
      </c>
      <c r="E3308">
        <v>2017</v>
      </c>
    </row>
    <row r="3309" spans="1:5" hidden="1" x14ac:dyDescent="0.25">
      <c r="A3309" t="str">
        <f>_xlfn.XLOOKUP(C3309, 'Códigos DANE Municipios'!$B$2:$B$1123, 'Códigos DANE Municipios'!$A$2:$A$1123, "No encontrado")</f>
        <v>17495</v>
      </c>
      <c r="B3309" t="str">
        <f>IFERROR(VLOOKUP(D3309,APOYO!K:L,2,FALSE),A3309)</f>
        <v>17495</v>
      </c>
      <c r="C3309" t="s">
        <v>672</v>
      </c>
      <c r="D3309" t="str">
        <f>IFERROR(VLOOKUP(C3309,APOYO!J:K,2,FALSE),C3309)</f>
        <v>NORCASIA</v>
      </c>
      <c r="E3309">
        <v>2017</v>
      </c>
    </row>
    <row r="3310" spans="1:5" hidden="1" x14ac:dyDescent="0.25">
      <c r="A3310" t="str">
        <f>_xlfn.XLOOKUP(C3310, 'Códigos DANE Municipios'!$B$2:$B$1123, 'Códigos DANE Municipios'!$A$2:$A$1123, "No encontrado")</f>
        <v>15494</v>
      </c>
      <c r="B3310" t="str">
        <f>IFERROR(VLOOKUP(D3310,APOYO!K:L,2,FALSE),A3310)</f>
        <v>15494</v>
      </c>
      <c r="C3310" t="s">
        <v>518</v>
      </c>
      <c r="D3310" t="str">
        <f>IFERROR(VLOOKUP(C3310,APOYO!J:K,2,FALSE),C3310)</f>
        <v>NUEVO COLÓN</v>
      </c>
      <c r="E3310">
        <v>2017</v>
      </c>
    </row>
    <row r="3311" spans="1:5" hidden="1" x14ac:dyDescent="0.25">
      <c r="A3311" t="str">
        <f>_xlfn.XLOOKUP(C3311, 'Códigos DANE Municipios'!$B$2:$B$1123, 'Códigos DANE Municipios'!$A$2:$A$1123, "No encontrado")</f>
        <v>85225</v>
      </c>
      <c r="B3311" t="str">
        <f>IFERROR(VLOOKUP(D3311,APOYO!K:L,2,FALSE),A3311)</f>
        <v>85225</v>
      </c>
      <c r="C3311" t="s">
        <v>2062</v>
      </c>
      <c r="D3311" t="str">
        <f>IFERROR(VLOOKUP(C3311,APOYO!J:K,2,FALSE),C3311)</f>
        <v>NUNCHÍA</v>
      </c>
      <c r="E3311">
        <v>2017</v>
      </c>
    </row>
    <row r="3312" spans="1:5" hidden="1" x14ac:dyDescent="0.25">
      <c r="A3312" t="str">
        <f>_xlfn.XLOOKUP(C3312, 'Códigos DANE Municipios'!$B$2:$B$1123, 'Códigos DANE Municipios'!$A$2:$A$1123, "No encontrado")</f>
        <v>27495</v>
      </c>
      <c r="B3312" t="str">
        <f>IFERROR(VLOOKUP(D3312,APOYO!K:L,2,FALSE),A3312)</f>
        <v>27495</v>
      </c>
      <c r="C3312" t="s">
        <v>1184</v>
      </c>
      <c r="D3312" t="str">
        <f>IFERROR(VLOOKUP(C3312,APOYO!J:K,2,FALSE),C3312)</f>
        <v>NUQUÍ</v>
      </c>
      <c r="E3312">
        <v>2017</v>
      </c>
    </row>
    <row r="3313" spans="1:5" hidden="1" x14ac:dyDescent="0.25">
      <c r="A3313" t="str">
        <f>_xlfn.XLOOKUP(C3313, 'Códigos DANE Municipios'!$B$2:$B$1123, 'Códigos DANE Municipios'!$A$2:$A$1123, "No encontrado")</f>
        <v>76497</v>
      </c>
      <c r="B3313" t="str">
        <f>IFERROR(VLOOKUP(D3313,APOYO!K:L,2,FALSE),A3313)</f>
        <v>76497</v>
      </c>
      <c r="C3313" t="s">
        <v>2002</v>
      </c>
      <c r="D3313" t="str">
        <f>IFERROR(VLOOKUP(C3313,APOYO!J:K,2,FALSE),C3313)</f>
        <v>OBANDO</v>
      </c>
      <c r="E3313">
        <v>2017</v>
      </c>
    </row>
    <row r="3314" spans="1:5" hidden="1" x14ac:dyDescent="0.25">
      <c r="A3314" t="str">
        <f>_xlfn.XLOOKUP(C3314, 'Códigos DANE Municipios'!$B$2:$B$1123, 'Códigos DANE Municipios'!$A$2:$A$1123, "No encontrado")</f>
        <v>68498</v>
      </c>
      <c r="B3314" t="str">
        <f>IFERROR(VLOOKUP(D3314,APOYO!K:L,2,FALSE),A3314)</f>
        <v>68498</v>
      </c>
      <c r="C3314" t="s">
        <v>1754</v>
      </c>
      <c r="D3314" t="str">
        <f>IFERROR(VLOOKUP(C3314,APOYO!J:K,2,FALSE),C3314)</f>
        <v>OCAMONTE</v>
      </c>
      <c r="E3314">
        <v>2017</v>
      </c>
    </row>
    <row r="3315" spans="1:5" hidden="1" x14ac:dyDescent="0.25">
      <c r="A3315" t="str">
        <f>_xlfn.XLOOKUP(C3315, 'Códigos DANE Municipios'!$B$2:$B$1123, 'Códigos DANE Municipios'!$A$2:$A$1123, "No encontrado")</f>
        <v>54498</v>
      </c>
      <c r="B3315" t="str">
        <f>IFERROR(VLOOKUP(D3315,APOYO!K:L,2,FALSE),A3315)</f>
        <v>54498</v>
      </c>
      <c r="C3315" t="s">
        <v>1577</v>
      </c>
      <c r="D3315" t="str">
        <f>IFERROR(VLOOKUP(C3315,APOYO!J:K,2,FALSE),C3315)</f>
        <v>OCAÑA</v>
      </c>
      <c r="E3315">
        <v>2017</v>
      </c>
    </row>
    <row r="3316" spans="1:5" hidden="1" x14ac:dyDescent="0.25">
      <c r="A3316" t="str">
        <f>_xlfn.XLOOKUP(C3316, 'Códigos DANE Municipios'!$B$2:$B$1123, 'Códigos DANE Municipios'!$A$2:$A$1123, "No encontrado")</f>
        <v>68500</v>
      </c>
      <c r="B3316" t="str">
        <f>IFERROR(VLOOKUP(D3316,APOYO!K:L,2,FALSE),A3316)</f>
        <v>68500</v>
      </c>
      <c r="C3316" t="s">
        <v>1756</v>
      </c>
      <c r="D3316" t="str">
        <f>IFERROR(VLOOKUP(C3316,APOYO!J:K,2,FALSE),C3316)</f>
        <v>OIBA</v>
      </c>
      <c r="E3316">
        <v>2017</v>
      </c>
    </row>
    <row r="3317" spans="1:5" hidden="1" x14ac:dyDescent="0.25">
      <c r="A3317" t="str">
        <f>_xlfn.XLOOKUP(C3317, 'Códigos DANE Municipios'!$B$2:$B$1123, 'Códigos DANE Municipios'!$A$2:$A$1123, "No encontrado")</f>
        <v>05501</v>
      </c>
      <c r="B3317" t="str">
        <f>IFERROR(VLOOKUP(D3317,APOYO!K:L,2,FALSE),A3317)</f>
        <v>05501</v>
      </c>
      <c r="C3317" t="s">
        <v>162</v>
      </c>
      <c r="D3317" t="str">
        <f>IFERROR(VLOOKUP(C3317,APOYO!J:K,2,FALSE),C3317)</f>
        <v>OLAYA</v>
      </c>
      <c r="E3317">
        <v>2017</v>
      </c>
    </row>
    <row r="3318" spans="1:5" hidden="1" x14ac:dyDescent="0.25">
      <c r="A3318" t="str">
        <f>_xlfn.XLOOKUP(C3318, 'Códigos DANE Municipios'!$B$2:$B$1123, 'Códigos DANE Municipios'!$A$2:$A$1123, "No encontrado")</f>
        <v>68502</v>
      </c>
      <c r="B3318" t="str">
        <f>IFERROR(VLOOKUP(D3318,APOYO!K:L,2,FALSE),A3318)</f>
        <v>68502</v>
      </c>
      <c r="C3318" t="s">
        <v>1758</v>
      </c>
      <c r="D3318" t="str">
        <f>IFERROR(VLOOKUP(C3318,APOYO!J:K,2,FALSE),C3318)</f>
        <v>ONZAGA</v>
      </c>
      <c r="E3318">
        <v>2017</v>
      </c>
    </row>
    <row r="3319" spans="1:5" hidden="1" x14ac:dyDescent="0.25">
      <c r="A3319" t="str">
        <f>_xlfn.XLOOKUP(C3319, 'Códigos DANE Municipios'!$B$2:$B$1123, 'Códigos DANE Municipios'!$A$2:$A$1123, "No encontrado")</f>
        <v>41503</v>
      </c>
      <c r="B3319" t="str">
        <f>IFERROR(VLOOKUP(D3319,APOYO!K:L,2,FALSE),A3319)</f>
        <v>41503</v>
      </c>
      <c r="C3319" t="s">
        <v>1238</v>
      </c>
      <c r="D3319" t="str">
        <f>IFERROR(VLOOKUP(C3319,APOYO!J:K,2,FALSE),C3319)</f>
        <v>OPORAPA</v>
      </c>
      <c r="E3319">
        <v>2017</v>
      </c>
    </row>
    <row r="3320" spans="1:5" hidden="1" x14ac:dyDescent="0.25">
      <c r="A3320" t="str">
        <f>_xlfn.XLOOKUP(C3320, 'Códigos DANE Municipios'!$B$2:$B$1123, 'Códigos DANE Municipios'!$A$2:$A$1123, "No encontrado")</f>
        <v>86320</v>
      </c>
      <c r="B3320" t="str">
        <f>IFERROR(VLOOKUP(D3320,APOYO!K:L,2,FALSE),A3320)</f>
        <v>86320</v>
      </c>
      <c r="C3320" t="s">
        <v>2087</v>
      </c>
      <c r="D3320" t="str">
        <f>IFERROR(VLOOKUP(C3320,APOYO!J:K,2,FALSE),C3320)</f>
        <v>ORITO</v>
      </c>
      <c r="E3320">
        <v>2017</v>
      </c>
    </row>
    <row r="3321" spans="1:5" hidden="1" x14ac:dyDescent="0.25">
      <c r="A3321" t="str">
        <f>_xlfn.XLOOKUP(C3321, 'Códigos DANE Municipios'!$B$2:$B$1123, 'Códigos DANE Municipios'!$A$2:$A$1123, "No encontrado")</f>
        <v>85230</v>
      </c>
      <c r="B3321" t="str">
        <f>IFERROR(VLOOKUP(D3321,APOYO!K:L,2,FALSE),A3321)</f>
        <v>85230</v>
      </c>
      <c r="C3321" t="s">
        <v>2064</v>
      </c>
      <c r="D3321" t="str">
        <f>IFERROR(VLOOKUP(C3321,APOYO!J:K,2,FALSE),C3321)</f>
        <v>OROCUÉ</v>
      </c>
      <c r="E3321">
        <v>2017</v>
      </c>
    </row>
    <row r="3322" spans="1:5" hidden="1" x14ac:dyDescent="0.25">
      <c r="A3322" t="str">
        <f>_xlfn.XLOOKUP(C3322, 'Códigos DANE Municipios'!$B$2:$B$1123, 'Códigos DANE Municipios'!$A$2:$A$1123, "No encontrado")</f>
        <v>73504</v>
      </c>
      <c r="B3322" t="str">
        <f>IFERROR(VLOOKUP(D3322,APOYO!K:L,2,FALSE),A3322)</f>
        <v>73504</v>
      </c>
      <c r="C3322" t="s">
        <v>1923</v>
      </c>
      <c r="D3322" t="str">
        <f>IFERROR(VLOOKUP(C3322,APOYO!J:K,2,FALSE),C3322)</f>
        <v>ORTEGA</v>
      </c>
      <c r="E3322">
        <v>2017</v>
      </c>
    </row>
    <row r="3323" spans="1:5" hidden="1" x14ac:dyDescent="0.25">
      <c r="A3323" t="str">
        <f>_xlfn.XLOOKUP(C3323, 'Códigos DANE Municipios'!$B$2:$B$1123, 'Códigos DANE Municipios'!$A$2:$A$1123, "No encontrado")</f>
        <v>15507</v>
      </c>
      <c r="B3323" t="str">
        <f>IFERROR(VLOOKUP(D3323,APOYO!K:L,2,FALSE),A3323)</f>
        <v>15507</v>
      </c>
      <c r="C3323" t="s">
        <v>522</v>
      </c>
      <c r="D3323" t="str">
        <f>IFERROR(VLOOKUP(C3323,APOYO!J:K,2,FALSE),C3323)</f>
        <v>OTANCHE</v>
      </c>
      <c r="E3323">
        <v>2017</v>
      </c>
    </row>
    <row r="3324" spans="1:5" hidden="1" x14ac:dyDescent="0.25">
      <c r="A3324" t="str">
        <f>_xlfn.XLOOKUP(C3324, 'Códigos DANE Municipios'!$B$2:$B$1123, 'Códigos DANE Municipios'!$A$2:$A$1123, "No encontrado")</f>
        <v>70508</v>
      </c>
      <c r="B3324" t="str">
        <f>IFERROR(VLOOKUP(D3324,APOYO!K:L,2,FALSE),A3324)</f>
        <v>70508</v>
      </c>
      <c r="C3324" t="s">
        <v>1842</v>
      </c>
      <c r="D3324" t="str">
        <f>IFERROR(VLOOKUP(C3324,APOYO!J:K,2,FALSE),C3324)</f>
        <v>OVEJAS</v>
      </c>
      <c r="E3324">
        <v>2017</v>
      </c>
    </row>
    <row r="3325" spans="1:5" hidden="1" x14ac:dyDescent="0.25">
      <c r="A3325" t="str">
        <f>_xlfn.XLOOKUP(C3325, 'Códigos DANE Municipios'!$B$2:$B$1123, 'Códigos DANE Municipios'!$A$2:$A$1123, "No encontrado")</f>
        <v>25513</v>
      </c>
      <c r="B3325" t="str">
        <f>IFERROR(VLOOKUP(D3325,APOYO!K:L,2,FALSE),A3325)</f>
        <v>25513</v>
      </c>
      <c r="C3325" t="s">
        <v>1039</v>
      </c>
      <c r="D3325" t="str">
        <f>IFERROR(VLOOKUP(C3325,APOYO!J:K,2,FALSE),C3325)</f>
        <v>PACHO</v>
      </c>
      <c r="E3325">
        <v>2017</v>
      </c>
    </row>
    <row r="3326" spans="1:5" hidden="1" x14ac:dyDescent="0.25">
      <c r="A3326" t="str">
        <f>_xlfn.XLOOKUP(C3326, 'Códigos DANE Municipios'!$B$2:$B$1123, 'Códigos DANE Municipios'!$A$2:$A$1123, "No encontrado")</f>
        <v>17513</v>
      </c>
      <c r="B3326" t="str">
        <f>IFERROR(VLOOKUP(D3326,APOYO!K:L,2,FALSE),A3326)</f>
        <v>17513</v>
      </c>
      <c r="C3326" t="s">
        <v>674</v>
      </c>
      <c r="D3326" t="str">
        <f>IFERROR(VLOOKUP(C3326,APOYO!J:K,2,FALSE),C3326)</f>
        <v>PÁCORA</v>
      </c>
      <c r="E3326">
        <v>2017</v>
      </c>
    </row>
    <row r="3327" spans="1:5" hidden="1" x14ac:dyDescent="0.25">
      <c r="A3327" t="str">
        <f>_xlfn.XLOOKUP(C3327, 'Códigos DANE Municipios'!$B$2:$B$1123, 'Códigos DANE Municipios'!$A$2:$A$1123, "No encontrado")</f>
        <v>19513</v>
      </c>
      <c r="B3327" t="str">
        <f>IFERROR(VLOOKUP(D3327,APOYO!K:L,2,FALSE),A3327)</f>
        <v>19513</v>
      </c>
      <c r="C3327" t="s">
        <v>770</v>
      </c>
      <c r="D3327" t="str">
        <f>IFERROR(VLOOKUP(C3327,APOYO!J:K,2,FALSE),C3327)</f>
        <v>PADILLA</v>
      </c>
      <c r="E3327">
        <v>2017</v>
      </c>
    </row>
    <row r="3328" spans="1:5" hidden="1" x14ac:dyDescent="0.25">
      <c r="A3328" t="str">
        <f>_xlfn.XLOOKUP(C3328, 'Códigos DANE Municipios'!$B$2:$B$1123, 'Códigos DANE Municipios'!$A$2:$A$1123, "No encontrado")</f>
        <v>20517</v>
      </c>
      <c r="B3328" t="str">
        <f>IFERROR(VLOOKUP(D3328,APOYO!K:L,2,FALSE),A3328)</f>
        <v>20517</v>
      </c>
      <c r="C3328" t="s">
        <v>840</v>
      </c>
      <c r="D3328" t="str">
        <f>IFERROR(VLOOKUP(C3328,APOYO!J:K,2,FALSE),C3328)</f>
        <v>PAILITAS</v>
      </c>
      <c r="E3328">
        <v>2017</v>
      </c>
    </row>
    <row r="3329" spans="1:5" hidden="1" x14ac:dyDescent="0.25">
      <c r="A3329" t="str">
        <f>_xlfn.XLOOKUP(C3329, 'Códigos DANE Municipios'!$B$2:$B$1123, 'Códigos DANE Municipios'!$A$2:$A$1123, "No encontrado")</f>
        <v>15516</v>
      </c>
      <c r="B3329" t="str">
        <f>IFERROR(VLOOKUP(D3329,APOYO!K:L,2,FALSE),A3329)</f>
        <v>15516</v>
      </c>
      <c r="C3329" t="s">
        <v>528</v>
      </c>
      <c r="D3329" t="str">
        <f>IFERROR(VLOOKUP(C3329,APOYO!J:K,2,FALSE),C3329)</f>
        <v>PAIPA</v>
      </c>
      <c r="E3329">
        <v>2017</v>
      </c>
    </row>
    <row r="3330" spans="1:5" hidden="1" x14ac:dyDescent="0.25">
      <c r="A3330" t="str">
        <f>_xlfn.XLOOKUP(C3330, 'Códigos DANE Municipios'!$B$2:$B$1123, 'Códigos DANE Municipios'!$A$2:$A$1123, "No encontrado")</f>
        <v>41524</v>
      </c>
      <c r="B3330" t="str">
        <f>IFERROR(VLOOKUP(D3330,APOYO!K:L,2,FALSE),A3330)</f>
        <v>41524</v>
      </c>
      <c r="C3330" t="s">
        <v>1242</v>
      </c>
      <c r="D3330" t="str">
        <f>IFERROR(VLOOKUP(C3330,APOYO!J:K,2,FALSE),C3330)</f>
        <v>PALERMO</v>
      </c>
      <c r="E3330">
        <v>2017</v>
      </c>
    </row>
    <row r="3331" spans="1:5" hidden="1" x14ac:dyDescent="0.25">
      <c r="A3331" t="str">
        <f>_xlfn.XLOOKUP(C3331, 'Códigos DANE Municipios'!$B$2:$B$1123, 'Códigos DANE Municipios'!$A$2:$A$1123, "No encontrado")</f>
        <v>17524</v>
      </c>
      <c r="B3331" t="str">
        <f>IFERROR(VLOOKUP(D3331,APOYO!K:L,2,FALSE),A3331)</f>
        <v>17524</v>
      </c>
      <c r="C3331" t="s">
        <v>676</v>
      </c>
      <c r="D3331" t="str">
        <f>IFERROR(VLOOKUP(C3331,APOYO!J:K,2,FALSE),C3331)</f>
        <v>PALESTINA</v>
      </c>
      <c r="E3331">
        <v>2017</v>
      </c>
    </row>
    <row r="3332" spans="1:5" hidden="1" x14ac:dyDescent="0.25">
      <c r="A3332" t="str">
        <f>_xlfn.XLOOKUP(C3332, 'Códigos DANE Municipios'!$B$2:$B$1123, 'Códigos DANE Municipios'!$A$2:$A$1123, "No encontrado")</f>
        <v>08520</v>
      </c>
      <c r="B3332" t="str">
        <f>IFERROR(VLOOKUP(D3332,APOYO!K:L,2,FALSE),A3332)</f>
        <v>08520</v>
      </c>
      <c r="C3332" t="s">
        <v>280</v>
      </c>
      <c r="D3332" t="str">
        <f>IFERROR(VLOOKUP(C3332,APOYO!J:K,2,FALSE),C3332)</f>
        <v>PALMAR DE VARELA</v>
      </c>
      <c r="E3332">
        <v>2017</v>
      </c>
    </row>
    <row r="3333" spans="1:5" hidden="1" x14ac:dyDescent="0.25">
      <c r="A3333" t="str">
        <f>_xlfn.XLOOKUP(C3333, 'Códigos DANE Municipios'!$B$2:$B$1123, 'Códigos DANE Municipios'!$A$2:$A$1123, "No encontrado")</f>
        <v>68524</v>
      </c>
      <c r="B3333" t="str">
        <f>IFERROR(VLOOKUP(D3333,APOYO!K:L,2,FALSE),A3333)</f>
        <v>68524</v>
      </c>
      <c r="C3333" t="s">
        <v>1762</v>
      </c>
      <c r="D3333" t="str">
        <f>IFERROR(VLOOKUP(C3333,APOYO!J:K,2,FALSE),C3333)</f>
        <v>PALMAS DEL SOCORRO</v>
      </c>
      <c r="E3333">
        <v>2017</v>
      </c>
    </row>
    <row r="3334" spans="1:5" hidden="1" x14ac:dyDescent="0.25">
      <c r="A3334" t="str">
        <f>_xlfn.XLOOKUP(C3334, 'Códigos DANE Municipios'!$B$2:$B$1123, 'Códigos DANE Municipios'!$A$2:$A$1123, "No encontrado")</f>
        <v>76520</v>
      </c>
      <c r="B3334" t="str">
        <f>IFERROR(VLOOKUP(D3334,APOYO!K:L,2,FALSE),A3334)</f>
        <v>76520</v>
      </c>
      <c r="C3334" t="s">
        <v>2004</v>
      </c>
      <c r="D3334" t="str">
        <f>IFERROR(VLOOKUP(C3334,APOYO!J:K,2,FALSE),C3334)</f>
        <v>PALMIRA</v>
      </c>
      <c r="E3334">
        <v>2017</v>
      </c>
    </row>
    <row r="3335" spans="1:5" hidden="1" x14ac:dyDescent="0.25">
      <c r="A3335" t="str">
        <f>_xlfn.XLOOKUP(C3335, 'Códigos DANE Municipios'!$B$2:$B$1123, 'Códigos DANE Municipios'!$A$2:$A$1123, "No encontrado")</f>
        <v>73520</v>
      </c>
      <c r="B3335" t="str">
        <f>IFERROR(VLOOKUP(D3335,APOYO!K:L,2,FALSE),A3335)</f>
        <v>73520</v>
      </c>
      <c r="C3335" t="s">
        <v>1925</v>
      </c>
      <c r="D3335" t="str">
        <f>IFERROR(VLOOKUP(C3335,APOYO!J:K,2,FALSE),C3335)</f>
        <v>PALOCABILDO</v>
      </c>
      <c r="E3335">
        <v>2017</v>
      </c>
    </row>
    <row r="3336" spans="1:5" hidden="1" x14ac:dyDescent="0.25">
      <c r="A3336" t="str">
        <f>_xlfn.XLOOKUP(C3336, 'Códigos DANE Municipios'!$B$2:$B$1123, 'Códigos DANE Municipios'!$A$2:$A$1123, "No encontrado")</f>
        <v>54518</v>
      </c>
      <c r="B3336" t="str">
        <f>IFERROR(VLOOKUP(D3336,APOYO!K:L,2,FALSE),A3336)</f>
        <v>54518</v>
      </c>
      <c r="C3336" t="s">
        <v>1579</v>
      </c>
      <c r="D3336" t="str">
        <f>IFERROR(VLOOKUP(C3336,APOYO!J:K,2,FALSE),C3336)</f>
        <v>PAMPLONA</v>
      </c>
      <c r="E3336">
        <v>2017</v>
      </c>
    </row>
    <row r="3337" spans="1:5" hidden="1" x14ac:dyDescent="0.25">
      <c r="A3337" t="str">
        <f>_xlfn.XLOOKUP(C3337, 'Códigos DANE Municipios'!$B$2:$B$1123, 'Códigos DANE Municipios'!$A$2:$A$1123, "No encontrado")</f>
        <v>54520</v>
      </c>
      <c r="B3337" t="str">
        <f>IFERROR(VLOOKUP(D3337,APOYO!K:L,2,FALSE),A3337)</f>
        <v>54520</v>
      </c>
      <c r="C3337" t="s">
        <v>1581</v>
      </c>
      <c r="D3337" t="str">
        <f>IFERROR(VLOOKUP(C3337,APOYO!J:K,2,FALSE),C3337)</f>
        <v>PAMPLONITA</v>
      </c>
      <c r="E3337">
        <v>2017</v>
      </c>
    </row>
    <row r="3338" spans="1:5" hidden="1" x14ac:dyDescent="0.25">
      <c r="A3338" t="str">
        <f>_xlfn.XLOOKUP(C3338, 'Códigos DANE Municipios'!$B$2:$B$1123, 'Códigos DANE Municipios'!$A$2:$A$1123, "No encontrado")</f>
        <v>25524</v>
      </c>
      <c r="B3338" t="str">
        <f>IFERROR(VLOOKUP(D3338,APOYO!K:L,2,FALSE),A3338)</f>
        <v>25524</v>
      </c>
      <c r="C3338" t="s">
        <v>1043</v>
      </c>
      <c r="D3338" t="str">
        <f>IFERROR(VLOOKUP(C3338,APOYO!J:K,2,FALSE),C3338)</f>
        <v>PANDI</v>
      </c>
      <c r="E3338">
        <v>2017</v>
      </c>
    </row>
    <row r="3339" spans="1:5" hidden="1" x14ac:dyDescent="0.25">
      <c r="A3339" t="str">
        <f>_xlfn.XLOOKUP(C3339, 'Códigos DANE Municipios'!$B$2:$B$1123, 'Códigos DANE Municipios'!$A$2:$A$1123, "No encontrado")</f>
        <v>25530</v>
      </c>
      <c r="B3339" t="str">
        <f>IFERROR(VLOOKUP(D3339,APOYO!K:L,2,FALSE),A3339)</f>
        <v>25530</v>
      </c>
      <c r="C3339" t="s">
        <v>1045</v>
      </c>
      <c r="D3339" t="str">
        <f>IFERROR(VLOOKUP(C3339,APOYO!J:K,2,FALSE),C3339)</f>
        <v>PARATEBUENO</v>
      </c>
      <c r="E3339">
        <v>2017</v>
      </c>
    </row>
    <row r="3340" spans="1:5" hidden="1" x14ac:dyDescent="0.25">
      <c r="A3340" t="str">
        <f>_xlfn.XLOOKUP(C3340, 'Códigos DANE Municipios'!$B$2:$B$1123, 'Códigos DANE Municipios'!$A$2:$A$1123, "No encontrado")</f>
        <v>25535</v>
      </c>
      <c r="B3340" t="str">
        <f>IFERROR(VLOOKUP(D3340,APOYO!K:L,2,FALSE),A3340)</f>
        <v>25535</v>
      </c>
      <c r="C3340" t="s">
        <v>1047</v>
      </c>
      <c r="D3340" t="str">
        <f>IFERROR(VLOOKUP(C3340,APOYO!J:K,2,FALSE),C3340)</f>
        <v>PASCA</v>
      </c>
      <c r="E3340">
        <v>2017</v>
      </c>
    </row>
    <row r="3341" spans="1:5" hidden="1" x14ac:dyDescent="0.25">
      <c r="A3341" t="str">
        <f>_xlfn.XLOOKUP(C3341, 'Códigos DANE Municipios'!$B$2:$B$1123, 'Códigos DANE Municipios'!$A$2:$A$1123, "No encontrado")</f>
        <v>52001</v>
      </c>
      <c r="B3341" t="str">
        <f>IFERROR(VLOOKUP(D3341,APOYO!K:L,2,FALSE),A3341)</f>
        <v>52001</v>
      </c>
      <c r="C3341" t="s">
        <v>1412</v>
      </c>
      <c r="D3341" t="str">
        <f>IFERROR(VLOOKUP(C3341,APOYO!J:K,2,FALSE),C3341)</f>
        <v>PASTO</v>
      </c>
      <c r="E3341">
        <v>2017</v>
      </c>
    </row>
    <row r="3342" spans="1:5" hidden="1" x14ac:dyDescent="0.25">
      <c r="A3342" t="str">
        <f>_xlfn.XLOOKUP(C3342, 'Códigos DANE Municipios'!$B$2:$B$1123, 'Códigos DANE Municipios'!$A$2:$A$1123, "No encontrado")</f>
        <v>19532</v>
      </c>
      <c r="B3342" t="str">
        <f>IFERROR(VLOOKUP(D3342,APOYO!K:L,2,FALSE),A3342)</f>
        <v>19532</v>
      </c>
      <c r="C3342" t="s">
        <v>773</v>
      </c>
      <c r="D3342" t="str">
        <f>IFERROR(VLOOKUP(C3342,APOYO!J:K,2,FALSE),C3342)</f>
        <v>PATÍA</v>
      </c>
      <c r="E3342">
        <v>2017</v>
      </c>
    </row>
    <row r="3343" spans="1:5" hidden="1" x14ac:dyDescent="0.25">
      <c r="A3343" t="str">
        <f>_xlfn.XLOOKUP(C3343, 'Códigos DANE Municipios'!$B$2:$B$1123, 'Códigos DANE Municipios'!$A$2:$A$1123, "No encontrado")</f>
        <v>15531</v>
      </c>
      <c r="B3343" t="str">
        <f>IFERROR(VLOOKUP(D3343,APOYO!K:L,2,FALSE),A3343)</f>
        <v>15531</v>
      </c>
      <c r="C3343" t="s">
        <v>534</v>
      </c>
      <c r="D3343" t="str">
        <f>IFERROR(VLOOKUP(C3343,APOYO!J:K,2,FALSE),C3343)</f>
        <v>PAUNA</v>
      </c>
      <c r="E3343">
        <v>2017</v>
      </c>
    </row>
    <row r="3344" spans="1:5" hidden="1" x14ac:dyDescent="0.25">
      <c r="A3344" t="str">
        <f>_xlfn.XLOOKUP(C3344, 'Códigos DANE Municipios'!$B$2:$B$1123, 'Códigos DANE Municipios'!$A$2:$A$1123, "No encontrado")</f>
        <v>15533</v>
      </c>
      <c r="B3344" t="str">
        <f>IFERROR(VLOOKUP(D3344,APOYO!K:L,2,FALSE),A3344)</f>
        <v>15533</v>
      </c>
      <c r="C3344" t="s">
        <v>536</v>
      </c>
      <c r="D3344" t="str">
        <f>IFERROR(VLOOKUP(C3344,APOYO!J:K,2,FALSE),C3344)</f>
        <v>PAYA</v>
      </c>
      <c r="E3344">
        <v>2017</v>
      </c>
    </row>
    <row r="3345" spans="1:5" hidden="1" x14ac:dyDescent="0.25">
      <c r="A3345" t="str">
        <f>_xlfn.XLOOKUP(C3345, 'Códigos DANE Municipios'!$B$2:$B$1123, 'Códigos DANE Municipios'!$A$2:$A$1123, "No encontrado")</f>
        <v>85250</v>
      </c>
      <c r="B3345" t="str">
        <f>IFERROR(VLOOKUP(D3345,APOYO!K:L,2,FALSE),A3345)</f>
        <v>85250</v>
      </c>
      <c r="C3345" t="s">
        <v>2066</v>
      </c>
      <c r="D3345" t="str">
        <f>IFERROR(VLOOKUP(C3345,APOYO!J:K,2,FALSE),C3345)</f>
        <v>PAZ DE ARIPORO</v>
      </c>
      <c r="E3345">
        <v>2017</v>
      </c>
    </row>
    <row r="3346" spans="1:5" hidden="1" x14ac:dyDescent="0.25">
      <c r="A3346" t="str">
        <f>_xlfn.XLOOKUP(C3346, 'Códigos DANE Municipios'!$B$2:$B$1123, 'Códigos DANE Municipios'!$A$2:$A$1123, "No encontrado")</f>
        <v>15537</v>
      </c>
      <c r="B3346" t="str">
        <f>IFERROR(VLOOKUP(D3346,APOYO!K:L,2,FALSE),A3346)</f>
        <v>15537</v>
      </c>
      <c r="C3346" t="s">
        <v>538</v>
      </c>
      <c r="D3346" t="str">
        <f>IFERROR(VLOOKUP(C3346,APOYO!J:K,2,FALSE),C3346)</f>
        <v>PAZ DE RÍO</v>
      </c>
      <c r="E3346">
        <v>2017</v>
      </c>
    </row>
    <row r="3347" spans="1:5" hidden="1" x14ac:dyDescent="0.25">
      <c r="A3347" t="str">
        <f>_xlfn.XLOOKUP(C3347, 'Códigos DANE Municipios'!$B$2:$B$1123, 'Códigos DANE Municipios'!$A$2:$A$1123, "No encontrado")</f>
        <v>20550</v>
      </c>
      <c r="B3347" t="str">
        <f>IFERROR(VLOOKUP(D3347,APOYO!K:L,2,FALSE),A3347)</f>
        <v>20550</v>
      </c>
      <c r="C3347" t="s">
        <v>842</v>
      </c>
      <c r="D3347" t="str">
        <f>IFERROR(VLOOKUP(C3347,APOYO!J:K,2,FALSE),C3347)</f>
        <v>PELAYA</v>
      </c>
      <c r="E3347">
        <v>2017</v>
      </c>
    </row>
    <row r="3348" spans="1:5" hidden="1" x14ac:dyDescent="0.25">
      <c r="A3348" t="str">
        <f>_xlfn.XLOOKUP(C3348, 'Códigos DANE Municipios'!$B$2:$B$1123, 'Códigos DANE Municipios'!$A$2:$A$1123, "No encontrado")</f>
        <v>17541</v>
      </c>
      <c r="B3348" t="str">
        <f>IFERROR(VLOOKUP(D3348,APOYO!K:L,2,FALSE),A3348)</f>
        <v>17541</v>
      </c>
      <c r="C3348" t="s">
        <v>678</v>
      </c>
      <c r="D3348" t="str">
        <f>IFERROR(VLOOKUP(C3348,APOYO!J:K,2,FALSE),C3348)</f>
        <v>PENSILVANIA</v>
      </c>
      <c r="E3348">
        <v>2017</v>
      </c>
    </row>
    <row r="3349" spans="1:5" hidden="1" x14ac:dyDescent="0.25">
      <c r="A3349" t="str">
        <f>_xlfn.XLOOKUP(C3349, 'Códigos DANE Municipios'!$B$2:$B$1123, 'Códigos DANE Municipios'!$A$2:$A$1123, "No encontrado")</f>
        <v>05541</v>
      </c>
      <c r="B3349" t="str">
        <f>IFERROR(VLOOKUP(D3349,APOYO!K:L,2,FALSE),A3349)</f>
        <v>05541</v>
      </c>
      <c r="C3349" t="s">
        <v>164</v>
      </c>
      <c r="D3349" t="str">
        <f>IFERROR(VLOOKUP(C3349,APOYO!J:K,2,FALSE),C3349)</f>
        <v>PEÑOL</v>
      </c>
      <c r="E3349">
        <v>2017</v>
      </c>
    </row>
    <row r="3350" spans="1:5" hidden="1" x14ac:dyDescent="0.25">
      <c r="A3350" t="str">
        <f>_xlfn.XLOOKUP(C3350, 'Códigos DANE Municipios'!$B$2:$B$1123, 'Códigos DANE Municipios'!$A$2:$A$1123, "No encontrado")</f>
        <v>66001</v>
      </c>
      <c r="B3350" t="str">
        <f>IFERROR(VLOOKUP(D3350,APOYO!K:L,2,FALSE),A3350)</f>
        <v>66001</v>
      </c>
      <c r="C3350" t="s">
        <v>1628</v>
      </c>
      <c r="D3350" t="str">
        <f>IFERROR(VLOOKUP(C3350,APOYO!J:K,2,FALSE),C3350)</f>
        <v>PEREIRA</v>
      </c>
      <c r="E3350">
        <v>2017</v>
      </c>
    </row>
    <row r="3351" spans="1:5" hidden="1" x14ac:dyDescent="0.25">
      <c r="A3351" t="str">
        <f>_xlfn.XLOOKUP(C3351, 'Códigos DANE Municipios'!$B$2:$B$1123, 'Códigos DANE Municipios'!$A$2:$A$1123, "No encontrado")</f>
        <v>15542</v>
      </c>
      <c r="B3351" t="str">
        <f>IFERROR(VLOOKUP(D3351,APOYO!K:L,2,FALSE),A3351)</f>
        <v>15542</v>
      </c>
      <c r="C3351" t="s">
        <v>540</v>
      </c>
      <c r="D3351" t="str">
        <f>IFERROR(VLOOKUP(C3351,APOYO!J:K,2,FALSE),C3351)</f>
        <v>PESCA</v>
      </c>
      <c r="E3351">
        <v>2017</v>
      </c>
    </row>
    <row r="3352" spans="1:5" hidden="1" x14ac:dyDescent="0.25">
      <c r="A3352" t="str">
        <f>_xlfn.XLOOKUP(C3352, 'Códigos DANE Municipios'!$B$2:$B$1123, 'Códigos DANE Municipios'!$A$2:$A$1123, "No encontrado")</f>
        <v>68547</v>
      </c>
      <c r="B3352" t="str">
        <f>IFERROR(VLOOKUP(D3352,APOYO!K:L,2,FALSE),A3352)</f>
        <v>68547</v>
      </c>
      <c r="C3352" t="s">
        <v>1766</v>
      </c>
      <c r="D3352" t="str">
        <f>IFERROR(VLOOKUP(C3352,APOYO!J:K,2,FALSE),C3352)</f>
        <v>PIEDECUESTA</v>
      </c>
      <c r="E3352">
        <v>2017</v>
      </c>
    </row>
    <row r="3353" spans="1:5" hidden="1" x14ac:dyDescent="0.25">
      <c r="A3353" t="str">
        <f>_xlfn.XLOOKUP(C3353, 'Códigos DANE Municipios'!$B$2:$B$1123, 'Códigos DANE Municipios'!$A$2:$A$1123, "No encontrado")</f>
        <v>73547</v>
      </c>
      <c r="B3353" t="str">
        <f>IFERROR(VLOOKUP(D3353,APOYO!K:L,2,FALSE),A3353)</f>
        <v>73547</v>
      </c>
      <c r="C3353" t="s">
        <v>1927</v>
      </c>
      <c r="D3353" t="str">
        <f>IFERROR(VLOOKUP(C3353,APOYO!J:K,2,FALSE),C3353)</f>
        <v>PIEDRAS</v>
      </c>
      <c r="E3353">
        <v>2017</v>
      </c>
    </row>
    <row r="3354" spans="1:5" hidden="1" x14ac:dyDescent="0.25">
      <c r="A3354" t="str">
        <f>_xlfn.XLOOKUP(C3354, 'Códigos DANE Municipios'!$B$2:$B$1123, 'Códigos DANE Municipios'!$A$2:$A$1123, "No encontrado")</f>
        <v>19548</v>
      </c>
      <c r="B3354" t="str">
        <f>IFERROR(VLOOKUP(D3354,APOYO!K:L,2,FALSE),A3354)</f>
        <v>19548</v>
      </c>
      <c r="C3354" t="s">
        <v>777</v>
      </c>
      <c r="D3354" t="str">
        <f>IFERROR(VLOOKUP(C3354,APOYO!J:K,2,FALSE),C3354)</f>
        <v>PIENDAMÓ</v>
      </c>
      <c r="E3354">
        <v>2017</v>
      </c>
    </row>
    <row r="3355" spans="1:5" hidden="1" x14ac:dyDescent="0.25">
      <c r="A3355" t="str">
        <f>_xlfn.XLOOKUP(C3355, 'Códigos DANE Municipios'!$B$2:$B$1123, 'Códigos DANE Municipios'!$A$2:$A$1123, "No encontrado")</f>
        <v>63548</v>
      </c>
      <c r="B3355" t="str">
        <f>IFERROR(VLOOKUP(D3355,APOYO!K:L,2,FALSE),A3355)</f>
        <v>63548</v>
      </c>
      <c r="C3355" t="s">
        <v>1622</v>
      </c>
      <c r="D3355" t="str">
        <f>IFERROR(VLOOKUP(C3355,APOYO!J:K,2,FALSE),C3355)</f>
        <v>PIJAO</v>
      </c>
      <c r="E3355">
        <v>2017</v>
      </c>
    </row>
    <row r="3356" spans="1:5" hidden="1" x14ac:dyDescent="0.25">
      <c r="A3356" t="str">
        <f>_xlfn.XLOOKUP(C3356, 'Códigos DANE Municipios'!$B$2:$B$1123, 'Códigos DANE Municipios'!$A$2:$A$1123, "No encontrado")</f>
        <v>68549</v>
      </c>
      <c r="B3356" t="str">
        <f>IFERROR(VLOOKUP(D3356,APOYO!K:L,2,FALSE),A3356)</f>
        <v>68549</v>
      </c>
      <c r="C3356" t="s">
        <v>1768</v>
      </c>
      <c r="D3356" t="str">
        <f>IFERROR(VLOOKUP(C3356,APOYO!J:K,2,FALSE),C3356)</f>
        <v>PINCHOTE</v>
      </c>
      <c r="E3356">
        <v>2017</v>
      </c>
    </row>
    <row r="3357" spans="1:5" hidden="1" x14ac:dyDescent="0.25">
      <c r="A3357" t="str">
        <f>_xlfn.XLOOKUP(C3357, 'Códigos DANE Municipios'!$B$2:$B$1123, 'Códigos DANE Municipios'!$A$2:$A$1123, "No encontrado")</f>
        <v>08549</v>
      </c>
      <c r="B3357" t="str">
        <f>IFERROR(VLOOKUP(D3357,APOYO!K:L,2,FALSE),A3357)</f>
        <v>08549</v>
      </c>
      <c r="C3357" t="s">
        <v>282</v>
      </c>
      <c r="D3357" t="str">
        <f>IFERROR(VLOOKUP(C3357,APOYO!J:K,2,FALSE),C3357)</f>
        <v>PIOJÓ</v>
      </c>
      <c r="E3357">
        <v>2017</v>
      </c>
    </row>
    <row r="3358" spans="1:5" hidden="1" x14ac:dyDescent="0.25">
      <c r="A3358" t="str">
        <f>_xlfn.XLOOKUP(C3358, 'Códigos DANE Municipios'!$B$2:$B$1123, 'Códigos DANE Municipios'!$A$2:$A$1123, "No encontrado")</f>
        <v>41548</v>
      </c>
      <c r="B3358" t="str">
        <f>IFERROR(VLOOKUP(D3358,APOYO!K:L,2,FALSE),A3358)</f>
        <v>41548</v>
      </c>
      <c r="C3358" t="s">
        <v>1245</v>
      </c>
      <c r="D3358" t="str">
        <f>IFERROR(VLOOKUP(C3358,APOYO!J:K,2,FALSE),C3358)</f>
        <v>PITAL</v>
      </c>
      <c r="E3358">
        <v>2017</v>
      </c>
    </row>
    <row r="3359" spans="1:5" hidden="1" x14ac:dyDescent="0.25">
      <c r="A3359" t="str">
        <f>_xlfn.XLOOKUP(C3359, 'Códigos DANE Municipios'!$B$2:$B$1123, 'Códigos DANE Municipios'!$A$2:$A$1123, "No encontrado")</f>
        <v>41551</v>
      </c>
      <c r="B3359" t="str">
        <f>IFERROR(VLOOKUP(D3359,APOYO!K:L,2,FALSE),A3359)</f>
        <v>41551</v>
      </c>
      <c r="C3359" t="s">
        <v>1247</v>
      </c>
      <c r="D3359" t="str">
        <f>IFERROR(VLOOKUP(C3359,APOYO!J:K,2,FALSE),C3359)</f>
        <v>PITALITO</v>
      </c>
      <c r="E3359">
        <v>2017</v>
      </c>
    </row>
    <row r="3360" spans="1:5" hidden="1" x14ac:dyDescent="0.25">
      <c r="A3360" t="str">
        <f>_xlfn.XLOOKUP(C3360, 'Códigos DANE Municipios'!$B$2:$B$1123, 'Códigos DANE Municipios'!$A$2:$A$1123, "No encontrado")</f>
        <v>47551</v>
      </c>
      <c r="B3360" t="str">
        <f>IFERROR(VLOOKUP(D3360,APOYO!K:L,2,FALSE),A3360)</f>
        <v>47551</v>
      </c>
      <c r="C3360" t="s">
        <v>1331</v>
      </c>
      <c r="D3360" t="str">
        <f>IFERROR(VLOOKUP(C3360,APOYO!J:K,2,FALSE),C3360)</f>
        <v>PIVIJAY</v>
      </c>
      <c r="E3360">
        <v>2017</v>
      </c>
    </row>
    <row r="3361" spans="1:5" hidden="1" x14ac:dyDescent="0.25">
      <c r="A3361" t="str">
        <f>_xlfn.XLOOKUP(C3361, 'Códigos DANE Municipios'!$B$2:$B$1123, 'Códigos DANE Municipios'!$A$2:$A$1123, "No encontrado")</f>
        <v>73555</v>
      </c>
      <c r="B3361" t="str">
        <f>IFERROR(VLOOKUP(D3361,APOYO!K:L,2,FALSE),A3361)</f>
        <v>73555</v>
      </c>
      <c r="C3361" t="s">
        <v>1929</v>
      </c>
      <c r="D3361" t="str">
        <f>IFERROR(VLOOKUP(C3361,APOYO!J:K,2,FALSE),C3361)</f>
        <v>PLANADAS</v>
      </c>
      <c r="E3361">
        <v>2017</v>
      </c>
    </row>
    <row r="3362" spans="1:5" hidden="1" x14ac:dyDescent="0.25">
      <c r="A3362" t="str">
        <f>_xlfn.XLOOKUP(C3362, 'Códigos DANE Municipios'!$B$2:$B$1123, 'Códigos DANE Municipios'!$A$2:$A$1123, "No encontrado")</f>
        <v>23555</v>
      </c>
      <c r="B3362" t="str">
        <f>IFERROR(VLOOKUP(D3362,APOYO!K:L,2,FALSE),A3362)</f>
        <v>23555</v>
      </c>
      <c r="C3362" t="s">
        <v>887</v>
      </c>
      <c r="D3362" t="str">
        <f>IFERROR(VLOOKUP(C3362,APOYO!J:K,2,FALSE),C3362)</f>
        <v>PLANETA RICA</v>
      </c>
      <c r="E3362">
        <v>2017</v>
      </c>
    </row>
    <row r="3363" spans="1:5" hidden="1" x14ac:dyDescent="0.25">
      <c r="A3363" t="str">
        <f>_xlfn.XLOOKUP(C3363, 'Códigos DANE Municipios'!$B$2:$B$1123, 'Códigos DANE Municipios'!$A$2:$A$1123, "No encontrado")</f>
        <v>47555</v>
      </c>
      <c r="B3363" t="str">
        <f>IFERROR(VLOOKUP(D3363,APOYO!K:L,2,FALSE),A3363)</f>
        <v>47555</v>
      </c>
      <c r="C3363" t="s">
        <v>1333</v>
      </c>
      <c r="D3363" t="str">
        <f>IFERROR(VLOOKUP(C3363,APOYO!J:K,2,FALSE),C3363)</f>
        <v>PLATO</v>
      </c>
      <c r="E3363">
        <v>2017</v>
      </c>
    </row>
    <row r="3364" spans="1:5" hidden="1" x14ac:dyDescent="0.25">
      <c r="A3364" t="str">
        <f>_xlfn.XLOOKUP(C3364, 'Códigos DANE Municipios'!$B$2:$B$1123, 'Códigos DANE Municipios'!$A$2:$A$1123, "No encontrado")</f>
        <v>52540</v>
      </c>
      <c r="B3364" t="str">
        <f>IFERROR(VLOOKUP(D3364,APOYO!K:L,2,FALSE),A3364)</f>
        <v>52540</v>
      </c>
      <c r="C3364" t="s">
        <v>1491</v>
      </c>
      <c r="D3364" t="str">
        <f>IFERROR(VLOOKUP(C3364,APOYO!J:K,2,FALSE),C3364)</f>
        <v>POLICARPA</v>
      </c>
      <c r="E3364">
        <v>2017</v>
      </c>
    </row>
    <row r="3365" spans="1:5" hidden="1" x14ac:dyDescent="0.25">
      <c r="A3365" t="str">
        <f>_xlfn.XLOOKUP(C3365, 'Códigos DANE Municipios'!$B$2:$B$1123, 'Códigos DANE Municipios'!$A$2:$A$1123, "No encontrado")</f>
        <v>08558</v>
      </c>
      <c r="B3365" t="str">
        <f>IFERROR(VLOOKUP(D3365,APOYO!K:L,2,FALSE),A3365)</f>
        <v>08558</v>
      </c>
      <c r="C3365" t="s">
        <v>284</v>
      </c>
      <c r="D3365" t="str">
        <f>IFERROR(VLOOKUP(C3365,APOYO!J:K,2,FALSE),C3365)</f>
        <v>POLONUEVO</v>
      </c>
      <c r="E3365">
        <v>2017</v>
      </c>
    </row>
    <row r="3366" spans="1:5" hidden="1" x14ac:dyDescent="0.25">
      <c r="A3366" t="str">
        <f>_xlfn.XLOOKUP(C3366, 'Códigos DANE Municipios'!$B$2:$B$1123, 'Códigos DANE Municipios'!$A$2:$A$1123, "No encontrado")</f>
        <v>08560</v>
      </c>
      <c r="B3366" t="str">
        <f>IFERROR(VLOOKUP(D3366,APOYO!K:L,2,FALSE),A3366)</f>
        <v>08560</v>
      </c>
      <c r="C3366" t="s">
        <v>286</v>
      </c>
      <c r="D3366" t="str">
        <f>IFERROR(VLOOKUP(C3366,APOYO!J:K,2,FALSE),C3366)</f>
        <v>PONEDERA</v>
      </c>
      <c r="E3366">
        <v>2017</v>
      </c>
    </row>
    <row r="3367" spans="1:5" hidden="1" x14ac:dyDescent="0.25">
      <c r="A3367" t="str">
        <f>_xlfn.XLOOKUP(C3367, 'Códigos DANE Municipios'!$B$2:$B$1123, 'Códigos DANE Municipios'!$A$2:$A$1123, "No encontrado")</f>
        <v>19001</v>
      </c>
      <c r="B3367" t="str">
        <f>IFERROR(VLOOKUP(D3367,APOYO!K:L,2,FALSE),A3367)</f>
        <v>19001</v>
      </c>
      <c r="C3367" t="s">
        <v>729</v>
      </c>
      <c r="D3367" t="str">
        <f>IFERROR(VLOOKUP(C3367,APOYO!J:K,2,FALSE),C3367)</f>
        <v>POPAYÁN</v>
      </c>
      <c r="E3367">
        <v>2017</v>
      </c>
    </row>
    <row r="3368" spans="1:5" hidden="1" x14ac:dyDescent="0.25">
      <c r="A3368" t="str">
        <f>_xlfn.XLOOKUP(C3368, 'Códigos DANE Municipios'!$B$2:$B$1123, 'Códigos DANE Municipios'!$A$2:$A$1123, "No encontrado")</f>
        <v>85263</v>
      </c>
      <c r="B3368" t="str">
        <f>IFERROR(VLOOKUP(D3368,APOYO!K:L,2,FALSE),A3368)</f>
        <v>85263</v>
      </c>
      <c r="C3368" t="s">
        <v>2068</v>
      </c>
      <c r="D3368" t="str">
        <f>IFERROR(VLOOKUP(C3368,APOYO!J:K,2,FALSE),C3368)</f>
        <v>PORE</v>
      </c>
      <c r="E3368">
        <v>2017</v>
      </c>
    </row>
    <row r="3369" spans="1:5" hidden="1" x14ac:dyDescent="0.25">
      <c r="A3369" t="str">
        <f>_xlfn.XLOOKUP(C3369, 'Códigos DANE Municipios'!$B$2:$B$1123, 'Códigos DANE Municipios'!$A$2:$A$1123, "No encontrado")</f>
        <v>76563</v>
      </c>
      <c r="B3369" t="str">
        <f>IFERROR(VLOOKUP(D3369,APOYO!K:L,2,FALSE),A3369)</f>
        <v>76563</v>
      </c>
      <c r="C3369" t="s">
        <v>2006</v>
      </c>
      <c r="D3369" t="str">
        <f>IFERROR(VLOOKUP(C3369,APOYO!J:K,2,FALSE),C3369)</f>
        <v>PRADERA</v>
      </c>
      <c r="E3369">
        <v>2017</v>
      </c>
    </row>
    <row r="3370" spans="1:5" hidden="1" x14ac:dyDescent="0.25">
      <c r="A3370" t="str">
        <f>_xlfn.XLOOKUP(C3370, 'Códigos DANE Municipios'!$B$2:$B$1123, 'Códigos DANE Municipios'!$A$2:$A$1123, "No encontrado")</f>
        <v>73563</v>
      </c>
      <c r="B3370" t="str">
        <f>IFERROR(VLOOKUP(D3370,APOYO!K:L,2,FALSE),A3370)</f>
        <v>73563</v>
      </c>
      <c r="C3370" t="s">
        <v>1931</v>
      </c>
      <c r="D3370" t="str">
        <f>IFERROR(VLOOKUP(C3370,APOYO!J:K,2,FALSE),C3370)</f>
        <v>PRADO</v>
      </c>
      <c r="E3370">
        <v>2017</v>
      </c>
    </row>
    <row r="3371" spans="1:5" hidden="1" x14ac:dyDescent="0.25">
      <c r="A3371" t="str">
        <f>_xlfn.XLOOKUP(C3371, 'Códigos DANE Municipios'!$B$2:$B$1123, 'Códigos DANE Municipios'!$A$2:$A$1123, "No encontrado")</f>
        <v>52565</v>
      </c>
      <c r="B3371" t="str">
        <f>IFERROR(VLOOKUP(D3371,APOYO!K:L,2,FALSE),A3371)</f>
        <v>52565</v>
      </c>
      <c r="C3371" t="s">
        <v>1495</v>
      </c>
      <c r="D3371" t="str">
        <f>IFERROR(VLOOKUP(C3371,APOYO!J:K,2,FALSE),C3371)</f>
        <v>PROVIDENCIA</v>
      </c>
      <c r="E3371">
        <v>2017</v>
      </c>
    </row>
    <row r="3372" spans="1:5" hidden="1" x14ac:dyDescent="0.25">
      <c r="A3372" t="str">
        <f>_xlfn.XLOOKUP(C3372, 'Códigos DANE Municipios'!$B$2:$B$1123, 'Códigos DANE Municipios'!$A$2:$A$1123, "No encontrado")</f>
        <v>05585</v>
      </c>
      <c r="B3372" t="str">
        <f>IFERROR(VLOOKUP(D3372,APOYO!K:L,2,FALSE),A3372)</f>
        <v>05585</v>
      </c>
      <c r="C3372" t="s">
        <v>172</v>
      </c>
      <c r="D3372" t="str">
        <f>IFERROR(VLOOKUP(C3372,APOYO!J:K,2,FALSE),C3372)</f>
        <v>PUERTO NARE</v>
      </c>
      <c r="E3372">
        <v>2017</v>
      </c>
    </row>
    <row r="3373" spans="1:5" hidden="1" x14ac:dyDescent="0.25">
      <c r="A3373" t="str">
        <f>_xlfn.XLOOKUP(C3373, 'Códigos DANE Municipios'!$B$2:$B$1123, 'Códigos DANE Municipios'!$A$2:$A$1123, "No encontrado")</f>
        <v>66572</v>
      </c>
      <c r="B3373" t="str">
        <f>IFERROR(VLOOKUP(D3373,APOYO!K:L,2,FALSE),A3373)</f>
        <v>66572</v>
      </c>
      <c r="C3373" t="s">
        <v>1647</v>
      </c>
      <c r="D3373" t="str">
        <f>IFERROR(VLOOKUP(C3373,APOYO!J:K,2,FALSE),C3373)</f>
        <v>PUEBLO RICO</v>
      </c>
      <c r="E3373">
        <v>2017</v>
      </c>
    </row>
    <row r="3374" spans="1:5" hidden="1" x14ac:dyDescent="0.25">
      <c r="A3374" t="str">
        <f>_xlfn.XLOOKUP(C3374, 'Códigos DANE Municipios'!$B$2:$B$1123, 'Códigos DANE Municipios'!$A$2:$A$1123, "No encontrado")</f>
        <v>05576</v>
      </c>
      <c r="B3374" t="str">
        <f>IFERROR(VLOOKUP(D3374,APOYO!K:L,2,FALSE),A3374)</f>
        <v>05576</v>
      </c>
      <c r="C3374" t="s">
        <v>168</v>
      </c>
      <c r="D3374" t="str">
        <f>IFERROR(VLOOKUP(C3374,APOYO!J:K,2,FALSE),C3374)</f>
        <v>PUEBLORRICO</v>
      </c>
      <c r="E3374">
        <v>2017</v>
      </c>
    </row>
    <row r="3375" spans="1:5" hidden="1" x14ac:dyDescent="0.25">
      <c r="A3375" t="str">
        <f>_xlfn.XLOOKUP(C3375, 'Códigos DANE Municipios'!$B$2:$B$1123, 'Códigos DANE Municipios'!$A$2:$A$1123, "No encontrado")</f>
        <v>47570</v>
      </c>
      <c r="B3375" t="str">
        <f>IFERROR(VLOOKUP(D3375,APOYO!K:L,2,FALSE),A3375)</f>
        <v>47570</v>
      </c>
      <c r="C3375" t="s">
        <v>1335</v>
      </c>
      <c r="D3375" t="str">
        <f>IFERROR(VLOOKUP(C3375,APOYO!J:K,2,FALSE),C3375)</f>
        <v>PUEBLOVIEJO</v>
      </c>
      <c r="E3375">
        <v>2017</v>
      </c>
    </row>
    <row r="3376" spans="1:5" hidden="1" x14ac:dyDescent="0.25">
      <c r="A3376" t="str">
        <f>_xlfn.XLOOKUP(C3376, 'Códigos DANE Municipios'!$B$2:$B$1123, 'Códigos DANE Municipios'!$A$2:$A$1123, "No encontrado")</f>
        <v>68572</v>
      </c>
      <c r="B3376" t="str">
        <f>IFERROR(VLOOKUP(D3376,APOYO!K:L,2,FALSE),A3376)</f>
        <v>68572</v>
      </c>
      <c r="C3376" t="s">
        <v>1770</v>
      </c>
      <c r="D3376" t="str">
        <f>IFERROR(VLOOKUP(C3376,APOYO!J:K,2,FALSE),C3376)</f>
        <v>PUENTE NACIONAL</v>
      </c>
      <c r="E3376">
        <v>2017</v>
      </c>
    </row>
    <row r="3377" spans="1:5" hidden="1" x14ac:dyDescent="0.25">
      <c r="A3377" t="str">
        <f>_xlfn.XLOOKUP(C3377, 'Códigos DANE Municipios'!$B$2:$B$1123, 'Códigos DANE Municipios'!$A$2:$A$1123, "No encontrado")</f>
        <v>52573</v>
      </c>
      <c r="B3377" t="str">
        <f>IFERROR(VLOOKUP(D3377,APOYO!K:L,2,FALSE),A3377)</f>
        <v>52573</v>
      </c>
      <c r="C3377" t="s">
        <v>1497</v>
      </c>
      <c r="D3377" t="str">
        <f>IFERROR(VLOOKUP(C3377,APOYO!J:K,2,FALSE),C3377)</f>
        <v>PUERRES</v>
      </c>
      <c r="E3377">
        <v>2017</v>
      </c>
    </row>
    <row r="3378" spans="1:5" hidden="1" x14ac:dyDescent="0.25">
      <c r="A3378" t="str">
        <f>_xlfn.XLOOKUP(C3378, 'Códigos DANE Municipios'!$B$2:$B$1123, 'Códigos DANE Municipios'!$A$2:$A$1123, "No encontrado")</f>
        <v>86568</v>
      </c>
      <c r="B3378" t="str">
        <f>IFERROR(VLOOKUP(D3378,APOYO!K:L,2,FALSE),A3378)</f>
        <v>86568</v>
      </c>
      <c r="C3378" t="s">
        <v>2089</v>
      </c>
      <c r="D3378" t="str">
        <f>IFERROR(VLOOKUP(C3378,APOYO!J:K,2,FALSE),C3378)</f>
        <v>PUERTO ASÍS</v>
      </c>
      <c r="E3378">
        <v>2017</v>
      </c>
    </row>
    <row r="3379" spans="1:5" hidden="1" x14ac:dyDescent="0.25">
      <c r="A3379" t="str">
        <f>_xlfn.XLOOKUP(C3379, 'Códigos DANE Municipios'!$B$2:$B$1123, 'Códigos DANE Municipios'!$A$2:$A$1123, "No encontrado")</f>
        <v>05579</v>
      </c>
      <c r="B3379" t="str">
        <f>IFERROR(VLOOKUP(D3379,APOYO!K:L,2,FALSE),A3379)</f>
        <v>05579</v>
      </c>
      <c r="C3379" t="s">
        <v>170</v>
      </c>
      <c r="D3379" t="str">
        <f>IFERROR(VLOOKUP(C3379,APOYO!J:K,2,FALSE),C3379)</f>
        <v>PUERTO BERRÍO</v>
      </c>
      <c r="E3379">
        <v>2017</v>
      </c>
    </row>
    <row r="3380" spans="1:5" hidden="1" x14ac:dyDescent="0.25">
      <c r="A3380" t="str">
        <f>_xlfn.XLOOKUP(C3380, 'Códigos DANE Municipios'!$B$2:$B$1123, 'Códigos DANE Municipios'!$A$2:$A$1123, "No encontrado")</f>
        <v>15572</v>
      </c>
      <c r="B3380" t="str">
        <f>IFERROR(VLOOKUP(D3380,APOYO!K:L,2,FALSE),A3380)</f>
        <v>15572</v>
      </c>
      <c r="C3380" t="s">
        <v>544</v>
      </c>
      <c r="D3380" t="str">
        <f>IFERROR(VLOOKUP(C3380,APOYO!J:K,2,FALSE),C3380)</f>
        <v>PUERTO BOYACÁ</v>
      </c>
      <c r="E3380">
        <v>2017</v>
      </c>
    </row>
    <row r="3381" spans="1:5" hidden="1" x14ac:dyDescent="0.25">
      <c r="A3381" t="str">
        <f>_xlfn.XLOOKUP(C3381, 'Códigos DANE Municipios'!$B$2:$B$1123, 'Códigos DANE Municipios'!$A$2:$A$1123, "No encontrado")</f>
        <v>86569</v>
      </c>
      <c r="B3381" t="str">
        <f>IFERROR(VLOOKUP(D3381,APOYO!K:L,2,FALSE),A3381)</f>
        <v>86569</v>
      </c>
      <c r="C3381" t="s">
        <v>2091</v>
      </c>
      <c r="D3381" t="str">
        <f>IFERROR(VLOOKUP(C3381,APOYO!J:K,2,FALSE),C3381)</f>
        <v>PUERTO CAICEDO</v>
      </c>
      <c r="E3381">
        <v>2017</v>
      </c>
    </row>
    <row r="3382" spans="1:5" hidden="1" x14ac:dyDescent="0.25">
      <c r="A3382" t="str">
        <f>_xlfn.XLOOKUP(C3382, 'Códigos DANE Municipios'!$B$2:$B$1123, 'Códigos DANE Municipios'!$A$2:$A$1123, "No encontrado")</f>
        <v>99001</v>
      </c>
      <c r="B3382" t="str">
        <f>IFERROR(VLOOKUP(D3382,APOYO!K:L,2,FALSE),A3382)</f>
        <v>99001</v>
      </c>
      <c r="C3382" t="s">
        <v>2163</v>
      </c>
      <c r="D3382" t="str">
        <f>IFERROR(VLOOKUP(C3382,APOYO!J:K,2,FALSE),C3382)</f>
        <v>PUERTO CARREÑO</v>
      </c>
      <c r="E3382">
        <v>2017</v>
      </c>
    </row>
    <row r="3383" spans="1:5" hidden="1" x14ac:dyDescent="0.25">
      <c r="A3383" t="str">
        <f>_xlfn.XLOOKUP(C3383, 'Códigos DANE Municipios'!$B$2:$B$1123, 'Códigos DANE Municipios'!$A$2:$A$1123, "No encontrado")</f>
        <v>08573</v>
      </c>
      <c r="B3383" t="str">
        <f>IFERROR(VLOOKUP(D3383,APOYO!K:L,2,FALSE),A3383)</f>
        <v>08573</v>
      </c>
      <c r="C3383" t="s">
        <v>288</v>
      </c>
      <c r="D3383" t="str">
        <f>IFERROR(VLOOKUP(C3383,APOYO!J:K,2,FALSE),C3383)</f>
        <v>PUERTO COLOMBIA</v>
      </c>
      <c r="E3383">
        <v>2017</v>
      </c>
    </row>
    <row r="3384" spans="1:5" hidden="1" x14ac:dyDescent="0.25">
      <c r="A3384" t="str">
        <f>_xlfn.XLOOKUP(C3384, 'Códigos DANE Municipios'!$B$2:$B$1123, 'Códigos DANE Municipios'!$A$2:$A$1123, "No encontrado")</f>
        <v>50450</v>
      </c>
      <c r="B3384" t="str">
        <f>IFERROR(VLOOKUP(D3384,APOYO!K:L,2,FALSE),A3384)</f>
        <v>50450</v>
      </c>
      <c r="C3384" t="s">
        <v>1392</v>
      </c>
      <c r="D3384" t="str">
        <f>IFERROR(VLOOKUP(C3384,APOYO!J:K,2,FALSE),C3384)</f>
        <v>PUERTO CONCORDIA</v>
      </c>
      <c r="E3384">
        <v>2017</v>
      </c>
    </row>
    <row r="3385" spans="1:5" hidden="1" x14ac:dyDescent="0.25">
      <c r="A3385" t="str">
        <f>_xlfn.XLOOKUP(C3385, 'Códigos DANE Municipios'!$B$2:$B$1123, 'Códigos DANE Municipios'!$A$2:$A$1123, "No encontrado")</f>
        <v>50568</v>
      </c>
      <c r="B3385" t="str">
        <f>IFERROR(VLOOKUP(D3385,APOYO!K:L,2,FALSE),A3385)</f>
        <v>50568</v>
      </c>
      <c r="C3385" t="s">
        <v>1394</v>
      </c>
      <c r="D3385" t="str">
        <f>IFERROR(VLOOKUP(C3385,APOYO!J:K,2,FALSE),C3385)</f>
        <v>PUERTO GAITÁN</v>
      </c>
      <c r="E3385">
        <v>2017</v>
      </c>
    </row>
    <row r="3386" spans="1:5" hidden="1" x14ac:dyDescent="0.25">
      <c r="A3386" t="str">
        <f>_xlfn.XLOOKUP(C3386, 'Códigos DANE Municipios'!$B$2:$B$1123, 'Códigos DANE Municipios'!$A$2:$A$1123, "No encontrado")</f>
        <v>94001</v>
      </c>
      <c r="B3386" t="str">
        <f>IFERROR(VLOOKUP(D3386,APOYO!K:L,2,FALSE),A3386)</f>
        <v>94001</v>
      </c>
      <c r="C3386" t="s">
        <v>2128</v>
      </c>
      <c r="D3386" t="str">
        <f>IFERROR(VLOOKUP(C3386,APOYO!J:K,2,FALSE),C3386)</f>
        <v>INÍRIDA</v>
      </c>
      <c r="E3386">
        <v>2017</v>
      </c>
    </row>
    <row r="3387" spans="1:5" hidden="1" x14ac:dyDescent="0.25">
      <c r="A3387" t="str">
        <f>_xlfn.XLOOKUP(C3387, 'Códigos DANE Municipios'!$B$2:$B$1123, 'Códigos DANE Municipios'!$A$2:$A$1123, "No encontrado")</f>
        <v>86573</v>
      </c>
      <c r="B3387" t="str">
        <f>IFERROR(VLOOKUP(D3387,APOYO!K:L,2,FALSE),A3387)</f>
        <v>86573</v>
      </c>
      <c r="C3387" t="s">
        <v>2095</v>
      </c>
      <c r="D3387" t="str">
        <f>IFERROR(VLOOKUP(C3387,APOYO!J:K,2,FALSE),C3387)</f>
        <v>PUERTO LEGUÍZAMO</v>
      </c>
      <c r="E3387">
        <v>2017</v>
      </c>
    </row>
    <row r="3388" spans="1:5" hidden="1" x14ac:dyDescent="0.25">
      <c r="A3388" t="str">
        <f>_xlfn.XLOOKUP(C3388, 'Códigos DANE Municipios'!$B$2:$B$1123, 'Códigos DANE Municipios'!$A$2:$A$1123, "No encontrado")</f>
        <v>23580</v>
      </c>
      <c r="B3388" t="str">
        <f>IFERROR(VLOOKUP(D3388,APOYO!K:L,2,FALSE),A3388)</f>
        <v>23580</v>
      </c>
      <c r="C3388" t="s">
        <v>893</v>
      </c>
      <c r="D3388" t="str">
        <f>IFERROR(VLOOKUP(C3388,APOYO!J:K,2,FALSE),C3388)</f>
        <v>PUERTO LIBERTADOR</v>
      </c>
      <c r="E3388">
        <v>2017</v>
      </c>
    </row>
    <row r="3389" spans="1:5" hidden="1" x14ac:dyDescent="0.25">
      <c r="A3389" t="str">
        <f>_xlfn.XLOOKUP(C3389, 'Códigos DANE Municipios'!$B$2:$B$1123, 'Códigos DANE Municipios'!$A$2:$A$1123, "No encontrado")</f>
        <v>50577</v>
      </c>
      <c r="B3389" t="str">
        <f>IFERROR(VLOOKUP(D3389,APOYO!K:L,2,FALSE),A3389)</f>
        <v>50577</v>
      </c>
      <c r="C3389" t="s">
        <v>1398</v>
      </c>
      <c r="D3389" t="str">
        <f>IFERROR(VLOOKUP(C3389,APOYO!J:K,2,FALSE),C3389)</f>
        <v>PUERTO LLERAS</v>
      </c>
      <c r="E3389">
        <v>2017</v>
      </c>
    </row>
    <row r="3390" spans="1:5" hidden="1" x14ac:dyDescent="0.25">
      <c r="A3390" t="str">
        <f>_xlfn.XLOOKUP(C3390, 'Códigos DANE Municipios'!$B$2:$B$1123, 'Códigos DANE Municipios'!$A$2:$A$1123, "No encontrado")</f>
        <v>50573</v>
      </c>
      <c r="B3390" t="str">
        <f>IFERROR(VLOOKUP(D3390,APOYO!K:L,2,FALSE),A3390)</f>
        <v>50573</v>
      </c>
      <c r="C3390" t="s">
        <v>1396</v>
      </c>
      <c r="D3390" t="str">
        <f>IFERROR(VLOOKUP(C3390,APOYO!J:K,2,FALSE),C3390)</f>
        <v>PUERTO LÓPEZ</v>
      </c>
      <c r="E3390">
        <v>2017</v>
      </c>
    </row>
    <row r="3391" spans="1:5" hidden="1" x14ac:dyDescent="0.25">
      <c r="A3391" t="str">
        <f>_xlfn.XLOOKUP(C3391, 'Códigos DANE Municipios'!$B$2:$B$1123, 'Códigos DANE Municipios'!$A$2:$A$1123, "No encontrado")</f>
        <v>91540</v>
      </c>
      <c r="B3391" t="str">
        <f>IFERROR(VLOOKUP(D3391,APOYO!K:L,2,FALSE),A3391)</f>
        <v>91540</v>
      </c>
      <c r="C3391" t="s">
        <v>2123</v>
      </c>
      <c r="D3391" t="str">
        <f>IFERROR(VLOOKUP(C3391,APOYO!J:K,2,FALSE),C3391)</f>
        <v>PUERTO NARIÑO</v>
      </c>
      <c r="E3391">
        <v>2017</v>
      </c>
    </row>
    <row r="3392" spans="1:5" hidden="1" x14ac:dyDescent="0.25">
      <c r="A3392" t="str">
        <f>_xlfn.XLOOKUP(C3392, 'Códigos DANE Municipios'!$B$2:$B$1123, 'Códigos DANE Municipios'!$A$2:$A$1123, "No encontrado")</f>
        <v>18592</v>
      </c>
      <c r="B3392" t="str">
        <f>IFERROR(VLOOKUP(D3392,APOYO!K:L,2,FALSE),A3392)</f>
        <v>18592</v>
      </c>
      <c r="C3392" t="s">
        <v>718</v>
      </c>
      <c r="D3392" t="str">
        <f>IFERROR(VLOOKUP(C3392,APOYO!J:K,2,FALSE),C3392)</f>
        <v>PUERTO RICO</v>
      </c>
      <c r="E3392">
        <v>2017</v>
      </c>
    </row>
    <row r="3393" spans="1:5" hidden="1" x14ac:dyDescent="0.25">
      <c r="A3393" t="str">
        <f>_xlfn.XLOOKUP(C3393, 'Códigos DANE Municipios'!$B$2:$B$1123, 'Códigos DANE Municipios'!$A$2:$A$1123, "No encontrado")</f>
        <v>25572</v>
      </c>
      <c r="B3393" t="str">
        <f>IFERROR(VLOOKUP(D3393,APOYO!K:L,2,FALSE),A3393)</f>
        <v>25572</v>
      </c>
      <c r="C3393" t="s">
        <v>1049</v>
      </c>
      <c r="D3393" t="str">
        <f>IFERROR(VLOOKUP(C3393,APOYO!J:K,2,FALSE),C3393)</f>
        <v>PUERTO SALGAR</v>
      </c>
      <c r="E3393">
        <v>2017</v>
      </c>
    </row>
    <row r="3394" spans="1:5" hidden="1" x14ac:dyDescent="0.25">
      <c r="A3394" t="str">
        <f>_xlfn.XLOOKUP(C3394, 'Códigos DANE Municipios'!$B$2:$B$1123, 'Códigos DANE Municipios'!$A$2:$A$1123, "No encontrado")</f>
        <v>54553</v>
      </c>
      <c r="B3394" t="str">
        <f>IFERROR(VLOOKUP(D3394,APOYO!K:L,2,FALSE),A3394)</f>
        <v>54553</v>
      </c>
      <c r="C3394" t="s">
        <v>1583</v>
      </c>
      <c r="D3394" t="str">
        <f>IFERROR(VLOOKUP(C3394,APOYO!J:K,2,FALSE),C3394)</f>
        <v>PUERTO SANTANDER</v>
      </c>
      <c r="E3394">
        <v>2017</v>
      </c>
    </row>
    <row r="3395" spans="1:5" hidden="1" x14ac:dyDescent="0.25">
      <c r="A3395" t="str">
        <f>_xlfn.XLOOKUP(C3395, 'Códigos DANE Municipios'!$B$2:$B$1123, 'Códigos DANE Municipios'!$A$2:$A$1123, "No encontrado")</f>
        <v>19573</v>
      </c>
      <c r="B3395" t="str">
        <f>IFERROR(VLOOKUP(D3395,APOYO!K:L,2,FALSE),A3395)</f>
        <v>19573</v>
      </c>
      <c r="C3395" t="s">
        <v>779</v>
      </c>
      <c r="D3395" t="str">
        <f>IFERROR(VLOOKUP(C3395,APOYO!J:K,2,FALSE),C3395)</f>
        <v>PUERTO TEJADA</v>
      </c>
      <c r="E3395">
        <v>2017</v>
      </c>
    </row>
    <row r="3396" spans="1:5" hidden="1" x14ac:dyDescent="0.25">
      <c r="A3396" t="str">
        <f>_xlfn.XLOOKUP(C3396, 'Códigos DANE Municipios'!$B$2:$B$1123, 'Códigos DANE Municipios'!$A$2:$A$1123, "No encontrado")</f>
        <v>05591</v>
      </c>
      <c r="B3396" t="str">
        <f>IFERROR(VLOOKUP(D3396,APOYO!K:L,2,FALSE),A3396)</f>
        <v>05591</v>
      </c>
      <c r="C3396" t="s">
        <v>174</v>
      </c>
      <c r="D3396" t="str">
        <f>IFERROR(VLOOKUP(C3396,APOYO!J:K,2,FALSE),C3396)</f>
        <v>PUERTO TRIUNFO</v>
      </c>
      <c r="E3396">
        <v>2017</v>
      </c>
    </row>
    <row r="3397" spans="1:5" hidden="1" x14ac:dyDescent="0.25">
      <c r="A3397" t="str">
        <f>_xlfn.XLOOKUP(C3397, 'Códigos DANE Municipios'!$B$2:$B$1123, 'Códigos DANE Municipios'!$A$2:$A$1123, "No encontrado")</f>
        <v>68575</v>
      </c>
      <c r="B3397" t="str">
        <f>IFERROR(VLOOKUP(D3397,APOYO!K:L,2,FALSE),A3397)</f>
        <v>68575</v>
      </c>
      <c r="C3397" t="s">
        <v>1774</v>
      </c>
      <c r="D3397" t="str">
        <f>IFERROR(VLOOKUP(C3397,APOYO!J:K,2,FALSE),C3397)</f>
        <v>PUERTO WILCHES</v>
      </c>
      <c r="E3397">
        <v>2017</v>
      </c>
    </row>
    <row r="3398" spans="1:5" hidden="1" x14ac:dyDescent="0.25">
      <c r="A3398" t="str">
        <f>_xlfn.XLOOKUP(C3398, 'Códigos DANE Municipios'!$B$2:$B$1123, 'Códigos DANE Municipios'!$A$2:$A$1123, "No encontrado")</f>
        <v>52585</v>
      </c>
      <c r="B3398" t="str">
        <f>IFERROR(VLOOKUP(D3398,APOYO!K:L,2,FALSE),A3398)</f>
        <v>52585</v>
      </c>
      <c r="C3398" t="s">
        <v>1499</v>
      </c>
      <c r="D3398" t="str">
        <f>IFERROR(VLOOKUP(C3398,APOYO!J:K,2,FALSE),C3398)</f>
        <v>PUPIALES</v>
      </c>
      <c r="E3398">
        <v>2017</v>
      </c>
    </row>
    <row r="3399" spans="1:5" hidden="1" x14ac:dyDescent="0.25">
      <c r="A3399" t="str">
        <f>_xlfn.XLOOKUP(C3399, 'Códigos DANE Municipios'!$B$2:$B$1123, 'Códigos DANE Municipios'!$A$2:$A$1123, "No encontrado")</f>
        <v>19585</v>
      </c>
      <c r="B3399" t="str">
        <f>IFERROR(VLOOKUP(D3399,APOYO!K:L,2,FALSE),A3399)</f>
        <v>19585</v>
      </c>
      <c r="C3399" t="s">
        <v>781</v>
      </c>
      <c r="D3399" t="str">
        <f>IFERROR(VLOOKUP(C3399,APOYO!J:K,2,FALSE),C3399)</f>
        <v>PURACÉ</v>
      </c>
      <c r="E3399">
        <v>2017</v>
      </c>
    </row>
    <row r="3400" spans="1:5" hidden="1" x14ac:dyDescent="0.25">
      <c r="A3400" t="str">
        <f>_xlfn.XLOOKUP(C3400, 'Códigos DANE Municipios'!$B$2:$B$1123, 'Códigos DANE Municipios'!$A$2:$A$1123, "No encontrado")</f>
        <v>73585</v>
      </c>
      <c r="B3400" t="str">
        <f>IFERROR(VLOOKUP(D3400,APOYO!K:L,2,FALSE),A3400)</f>
        <v>73585</v>
      </c>
      <c r="C3400" t="s">
        <v>1933</v>
      </c>
      <c r="D3400" t="str">
        <f>IFERROR(VLOOKUP(C3400,APOYO!J:K,2,FALSE),C3400)</f>
        <v>PURIFICACIÓN</v>
      </c>
      <c r="E3400">
        <v>2017</v>
      </c>
    </row>
    <row r="3401" spans="1:5" hidden="1" x14ac:dyDescent="0.25">
      <c r="A3401" t="str">
        <f>_xlfn.XLOOKUP(C3401, 'Códigos DANE Municipios'!$B$2:$B$1123, 'Códigos DANE Municipios'!$A$2:$A$1123, "No encontrado")</f>
        <v>25592</v>
      </c>
      <c r="B3401" t="str">
        <f>IFERROR(VLOOKUP(D3401,APOYO!K:L,2,FALSE),A3401)</f>
        <v>25592</v>
      </c>
      <c r="C3401" t="s">
        <v>1053</v>
      </c>
      <c r="D3401" t="str">
        <f>IFERROR(VLOOKUP(C3401,APOYO!J:K,2,FALSE),C3401)</f>
        <v>QUEBRADANEGRA</v>
      </c>
      <c r="E3401">
        <v>2017</v>
      </c>
    </row>
    <row r="3402" spans="1:5" hidden="1" x14ac:dyDescent="0.25">
      <c r="A3402" t="str">
        <f>_xlfn.XLOOKUP(C3402, 'Códigos DANE Municipios'!$B$2:$B$1123, 'Códigos DANE Municipios'!$A$2:$A$1123, "No encontrado")</f>
        <v>25594</v>
      </c>
      <c r="B3402" t="str">
        <f>IFERROR(VLOOKUP(D3402,APOYO!K:L,2,FALSE),A3402)</f>
        <v>25594</v>
      </c>
      <c r="C3402" t="s">
        <v>1055</v>
      </c>
      <c r="D3402" t="str">
        <f>IFERROR(VLOOKUP(C3402,APOYO!J:K,2,FALSE),C3402)</f>
        <v>QUETAME</v>
      </c>
      <c r="E3402">
        <v>2017</v>
      </c>
    </row>
    <row r="3403" spans="1:5" hidden="1" x14ac:dyDescent="0.25">
      <c r="A3403" t="str">
        <f>_xlfn.XLOOKUP(C3403, 'Códigos DANE Municipios'!$B$2:$B$1123, 'Códigos DANE Municipios'!$A$2:$A$1123, "No encontrado")</f>
        <v>27001</v>
      </c>
      <c r="B3403" t="str">
        <f>IFERROR(VLOOKUP(D3403,APOYO!K:L,2,FALSE),A3403)</f>
        <v>27001</v>
      </c>
      <c r="C3403" t="s">
        <v>1142</v>
      </c>
      <c r="D3403" t="str">
        <f>IFERROR(VLOOKUP(C3403,APOYO!J:K,2,FALSE),C3403)</f>
        <v>QUIBDÓ</v>
      </c>
      <c r="E3403">
        <v>2017</v>
      </c>
    </row>
    <row r="3404" spans="1:5" hidden="1" x14ac:dyDescent="0.25">
      <c r="A3404" t="str">
        <f>_xlfn.XLOOKUP(C3404, 'Códigos DANE Municipios'!$B$2:$B$1123, 'Códigos DANE Municipios'!$A$2:$A$1123, "No encontrado")</f>
        <v>63594</v>
      </c>
      <c r="B3404" t="str">
        <f>IFERROR(VLOOKUP(D3404,APOYO!K:L,2,FALSE),A3404)</f>
        <v>63594</v>
      </c>
      <c r="C3404" t="s">
        <v>1624</v>
      </c>
      <c r="D3404" t="str">
        <f>IFERROR(VLOOKUP(C3404,APOYO!J:K,2,FALSE),C3404)</f>
        <v>QUIMBAYA</v>
      </c>
      <c r="E3404">
        <v>2017</v>
      </c>
    </row>
    <row r="3405" spans="1:5" hidden="1" x14ac:dyDescent="0.25">
      <c r="A3405" t="str">
        <f>_xlfn.XLOOKUP(C3405, 'Códigos DANE Municipios'!$B$2:$B$1123, 'Códigos DANE Municipios'!$A$2:$A$1123, "No encontrado")</f>
        <v>66594</v>
      </c>
      <c r="B3405" t="str">
        <f>IFERROR(VLOOKUP(D3405,APOYO!K:L,2,FALSE),A3405)</f>
        <v>66594</v>
      </c>
      <c r="C3405" t="s">
        <v>1649</v>
      </c>
      <c r="D3405" t="str">
        <f>IFERROR(VLOOKUP(C3405,APOYO!J:K,2,FALSE),C3405)</f>
        <v>QUINCHÍA</v>
      </c>
      <c r="E3405">
        <v>2017</v>
      </c>
    </row>
    <row r="3406" spans="1:5" hidden="1" x14ac:dyDescent="0.25">
      <c r="A3406" t="str">
        <f>_xlfn.XLOOKUP(C3406, 'Códigos DANE Municipios'!$B$2:$B$1123, 'Códigos DANE Municipios'!$A$2:$A$1123, "No encontrado")</f>
        <v>15580</v>
      </c>
      <c r="B3406" t="str">
        <f>IFERROR(VLOOKUP(D3406,APOYO!K:L,2,FALSE),A3406)</f>
        <v>15580</v>
      </c>
      <c r="C3406" t="s">
        <v>546</v>
      </c>
      <c r="D3406" t="str">
        <f>IFERROR(VLOOKUP(C3406,APOYO!J:K,2,FALSE),C3406)</f>
        <v>QUÍPAMA</v>
      </c>
      <c r="E3406">
        <v>2017</v>
      </c>
    </row>
    <row r="3407" spans="1:5" hidden="1" x14ac:dyDescent="0.25">
      <c r="A3407" t="str">
        <f>_xlfn.XLOOKUP(C3407, 'Códigos DANE Municipios'!$B$2:$B$1123, 'Códigos DANE Municipios'!$A$2:$A$1123, "No encontrado")</f>
        <v>25596</v>
      </c>
      <c r="B3407" t="str">
        <f>IFERROR(VLOOKUP(D3407,APOYO!K:L,2,FALSE),A3407)</f>
        <v>25596</v>
      </c>
      <c r="C3407" t="s">
        <v>1057</v>
      </c>
      <c r="D3407" t="str">
        <f>IFERROR(VLOOKUP(C3407,APOYO!J:K,2,FALSE),C3407)</f>
        <v>QUIPILE</v>
      </c>
      <c r="E3407">
        <v>2017</v>
      </c>
    </row>
    <row r="3408" spans="1:5" hidden="1" x14ac:dyDescent="0.25">
      <c r="A3408" t="str">
        <f>_xlfn.XLOOKUP(C3408, 'Códigos DANE Municipios'!$B$2:$B$1123, 'Códigos DANE Municipios'!$A$2:$A$1123, "No encontrado")</f>
        <v>81794</v>
      </c>
      <c r="B3408" t="str">
        <f>IFERROR(VLOOKUP(D3408,APOYO!K:L,2,FALSE),A3408)</f>
        <v>81794</v>
      </c>
      <c r="C3408" t="s">
        <v>2046</v>
      </c>
      <c r="D3408" t="str">
        <f>IFERROR(VLOOKUP(C3408,APOYO!J:K,2,FALSE),C3408)</f>
        <v>TAME</v>
      </c>
      <c r="E3408">
        <v>2017</v>
      </c>
    </row>
    <row r="3409" spans="1:5" hidden="1" x14ac:dyDescent="0.25">
      <c r="A3409" t="str">
        <f>_xlfn.XLOOKUP(C3409, 'Códigos DANE Municipios'!$B$2:$B$1123, 'Códigos DANE Municipios'!$A$2:$A$1123, "No encontrado")</f>
        <v>15599</v>
      </c>
      <c r="B3409" t="str">
        <f>IFERROR(VLOOKUP(D3409,APOYO!K:L,2,FALSE),A3409)</f>
        <v>15599</v>
      </c>
      <c r="C3409" t="s">
        <v>548</v>
      </c>
      <c r="D3409" t="str">
        <f>IFERROR(VLOOKUP(C3409,APOYO!J:K,2,FALSE),C3409)</f>
        <v>RAMIRIQUÍ</v>
      </c>
      <c r="E3409">
        <v>2017</v>
      </c>
    </row>
    <row r="3410" spans="1:5" hidden="1" x14ac:dyDescent="0.25">
      <c r="A3410" t="str">
        <f>_xlfn.XLOOKUP(C3410, 'Códigos DANE Municipios'!$B$2:$B$1123, 'Códigos DANE Municipios'!$A$2:$A$1123, "No encontrado")</f>
        <v>15600</v>
      </c>
      <c r="B3410" t="str">
        <f>IFERROR(VLOOKUP(D3410,APOYO!K:L,2,FALSE),A3410)</f>
        <v>15600</v>
      </c>
      <c r="C3410" t="s">
        <v>550</v>
      </c>
      <c r="D3410" t="str">
        <f>IFERROR(VLOOKUP(C3410,APOYO!J:K,2,FALSE),C3410)</f>
        <v>RÁQUIRA</v>
      </c>
      <c r="E3410">
        <v>2017</v>
      </c>
    </row>
    <row r="3411" spans="1:5" hidden="1" x14ac:dyDescent="0.25">
      <c r="A3411" t="str">
        <f>_xlfn.XLOOKUP(C3411, 'Códigos DANE Municipios'!$B$2:$B$1123, 'Códigos DANE Municipios'!$A$2:$A$1123, "No encontrado")</f>
        <v>05604</v>
      </c>
      <c r="B3411" t="str">
        <f>IFERROR(VLOOKUP(D3411,APOYO!K:L,2,FALSE),A3411)</f>
        <v>05604</v>
      </c>
      <c r="C3411" t="s">
        <v>176</v>
      </c>
      <c r="D3411" t="str">
        <f>IFERROR(VLOOKUP(C3411,APOYO!J:K,2,FALSE),C3411)</f>
        <v>REMEDIOS</v>
      </c>
      <c r="E3411">
        <v>2017</v>
      </c>
    </row>
    <row r="3412" spans="1:5" hidden="1" x14ac:dyDescent="0.25">
      <c r="A3412" t="str">
        <f>_xlfn.XLOOKUP(C3412, 'Códigos DANE Municipios'!$B$2:$B$1123, 'Códigos DANE Municipios'!$A$2:$A$1123, "No encontrado")</f>
        <v>50606</v>
      </c>
      <c r="B3412" t="str">
        <f>IFERROR(VLOOKUP(D3412,APOYO!K:L,2,FALSE),A3412)</f>
        <v>50606</v>
      </c>
      <c r="C3412" t="s">
        <v>1401</v>
      </c>
      <c r="D3412" t="str">
        <f>IFERROR(VLOOKUP(C3412,APOYO!J:K,2,FALSE),C3412)</f>
        <v>RESTREPO</v>
      </c>
      <c r="E3412">
        <v>2017</v>
      </c>
    </row>
    <row r="3413" spans="1:5" hidden="1" x14ac:dyDescent="0.25">
      <c r="A3413" t="str">
        <f>_xlfn.XLOOKUP(C3413, 'Códigos DANE Municipios'!$B$2:$B$1123, 'Códigos DANE Municipios'!$A$2:$A$1123, "No encontrado")</f>
        <v>05607</v>
      </c>
      <c r="B3413" t="str">
        <f>IFERROR(VLOOKUP(D3413,APOYO!K:L,2,FALSE),A3413)</f>
        <v>05607</v>
      </c>
      <c r="C3413" t="s">
        <v>178</v>
      </c>
      <c r="D3413" t="str">
        <f>IFERROR(VLOOKUP(C3413,APOYO!J:K,2,FALSE),C3413)</f>
        <v>RETIRO</v>
      </c>
      <c r="E3413">
        <v>2017</v>
      </c>
    </row>
    <row r="3414" spans="1:5" hidden="1" x14ac:dyDescent="0.25">
      <c r="A3414" t="str">
        <f>_xlfn.XLOOKUP(C3414, 'Códigos DANE Municipios'!$B$2:$B$1123, 'Códigos DANE Municipios'!$A$2:$A$1123, "No encontrado")</f>
        <v>25612</v>
      </c>
      <c r="B3414" t="str">
        <f>IFERROR(VLOOKUP(D3414,APOYO!K:L,2,FALSE),A3414)</f>
        <v>25612</v>
      </c>
      <c r="C3414" t="s">
        <v>1061</v>
      </c>
      <c r="D3414" t="str">
        <f>IFERROR(VLOOKUP(C3414,APOYO!J:K,2,FALSE),C3414)</f>
        <v>RICAURTE</v>
      </c>
      <c r="E3414">
        <v>2017</v>
      </c>
    </row>
    <row r="3415" spans="1:5" hidden="1" x14ac:dyDescent="0.25">
      <c r="A3415" t="str">
        <f>_xlfn.XLOOKUP(C3415, 'Códigos DANE Municipios'!$B$2:$B$1123, 'Códigos DANE Municipios'!$A$2:$A$1123, "No encontrado")</f>
        <v>20614</v>
      </c>
      <c r="B3415" t="str">
        <f>IFERROR(VLOOKUP(D3415,APOYO!K:L,2,FALSE),A3415)</f>
        <v>20614</v>
      </c>
      <c r="C3415" t="s">
        <v>846</v>
      </c>
      <c r="D3415" t="str">
        <f>IFERROR(VLOOKUP(C3415,APOYO!J:K,2,FALSE),C3415)</f>
        <v>RÍO DE ORO</v>
      </c>
      <c r="E3415">
        <v>2017</v>
      </c>
    </row>
    <row r="3416" spans="1:5" hidden="1" x14ac:dyDescent="0.25">
      <c r="A3416" t="str">
        <f>_xlfn.XLOOKUP(C3416, 'Códigos DANE Municipios'!$B$2:$B$1123, 'Códigos DANE Municipios'!$A$2:$A$1123, "No encontrado")</f>
        <v>76616</v>
      </c>
      <c r="B3416" t="str">
        <f>IFERROR(VLOOKUP(D3416,APOYO!K:L,2,FALSE),A3416)</f>
        <v>76616</v>
      </c>
      <c r="C3416" t="s">
        <v>2009</v>
      </c>
      <c r="D3416" t="str">
        <f>IFERROR(VLOOKUP(C3416,APOYO!J:K,2,FALSE),C3416)</f>
        <v>RIOFRÍO</v>
      </c>
      <c r="E3416">
        <v>2017</v>
      </c>
    </row>
    <row r="3417" spans="1:5" hidden="1" x14ac:dyDescent="0.25">
      <c r="A3417" t="str">
        <f>_xlfn.XLOOKUP(C3417, 'Códigos DANE Municipios'!$B$2:$B$1123, 'Códigos DANE Municipios'!$A$2:$A$1123, "No encontrado")</f>
        <v>44001</v>
      </c>
      <c r="B3417" t="str">
        <f>IFERROR(VLOOKUP(D3417,APOYO!K:L,2,FALSE),A3417)</f>
        <v>44001</v>
      </c>
      <c r="C3417" t="s">
        <v>1272</v>
      </c>
      <c r="D3417" t="str">
        <f>IFERROR(VLOOKUP(C3417,APOYO!J:K,2,FALSE),C3417)</f>
        <v>RIOHACHA</v>
      </c>
      <c r="E3417">
        <v>2017</v>
      </c>
    </row>
    <row r="3418" spans="1:5" hidden="1" x14ac:dyDescent="0.25">
      <c r="A3418" t="str">
        <f>_xlfn.XLOOKUP(C3418, 'Códigos DANE Municipios'!$B$2:$B$1123, 'Códigos DANE Municipios'!$A$2:$A$1123, "No encontrado")</f>
        <v>05615</v>
      </c>
      <c r="B3418" t="str">
        <f>IFERROR(VLOOKUP(D3418,APOYO!K:L,2,FALSE),A3418)</f>
        <v>05615</v>
      </c>
      <c r="C3418" t="s">
        <v>180</v>
      </c>
      <c r="D3418" t="str">
        <f>IFERROR(VLOOKUP(C3418,APOYO!J:K,2,FALSE),C3418)</f>
        <v>RIONEGRO</v>
      </c>
      <c r="E3418">
        <v>2017</v>
      </c>
    </row>
    <row r="3419" spans="1:5" hidden="1" x14ac:dyDescent="0.25">
      <c r="A3419" t="str">
        <f>_xlfn.XLOOKUP(C3419, 'Códigos DANE Municipios'!$B$2:$B$1123, 'Códigos DANE Municipios'!$A$2:$A$1123, "No encontrado")</f>
        <v>17614</v>
      </c>
      <c r="B3419" t="str">
        <f>IFERROR(VLOOKUP(D3419,APOYO!K:L,2,FALSE),A3419)</f>
        <v>17614</v>
      </c>
      <c r="C3419" t="s">
        <v>680</v>
      </c>
      <c r="D3419" t="str">
        <f>IFERROR(VLOOKUP(C3419,APOYO!J:K,2,FALSE),C3419)</f>
        <v>RIOSUCIO</v>
      </c>
      <c r="E3419">
        <v>2017</v>
      </c>
    </row>
    <row r="3420" spans="1:5" hidden="1" x14ac:dyDescent="0.25">
      <c r="A3420" t="str">
        <f>_xlfn.XLOOKUP(C3420, 'Códigos DANE Municipios'!$B$2:$B$1123, 'Códigos DANE Municipios'!$A$2:$A$1123, "No encontrado")</f>
        <v>17616</v>
      </c>
      <c r="B3420" t="str">
        <f>IFERROR(VLOOKUP(D3420,APOYO!K:L,2,FALSE),A3420)</f>
        <v>17616</v>
      </c>
      <c r="C3420" t="s">
        <v>682</v>
      </c>
      <c r="D3420" t="str">
        <f>IFERROR(VLOOKUP(C3420,APOYO!J:K,2,FALSE),C3420)</f>
        <v>RISARALDA</v>
      </c>
      <c r="E3420">
        <v>2017</v>
      </c>
    </row>
    <row r="3421" spans="1:5" hidden="1" x14ac:dyDescent="0.25">
      <c r="A3421" t="str">
        <f>_xlfn.XLOOKUP(C3421, 'Códigos DANE Municipios'!$B$2:$B$1123, 'Códigos DANE Municipios'!$A$2:$A$1123, "No encontrado")</f>
        <v>41615</v>
      </c>
      <c r="B3421" t="str">
        <f>IFERROR(VLOOKUP(D3421,APOYO!K:L,2,FALSE),A3421)</f>
        <v>41615</v>
      </c>
      <c r="C3421" t="s">
        <v>1249</v>
      </c>
      <c r="D3421" t="str">
        <f>IFERROR(VLOOKUP(C3421,APOYO!J:K,2,FALSE),C3421)</f>
        <v>RIVERA</v>
      </c>
      <c r="E3421">
        <v>2017</v>
      </c>
    </row>
    <row r="3422" spans="1:5" hidden="1" x14ac:dyDescent="0.25">
      <c r="A3422" t="str">
        <f>_xlfn.XLOOKUP(C3422, 'Códigos DANE Municipios'!$B$2:$B$1123, 'Códigos DANE Municipios'!$A$2:$A$1123, "No encontrado")</f>
        <v>20621</v>
      </c>
      <c r="B3422" t="str">
        <f>IFERROR(VLOOKUP(D3422,APOYO!K:L,2,FALSE),A3422)</f>
        <v>20621</v>
      </c>
      <c r="C3422" t="s">
        <v>848</v>
      </c>
      <c r="D3422" t="str">
        <f>IFERROR(VLOOKUP(C3422,APOYO!J:K,2,FALSE),C3422)</f>
        <v>LA PAZ</v>
      </c>
      <c r="E3422">
        <v>2017</v>
      </c>
    </row>
    <row r="3423" spans="1:5" hidden="1" x14ac:dyDescent="0.25">
      <c r="A3423" t="str">
        <f>_xlfn.XLOOKUP(C3423, 'Códigos DANE Municipios'!$B$2:$B$1123, 'Códigos DANE Municipios'!$A$2:$A$1123, "No encontrado")</f>
        <v>76622</v>
      </c>
      <c r="B3423" t="str">
        <f>IFERROR(VLOOKUP(D3423,APOYO!K:L,2,FALSE),A3423)</f>
        <v>76622</v>
      </c>
      <c r="C3423" t="s">
        <v>2011</v>
      </c>
      <c r="D3423" t="str">
        <f>IFERROR(VLOOKUP(C3423,APOYO!J:K,2,FALSE),C3423)</f>
        <v>ROLDANILLO</v>
      </c>
      <c r="E3423">
        <v>2017</v>
      </c>
    </row>
    <row r="3424" spans="1:5" hidden="1" x14ac:dyDescent="0.25">
      <c r="A3424" t="str">
        <f>_xlfn.XLOOKUP(C3424, 'Códigos DANE Municipios'!$B$2:$B$1123, 'Códigos DANE Municipios'!$A$2:$A$1123, "No encontrado")</f>
        <v>73622</v>
      </c>
      <c r="B3424" t="str">
        <f>IFERROR(VLOOKUP(D3424,APOYO!K:L,2,FALSE),A3424)</f>
        <v>73622</v>
      </c>
      <c r="C3424" t="s">
        <v>1937</v>
      </c>
      <c r="D3424" t="str">
        <f>IFERROR(VLOOKUP(C3424,APOYO!J:K,2,FALSE),C3424)</f>
        <v>RONCESVALLES</v>
      </c>
      <c r="E3424">
        <v>2017</v>
      </c>
    </row>
    <row r="3425" spans="1:5" hidden="1" x14ac:dyDescent="0.25">
      <c r="A3425" t="str">
        <f>_xlfn.XLOOKUP(C3425, 'Códigos DANE Municipios'!$B$2:$B$1123, 'Códigos DANE Municipios'!$A$2:$A$1123, "No encontrado")</f>
        <v>73624</v>
      </c>
      <c r="B3425" t="str">
        <f>IFERROR(VLOOKUP(D3425,APOYO!K:L,2,FALSE),A3425)</f>
        <v>73624</v>
      </c>
      <c r="C3425" t="s">
        <v>1939</v>
      </c>
      <c r="D3425" t="str">
        <f>IFERROR(VLOOKUP(C3425,APOYO!J:K,2,FALSE),C3425)</f>
        <v>ROVIRA</v>
      </c>
      <c r="E3425">
        <v>2017</v>
      </c>
    </row>
    <row r="3426" spans="1:5" hidden="1" x14ac:dyDescent="0.25">
      <c r="A3426" t="str">
        <f>_xlfn.XLOOKUP(C3426, 'Códigos DANE Municipios'!$B$2:$B$1123, 'Códigos DANE Municipios'!$A$2:$A$1123, "No encontrado")</f>
        <v>68655</v>
      </c>
      <c r="B3426" t="str">
        <f>IFERROR(VLOOKUP(D3426,APOYO!K:L,2,FALSE),A3426)</f>
        <v>68655</v>
      </c>
      <c r="C3426" t="s">
        <v>1777</v>
      </c>
      <c r="D3426" t="str">
        <f>IFERROR(VLOOKUP(C3426,APOYO!J:K,2,FALSE),C3426)</f>
        <v>SABANA DE TORRES</v>
      </c>
      <c r="E3426">
        <v>2017</v>
      </c>
    </row>
    <row r="3427" spans="1:5" hidden="1" x14ac:dyDescent="0.25">
      <c r="A3427" t="str">
        <f>_xlfn.XLOOKUP(C3427, 'Códigos DANE Municipios'!$B$2:$B$1123, 'Códigos DANE Municipios'!$A$2:$A$1123, "No encontrado")</f>
        <v>08634</v>
      </c>
      <c r="B3427" t="str">
        <f>IFERROR(VLOOKUP(D3427,APOYO!K:L,2,FALSE),A3427)</f>
        <v>08634</v>
      </c>
      <c r="C3427" t="s">
        <v>292</v>
      </c>
      <c r="D3427" t="str">
        <f>IFERROR(VLOOKUP(C3427,APOYO!J:K,2,FALSE),C3427)</f>
        <v>SABANAGRANDE</v>
      </c>
      <c r="E3427">
        <v>2017</v>
      </c>
    </row>
    <row r="3428" spans="1:5" hidden="1" x14ac:dyDescent="0.25">
      <c r="A3428" t="str">
        <f>_xlfn.XLOOKUP(C3428, 'Códigos DANE Municipios'!$B$2:$B$1123, 'Códigos DANE Municipios'!$A$2:$A$1123, "No encontrado")</f>
        <v>05628</v>
      </c>
      <c r="B3428" t="str">
        <f>IFERROR(VLOOKUP(D3428,APOYO!K:L,2,FALSE),A3428)</f>
        <v>05628</v>
      </c>
      <c r="C3428" t="s">
        <v>182</v>
      </c>
      <c r="D3428" t="str">
        <f>IFERROR(VLOOKUP(C3428,APOYO!J:K,2,FALSE),C3428)</f>
        <v>SABANALARGA</v>
      </c>
      <c r="E3428">
        <v>2017</v>
      </c>
    </row>
    <row r="3429" spans="1:5" hidden="1" x14ac:dyDescent="0.25">
      <c r="A3429" t="str">
        <f>_xlfn.XLOOKUP(C3429, 'Códigos DANE Municipios'!$B$2:$B$1123, 'Códigos DANE Municipios'!$A$2:$A$1123, "No encontrado")</f>
        <v>05631</v>
      </c>
      <c r="B3429" t="str">
        <f>IFERROR(VLOOKUP(D3429,APOYO!K:L,2,FALSE),A3429)</f>
        <v>05631</v>
      </c>
      <c r="C3429" t="s">
        <v>184</v>
      </c>
      <c r="D3429" t="str">
        <f>IFERROR(VLOOKUP(C3429,APOYO!J:K,2,FALSE),C3429)</f>
        <v>SABANETA</v>
      </c>
      <c r="E3429">
        <v>2017</v>
      </c>
    </row>
    <row r="3430" spans="1:5" hidden="1" x14ac:dyDescent="0.25">
      <c r="A3430" t="str">
        <f>_xlfn.XLOOKUP(C3430, 'Códigos DANE Municipios'!$B$2:$B$1123, 'Códigos DANE Municipios'!$A$2:$A$1123, "No encontrado")</f>
        <v>15632</v>
      </c>
      <c r="B3430" t="str">
        <f>IFERROR(VLOOKUP(D3430,APOYO!K:L,2,FALSE),A3430)</f>
        <v>15632</v>
      </c>
      <c r="C3430" t="s">
        <v>554</v>
      </c>
      <c r="D3430" t="str">
        <f>IFERROR(VLOOKUP(C3430,APOYO!J:K,2,FALSE),C3430)</f>
        <v>SABOYÁ</v>
      </c>
      <c r="E3430">
        <v>2017</v>
      </c>
    </row>
    <row r="3431" spans="1:5" hidden="1" x14ac:dyDescent="0.25">
      <c r="A3431" t="str">
        <f>_xlfn.XLOOKUP(C3431, 'Códigos DANE Municipios'!$B$2:$B$1123, 'Códigos DANE Municipios'!$A$2:$A$1123, "No encontrado")</f>
        <v>15638</v>
      </c>
      <c r="B3431" t="str">
        <f>IFERROR(VLOOKUP(D3431,APOYO!K:L,2,FALSE),A3431)</f>
        <v>15638</v>
      </c>
      <c r="C3431" t="s">
        <v>556</v>
      </c>
      <c r="D3431" t="str">
        <f>IFERROR(VLOOKUP(C3431,APOYO!J:K,2,FALSE),C3431)</f>
        <v>SÁCHICA</v>
      </c>
      <c r="E3431">
        <v>2017</v>
      </c>
    </row>
    <row r="3432" spans="1:5" hidden="1" x14ac:dyDescent="0.25">
      <c r="A3432" t="str">
        <f>_xlfn.XLOOKUP(C3432, 'Códigos DANE Municipios'!$B$2:$B$1123, 'Códigos DANE Municipios'!$A$2:$A$1123, "No encontrado")</f>
        <v>23660</v>
      </c>
      <c r="B3432" t="str">
        <f>IFERROR(VLOOKUP(D3432,APOYO!K:L,2,FALSE),A3432)</f>
        <v>23660</v>
      </c>
      <c r="C3432" t="s">
        <v>897</v>
      </c>
      <c r="D3432" t="str">
        <f>IFERROR(VLOOKUP(C3432,APOYO!J:K,2,FALSE),C3432)</f>
        <v>SAHAGÚN</v>
      </c>
      <c r="E3432">
        <v>2017</v>
      </c>
    </row>
    <row r="3433" spans="1:5" hidden="1" x14ac:dyDescent="0.25">
      <c r="A3433" t="str">
        <f>_xlfn.XLOOKUP(C3433, 'Códigos DANE Municipios'!$B$2:$B$1123, 'Códigos DANE Municipios'!$A$2:$A$1123, "No encontrado")</f>
        <v>41660</v>
      </c>
      <c r="B3433" t="str">
        <f>IFERROR(VLOOKUP(D3433,APOYO!K:L,2,FALSE),A3433)</f>
        <v>41660</v>
      </c>
      <c r="C3433" t="s">
        <v>1251</v>
      </c>
      <c r="D3433" t="str">
        <f>IFERROR(VLOOKUP(C3433,APOYO!J:K,2,FALSE),C3433)</f>
        <v>SALADOBLANCO</v>
      </c>
      <c r="E3433">
        <v>2017</v>
      </c>
    </row>
    <row r="3434" spans="1:5" hidden="1" x14ac:dyDescent="0.25">
      <c r="A3434" t="str">
        <f>_xlfn.XLOOKUP(C3434, 'Códigos DANE Municipios'!$B$2:$B$1123, 'Códigos DANE Municipios'!$A$2:$A$1123, "No encontrado")</f>
        <v>17653</v>
      </c>
      <c r="B3434" t="str">
        <f>IFERROR(VLOOKUP(D3434,APOYO!K:L,2,FALSE),A3434)</f>
        <v>17653</v>
      </c>
      <c r="C3434" t="s">
        <v>684</v>
      </c>
      <c r="D3434" t="str">
        <f>IFERROR(VLOOKUP(C3434,APOYO!J:K,2,FALSE),C3434)</f>
        <v>SALAMINA</v>
      </c>
      <c r="E3434">
        <v>2017</v>
      </c>
    </row>
    <row r="3435" spans="1:5" hidden="1" x14ac:dyDescent="0.25">
      <c r="A3435" t="str">
        <f>_xlfn.XLOOKUP(C3435, 'Códigos DANE Municipios'!$B$2:$B$1123, 'Códigos DANE Municipios'!$A$2:$A$1123, "No encontrado")</f>
        <v>54660</v>
      </c>
      <c r="B3435" t="str">
        <f>IFERROR(VLOOKUP(D3435,APOYO!K:L,2,FALSE),A3435)</f>
        <v>54660</v>
      </c>
      <c r="C3435" t="s">
        <v>1587</v>
      </c>
      <c r="D3435" t="str">
        <f>IFERROR(VLOOKUP(C3435,APOYO!J:K,2,FALSE),C3435)</f>
        <v>SALAZAR</v>
      </c>
      <c r="E3435">
        <v>2017</v>
      </c>
    </row>
    <row r="3436" spans="1:5" hidden="1" x14ac:dyDescent="0.25">
      <c r="A3436" t="str">
        <f>_xlfn.XLOOKUP(C3436, 'Códigos DANE Municipios'!$B$2:$B$1123, 'Códigos DANE Municipios'!$A$2:$A$1123, "No encontrado")</f>
        <v>73671</v>
      </c>
      <c r="B3436" t="str">
        <f>IFERROR(VLOOKUP(D3436,APOYO!K:L,2,FALSE),A3436)</f>
        <v>73671</v>
      </c>
      <c r="C3436" t="s">
        <v>1941</v>
      </c>
      <c r="D3436" t="str">
        <f>IFERROR(VLOOKUP(C3436,APOYO!J:K,2,FALSE),C3436)</f>
        <v>SALDAÑA</v>
      </c>
      <c r="E3436">
        <v>2017</v>
      </c>
    </row>
    <row r="3437" spans="1:5" hidden="1" x14ac:dyDescent="0.25">
      <c r="A3437" t="str">
        <f>_xlfn.XLOOKUP(C3437, 'Códigos DANE Municipios'!$B$2:$B$1123, 'Códigos DANE Municipios'!$A$2:$A$1123, "No encontrado")</f>
        <v>63690</v>
      </c>
      <c r="B3437" t="str">
        <f>IFERROR(VLOOKUP(D3437,APOYO!K:L,2,FALSE),A3437)</f>
        <v>63690</v>
      </c>
      <c r="C3437" t="s">
        <v>1626</v>
      </c>
      <c r="D3437" t="str">
        <f>IFERROR(VLOOKUP(C3437,APOYO!J:K,2,FALSE),C3437)</f>
        <v>SALENTO</v>
      </c>
      <c r="E3437">
        <v>2017</v>
      </c>
    </row>
    <row r="3438" spans="1:5" hidden="1" x14ac:dyDescent="0.25">
      <c r="A3438" t="str">
        <f>_xlfn.XLOOKUP(C3438, 'Códigos DANE Municipios'!$B$2:$B$1123, 'Códigos DANE Municipios'!$A$2:$A$1123, "No encontrado")</f>
        <v>05642</v>
      </c>
      <c r="B3438" t="str">
        <f>IFERROR(VLOOKUP(D3438,APOYO!K:L,2,FALSE),A3438)</f>
        <v>05642</v>
      </c>
      <c r="C3438" t="s">
        <v>186</v>
      </c>
      <c r="D3438" t="str">
        <f>IFERROR(VLOOKUP(C3438,APOYO!J:K,2,FALSE),C3438)</f>
        <v>SALGAR</v>
      </c>
      <c r="E3438">
        <v>2017</v>
      </c>
    </row>
    <row r="3439" spans="1:5" hidden="1" x14ac:dyDescent="0.25">
      <c r="A3439" t="str">
        <f>_xlfn.XLOOKUP(C3439, 'Códigos DANE Municipios'!$B$2:$B$1123, 'Códigos DANE Municipios'!$A$2:$A$1123, "No encontrado")</f>
        <v>15646</v>
      </c>
      <c r="B3439" t="str">
        <f>IFERROR(VLOOKUP(D3439,APOYO!K:L,2,FALSE),A3439)</f>
        <v>15646</v>
      </c>
      <c r="C3439" t="s">
        <v>558</v>
      </c>
      <c r="D3439" t="str">
        <f>IFERROR(VLOOKUP(C3439,APOYO!J:K,2,FALSE),C3439)</f>
        <v>SAMACÁ</v>
      </c>
      <c r="E3439">
        <v>2017</v>
      </c>
    </row>
    <row r="3440" spans="1:5" hidden="1" x14ac:dyDescent="0.25">
      <c r="A3440" t="str">
        <f>_xlfn.XLOOKUP(C3440, 'Códigos DANE Municipios'!$B$2:$B$1123, 'Códigos DANE Municipios'!$A$2:$A$1123, "No encontrado")</f>
        <v>17662</v>
      </c>
      <c r="B3440" t="str">
        <f>IFERROR(VLOOKUP(D3440,APOYO!K:L,2,FALSE),A3440)</f>
        <v>17662</v>
      </c>
      <c r="C3440" t="s">
        <v>686</v>
      </c>
      <c r="D3440" t="str">
        <f>IFERROR(VLOOKUP(C3440,APOYO!J:K,2,FALSE),C3440)</f>
        <v>SAMANÁ</v>
      </c>
      <c r="E3440">
        <v>2017</v>
      </c>
    </row>
    <row r="3441" spans="1:5" hidden="1" x14ac:dyDescent="0.25">
      <c r="A3441" t="str">
        <f>_xlfn.XLOOKUP(C3441, 'Códigos DANE Municipios'!$B$2:$B$1123, 'Códigos DANE Municipios'!$A$2:$A$1123, "No encontrado")</f>
        <v>52678</v>
      </c>
      <c r="B3441" t="str">
        <f>IFERROR(VLOOKUP(D3441,APOYO!K:L,2,FALSE),A3441)</f>
        <v>52678</v>
      </c>
      <c r="C3441" t="s">
        <v>1504</v>
      </c>
      <c r="D3441" t="str">
        <f>IFERROR(VLOOKUP(C3441,APOYO!J:K,2,FALSE),C3441)</f>
        <v>SAMANIEGO</v>
      </c>
      <c r="E3441">
        <v>2017</v>
      </c>
    </row>
    <row r="3442" spans="1:5" hidden="1" x14ac:dyDescent="0.25">
      <c r="A3442" t="str">
        <f>_xlfn.XLOOKUP(C3442, 'Códigos DANE Municipios'!$B$2:$B$1123, 'Códigos DANE Municipios'!$A$2:$A$1123, "No encontrado")</f>
        <v>70670</v>
      </c>
      <c r="B3442" t="str">
        <f>IFERROR(VLOOKUP(D3442,APOYO!K:L,2,FALSE),A3442)</f>
        <v>70670</v>
      </c>
      <c r="C3442" t="s">
        <v>1846</v>
      </c>
      <c r="D3442" t="str">
        <f>IFERROR(VLOOKUP(C3442,APOYO!J:K,2,FALSE),C3442)</f>
        <v>SAMPUÉS</v>
      </c>
      <c r="E3442">
        <v>2017</v>
      </c>
    </row>
    <row r="3443" spans="1:5" hidden="1" x14ac:dyDescent="0.25">
      <c r="A3443" t="str">
        <f>_xlfn.XLOOKUP(C3443, 'Códigos DANE Municipios'!$B$2:$B$1123, 'Códigos DANE Municipios'!$A$2:$A$1123, "No encontrado")</f>
        <v>41668</v>
      </c>
      <c r="B3443" t="str">
        <f>IFERROR(VLOOKUP(D3443,APOYO!K:L,2,FALSE),A3443)</f>
        <v>41668</v>
      </c>
      <c r="C3443" t="s">
        <v>1253</v>
      </c>
      <c r="D3443" t="str">
        <f>IFERROR(VLOOKUP(C3443,APOYO!J:K,2,FALSE),C3443)</f>
        <v>SAN AGUSTÍN</v>
      </c>
      <c r="E3443">
        <v>2017</v>
      </c>
    </row>
    <row r="3444" spans="1:5" hidden="1" x14ac:dyDescent="0.25">
      <c r="A3444" t="str">
        <f>_xlfn.XLOOKUP(C3444, 'Códigos DANE Municipios'!$B$2:$B$1123, 'Códigos DANE Municipios'!$A$2:$A$1123, "No encontrado")</f>
        <v>20710</v>
      </c>
      <c r="B3444" t="str">
        <f>IFERROR(VLOOKUP(D3444,APOYO!K:L,2,FALSE),A3444)</f>
        <v>20710</v>
      </c>
      <c r="C3444" t="s">
        <v>850</v>
      </c>
      <c r="D3444" t="str">
        <f>IFERROR(VLOOKUP(C3444,APOYO!J:K,2,FALSE),C3444)</f>
        <v>SAN ALBERTO</v>
      </c>
      <c r="E3444">
        <v>2017</v>
      </c>
    </row>
    <row r="3445" spans="1:5" hidden="1" x14ac:dyDescent="0.25">
      <c r="A3445" t="str">
        <f>_xlfn.XLOOKUP(C3445, 'Códigos DANE Municipios'!$B$2:$B$1123, 'Códigos DANE Municipios'!$A$2:$A$1123, "No encontrado")</f>
        <v>68669</v>
      </c>
      <c r="B3445" t="str">
        <f>IFERROR(VLOOKUP(D3445,APOYO!K:L,2,FALSE),A3445)</f>
        <v>68669</v>
      </c>
      <c r="C3445" t="s">
        <v>1779</v>
      </c>
      <c r="D3445" t="str">
        <f>IFERROR(VLOOKUP(C3445,APOYO!J:K,2,FALSE),C3445)</f>
        <v>SAN ANDRÉS</v>
      </c>
      <c r="E3445">
        <v>2017</v>
      </c>
    </row>
    <row r="3446" spans="1:5" hidden="1" x14ac:dyDescent="0.25">
      <c r="A3446" t="str">
        <f>_xlfn.XLOOKUP(C3446, 'Códigos DANE Municipios'!$B$2:$B$1123, 'Códigos DANE Municipios'!$A$2:$A$1123, "No encontrado")</f>
        <v>23670</v>
      </c>
      <c r="B3446" t="str">
        <f>IFERROR(VLOOKUP(D3446,APOYO!K:L,2,FALSE),A3446)</f>
        <v>23670</v>
      </c>
      <c r="C3446" t="s">
        <v>899</v>
      </c>
      <c r="D3446" t="str">
        <f>IFERROR(VLOOKUP(C3446,APOYO!J:K,2,FALSE),C3446)</f>
        <v>SAN ANDRÉS DE SOTAVENTO</v>
      </c>
      <c r="E3446">
        <v>2017</v>
      </c>
    </row>
    <row r="3447" spans="1:5" hidden="1" x14ac:dyDescent="0.25">
      <c r="A3447" t="str">
        <f>_xlfn.XLOOKUP(C3447, 'Códigos DANE Municipios'!$B$2:$B$1123, 'Códigos DANE Municipios'!$A$2:$A$1123, "No encontrado")</f>
        <v>23672</v>
      </c>
      <c r="B3447" t="str">
        <f>IFERROR(VLOOKUP(D3447,APOYO!K:L,2,FALSE),A3447)</f>
        <v>23672</v>
      </c>
      <c r="C3447" t="s">
        <v>901</v>
      </c>
      <c r="D3447" t="str">
        <f>IFERROR(VLOOKUP(C3447,APOYO!J:K,2,FALSE),C3447)</f>
        <v>SAN ANTERO</v>
      </c>
      <c r="E3447">
        <v>2017</v>
      </c>
    </row>
    <row r="3448" spans="1:5" hidden="1" x14ac:dyDescent="0.25">
      <c r="A3448" t="str">
        <f>_xlfn.XLOOKUP(C3448, 'Códigos DANE Municipios'!$B$2:$B$1123, 'Códigos DANE Municipios'!$A$2:$A$1123, "No encontrado")</f>
        <v>73675</v>
      </c>
      <c r="B3448" t="str">
        <f>IFERROR(VLOOKUP(D3448,APOYO!K:L,2,FALSE),A3448)</f>
        <v>73675</v>
      </c>
      <c r="C3448" t="s">
        <v>1943</v>
      </c>
      <c r="D3448" t="str">
        <f>IFERROR(VLOOKUP(C3448,APOYO!J:K,2,FALSE),C3448)</f>
        <v>SAN ANTONIO</v>
      </c>
      <c r="E3448">
        <v>2017</v>
      </c>
    </row>
    <row r="3449" spans="1:5" hidden="1" x14ac:dyDescent="0.25">
      <c r="A3449" t="str">
        <f>_xlfn.XLOOKUP(C3449, 'Códigos DANE Municipios'!$B$2:$B$1123, 'Códigos DANE Municipios'!$A$2:$A$1123, "No encontrado")</f>
        <v>25649</v>
      </c>
      <c r="B3449" t="str">
        <f>IFERROR(VLOOKUP(D3449,APOYO!K:L,2,FALSE),A3449)</f>
        <v>25649</v>
      </c>
      <c r="C3449" t="s">
        <v>1065</v>
      </c>
      <c r="D3449" t="str">
        <f>IFERROR(VLOOKUP(C3449,APOYO!J:K,2,FALSE),C3449)</f>
        <v>SAN BERNARDO</v>
      </c>
      <c r="E3449">
        <v>2017</v>
      </c>
    </row>
    <row r="3450" spans="1:5" hidden="1" x14ac:dyDescent="0.25">
      <c r="A3450" t="str">
        <f>_xlfn.XLOOKUP(C3450, 'Códigos DANE Municipios'!$B$2:$B$1123, 'Códigos DANE Municipios'!$A$2:$A$1123, "No encontrado")</f>
        <v>25649</v>
      </c>
      <c r="B3450" t="str">
        <f>IFERROR(VLOOKUP(D3450,APOYO!K:L,2,FALSE),A3450)</f>
        <v>25649</v>
      </c>
      <c r="C3450" t="s">
        <v>1065</v>
      </c>
      <c r="D3450" t="str">
        <f>IFERROR(VLOOKUP(C3450,APOYO!J:K,2,FALSE),C3450)</f>
        <v>SAN BERNARDO</v>
      </c>
      <c r="E3450">
        <v>2017</v>
      </c>
    </row>
    <row r="3451" spans="1:5" hidden="1" x14ac:dyDescent="0.25">
      <c r="A3451" t="str">
        <f>_xlfn.XLOOKUP(C3451, 'Códigos DANE Municipios'!$B$2:$B$1123, 'Códigos DANE Municipios'!$A$2:$A$1123, "No encontrado")</f>
        <v>05649</v>
      </c>
      <c r="B3451" t="str">
        <f>IFERROR(VLOOKUP(D3451,APOYO!K:L,2,FALSE),A3451)</f>
        <v>05649</v>
      </c>
      <c r="C3451" t="s">
        <v>190</v>
      </c>
      <c r="D3451" t="str">
        <f>IFERROR(VLOOKUP(C3451,APOYO!J:K,2,FALSE),C3451)</f>
        <v>SAN CARLOS</v>
      </c>
      <c r="E3451">
        <v>2017</v>
      </c>
    </row>
    <row r="3452" spans="1:5" hidden="1" x14ac:dyDescent="0.25">
      <c r="A3452" t="str">
        <f>_xlfn.XLOOKUP(C3452, 'Códigos DANE Municipios'!$B$2:$B$1123, 'Códigos DANE Municipios'!$A$2:$A$1123, "No encontrado")</f>
        <v>05649</v>
      </c>
      <c r="B3452" t="str">
        <f>IFERROR(VLOOKUP(D3452,APOYO!K:L,2,FALSE),A3452)</f>
        <v>05649</v>
      </c>
      <c r="C3452" t="s">
        <v>190</v>
      </c>
      <c r="D3452" t="str">
        <f>IFERROR(VLOOKUP(C3452,APOYO!J:K,2,FALSE),C3452)</f>
        <v>SAN CARLOS</v>
      </c>
      <c r="E3452">
        <v>2017</v>
      </c>
    </row>
    <row r="3453" spans="1:5" hidden="1" x14ac:dyDescent="0.25">
      <c r="A3453" t="str">
        <f>_xlfn.XLOOKUP(C3453, 'Códigos DANE Municipios'!$B$2:$B$1123, 'Códigos DANE Municipios'!$A$2:$A$1123, "No encontrado")</f>
        <v>20750</v>
      </c>
      <c r="B3453" t="str">
        <f>IFERROR(VLOOKUP(D3453,APOYO!K:L,2,FALSE),A3453)</f>
        <v>20750</v>
      </c>
      <c r="C3453" t="s">
        <v>852</v>
      </c>
      <c r="D3453" t="str">
        <f>IFERROR(VLOOKUP(C3453,APOYO!J:K,2,FALSE),C3453)</f>
        <v>SAN DIEGO</v>
      </c>
      <c r="E3453">
        <v>2017</v>
      </c>
    </row>
    <row r="3454" spans="1:5" hidden="1" x14ac:dyDescent="0.25">
      <c r="A3454" t="str">
        <f>_xlfn.XLOOKUP(C3454, 'Códigos DANE Municipios'!$B$2:$B$1123, 'Códigos DANE Municipios'!$A$2:$A$1123, "No encontrado")</f>
        <v>13647</v>
      </c>
      <c r="B3454" t="str">
        <f>IFERROR(VLOOKUP(D3454,APOYO!K:L,2,FALSE),A3454)</f>
        <v>13647</v>
      </c>
      <c r="C3454" t="s">
        <v>365</v>
      </c>
      <c r="D3454" t="str">
        <f>IFERROR(VLOOKUP(C3454,APOYO!J:K,2,FALSE),C3454)</f>
        <v>SAN ESTANISLAO</v>
      </c>
      <c r="E3454">
        <v>2017</v>
      </c>
    </row>
    <row r="3455" spans="1:5" hidden="1" x14ac:dyDescent="0.25">
      <c r="A3455" t="str">
        <f>_xlfn.XLOOKUP(C3455, 'Códigos DANE Municipios'!$B$2:$B$1123, 'Códigos DANE Municipios'!$A$2:$A$1123, "No encontrado")</f>
        <v>05652</v>
      </c>
      <c r="B3455" t="str">
        <f>IFERROR(VLOOKUP(D3455,APOYO!K:L,2,FALSE),A3455)</f>
        <v>05652</v>
      </c>
      <c r="C3455" t="s">
        <v>192</v>
      </c>
      <c r="D3455" t="str">
        <f>IFERROR(VLOOKUP(C3455,APOYO!J:K,2,FALSE),C3455)</f>
        <v>SAN FRANCISCO</v>
      </c>
      <c r="E3455">
        <v>2017</v>
      </c>
    </row>
    <row r="3456" spans="1:5" hidden="1" x14ac:dyDescent="0.25">
      <c r="A3456" t="str">
        <f>_xlfn.XLOOKUP(C3456, 'Códigos DANE Municipios'!$B$2:$B$1123, 'Códigos DANE Municipios'!$A$2:$A$1123, "No encontrado")</f>
        <v>68679</v>
      </c>
      <c r="B3456" t="str">
        <f>IFERROR(VLOOKUP(D3456,APOYO!K:L,2,FALSE),A3456)</f>
        <v>68679</v>
      </c>
      <c r="C3456" t="s">
        <v>1783</v>
      </c>
      <c r="D3456" t="str">
        <f>IFERROR(VLOOKUP(C3456,APOYO!J:K,2,FALSE),C3456)</f>
        <v>SAN GIL</v>
      </c>
      <c r="E3456">
        <v>2017</v>
      </c>
    </row>
    <row r="3457" spans="1:5" hidden="1" x14ac:dyDescent="0.25">
      <c r="A3457" t="str">
        <f>_xlfn.XLOOKUP(C3457, 'Códigos DANE Municipios'!$B$2:$B$1123, 'Códigos DANE Municipios'!$A$2:$A$1123, "No encontrado")</f>
        <v>13654</v>
      </c>
      <c r="B3457" t="str">
        <f>IFERROR(VLOOKUP(D3457,APOYO!K:L,2,FALSE),A3457)</f>
        <v>13654</v>
      </c>
      <c r="C3457" t="s">
        <v>369</v>
      </c>
      <c r="D3457" t="str">
        <f>IFERROR(VLOOKUP(C3457,APOYO!J:K,2,FALSE),C3457)</f>
        <v>SAN JACINTO</v>
      </c>
      <c r="E3457">
        <v>2017</v>
      </c>
    </row>
    <row r="3458" spans="1:5" hidden="1" x14ac:dyDescent="0.25">
      <c r="A3458" t="str">
        <f>_xlfn.XLOOKUP(C3458, 'Códigos DANE Municipios'!$B$2:$B$1123, 'Códigos DANE Municipios'!$A$2:$A$1123, "No encontrado")</f>
        <v>05656</v>
      </c>
      <c r="B3458" t="str">
        <f>IFERROR(VLOOKUP(D3458,APOYO!K:L,2,FALSE),A3458)</f>
        <v>05656</v>
      </c>
      <c r="C3458" t="s">
        <v>194</v>
      </c>
      <c r="D3458" t="str">
        <f>IFERROR(VLOOKUP(C3458,APOYO!J:K,2,FALSE),C3458)</f>
        <v>SAN JERÓNIMO</v>
      </c>
      <c r="E3458">
        <v>2017</v>
      </c>
    </row>
    <row r="3459" spans="1:5" hidden="1" x14ac:dyDescent="0.25">
      <c r="A3459" t="str">
        <f>_xlfn.XLOOKUP(C3459, 'Códigos DANE Municipios'!$B$2:$B$1123, 'Códigos DANE Municipios'!$A$2:$A$1123, "No encontrado")</f>
        <v>17665</v>
      </c>
      <c r="B3459" t="str">
        <f>IFERROR(VLOOKUP(D3459,APOYO!K:L,2,FALSE),A3459)</f>
        <v>17748</v>
      </c>
      <c r="C3459" t="s">
        <v>688</v>
      </c>
      <c r="D3459" t="str">
        <f>IFERROR(VLOOKUP(C3459,APOYO!J:K,2,FALSE),C3459)</f>
        <v>SAN JOSÉ</v>
      </c>
      <c r="E3459">
        <v>2017</v>
      </c>
    </row>
    <row r="3460" spans="1:5" hidden="1" x14ac:dyDescent="0.25">
      <c r="A3460" t="str">
        <f>_xlfn.XLOOKUP(C3460, 'Códigos DANE Municipios'!$B$2:$B$1123, 'Códigos DANE Municipios'!$A$2:$A$1123, "No encontrado")</f>
        <v>95001</v>
      </c>
      <c r="B3460" t="str">
        <f>IFERROR(VLOOKUP(D3460,APOYO!K:L,2,FALSE),A3460)</f>
        <v>95001</v>
      </c>
      <c r="C3460" t="s">
        <v>2145</v>
      </c>
      <c r="D3460" t="str">
        <f>IFERROR(VLOOKUP(C3460,APOYO!J:K,2,FALSE),C3460)</f>
        <v>SAN JOSÉ DEL GUAVIARE</v>
      </c>
      <c r="E3460">
        <v>2017</v>
      </c>
    </row>
    <row r="3461" spans="1:5" hidden="1" x14ac:dyDescent="0.25">
      <c r="A3461" t="str">
        <f>_xlfn.XLOOKUP(C3461, 'Códigos DANE Municipios'!$B$2:$B$1123, 'Códigos DANE Municipios'!$A$2:$A$1123, "No encontrado")</f>
        <v>23682</v>
      </c>
      <c r="B3461" t="str">
        <f>IFERROR(VLOOKUP(D3461,APOYO!K:L,2,FALSE),A3461)</f>
        <v>23682</v>
      </c>
      <c r="C3461" t="s">
        <v>906</v>
      </c>
      <c r="D3461" t="str">
        <f>IFERROR(VLOOKUP(C3461,APOYO!J:K,2,FALSE),C3461)</f>
        <v>SAN JOSÉ DE URÉ</v>
      </c>
      <c r="E3461">
        <v>2017</v>
      </c>
    </row>
    <row r="3462" spans="1:5" hidden="1" x14ac:dyDescent="0.25">
      <c r="A3462" t="str">
        <f>_xlfn.XLOOKUP(C3462, 'Códigos DANE Municipios'!$B$2:$B$1123, 'Códigos DANE Municipios'!$A$2:$A$1123, "No encontrado")</f>
        <v>44650</v>
      </c>
      <c r="B3462" t="str">
        <f>IFERROR(VLOOKUP(D3462,APOYO!K:L,2,FALSE),A3462)</f>
        <v>44650</v>
      </c>
      <c r="C3462" t="s">
        <v>1293</v>
      </c>
      <c r="D3462" t="str">
        <f>IFERROR(VLOOKUP(C3462,APOYO!J:K,2,FALSE),C3462)</f>
        <v>SAN JUAN DEL CESAR</v>
      </c>
      <c r="E3462">
        <v>2017</v>
      </c>
    </row>
    <row r="3463" spans="1:5" hidden="1" x14ac:dyDescent="0.25">
      <c r="A3463" t="str">
        <f>_xlfn.XLOOKUP(C3463, 'Códigos DANE Municipios'!$B$2:$B$1123, 'Códigos DANE Municipios'!$A$2:$A$1123, "No encontrado")</f>
        <v>13657</v>
      </c>
      <c r="B3463" t="str">
        <f>IFERROR(VLOOKUP(D3463,APOYO!K:L,2,FALSE),A3463)</f>
        <v>13657</v>
      </c>
      <c r="C3463" t="s">
        <v>373</v>
      </c>
      <c r="D3463" t="str">
        <f>IFERROR(VLOOKUP(C3463,APOYO!J:K,2,FALSE),C3463)</f>
        <v>SAN JUAN NEPOMUCENO</v>
      </c>
      <c r="E3463">
        <v>2017</v>
      </c>
    </row>
    <row r="3464" spans="1:5" hidden="1" x14ac:dyDescent="0.25">
      <c r="A3464" t="str">
        <f>_xlfn.XLOOKUP(C3464, 'Códigos DANE Municipios'!$B$2:$B$1123, 'Códigos DANE Municipios'!$A$2:$A$1123, "No encontrado")</f>
        <v>05660</v>
      </c>
      <c r="B3464" t="str">
        <f>IFERROR(VLOOKUP(D3464,APOYO!K:L,2,FALSE),A3464)</f>
        <v>05660</v>
      </c>
      <c r="C3464" t="s">
        <v>200</v>
      </c>
      <c r="D3464" t="str">
        <f>IFERROR(VLOOKUP(C3464,APOYO!J:K,2,FALSE),C3464)</f>
        <v>SAN LUIS</v>
      </c>
      <c r="E3464">
        <v>2017</v>
      </c>
    </row>
    <row r="3465" spans="1:5" hidden="1" x14ac:dyDescent="0.25">
      <c r="A3465" t="str">
        <f>_xlfn.XLOOKUP(C3465, 'Códigos DANE Municipios'!$B$2:$B$1123, 'Códigos DANE Municipios'!$A$2:$A$1123, "No encontrado")</f>
        <v>15667</v>
      </c>
      <c r="B3465" t="str">
        <f>IFERROR(VLOOKUP(D3465,APOYO!K:L,2,FALSE),A3465)</f>
        <v>15667</v>
      </c>
      <c r="C3465" t="s">
        <v>564</v>
      </c>
      <c r="D3465" t="str">
        <f>IFERROR(VLOOKUP(C3465,APOYO!J:K,2,FALSE),C3465)</f>
        <v>SAN LUIS DE GACENO</v>
      </c>
      <c r="E3465">
        <v>2017</v>
      </c>
    </row>
    <row r="3466" spans="1:5" hidden="1" x14ac:dyDescent="0.25">
      <c r="A3466" t="str">
        <f>_xlfn.XLOOKUP(C3466, 'Códigos DANE Municipios'!$B$2:$B$1123, 'Códigos DANE Municipios'!$A$2:$A$1123, "No encontrado")</f>
        <v>85325</v>
      </c>
      <c r="B3466" t="str">
        <f>IFERROR(VLOOKUP(D3466,APOYO!K:L,2,FALSE),A3466)</f>
        <v>85325</v>
      </c>
      <c r="C3466" t="s">
        <v>2075</v>
      </c>
      <c r="D3466" t="str">
        <f>IFERROR(VLOOKUP(C3466,APOYO!J:K,2,FALSE),C3466)</f>
        <v>SAN LUIS DE PALENQUE</v>
      </c>
      <c r="E3466">
        <v>2017</v>
      </c>
    </row>
    <row r="3467" spans="1:5" hidden="1" x14ac:dyDescent="0.25">
      <c r="A3467" t="str">
        <f>_xlfn.XLOOKUP(C3467, 'Códigos DANE Municipios'!$B$2:$B$1123, 'Códigos DANE Municipios'!$A$2:$A$1123, "No encontrado")</f>
        <v>70708</v>
      </c>
      <c r="B3467" t="str">
        <f>IFERROR(VLOOKUP(D3467,APOYO!K:L,2,FALSE),A3467)</f>
        <v>70708</v>
      </c>
      <c r="C3467" t="s">
        <v>1852</v>
      </c>
      <c r="D3467" t="str">
        <f>IFERROR(VLOOKUP(C3467,APOYO!J:K,2,FALSE),C3467)</f>
        <v>SAN MARCOS</v>
      </c>
      <c r="E3467">
        <v>2017</v>
      </c>
    </row>
    <row r="3468" spans="1:5" hidden="1" x14ac:dyDescent="0.25">
      <c r="A3468" t="str">
        <f>_xlfn.XLOOKUP(C3468, 'Códigos DANE Municipios'!$B$2:$B$1123, 'Códigos DANE Municipios'!$A$2:$A$1123, "No encontrado")</f>
        <v>20770</v>
      </c>
      <c r="B3468" t="str">
        <f>IFERROR(VLOOKUP(D3468,APOYO!K:L,2,FALSE),A3468)</f>
        <v>20770</v>
      </c>
      <c r="C3468" t="s">
        <v>854</v>
      </c>
      <c r="D3468" t="str">
        <f>IFERROR(VLOOKUP(C3468,APOYO!J:K,2,FALSE),C3468)</f>
        <v>SAN MARTÍN</v>
      </c>
      <c r="E3468">
        <v>2017</v>
      </c>
    </row>
    <row r="3469" spans="1:5" hidden="1" x14ac:dyDescent="0.25">
      <c r="A3469" t="str">
        <f>_xlfn.XLOOKUP(C3469, 'Códigos DANE Municipios'!$B$2:$B$1123, 'Códigos DANE Municipios'!$A$2:$A$1123, "No encontrado")</f>
        <v>68686</v>
      </c>
      <c r="B3469" t="str">
        <f>IFERROR(VLOOKUP(D3469,APOYO!K:L,2,FALSE),A3469)</f>
        <v>68686</v>
      </c>
      <c r="C3469" t="s">
        <v>1789</v>
      </c>
      <c r="D3469" t="str">
        <f>IFERROR(VLOOKUP(C3469,APOYO!J:K,2,FALSE),C3469)</f>
        <v>SAN MIGUEL</v>
      </c>
      <c r="E3469">
        <v>2017</v>
      </c>
    </row>
    <row r="3470" spans="1:5" hidden="1" x14ac:dyDescent="0.25">
      <c r="A3470" t="str">
        <f>_xlfn.XLOOKUP(C3470, 'Códigos DANE Municipios'!$B$2:$B$1123, 'Códigos DANE Municipios'!$A$2:$A$1123, "No encontrado")</f>
        <v>70713</v>
      </c>
      <c r="B3470" t="str">
        <f>IFERROR(VLOOKUP(D3470,APOYO!K:L,2,FALSE),A3470)</f>
        <v>70713</v>
      </c>
      <c r="C3470" t="s">
        <v>1854</v>
      </c>
      <c r="D3470" t="str">
        <f>IFERROR(VLOOKUP(C3470,APOYO!J:K,2,FALSE),C3470)</f>
        <v>SAN ONOFRE</v>
      </c>
      <c r="E3470">
        <v>2017</v>
      </c>
    </row>
    <row r="3471" spans="1:5" hidden="1" x14ac:dyDescent="0.25">
      <c r="A3471" t="str">
        <f>_xlfn.XLOOKUP(C3471, 'Códigos DANE Municipios'!$B$2:$B$1123, 'Códigos DANE Municipios'!$A$2:$A$1123, "No encontrado")</f>
        <v>13670</v>
      </c>
      <c r="B3471" t="str">
        <f>IFERROR(VLOOKUP(D3471,APOYO!K:L,2,FALSE),A3471)</f>
        <v>13670</v>
      </c>
      <c r="C3471" t="s">
        <v>377</v>
      </c>
      <c r="D3471" t="str">
        <f>IFERROR(VLOOKUP(C3471,APOYO!J:K,2,FALSE),C3471)</f>
        <v>SAN PABLO</v>
      </c>
      <c r="E3471">
        <v>2017</v>
      </c>
    </row>
    <row r="3472" spans="1:5" hidden="1" x14ac:dyDescent="0.25">
      <c r="A3472" t="str">
        <f>_xlfn.XLOOKUP(C3472, 'Códigos DANE Municipios'!$B$2:$B$1123, 'Códigos DANE Municipios'!$A$2:$A$1123, "No encontrado")</f>
        <v>70717</v>
      </c>
      <c r="B3472" t="str">
        <f>IFERROR(VLOOKUP(D3472,APOYO!K:L,2,FALSE),A3472)</f>
        <v>70717</v>
      </c>
      <c r="C3472" t="s">
        <v>1856</v>
      </c>
      <c r="D3472" t="str">
        <f>IFERROR(VLOOKUP(C3472,APOYO!J:K,2,FALSE),C3472)</f>
        <v>SAN PEDRO</v>
      </c>
      <c r="E3472">
        <v>2017</v>
      </c>
    </row>
    <row r="3473" spans="1:5" hidden="1" x14ac:dyDescent="0.25">
      <c r="A3473" t="str">
        <f>_xlfn.XLOOKUP(C3473, 'Códigos DANE Municipios'!$B$2:$B$1123, 'Códigos DANE Municipios'!$A$2:$A$1123, "No encontrado")</f>
        <v>05665</v>
      </c>
      <c r="B3473" t="str">
        <f>IFERROR(VLOOKUP(D3473,APOYO!K:L,2,FALSE),A3473)</f>
        <v>05665</v>
      </c>
      <c r="C3473" t="s">
        <v>204</v>
      </c>
      <c r="D3473" t="str">
        <f>IFERROR(VLOOKUP(C3473,APOYO!J:K,2,FALSE),C3473)</f>
        <v>SAN PEDRO DE URABÁ</v>
      </c>
      <c r="E3473">
        <v>2017</v>
      </c>
    </row>
    <row r="3474" spans="1:5" hidden="1" x14ac:dyDescent="0.25">
      <c r="A3474" t="str">
        <f>_xlfn.XLOOKUP(C3474, 'Códigos DANE Municipios'!$B$2:$B$1123, 'Códigos DANE Municipios'!$A$2:$A$1123, "No encontrado")</f>
        <v>05667</v>
      </c>
      <c r="B3474" t="str">
        <f>IFERROR(VLOOKUP(D3474,APOYO!K:L,2,FALSE),A3474)</f>
        <v>05667</v>
      </c>
      <c r="C3474" t="s">
        <v>206</v>
      </c>
      <c r="D3474" t="str">
        <f>IFERROR(VLOOKUP(C3474,APOYO!J:K,2,FALSE),C3474)</f>
        <v>SAN RAFAEL</v>
      </c>
      <c r="E3474">
        <v>2017</v>
      </c>
    </row>
    <row r="3475" spans="1:5" hidden="1" x14ac:dyDescent="0.25">
      <c r="A3475" t="str">
        <f>_xlfn.XLOOKUP(C3475, 'Códigos DANE Municipios'!$B$2:$B$1123, 'Códigos DANE Municipios'!$A$2:$A$1123, "No encontrado")</f>
        <v>05670</v>
      </c>
      <c r="B3475" t="str">
        <f>IFERROR(VLOOKUP(D3475,APOYO!K:L,2,FALSE),A3475)</f>
        <v>05670</v>
      </c>
      <c r="C3475" t="s">
        <v>208</v>
      </c>
      <c r="D3475" t="str">
        <f>IFERROR(VLOOKUP(C3475,APOYO!J:K,2,FALSE),C3475)</f>
        <v>SAN ROQUE</v>
      </c>
      <c r="E3475">
        <v>2017</v>
      </c>
    </row>
    <row r="3476" spans="1:5" hidden="1" x14ac:dyDescent="0.25">
      <c r="A3476" t="str">
        <f>_xlfn.XLOOKUP(C3476, 'Códigos DANE Municipios'!$B$2:$B$1123, 'Códigos DANE Municipios'!$A$2:$A$1123, "No encontrado")</f>
        <v>19693</v>
      </c>
      <c r="B3476" t="str">
        <f>IFERROR(VLOOKUP(D3476,APOYO!K:L,2,FALSE),A3476)</f>
        <v>19693</v>
      </c>
      <c r="C3476" t="s">
        <v>785</v>
      </c>
      <c r="D3476" t="str">
        <f>IFERROR(VLOOKUP(C3476,APOYO!J:K,2,FALSE),C3476)</f>
        <v>SAN SEBASTIÁN</v>
      </c>
      <c r="E3476">
        <v>2017</v>
      </c>
    </row>
    <row r="3477" spans="1:5" hidden="1" x14ac:dyDescent="0.25">
      <c r="A3477" t="str">
        <f>_xlfn.XLOOKUP(C3477, 'Códigos DANE Municipios'!$B$2:$B$1123, 'Códigos DANE Municipios'!$A$2:$A$1123, "No encontrado")</f>
        <v>47692</v>
      </c>
      <c r="B3477" t="str">
        <f>IFERROR(VLOOKUP(D3477,APOYO!K:L,2,FALSE),A3477)</f>
        <v>47692</v>
      </c>
      <c r="C3477" t="s">
        <v>1342</v>
      </c>
      <c r="D3477" t="str">
        <f>IFERROR(VLOOKUP(C3477,APOYO!J:K,2,FALSE),C3477)</f>
        <v>SAN SEBASTIÁN DE BUENAVISTA</v>
      </c>
      <c r="E3477">
        <v>2017</v>
      </c>
    </row>
    <row r="3478" spans="1:5" hidden="1" x14ac:dyDescent="0.25">
      <c r="A3478" t="str">
        <f>_xlfn.XLOOKUP(C3478, 'Códigos DANE Municipios'!$B$2:$B$1123, 'Códigos DANE Municipios'!$A$2:$A$1123, "No encontrado")</f>
        <v>05674</v>
      </c>
      <c r="B3478" t="str">
        <f>IFERROR(VLOOKUP(D3478,APOYO!K:L,2,FALSE),A3478)</f>
        <v>05674</v>
      </c>
      <c r="C3478" t="s">
        <v>210</v>
      </c>
      <c r="D3478" t="str">
        <f>IFERROR(VLOOKUP(C3478,APOYO!J:K,2,FALSE),C3478)</f>
        <v>SAN VICENTE FERRER</v>
      </c>
      <c r="E3478">
        <v>2017</v>
      </c>
    </row>
    <row r="3479" spans="1:5" hidden="1" x14ac:dyDescent="0.25">
      <c r="A3479" t="str">
        <f>_xlfn.XLOOKUP(C3479, 'Códigos DANE Municipios'!$B$2:$B$1123, 'Códigos DANE Municipios'!$A$2:$A$1123, "No encontrado")</f>
        <v>68689</v>
      </c>
      <c r="B3479" t="str">
        <f>IFERROR(VLOOKUP(D3479,APOYO!K:L,2,FALSE),A3479)</f>
        <v>68689</v>
      </c>
      <c r="C3479" t="s">
        <v>1791</v>
      </c>
      <c r="D3479" t="str">
        <f>IFERROR(VLOOKUP(C3479,APOYO!J:K,2,FALSE),C3479)</f>
        <v>SAN VICENTE DE CHUCURÍ</v>
      </c>
      <c r="E3479">
        <v>2017</v>
      </c>
    </row>
    <row r="3480" spans="1:5" hidden="1" x14ac:dyDescent="0.25">
      <c r="A3480" t="str">
        <f>_xlfn.XLOOKUP(C3480, 'Códigos DANE Municipios'!$B$2:$B$1123, 'Códigos DANE Municipios'!$A$2:$A$1123, "No encontrado")</f>
        <v>18753</v>
      </c>
      <c r="B3480" t="str">
        <f>IFERROR(VLOOKUP(D3480,APOYO!K:L,2,FALSE),A3480)</f>
        <v>18753</v>
      </c>
      <c r="C3480" t="s">
        <v>722</v>
      </c>
      <c r="D3480" t="str">
        <f>IFERROR(VLOOKUP(C3480,APOYO!J:K,2,FALSE),C3480)</f>
        <v>SAN VICENTE DEL CAGUÁN</v>
      </c>
      <c r="E3480">
        <v>2017</v>
      </c>
    </row>
    <row r="3481" spans="1:5" hidden="1" x14ac:dyDescent="0.25">
      <c r="A3481" t="str">
        <f>_xlfn.XLOOKUP(C3481, 'Códigos DANE Municipios'!$B$2:$B$1123, 'Códigos DANE Municipios'!$A$2:$A$1123, "No encontrado")</f>
        <v>52683</v>
      </c>
      <c r="B3481" t="str">
        <f>IFERROR(VLOOKUP(D3481,APOYO!K:L,2,FALSE),A3481)</f>
        <v>52683</v>
      </c>
      <c r="C3481" t="s">
        <v>1506</v>
      </c>
      <c r="D3481" t="str">
        <f>IFERROR(VLOOKUP(C3481,APOYO!J:K,2,FALSE),C3481)</f>
        <v>SANDONÁ</v>
      </c>
      <c r="E3481">
        <v>2017</v>
      </c>
    </row>
    <row r="3482" spans="1:5" hidden="1" x14ac:dyDescent="0.25">
      <c r="A3482" t="str">
        <f>_xlfn.XLOOKUP(C3482, 'Códigos DANE Municipios'!$B$2:$B$1123, 'Códigos DANE Municipios'!$A$2:$A$1123, "No encontrado")</f>
        <v>47707</v>
      </c>
      <c r="B3482" t="str">
        <f>IFERROR(VLOOKUP(D3482,APOYO!K:L,2,FALSE),A3482)</f>
        <v>47707</v>
      </c>
      <c r="C3482" t="s">
        <v>1346</v>
      </c>
      <c r="D3482" t="str">
        <f>IFERROR(VLOOKUP(C3482,APOYO!J:K,2,FALSE),C3482)</f>
        <v>SANTA ANA</v>
      </c>
      <c r="E3482">
        <v>2017</v>
      </c>
    </row>
    <row r="3483" spans="1:5" hidden="1" x14ac:dyDescent="0.25">
      <c r="A3483" t="str">
        <f>_xlfn.XLOOKUP(C3483, 'Códigos DANE Municipios'!$B$2:$B$1123, 'Códigos DANE Municipios'!$A$2:$A$1123, "No encontrado")</f>
        <v>05679</v>
      </c>
      <c r="B3483" t="str">
        <f>IFERROR(VLOOKUP(D3483,APOYO!K:L,2,FALSE),A3483)</f>
        <v>05679</v>
      </c>
      <c r="C3483" t="s">
        <v>212</v>
      </c>
      <c r="D3483" t="str">
        <f>IFERROR(VLOOKUP(C3483,APOYO!J:K,2,FALSE),C3483)</f>
        <v>SANTA BÁRBARA</v>
      </c>
      <c r="E3483">
        <v>2017</v>
      </c>
    </row>
    <row r="3484" spans="1:5" hidden="1" x14ac:dyDescent="0.25">
      <c r="A3484" t="str">
        <f>_xlfn.XLOOKUP(C3484, 'Códigos DANE Municipios'!$B$2:$B$1123, 'Códigos DANE Municipios'!$A$2:$A$1123, "No encontrado")</f>
        <v>13673</v>
      </c>
      <c r="B3484" t="str">
        <f>IFERROR(VLOOKUP(D3484,APOYO!K:L,2,FALSE),A3484)</f>
        <v>13673</v>
      </c>
      <c r="C3484" t="s">
        <v>379</v>
      </c>
      <c r="D3484" t="str">
        <f>IFERROR(VLOOKUP(C3484,APOYO!J:K,2,FALSE),C3484)</f>
        <v>SANTA CATALINA</v>
      </c>
      <c r="E3484">
        <v>2017</v>
      </c>
    </row>
    <row r="3485" spans="1:5" hidden="1" x14ac:dyDescent="0.25">
      <c r="A3485" t="str">
        <f>_xlfn.XLOOKUP(C3485, 'Códigos DANE Municipios'!$B$2:$B$1123, 'Códigos DANE Municipios'!$A$2:$A$1123, "No encontrado")</f>
        <v>73686</v>
      </c>
      <c r="B3485" t="str">
        <f>IFERROR(VLOOKUP(D3485,APOYO!K:L,2,FALSE),A3485)</f>
        <v>73686</v>
      </c>
      <c r="C3485" t="s">
        <v>1946</v>
      </c>
      <c r="D3485" t="str">
        <f>IFERROR(VLOOKUP(C3485,APOYO!J:K,2,FALSE),C3485)</f>
        <v>SANTA ISABEL</v>
      </c>
      <c r="E3485">
        <v>2017</v>
      </c>
    </row>
    <row r="3486" spans="1:5" hidden="1" x14ac:dyDescent="0.25">
      <c r="A3486" t="str">
        <f>_xlfn.XLOOKUP(C3486, 'Códigos DANE Municipios'!$B$2:$B$1123, 'Códigos DANE Municipios'!$A$2:$A$1123, "No encontrado")</f>
        <v>15690</v>
      </c>
      <c r="B3486" t="str">
        <f>IFERROR(VLOOKUP(D3486,APOYO!K:L,2,FALSE),A3486)</f>
        <v>15690</v>
      </c>
      <c r="C3486" t="s">
        <v>574</v>
      </c>
      <c r="D3486" t="str">
        <f>IFERROR(VLOOKUP(C3486,APOYO!J:K,2,FALSE),C3486)</f>
        <v>SANTA MARÍA</v>
      </c>
      <c r="E3486">
        <v>2017</v>
      </c>
    </row>
    <row r="3487" spans="1:5" hidden="1" x14ac:dyDescent="0.25">
      <c r="A3487" t="str">
        <f>_xlfn.XLOOKUP(C3487, 'Códigos DANE Municipios'!$B$2:$B$1123, 'Códigos DANE Municipios'!$A$2:$A$1123, "No encontrado")</f>
        <v>47001</v>
      </c>
      <c r="B3487" t="str">
        <f>IFERROR(VLOOKUP(D3487,APOYO!K:L,2,FALSE),A3487)</f>
        <v>47001</v>
      </c>
      <c r="C3487" t="s">
        <v>1300</v>
      </c>
      <c r="D3487" t="str">
        <f>IFERROR(VLOOKUP(C3487,APOYO!J:K,2,FALSE),C3487)</f>
        <v>SANTA MARTA</v>
      </c>
      <c r="E3487">
        <v>2017</v>
      </c>
    </row>
    <row r="3488" spans="1:5" hidden="1" x14ac:dyDescent="0.25">
      <c r="A3488" t="str">
        <f>_xlfn.XLOOKUP(C3488, 'Códigos DANE Municipios'!$B$2:$B$1123, 'Códigos DANE Municipios'!$A$2:$A$1123, "No encontrado")</f>
        <v>13683</v>
      </c>
      <c r="B3488" t="str">
        <f>IFERROR(VLOOKUP(D3488,APOYO!K:L,2,FALSE),A3488)</f>
        <v>13683</v>
      </c>
      <c r="C3488" t="s">
        <v>381</v>
      </c>
      <c r="D3488" t="str">
        <f>IFERROR(VLOOKUP(C3488,APOYO!J:K,2,FALSE),C3488)</f>
        <v>SANTA ROSA</v>
      </c>
      <c r="E3488">
        <v>2017</v>
      </c>
    </row>
    <row r="3489" spans="1:5" hidden="1" x14ac:dyDescent="0.25">
      <c r="A3489" t="str">
        <f>_xlfn.XLOOKUP(C3489, 'Códigos DANE Municipios'!$B$2:$B$1123, 'Códigos DANE Municipios'!$A$2:$A$1123, "No encontrado")</f>
        <v>66682</v>
      </c>
      <c r="B3489" t="str">
        <f>IFERROR(VLOOKUP(D3489,APOYO!K:L,2,FALSE),A3489)</f>
        <v>66682</v>
      </c>
      <c r="C3489" t="s">
        <v>1651</v>
      </c>
      <c r="D3489" t="str">
        <f>IFERROR(VLOOKUP(C3489,APOYO!J:K,2,FALSE),C3489)</f>
        <v>SANTA ROSA DE CABAL</v>
      </c>
      <c r="E3489">
        <v>2017</v>
      </c>
    </row>
    <row r="3490" spans="1:5" hidden="1" x14ac:dyDescent="0.25">
      <c r="A3490" t="str">
        <f>_xlfn.XLOOKUP(C3490, 'Códigos DANE Municipios'!$B$2:$B$1123, 'Códigos DANE Municipios'!$A$2:$A$1123, "No encontrado")</f>
        <v>15693</v>
      </c>
      <c r="B3490" t="str">
        <f>IFERROR(VLOOKUP(D3490,APOYO!K:L,2,FALSE),A3490)</f>
        <v>15693</v>
      </c>
      <c r="C3490" t="s">
        <v>576</v>
      </c>
      <c r="D3490" t="str">
        <f>IFERROR(VLOOKUP(C3490,APOYO!J:K,2,FALSE),C3490)</f>
        <v>SANTA ROSA DE VITERBO</v>
      </c>
      <c r="E3490">
        <v>2017</v>
      </c>
    </row>
    <row r="3491" spans="1:5" hidden="1" x14ac:dyDescent="0.25">
      <c r="A3491" t="str">
        <f>_xlfn.XLOOKUP(C3491, 'Códigos DANE Municipios'!$B$2:$B$1123, 'Códigos DANE Municipios'!$A$2:$A$1123, "No encontrado")</f>
        <v>13688</v>
      </c>
      <c r="B3491" t="str">
        <f>IFERROR(VLOOKUP(D3491,APOYO!K:L,2,FALSE),A3491)</f>
        <v>13688</v>
      </c>
      <c r="C3491" t="s">
        <v>383</v>
      </c>
      <c r="D3491" t="str">
        <f>IFERROR(VLOOKUP(C3491,APOYO!J:K,2,FALSE),C3491)</f>
        <v>SANTA ROSA DEL SUR</v>
      </c>
      <c r="E3491">
        <v>2017</v>
      </c>
    </row>
    <row r="3492" spans="1:5" hidden="1" x14ac:dyDescent="0.25">
      <c r="A3492" t="str">
        <f>_xlfn.XLOOKUP(C3492, 'Códigos DANE Municipios'!$B$2:$B$1123, 'Códigos DANE Municipios'!$A$2:$A$1123, "No encontrado")</f>
        <v>15686</v>
      </c>
      <c r="B3492" t="str">
        <f>IFERROR(VLOOKUP(D3492,APOYO!K:L,2,FALSE),A3492)</f>
        <v>15686</v>
      </c>
      <c r="C3492" t="s">
        <v>572</v>
      </c>
      <c r="D3492" t="str">
        <f>IFERROR(VLOOKUP(C3492,APOYO!J:K,2,FALSE),C3492)</f>
        <v>SANTANA</v>
      </c>
      <c r="E3492">
        <v>2017</v>
      </c>
    </row>
    <row r="3493" spans="1:5" hidden="1" x14ac:dyDescent="0.25">
      <c r="A3493" t="str">
        <f>_xlfn.XLOOKUP(C3493, 'Códigos DANE Municipios'!$B$2:$B$1123, 'Códigos DANE Municipios'!$A$2:$A$1123, "No encontrado")</f>
        <v>19698</v>
      </c>
      <c r="B3493" t="str">
        <f>IFERROR(VLOOKUP(D3493,APOYO!K:L,2,FALSE),A3493)</f>
        <v>19698</v>
      </c>
      <c r="C3493" t="s">
        <v>787</v>
      </c>
      <c r="D3493" t="str">
        <f>IFERROR(VLOOKUP(C3493,APOYO!J:K,2,FALSE),C3493)</f>
        <v>SANTANDER DE QUILICHAO</v>
      </c>
      <c r="E3493">
        <v>2017</v>
      </c>
    </row>
    <row r="3494" spans="1:5" hidden="1" x14ac:dyDescent="0.25">
      <c r="A3494" t="str">
        <f>_xlfn.XLOOKUP(C3494, 'Códigos DANE Municipios'!$B$2:$B$1123, 'Códigos DANE Municipios'!$A$2:$A$1123, "No encontrado")</f>
        <v>08685</v>
      </c>
      <c r="B3494" t="str">
        <f>IFERROR(VLOOKUP(D3494,APOYO!K:L,2,FALSE),A3494)</f>
        <v>08685</v>
      </c>
      <c r="C3494" t="s">
        <v>297</v>
      </c>
      <c r="D3494" t="str">
        <f>IFERROR(VLOOKUP(C3494,APOYO!J:K,2,FALSE),C3494)</f>
        <v>SANTO TOMÁS</v>
      </c>
      <c r="E3494">
        <v>2017</v>
      </c>
    </row>
    <row r="3495" spans="1:5" hidden="1" x14ac:dyDescent="0.25">
      <c r="A3495" t="str">
        <f>_xlfn.XLOOKUP(C3495, 'Códigos DANE Municipios'!$B$2:$B$1123, 'Códigos DANE Municipios'!$A$2:$A$1123, "No encontrado")</f>
        <v>66687</v>
      </c>
      <c r="B3495" t="str">
        <f>IFERROR(VLOOKUP(D3495,APOYO!K:L,2,FALSE),A3495)</f>
        <v>66687</v>
      </c>
      <c r="C3495" t="s">
        <v>1653</v>
      </c>
      <c r="D3495" t="str">
        <f>IFERROR(VLOOKUP(C3495,APOYO!J:K,2,FALSE),C3495)</f>
        <v>SANTUARIO</v>
      </c>
      <c r="E3495">
        <v>2017</v>
      </c>
    </row>
    <row r="3496" spans="1:5" hidden="1" x14ac:dyDescent="0.25">
      <c r="A3496" t="str">
        <f>_xlfn.XLOOKUP(C3496, 'Códigos DANE Municipios'!$B$2:$B$1123, 'Códigos DANE Municipios'!$A$2:$A$1123, "No encontrado")</f>
        <v>81736</v>
      </c>
      <c r="B3496" t="str">
        <f>IFERROR(VLOOKUP(D3496,APOYO!K:L,2,FALSE),A3496)</f>
        <v>81736</v>
      </c>
      <c r="C3496" t="s">
        <v>2044</v>
      </c>
      <c r="D3496" t="str">
        <f>IFERROR(VLOOKUP(C3496,APOYO!J:K,2,FALSE),C3496)</f>
        <v>SARAVENA</v>
      </c>
      <c r="E3496">
        <v>2017</v>
      </c>
    </row>
    <row r="3497" spans="1:5" hidden="1" x14ac:dyDescent="0.25">
      <c r="A3497" t="str">
        <f>_xlfn.XLOOKUP(C3497, 'Códigos DANE Municipios'!$B$2:$B$1123, 'Códigos DANE Municipios'!$A$2:$A$1123, "No encontrado")</f>
        <v>54720</v>
      </c>
      <c r="B3497" t="str">
        <f>IFERROR(VLOOKUP(D3497,APOYO!K:L,2,FALSE),A3497)</f>
        <v>54720</v>
      </c>
      <c r="C3497" t="s">
        <v>1594</v>
      </c>
      <c r="D3497" t="str">
        <f>IFERROR(VLOOKUP(C3497,APOYO!J:K,2,FALSE),C3497)</f>
        <v>SARDINATA</v>
      </c>
      <c r="E3497">
        <v>2017</v>
      </c>
    </row>
    <row r="3498" spans="1:5" hidden="1" x14ac:dyDescent="0.25">
      <c r="A3498" t="str">
        <f>_xlfn.XLOOKUP(C3498, 'Códigos DANE Municipios'!$B$2:$B$1123, 'Códigos DANE Municipios'!$A$2:$A$1123, "No encontrado")</f>
        <v>25718</v>
      </c>
      <c r="B3498" t="str">
        <f>IFERROR(VLOOKUP(D3498,APOYO!K:L,2,FALSE),A3498)</f>
        <v>25718</v>
      </c>
      <c r="C3498" t="s">
        <v>1072</v>
      </c>
      <c r="D3498" t="str">
        <f>IFERROR(VLOOKUP(C3498,APOYO!J:K,2,FALSE),C3498)</f>
        <v>SASAIMA</v>
      </c>
      <c r="E3498">
        <v>2017</v>
      </c>
    </row>
    <row r="3499" spans="1:5" hidden="1" x14ac:dyDescent="0.25">
      <c r="A3499" t="str">
        <f>_xlfn.XLOOKUP(C3499, 'Códigos DANE Municipios'!$B$2:$B$1123, 'Códigos DANE Municipios'!$A$2:$A$1123, "No encontrado")</f>
        <v>05736</v>
      </c>
      <c r="B3499" t="str">
        <f>IFERROR(VLOOKUP(D3499,APOYO!K:L,2,FALSE),A3499)</f>
        <v>05736</v>
      </c>
      <c r="C3499" t="s">
        <v>220</v>
      </c>
      <c r="D3499" t="str">
        <f>IFERROR(VLOOKUP(C3499,APOYO!J:K,2,FALSE),C3499)</f>
        <v>SEGOVIA</v>
      </c>
      <c r="E3499">
        <v>2017</v>
      </c>
    </row>
    <row r="3500" spans="1:5" hidden="1" x14ac:dyDescent="0.25">
      <c r="A3500" t="str">
        <f>_xlfn.XLOOKUP(C3500, 'Códigos DANE Municipios'!$B$2:$B$1123, 'Códigos DANE Municipios'!$A$2:$A$1123, "No encontrado")</f>
        <v>25736</v>
      </c>
      <c r="B3500" t="str">
        <f>IFERROR(VLOOKUP(D3500,APOYO!K:L,2,FALSE),A3500)</f>
        <v>25736</v>
      </c>
      <c r="C3500" t="s">
        <v>1074</v>
      </c>
      <c r="D3500" t="str">
        <f>IFERROR(VLOOKUP(C3500,APOYO!J:K,2,FALSE),C3500)</f>
        <v>SESQUILÉ</v>
      </c>
      <c r="E3500">
        <v>2017</v>
      </c>
    </row>
    <row r="3501" spans="1:5" hidden="1" x14ac:dyDescent="0.25">
      <c r="A3501" t="str">
        <f>_xlfn.XLOOKUP(C3501, 'Códigos DANE Municipios'!$B$2:$B$1123, 'Códigos DANE Municipios'!$A$2:$A$1123, "No encontrado")</f>
        <v>76736</v>
      </c>
      <c r="B3501" t="str">
        <f>IFERROR(VLOOKUP(D3501,APOYO!K:L,2,FALSE),A3501)</f>
        <v>76736</v>
      </c>
      <c r="C3501" t="s">
        <v>2014</v>
      </c>
      <c r="D3501" t="str">
        <f>IFERROR(VLOOKUP(C3501,APOYO!J:K,2,FALSE),C3501)</f>
        <v>SEVILLA</v>
      </c>
      <c r="E3501">
        <v>2017</v>
      </c>
    </row>
    <row r="3502" spans="1:5" hidden="1" x14ac:dyDescent="0.25">
      <c r="A3502" t="str">
        <f>_xlfn.XLOOKUP(C3502, 'Códigos DANE Municipios'!$B$2:$B$1123, 'Códigos DANE Municipios'!$A$2:$A$1123, "No encontrado")</f>
        <v>25740</v>
      </c>
      <c r="B3502" t="str">
        <f>IFERROR(VLOOKUP(D3502,APOYO!K:L,2,FALSE),A3502)</f>
        <v>25740</v>
      </c>
      <c r="C3502" t="s">
        <v>1076</v>
      </c>
      <c r="D3502" t="str">
        <f>IFERROR(VLOOKUP(C3502,APOYO!J:K,2,FALSE),C3502)</f>
        <v>SIBATÉ</v>
      </c>
      <c r="E3502">
        <v>2017</v>
      </c>
    </row>
    <row r="3503" spans="1:5" hidden="1" x14ac:dyDescent="0.25">
      <c r="A3503" t="str">
        <f>_xlfn.XLOOKUP(C3503, 'Códigos DANE Municipios'!$B$2:$B$1123, 'Códigos DANE Municipios'!$A$2:$A$1123, "No encontrado")</f>
        <v>86749</v>
      </c>
      <c r="B3503" t="str">
        <f>IFERROR(VLOOKUP(D3503,APOYO!K:L,2,FALSE),A3503)</f>
        <v>86749</v>
      </c>
      <c r="C3503" t="s">
        <v>2097</v>
      </c>
      <c r="D3503" t="str">
        <f>IFERROR(VLOOKUP(C3503,APOYO!J:K,2,FALSE),C3503)</f>
        <v>SIBUNDOY</v>
      </c>
      <c r="E3503">
        <v>2017</v>
      </c>
    </row>
    <row r="3504" spans="1:5" hidden="1" x14ac:dyDescent="0.25">
      <c r="A3504" t="str">
        <f>_xlfn.XLOOKUP(C3504, 'Códigos DANE Municipios'!$B$2:$B$1123, 'Códigos DANE Municipios'!$A$2:$A$1123, "No encontrado")</f>
        <v>25743</v>
      </c>
      <c r="B3504" t="str">
        <f>IFERROR(VLOOKUP(D3504,APOYO!K:L,2,FALSE),A3504)</f>
        <v>25743</v>
      </c>
      <c r="C3504" t="s">
        <v>1078</v>
      </c>
      <c r="D3504" t="str">
        <f>IFERROR(VLOOKUP(C3504,APOYO!J:K,2,FALSE),C3504)</f>
        <v>SILVANIA</v>
      </c>
      <c r="E3504">
        <v>2017</v>
      </c>
    </row>
    <row r="3505" spans="1:5" hidden="1" x14ac:dyDescent="0.25">
      <c r="A3505" t="str">
        <f>_xlfn.XLOOKUP(C3505, 'Códigos DANE Municipios'!$B$2:$B$1123, 'Códigos DANE Municipios'!$A$2:$A$1123, "No encontrado")</f>
        <v>19743</v>
      </c>
      <c r="B3505" t="str">
        <f>IFERROR(VLOOKUP(D3505,APOYO!K:L,2,FALSE),A3505)</f>
        <v>19743</v>
      </c>
      <c r="C3505" t="s">
        <v>790</v>
      </c>
      <c r="D3505" t="str">
        <f>IFERROR(VLOOKUP(C3505,APOYO!J:K,2,FALSE),C3505)</f>
        <v>SILVIA</v>
      </c>
      <c r="E3505">
        <v>2017</v>
      </c>
    </row>
    <row r="3506" spans="1:5" hidden="1" x14ac:dyDescent="0.25">
      <c r="A3506" t="str">
        <f>_xlfn.XLOOKUP(C3506, 'Códigos DANE Municipios'!$B$2:$B$1123, 'Códigos DANE Municipios'!$A$2:$A$1123, "No encontrado")</f>
        <v>25745</v>
      </c>
      <c r="B3506" t="str">
        <f>IFERROR(VLOOKUP(D3506,APOYO!K:L,2,FALSE),A3506)</f>
        <v>25745</v>
      </c>
      <c r="C3506" t="s">
        <v>1080</v>
      </c>
      <c r="D3506" t="str">
        <f>IFERROR(VLOOKUP(C3506,APOYO!J:K,2,FALSE),C3506)</f>
        <v>SIMIJACA</v>
      </c>
      <c r="E3506">
        <v>2017</v>
      </c>
    </row>
    <row r="3507" spans="1:5" hidden="1" x14ac:dyDescent="0.25">
      <c r="A3507" t="str">
        <f>_xlfn.XLOOKUP(C3507, 'Códigos DANE Municipios'!$B$2:$B$1123, 'Códigos DANE Municipios'!$A$2:$A$1123, "No encontrado")</f>
        <v>70742</v>
      </c>
      <c r="B3507" t="str">
        <f>IFERROR(VLOOKUP(D3507,APOYO!K:L,2,FALSE),A3507)</f>
        <v>70742</v>
      </c>
      <c r="C3507" t="s">
        <v>1858</v>
      </c>
      <c r="D3507" t="str">
        <f>IFERROR(VLOOKUP(C3507,APOYO!J:K,2,FALSE),C3507)</f>
        <v>SAN LUIS DE SINCÉ</v>
      </c>
      <c r="E3507">
        <v>2017</v>
      </c>
    </row>
    <row r="3508" spans="1:5" hidden="1" x14ac:dyDescent="0.25">
      <c r="A3508" t="str">
        <f>_xlfn.XLOOKUP(C3508, 'Códigos DANE Municipios'!$B$2:$B$1123, 'Códigos DANE Municipios'!$A$2:$A$1123, "No encontrado")</f>
        <v>70001</v>
      </c>
      <c r="B3508" t="str">
        <f>IFERROR(VLOOKUP(D3508,APOYO!K:L,2,FALSE),A3508)</f>
        <v>70001</v>
      </c>
      <c r="C3508" t="s">
        <v>1816</v>
      </c>
      <c r="D3508" t="str">
        <f>IFERROR(VLOOKUP(C3508,APOYO!J:K,2,FALSE),C3508)</f>
        <v>SINCELEJO</v>
      </c>
      <c r="E3508">
        <v>2017</v>
      </c>
    </row>
    <row r="3509" spans="1:5" hidden="1" x14ac:dyDescent="0.25">
      <c r="A3509" t="str">
        <f>_xlfn.XLOOKUP(C3509, 'Códigos DANE Municipios'!$B$2:$B$1123, 'Códigos DANE Municipios'!$A$2:$A$1123, "No encontrado")</f>
        <v>47745</v>
      </c>
      <c r="B3509" t="str">
        <f>IFERROR(VLOOKUP(D3509,APOYO!K:L,2,FALSE),A3509)</f>
        <v>47745</v>
      </c>
      <c r="C3509" t="s">
        <v>1350</v>
      </c>
      <c r="D3509" t="str">
        <f>IFERROR(VLOOKUP(C3509,APOYO!J:K,2,FALSE),C3509)</f>
        <v>SITIONUEVO</v>
      </c>
      <c r="E3509">
        <v>2017</v>
      </c>
    </row>
    <row r="3510" spans="1:5" hidden="1" x14ac:dyDescent="0.25">
      <c r="A3510" t="str">
        <f>_xlfn.XLOOKUP(C3510, 'Códigos DANE Municipios'!$B$2:$B$1123, 'Códigos DANE Municipios'!$A$2:$A$1123, "No encontrado")</f>
        <v>25754</v>
      </c>
      <c r="B3510" t="str">
        <f>IFERROR(VLOOKUP(D3510,APOYO!K:L,2,FALSE),A3510)</f>
        <v>25754</v>
      </c>
      <c r="C3510" t="s">
        <v>1082</v>
      </c>
      <c r="D3510" t="str">
        <f>IFERROR(VLOOKUP(C3510,APOYO!J:K,2,FALSE),C3510)</f>
        <v>SOACHA</v>
      </c>
      <c r="E3510">
        <v>2017</v>
      </c>
    </row>
    <row r="3511" spans="1:5" hidden="1" x14ac:dyDescent="0.25">
      <c r="A3511" t="str">
        <f>_xlfn.XLOOKUP(C3511, 'Códigos DANE Municipios'!$B$2:$B$1123, 'Códigos DANE Municipios'!$A$2:$A$1123, "No encontrado")</f>
        <v>15757</v>
      </c>
      <c r="B3511" t="str">
        <f>IFERROR(VLOOKUP(D3511,APOYO!K:L,2,FALSE),A3511)</f>
        <v>15757</v>
      </c>
      <c r="C3511" t="s">
        <v>590</v>
      </c>
      <c r="D3511" t="str">
        <f>IFERROR(VLOOKUP(C3511,APOYO!J:K,2,FALSE),C3511)</f>
        <v>SOCHA</v>
      </c>
      <c r="E3511">
        <v>2017</v>
      </c>
    </row>
    <row r="3512" spans="1:5" hidden="1" x14ac:dyDescent="0.25">
      <c r="A3512" t="str">
        <f>_xlfn.XLOOKUP(C3512, 'Códigos DANE Municipios'!$B$2:$B$1123, 'Códigos DANE Municipios'!$A$2:$A$1123, "No encontrado")</f>
        <v>68755</v>
      </c>
      <c r="B3512" t="str">
        <f>IFERROR(VLOOKUP(D3512,APOYO!K:L,2,FALSE),A3512)</f>
        <v>68755</v>
      </c>
      <c r="C3512" t="s">
        <v>1798</v>
      </c>
      <c r="D3512" t="str">
        <f>IFERROR(VLOOKUP(C3512,APOYO!J:K,2,FALSE),C3512)</f>
        <v>SOCORRO</v>
      </c>
      <c r="E3512">
        <v>2017</v>
      </c>
    </row>
    <row r="3513" spans="1:5" hidden="1" x14ac:dyDescent="0.25">
      <c r="A3513" t="str">
        <f>_xlfn.XLOOKUP(C3513, 'Códigos DANE Municipios'!$B$2:$B$1123, 'Códigos DANE Municipios'!$A$2:$A$1123, "No encontrado")</f>
        <v>15759</v>
      </c>
      <c r="B3513" t="str">
        <f>IFERROR(VLOOKUP(D3513,APOYO!K:L,2,FALSE),A3513)</f>
        <v>15759</v>
      </c>
      <c r="C3513" t="s">
        <v>592</v>
      </c>
      <c r="D3513" t="str">
        <f>IFERROR(VLOOKUP(C3513,APOYO!J:K,2,FALSE),C3513)</f>
        <v>SOGAMOSO</v>
      </c>
      <c r="E3513">
        <v>2017</v>
      </c>
    </row>
    <row r="3514" spans="1:5" hidden="1" x14ac:dyDescent="0.25">
      <c r="A3514" t="str">
        <f>_xlfn.XLOOKUP(C3514, 'Códigos DANE Municipios'!$B$2:$B$1123, 'Códigos DANE Municipios'!$A$2:$A$1123, "No encontrado")</f>
        <v>18756</v>
      </c>
      <c r="B3514" t="str">
        <f>IFERROR(VLOOKUP(D3514,APOYO!K:L,2,FALSE),A3514)</f>
        <v>18756</v>
      </c>
      <c r="C3514" t="s">
        <v>724</v>
      </c>
      <c r="D3514" t="str">
        <f>IFERROR(VLOOKUP(C3514,APOYO!J:K,2,FALSE),C3514)</f>
        <v>SOLANO</v>
      </c>
      <c r="E3514">
        <v>2017</v>
      </c>
    </row>
    <row r="3515" spans="1:5" hidden="1" x14ac:dyDescent="0.25">
      <c r="A3515" t="str">
        <f>_xlfn.XLOOKUP(C3515, 'Códigos DANE Municipios'!$B$2:$B$1123, 'Códigos DANE Municipios'!$A$2:$A$1123, "No encontrado")</f>
        <v>08758</v>
      </c>
      <c r="B3515" t="str">
        <f>IFERROR(VLOOKUP(D3515,APOYO!K:L,2,FALSE),A3515)</f>
        <v>08758</v>
      </c>
      <c r="C3515" t="s">
        <v>299</v>
      </c>
      <c r="D3515" t="str">
        <f>IFERROR(VLOOKUP(C3515,APOYO!J:K,2,FALSE),C3515)</f>
        <v>SOLEDAD</v>
      </c>
      <c r="E3515">
        <v>2017</v>
      </c>
    </row>
    <row r="3516" spans="1:5" hidden="1" x14ac:dyDescent="0.25">
      <c r="A3516" t="str">
        <f>_xlfn.XLOOKUP(C3516, 'Códigos DANE Municipios'!$B$2:$B$1123, 'Códigos DANE Municipios'!$A$2:$A$1123, "No encontrado")</f>
        <v>15761</v>
      </c>
      <c r="B3516" t="str">
        <f>IFERROR(VLOOKUP(D3516,APOYO!K:L,2,FALSE),A3516)</f>
        <v>15761</v>
      </c>
      <c r="C3516" t="s">
        <v>594</v>
      </c>
      <c r="D3516" t="str">
        <f>IFERROR(VLOOKUP(C3516,APOYO!J:K,2,FALSE),C3516)</f>
        <v>SOMONDOCO</v>
      </c>
      <c r="E3516">
        <v>2017</v>
      </c>
    </row>
    <row r="3517" spans="1:5" hidden="1" x14ac:dyDescent="0.25">
      <c r="A3517" t="str">
        <f>_xlfn.XLOOKUP(C3517, 'Códigos DANE Municipios'!$B$2:$B$1123, 'Códigos DANE Municipios'!$A$2:$A$1123, "No encontrado")</f>
        <v>05756</v>
      </c>
      <c r="B3517" t="str">
        <f>IFERROR(VLOOKUP(D3517,APOYO!K:L,2,FALSE),A3517)</f>
        <v>05756</v>
      </c>
      <c r="C3517" t="s">
        <v>222</v>
      </c>
      <c r="D3517" t="str">
        <f>IFERROR(VLOOKUP(C3517,APOYO!J:K,2,FALSE),C3517)</f>
        <v>SONSÓN</v>
      </c>
      <c r="E3517">
        <v>2017</v>
      </c>
    </row>
    <row r="3518" spans="1:5" hidden="1" x14ac:dyDescent="0.25">
      <c r="A3518" t="str">
        <f>_xlfn.XLOOKUP(C3518, 'Códigos DANE Municipios'!$B$2:$B$1123, 'Códigos DANE Municipios'!$A$2:$A$1123, "No encontrado")</f>
        <v>05761</v>
      </c>
      <c r="B3518" t="str">
        <f>IFERROR(VLOOKUP(D3518,APOYO!K:L,2,FALSE),A3518)</f>
        <v>05761</v>
      </c>
      <c r="C3518" t="s">
        <v>224</v>
      </c>
      <c r="D3518" t="str">
        <f>IFERROR(VLOOKUP(C3518,APOYO!J:K,2,FALSE),C3518)</f>
        <v>SOPETRÁN</v>
      </c>
      <c r="E3518">
        <v>2017</v>
      </c>
    </row>
    <row r="3519" spans="1:5" hidden="1" x14ac:dyDescent="0.25">
      <c r="A3519" t="str">
        <f>_xlfn.XLOOKUP(C3519, 'Códigos DANE Municipios'!$B$2:$B$1123, 'Códigos DANE Municipios'!$A$2:$A$1123, "No encontrado")</f>
        <v>25758</v>
      </c>
      <c r="B3519" t="str">
        <f>IFERROR(VLOOKUP(D3519,APOYO!K:L,2,FALSE),A3519)</f>
        <v>25758</v>
      </c>
      <c r="C3519" t="s">
        <v>1084</v>
      </c>
      <c r="D3519" t="str">
        <f>IFERROR(VLOOKUP(C3519,APOYO!J:K,2,FALSE),C3519)</f>
        <v>SOPÓ</v>
      </c>
      <c r="E3519">
        <v>2017</v>
      </c>
    </row>
    <row r="3520" spans="1:5" hidden="1" x14ac:dyDescent="0.25">
      <c r="A3520" t="str">
        <f>_xlfn.XLOOKUP(C3520, 'Códigos DANE Municipios'!$B$2:$B$1123, 'Códigos DANE Municipios'!$A$2:$A$1123, "No encontrado")</f>
        <v>15762</v>
      </c>
      <c r="B3520" t="str">
        <f>IFERROR(VLOOKUP(D3520,APOYO!K:L,2,FALSE),A3520)</f>
        <v>15762</v>
      </c>
      <c r="C3520" t="s">
        <v>596</v>
      </c>
      <c r="D3520" t="str">
        <f>IFERROR(VLOOKUP(C3520,APOYO!J:K,2,FALSE),C3520)</f>
        <v>SORA</v>
      </c>
      <c r="E3520">
        <v>2017</v>
      </c>
    </row>
    <row r="3521" spans="1:5" hidden="1" x14ac:dyDescent="0.25">
      <c r="A3521" t="str">
        <f>_xlfn.XLOOKUP(C3521, 'Códigos DANE Municipios'!$B$2:$B$1123, 'Códigos DANE Municipios'!$A$2:$A$1123, "No encontrado")</f>
        <v>15763</v>
      </c>
      <c r="B3521" t="str">
        <f>IFERROR(VLOOKUP(D3521,APOYO!K:L,2,FALSE),A3521)</f>
        <v>15763</v>
      </c>
      <c r="C3521" t="s">
        <v>598</v>
      </c>
      <c r="D3521" t="str">
        <f>IFERROR(VLOOKUP(C3521,APOYO!J:K,2,FALSE),C3521)</f>
        <v>SOTAQUIRÁ</v>
      </c>
      <c r="E3521">
        <v>2017</v>
      </c>
    </row>
    <row r="3522" spans="1:5" hidden="1" x14ac:dyDescent="0.25">
      <c r="A3522" t="str">
        <f>_xlfn.XLOOKUP(C3522, 'Códigos DANE Municipios'!$B$2:$B$1123, 'Códigos DANE Municipios'!$A$2:$A$1123, "No encontrado")</f>
        <v>05686</v>
      </c>
      <c r="B3522" t="str">
        <f>IFERROR(VLOOKUP(D3522,APOYO!K:L,2,FALSE),A3522)</f>
        <v>05686</v>
      </c>
      <c r="C3522" t="s">
        <v>214</v>
      </c>
      <c r="D3522" t="str">
        <f>IFERROR(VLOOKUP(C3522,APOYO!J:K,2,FALSE),C3522)</f>
        <v>SANTA ROSA DE OSOS</v>
      </c>
      <c r="E3522">
        <v>2017</v>
      </c>
    </row>
    <row r="3523" spans="1:5" hidden="1" x14ac:dyDescent="0.25">
      <c r="A3523" t="str">
        <f>_xlfn.XLOOKUP(C3523, 'Códigos DANE Municipios'!$B$2:$B$1123, 'Códigos DANE Municipios'!$A$2:$A$1123, "No encontrado")</f>
        <v>68770</v>
      </c>
      <c r="B3523" t="str">
        <f>IFERROR(VLOOKUP(D3523,APOYO!K:L,2,FALSE),A3523)</f>
        <v>68770</v>
      </c>
      <c r="C3523" t="s">
        <v>1800</v>
      </c>
      <c r="D3523" t="str">
        <f>IFERROR(VLOOKUP(C3523,APOYO!J:K,2,FALSE),C3523)</f>
        <v>SUAITA</v>
      </c>
      <c r="E3523">
        <v>2017</v>
      </c>
    </row>
    <row r="3524" spans="1:5" hidden="1" x14ac:dyDescent="0.25">
      <c r="A3524" t="str">
        <f>_xlfn.XLOOKUP(C3524, 'Códigos DANE Municipios'!$B$2:$B$1123, 'Códigos DANE Municipios'!$A$2:$A$1123, "No encontrado")</f>
        <v>08770</v>
      </c>
      <c r="B3524" t="str">
        <f>IFERROR(VLOOKUP(D3524,APOYO!K:L,2,FALSE),A3524)</f>
        <v>08770</v>
      </c>
      <c r="C3524" t="s">
        <v>301</v>
      </c>
      <c r="D3524" t="str">
        <f>IFERROR(VLOOKUP(C3524,APOYO!J:K,2,FALSE),C3524)</f>
        <v>SUAN</v>
      </c>
      <c r="E3524">
        <v>2017</v>
      </c>
    </row>
    <row r="3525" spans="1:5" hidden="1" x14ac:dyDescent="0.25">
      <c r="A3525" t="str">
        <f>_xlfn.XLOOKUP(C3525, 'Códigos DANE Municipios'!$B$2:$B$1123, 'Códigos DANE Municipios'!$A$2:$A$1123, "No encontrado")</f>
        <v>41770</v>
      </c>
      <c r="B3525" t="str">
        <f>IFERROR(VLOOKUP(D3525,APOYO!K:L,2,FALSE),A3525)</f>
        <v>41770</v>
      </c>
      <c r="C3525" t="s">
        <v>1256</v>
      </c>
      <c r="D3525" t="str">
        <f>IFERROR(VLOOKUP(C3525,APOYO!J:K,2,FALSE),C3525)</f>
        <v>SUAZA</v>
      </c>
      <c r="E3525">
        <v>2017</v>
      </c>
    </row>
    <row r="3526" spans="1:5" hidden="1" x14ac:dyDescent="0.25">
      <c r="A3526" t="str">
        <f>_xlfn.XLOOKUP(C3526, 'Códigos DANE Municipios'!$B$2:$B$1123, 'Códigos DANE Municipios'!$A$2:$A$1123, "No encontrado")</f>
        <v>25769</v>
      </c>
      <c r="B3526" t="str">
        <f>IFERROR(VLOOKUP(D3526,APOYO!K:L,2,FALSE),A3526)</f>
        <v>25769</v>
      </c>
      <c r="C3526" t="s">
        <v>1086</v>
      </c>
      <c r="D3526" t="str">
        <f>IFERROR(VLOOKUP(C3526,APOYO!J:K,2,FALSE),C3526)</f>
        <v>SUBACHOQUE</v>
      </c>
      <c r="E3526">
        <v>2017</v>
      </c>
    </row>
    <row r="3527" spans="1:5" hidden="1" x14ac:dyDescent="0.25">
      <c r="A3527" t="str">
        <f>_xlfn.XLOOKUP(C3527, 'Códigos DANE Municipios'!$B$2:$B$1123, 'Códigos DANE Municipios'!$A$2:$A$1123, "No encontrado")</f>
        <v>19785</v>
      </c>
      <c r="B3527" t="str">
        <f>IFERROR(VLOOKUP(D3527,APOYO!K:L,2,FALSE),A3527)</f>
        <v>19785</v>
      </c>
      <c r="C3527" t="s">
        <v>796</v>
      </c>
      <c r="D3527" t="str">
        <f>IFERROR(VLOOKUP(C3527,APOYO!J:K,2,FALSE),C3527)</f>
        <v>SUCRE</v>
      </c>
      <c r="E3527">
        <v>2017</v>
      </c>
    </row>
    <row r="3528" spans="1:5" hidden="1" x14ac:dyDescent="0.25">
      <c r="A3528" t="str">
        <f>_xlfn.XLOOKUP(C3528, 'Códigos DANE Municipios'!$B$2:$B$1123, 'Códigos DANE Municipios'!$A$2:$A$1123, "No encontrado")</f>
        <v>25772</v>
      </c>
      <c r="B3528" t="str">
        <f>IFERROR(VLOOKUP(D3528,APOYO!K:L,2,FALSE),A3528)</f>
        <v>25772</v>
      </c>
      <c r="C3528" t="s">
        <v>1088</v>
      </c>
      <c r="D3528" t="str">
        <f>IFERROR(VLOOKUP(C3528,APOYO!J:K,2,FALSE),C3528)</f>
        <v>SUESCA</v>
      </c>
      <c r="E3528">
        <v>2017</v>
      </c>
    </row>
    <row r="3529" spans="1:5" hidden="1" x14ac:dyDescent="0.25">
      <c r="A3529" t="str">
        <f>_xlfn.XLOOKUP(C3529, 'Códigos DANE Municipios'!$B$2:$B$1123, 'Códigos DANE Municipios'!$A$2:$A$1123, "No encontrado")</f>
        <v>17777</v>
      </c>
      <c r="B3529" t="str">
        <f>IFERROR(VLOOKUP(D3529,APOYO!K:L,2,FALSE),A3529)</f>
        <v>17777</v>
      </c>
      <c r="C3529" t="s">
        <v>690</v>
      </c>
      <c r="D3529" t="str">
        <f>IFERROR(VLOOKUP(C3529,APOYO!J:K,2,FALSE),C3529)</f>
        <v>SUPÍA</v>
      </c>
      <c r="E3529">
        <v>2017</v>
      </c>
    </row>
    <row r="3530" spans="1:5" hidden="1" x14ac:dyDescent="0.25">
      <c r="A3530" t="str">
        <f>_xlfn.XLOOKUP(C3530, 'Códigos DANE Municipios'!$B$2:$B$1123, 'Códigos DANE Municipios'!$A$2:$A$1123, "No encontrado")</f>
        <v>25779</v>
      </c>
      <c r="B3530" t="str">
        <f>IFERROR(VLOOKUP(D3530,APOYO!K:L,2,FALSE),A3530)</f>
        <v>25779</v>
      </c>
      <c r="C3530" t="s">
        <v>1092</v>
      </c>
      <c r="D3530" t="str">
        <f>IFERROR(VLOOKUP(C3530,APOYO!J:K,2,FALSE),C3530)</f>
        <v>SUSA</v>
      </c>
      <c r="E3530">
        <v>2017</v>
      </c>
    </row>
    <row r="3531" spans="1:5" hidden="1" x14ac:dyDescent="0.25">
      <c r="A3531" t="str">
        <f>_xlfn.XLOOKUP(C3531, 'Códigos DANE Municipios'!$B$2:$B$1123, 'Códigos DANE Municipios'!$A$2:$A$1123, "No encontrado")</f>
        <v>15776</v>
      </c>
      <c r="B3531" t="str">
        <f>IFERROR(VLOOKUP(D3531,APOYO!K:L,2,FALSE),A3531)</f>
        <v>15776</v>
      </c>
      <c r="C3531" t="s">
        <v>604</v>
      </c>
      <c r="D3531" t="str">
        <f>IFERROR(VLOOKUP(C3531,APOYO!J:K,2,FALSE),C3531)</f>
        <v>SUTAMARCHÁN</v>
      </c>
      <c r="E3531">
        <v>2017</v>
      </c>
    </row>
    <row r="3532" spans="1:5" hidden="1" x14ac:dyDescent="0.25">
      <c r="A3532" t="str">
        <f>_xlfn.XLOOKUP(C3532, 'Códigos DANE Municipios'!$B$2:$B$1123, 'Códigos DANE Municipios'!$A$2:$A$1123, "No encontrado")</f>
        <v>15778</v>
      </c>
      <c r="B3532" t="str">
        <f>IFERROR(VLOOKUP(D3532,APOYO!K:L,2,FALSE),A3532)</f>
        <v>15778</v>
      </c>
      <c r="C3532" t="s">
        <v>606</v>
      </c>
      <c r="D3532" t="str">
        <f>IFERROR(VLOOKUP(C3532,APOYO!J:K,2,FALSE),C3532)</f>
        <v>SUTATENZA</v>
      </c>
      <c r="E3532">
        <v>2017</v>
      </c>
    </row>
    <row r="3533" spans="1:5" hidden="1" x14ac:dyDescent="0.25">
      <c r="A3533" t="str">
        <f>_xlfn.XLOOKUP(C3533, 'Códigos DANE Municipios'!$B$2:$B$1123, 'Códigos DANE Municipios'!$A$2:$A$1123, "No encontrado")</f>
        <v>25785</v>
      </c>
      <c r="B3533" t="str">
        <f>IFERROR(VLOOKUP(D3533,APOYO!K:L,2,FALSE),A3533)</f>
        <v>25785</v>
      </c>
      <c r="C3533" t="s">
        <v>1096</v>
      </c>
      <c r="D3533" t="str">
        <f>IFERROR(VLOOKUP(C3533,APOYO!J:K,2,FALSE),C3533)</f>
        <v>TABIO</v>
      </c>
      <c r="E3533">
        <v>2017</v>
      </c>
    </row>
    <row r="3534" spans="1:5" hidden="1" x14ac:dyDescent="0.25">
      <c r="A3534" t="str">
        <f>_xlfn.XLOOKUP(C3534, 'Códigos DANE Municipios'!$B$2:$B$1123, 'Códigos DANE Municipios'!$A$2:$A$1123, "No encontrado")</f>
        <v>85400</v>
      </c>
      <c r="B3534" t="str">
        <f>IFERROR(VLOOKUP(D3534,APOYO!K:L,2,FALSE),A3534)</f>
        <v>85400</v>
      </c>
      <c r="C3534" t="s">
        <v>2077</v>
      </c>
      <c r="D3534" t="str">
        <f>IFERROR(VLOOKUP(C3534,APOYO!J:K,2,FALSE),C3534)</f>
        <v>TÁMARA</v>
      </c>
      <c r="E3534">
        <v>2017</v>
      </c>
    </row>
    <row r="3535" spans="1:5" hidden="1" x14ac:dyDescent="0.25">
      <c r="A3535" t="str">
        <f>_xlfn.XLOOKUP(C3535, 'Códigos DANE Municipios'!$B$2:$B$1123, 'Códigos DANE Municipios'!$A$2:$A$1123, "No encontrado")</f>
        <v>81794</v>
      </c>
      <c r="B3535" t="str">
        <f>IFERROR(VLOOKUP(D3535,APOYO!K:L,2,FALSE),A3535)</f>
        <v>81794</v>
      </c>
      <c r="C3535" t="s">
        <v>2046</v>
      </c>
      <c r="D3535" t="str">
        <f>IFERROR(VLOOKUP(C3535,APOYO!J:K,2,FALSE),C3535)</f>
        <v>TAME</v>
      </c>
      <c r="E3535">
        <v>2017</v>
      </c>
    </row>
    <row r="3536" spans="1:5" hidden="1" x14ac:dyDescent="0.25">
      <c r="A3536" t="str">
        <f>_xlfn.XLOOKUP(C3536, 'Códigos DANE Municipios'!$B$2:$B$1123, 'Códigos DANE Municipios'!$A$2:$A$1123, "No encontrado")</f>
        <v>52786</v>
      </c>
      <c r="B3536" t="str">
        <f>IFERROR(VLOOKUP(D3536,APOYO!K:L,2,FALSE),A3536)</f>
        <v>52786</v>
      </c>
      <c r="C3536" t="s">
        <v>1519</v>
      </c>
      <c r="D3536" t="str">
        <f>IFERROR(VLOOKUP(C3536,APOYO!J:K,2,FALSE),C3536)</f>
        <v>TAMINANGO</v>
      </c>
      <c r="E3536">
        <v>2017</v>
      </c>
    </row>
    <row r="3537" spans="1:5" hidden="1" x14ac:dyDescent="0.25">
      <c r="A3537" t="str">
        <f>_xlfn.XLOOKUP(C3537, 'Códigos DANE Municipios'!$B$2:$B$1123, 'Códigos DANE Municipios'!$A$2:$A$1123, "No encontrado")</f>
        <v>41791</v>
      </c>
      <c r="B3537" t="str">
        <f>IFERROR(VLOOKUP(D3537,APOYO!K:L,2,FALSE),A3537)</f>
        <v>41791</v>
      </c>
      <c r="C3537" t="s">
        <v>1258</v>
      </c>
      <c r="D3537" t="str">
        <f>IFERROR(VLOOKUP(C3537,APOYO!J:K,2,FALSE),C3537)</f>
        <v>TARQUI</v>
      </c>
      <c r="E3537">
        <v>2017</v>
      </c>
    </row>
    <row r="3538" spans="1:5" hidden="1" x14ac:dyDescent="0.25">
      <c r="A3538" t="str">
        <f>_xlfn.XLOOKUP(C3538, 'Códigos DANE Municipios'!$B$2:$B$1123, 'Códigos DANE Municipios'!$A$2:$A$1123, "No encontrado")</f>
        <v>85410</v>
      </c>
      <c r="B3538" t="str">
        <f>IFERROR(VLOOKUP(D3538,APOYO!K:L,2,FALSE),A3538)</f>
        <v>85410</v>
      </c>
      <c r="C3538" t="s">
        <v>2079</v>
      </c>
      <c r="D3538" t="str">
        <f>IFERROR(VLOOKUP(C3538,APOYO!J:K,2,FALSE),C3538)</f>
        <v>TAURAMENA</v>
      </c>
      <c r="E3538">
        <v>2017</v>
      </c>
    </row>
    <row r="3539" spans="1:5" hidden="1" x14ac:dyDescent="0.25">
      <c r="A3539" t="str">
        <f>_xlfn.XLOOKUP(C3539, 'Códigos DANE Municipios'!$B$2:$B$1123, 'Códigos DANE Municipios'!$A$2:$A$1123, "No encontrado")</f>
        <v>41799</v>
      </c>
      <c r="B3539" t="str">
        <f>IFERROR(VLOOKUP(D3539,APOYO!K:L,2,FALSE),A3539)</f>
        <v>41799</v>
      </c>
      <c r="C3539" t="s">
        <v>1262</v>
      </c>
      <c r="D3539" t="str">
        <f>IFERROR(VLOOKUP(C3539,APOYO!J:K,2,FALSE),C3539)</f>
        <v>TELLO</v>
      </c>
      <c r="E3539">
        <v>2017</v>
      </c>
    </row>
    <row r="3540" spans="1:5" hidden="1" x14ac:dyDescent="0.25">
      <c r="A3540" t="str">
        <f>_xlfn.XLOOKUP(C3540, 'Códigos DANE Municipios'!$B$2:$B$1123, 'Códigos DANE Municipios'!$A$2:$A$1123, "No encontrado")</f>
        <v>25797</v>
      </c>
      <c r="B3540" t="str">
        <f>IFERROR(VLOOKUP(D3540,APOYO!K:L,2,FALSE),A3540)</f>
        <v>25797</v>
      </c>
      <c r="C3540" t="s">
        <v>1100</v>
      </c>
      <c r="D3540" t="str">
        <f>IFERROR(VLOOKUP(C3540,APOYO!J:K,2,FALSE),C3540)</f>
        <v>TENA</v>
      </c>
      <c r="E3540">
        <v>2017</v>
      </c>
    </row>
    <row r="3541" spans="1:5" hidden="1" x14ac:dyDescent="0.25">
      <c r="A3541" t="str">
        <f>_xlfn.XLOOKUP(C3541, 'Códigos DANE Municipios'!$B$2:$B$1123, 'Códigos DANE Municipios'!$A$2:$A$1123, "No encontrado")</f>
        <v>25799</v>
      </c>
      <c r="B3541" t="str">
        <f>IFERROR(VLOOKUP(D3541,APOYO!K:L,2,FALSE),A3541)</f>
        <v>25799</v>
      </c>
      <c r="C3541" t="s">
        <v>1102</v>
      </c>
      <c r="D3541" t="str">
        <f>IFERROR(VLOOKUP(C3541,APOYO!J:K,2,FALSE),C3541)</f>
        <v>TENJO</v>
      </c>
      <c r="E3541">
        <v>2017</v>
      </c>
    </row>
    <row r="3542" spans="1:5" hidden="1" x14ac:dyDescent="0.25">
      <c r="A3542" t="str">
        <f>_xlfn.XLOOKUP(C3542, 'Códigos DANE Municipios'!$B$2:$B$1123, 'Códigos DANE Municipios'!$A$2:$A$1123, "No encontrado")</f>
        <v>15798</v>
      </c>
      <c r="B3542" t="str">
        <f>IFERROR(VLOOKUP(D3542,APOYO!K:L,2,FALSE),A3542)</f>
        <v>15798</v>
      </c>
      <c r="C3542" t="s">
        <v>610</v>
      </c>
      <c r="D3542" t="str">
        <f>IFERROR(VLOOKUP(C3542,APOYO!J:K,2,FALSE),C3542)</f>
        <v>TENZA</v>
      </c>
      <c r="E3542">
        <v>2017</v>
      </c>
    </row>
    <row r="3543" spans="1:5" hidden="1" x14ac:dyDescent="0.25">
      <c r="A3543" t="str">
        <f>_xlfn.XLOOKUP(C3543, 'Códigos DANE Municipios'!$B$2:$B$1123, 'Códigos DANE Municipios'!$A$2:$A$1123, "No encontrado")</f>
        <v>41801</v>
      </c>
      <c r="B3543" t="str">
        <f>IFERROR(VLOOKUP(D3543,APOYO!K:L,2,FALSE),A3543)</f>
        <v>41801</v>
      </c>
      <c r="C3543" t="s">
        <v>1264</v>
      </c>
      <c r="D3543" t="str">
        <f>IFERROR(VLOOKUP(C3543,APOYO!J:K,2,FALSE),C3543)</f>
        <v>TERUEL</v>
      </c>
      <c r="E3543">
        <v>2017</v>
      </c>
    </row>
    <row r="3544" spans="1:5" hidden="1" x14ac:dyDescent="0.25">
      <c r="A3544" t="str">
        <f>_xlfn.XLOOKUP(C3544, 'Códigos DANE Municipios'!$B$2:$B$1123, 'Códigos DANE Municipios'!$A$2:$A$1123, "No encontrado")</f>
        <v>41797</v>
      </c>
      <c r="B3544" t="str">
        <f>IFERROR(VLOOKUP(D3544,APOYO!K:L,2,FALSE),A3544)</f>
        <v>41797</v>
      </c>
      <c r="C3544" t="s">
        <v>1260</v>
      </c>
      <c r="D3544" t="str">
        <f>IFERROR(VLOOKUP(C3544,APOYO!J:K,2,FALSE),C3544)</f>
        <v>TESALIA</v>
      </c>
      <c r="E3544">
        <v>2017</v>
      </c>
    </row>
    <row r="3545" spans="1:5" hidden="1" x14ac:dyDescent="0.25">
      <c r="A3545" t="str">
        <f>_xlfn.XLOOKUP(C3545, 'Códigos DANE Municipios'!$B$2:$B$1123, 'Códigos DANE Municipios'!$A$2:$A$1123, "No encontrado")</f>
        <v>25805</v>
      </c>
      <c r="B3545" t="str">
        <f>IFERROR(VLOOKUP(D3545,APOYO!K:L,2,FALSE),A3545)</f>
        <v>25805</v>
      </c>
      <c r="C3545" t="s">
        <v>1104</v>
      </c>
      <c r="D3545" t="str">
        <f>IFERROR(VLOOKUP(C3545,APOYO!J:K,2,FALSE),C3545)</f>
        <v>TIBACUY</v>
      </c>
      <c r="E3545">
        <v>2017</v>
      </c>
    </row>
    <row r="3546" spans="1:5" hidden="1" x14ac:dyDescent="0.25">
      <c r="A3546" t="str">
        <f>_xlfn.XLOOKUP(C3546, 'Códigos DANE Municipios'!$B$2:$B$1123, 'Códigos DANE Municipios'!$A$2:$A$1123, "No encontrado")</f>
        <v>15804</v>
      </c>
      <c r="B3546" t="str">
        <f>IFERROR(VLOOKUP(D3546,APOYO!K:L,2,FALSE),A3546)</f>
        <v>15804</v>
      </c>
      <c r="C3546" t="s">
        <v>612</v>
      </c>
      <c r="D3546" t="str">
        <f>IFERROR(VLOOKUP(C3546,APOYO!J:K,2,FALSE),C3546)</f>
        <v>TIBANÁ</v>
      </c>
      <c r="E3546">
        <v>2017</v>
      </c>
    </row>
    <row r="3547" spans="1:5" hidden="1" x14ac:dyDescent="0.25">
      <c r="A3547" t="str">
        <f>_xlfn.XLOOKUP(C3547, 'Códigos DANE Municipios'!$B$2:$B$1123, 'Códigos DANE Municipios'!$A$2:$A$1123, "No encontrado")</f>
        <v>15806</v>
      </c>
      <c r="B3547" t="str">
        <f>IFERROR(VLOOKUP(D3547,APOYO!K:L,2,FALSE),A3547)</f>
        <v>15806</v>
      </c>
      <c r="C3547" t="s">
        <v>614</v>
      </c>
      <c r="D3547" t="str">
        <f>IFERROR(VLOOKUP(C3547,APOYO!J:K,2,FALSE),C3547)</f>
        <v>TIBASOSA</v>
      </c>
      <c r="E3547">
        <v>2017</v>
      </c>
    </row>
    <row r="3548" spans="1:5" hidden="1" x14ac:dyDescent="0.25">
      <c r="A3548" t="str">
        <f>_xlfn.XLOOKUP(C3548, 'Códigos DANE Municipios'!$B$2:$B$1123, 'Códigos DANE Municipios'!$A$2:$A$1123, "No encontrado")</f>
        <v>25807</v>
      </c>
      <c r="B3548" t="str">
        <f>IFERROR(VLOOKUP(D3548,APOYO!K:L,2,FALSE),A3548)</f>
        <v>25807</v>
      </c>
      <c r="C3548" t="s">
        <v>1106</v>
      </c>
      <c r="D3548" t="str">
        <f>IFERROR(VLOOKUP(C3548,APOYO!J:K,2,FALSE),C3548)</f>
        <v>TIBIRITA</v>
      </c>
      <c r="E3548">
        <v>2017</v>
      </c>
    </row>
    <row r="3549" spans="1:5" hidden="1" x14ac:dyDescent="0.25">
      <c r="A3549" t="str">
        <f>_xlfn.XLOOKUP(C3549, 'Códigos DANE Municipios'!$B$2:$B$1123, 'Códigos DANE Municipios'!$A$2:$A$1123, "No encontrado")</f>
        <v>54810</v>
      </c>
      <c r="B3549" t="str">
        <f>IFERROR(VLOOKUP(D3549,APOYO!K:L,2,FALSE),A3549)</f>
        <v>54810</v>
      </c>
      <c r="C3549" t="s">
        <v>1600</v>
      </c>
      <c r="D3549" t="str">
        <f>IFERROR(VLOOKUP(C3549,APOYO!J:K,2,FALSE),C3549)</f>
        <v>TIBÚ</v>
      </c>
      <c r="E3549">
        <v>2017</v>
      </c>
    </row>
    <row r="3550" spans="1:5" hidden="1" x14ac:dyDescent="0.25">
      <c r="A3550" t="str">
        <f>_xlfn.XLOOKUP(C3550, 'Códigos DANE Municipios'!$B$2:$B$1123, 'Códigos DANE Municipios'!$A$2:$A$1123, "No encontrado")</f>
        <v>23807</v>
      </c>
      <c r="B3550" t="str">
        <f>IFERROR(VLOOKUP(D3550,APOYO!K:L,2,FALSE),A3550)</f>
        <v>23807</v>
      </c>
      <c r="C3550" t="s">
        <v>910</v>
      </c>
      <c r="D3550" t="str">
        <f>IFERROR(VLOOKUP(C3550,APOYO!J:K,2,FALSE),C3550)</f>
        <v>TIERRALTA</v>
      </c>
      <c r="E3550">
        <v>2017</v>
      </c>
    </row>
    <row r="3551" spans="1:5" hidden="1" x14ac:dyDescent="0.25">
      <c r="A3551" t="str">
        <f>_xlfn.XLOOKUP(C3551, 'Códigos DANE Municipios'!$B$2:$B$1123, 'Códigos DANE Municipios'!$A$2:$A$1123, "No encontrado")</f>
        <v>41807</v>
      </c>
      <c r="B3551" t="str">
        <f>IFERROR(VLOOKUP(D3551,APOYO!K:L,2,FALSE),A3551)</f>
        <v>41807</v>
      </c>
      <c r="C3551" t="s">
        <v>1266</v>
      </c>
      <c r="D3551" t="str">
        <f>IFERROR(VLOOKUP(C3551,APOYO!J:K,2,FALSE),C3551)</f>
        <v>TIMANÁ</v>
      </c>
      <c r="E3551">
        <v>2017</v>
      </c>
    </row>
    <row r="3552" spans="1:5" hidden="1" x14ac:dyDescent="0.25">
      <c r="A3552" t="str">
        <f>_xlfn.XLOOKUP(C3552, 'Códigos DANE Municipios'!$B$2:$B$1123, 'Códigos DANE Municipios'!$A$2:$A$1123, "No encontrado")</f>
        <v>19807</v>
      </c>
      <c r="B3552" t="str">
        <f>IFERROR(VLOOKUP(D3552,APOYO!K:L,2,FALSE),A3552)</f>
        <v>19807</v>
      </c>
      <c r="C3552" t="s">
        <v>798</v>
      </c>
      <c r="D3552" t="str">
        <f>IFERROR(VLOOKUP(C3552,APOYO!J:K,2,FALSE),C3552)</f>
        <v>TIMBÍO</v>
      </c>
      <c r="E3552">
        <v>2017</v>
      </c>
    </row>
    <row r="3553" spans="1:5" hidden="1" x14ac:dyDescent="0.25">
      <c r="A3553" t="str">
        <f>_xlfn.XLOOKUP(C3553, 'Códigos DANE Municipios'!$B$2:$B$1123, 'Códigos DANE Municipios'!$A$2:$A$1123, "No encontrado")</f>
        <v>19809</v>
      </c>
      <c r="B3553" t="str">
        <f>IFERROR(VLOOKUP(D3553,APOYO!K:L,2,FALSE),A3553)</f>
        <v>19809</v>
      </c>
      <c r="C3553" t="s">
        <v>800</v>
      </c>
      <c r="D3553" t="str">
        <f>IFERROR(VLOOKUP(C3553,APOYO!J:K,2,FALSE),C3553)</f>
        <v>TIMBIQUÍ</v>
      </c>
      <c r="E3553">
        <v>2017</v>
      </c>
    </row>
    <row r="3554" spans="1:5" hidden="1" x14ac:dyDescent="0.25">
      <c r="A3554" t="str">
        <f>_xlfn.XLOOKUP(C3554, 'Códigos DANE Municipios'!$B$2:$B$1123, 'Códigos DANE Municipios'!$A$2:$A$1123, "No encontrado")</f>
        <v>15808</v>
      </c>
      <c r="B3554" t="str">
        <f>IFERROR(VLOOKUP(D3554,APOYO!K:L,2,FALSE),A3554)</f>
        <v>15808</v>
      </c>
      <c r="C3554" t="s">
        <v>616</v>
      </c>
      <c r="D3554" t="str">
        <f>IFERROR(VLOOKUP(C3554,APOYO!J:K,2,FALSE),C3554)</f>
        <v>TINJACÁ</v>
      </c>
      <c r="E3554">
        <v>2017</v>
      </c>
    </row>
    <row r="3555" spans="1:5" hidden="1" x14ac:dyDescent="0.25">
      <c r="A3555" t="str">
        <f>_xlfn.XLOOKUP(C3555, 'Códigos DANE Municipios'!$B$2:$B$1123, 'Códigos DANE Municipios'!$A$2:$A$1123, "No encontrado")</f>
        <v>05809</v>
      </c>
      <c r="B3555" t="str">
        <f>IFERROR(VLOOKUP(D3555,APOYO!K:L,2,FALSE),A3555)</f>
        <v>05809</v>
      </c>
      <c r="C3555" t="s">
        <v>232</v>
      </c>
      <c r="D3555" t="str">
        <f>IFERROR(VLOOKUP(C3555,APOYO!J:K,2,FALSE),C3555)</f>
        <v>TITIRIBÍ</v>
      </c>
      <c r="E3555">
        <v>2017</v>
      </c>
    </row>
    <row r="3556" spans="1:5" hidden="1" x14ac:dyDescent="0.25">
      <c r="A3556" t="str">
        <f>_xlfn.XLOOKUP(C3556, 'Códigos DANE Municipios'!$B$2:$B$1123, 'Códigos DANE Municipios'!$A$2:$A$1123, "No encontrado")</f>
        <v>15814</v>
      </c>
      <c r="B3556" t="str">
        <f>IFERROR(VLOOKUP(D3556,APOYO!K:L,2,FALSE),A3556)</f>
        <v>15814</v>
      </c>
      <c r="C3556" t="s">
        <v>620</v>
      </c>
      <c r="D3556" t="str">
        <f>IFERROR(VLOOKUP(C3556,APOYO!J:K,2,FALSE),C3556)</f>
        <v>TOCA</v>
      </c>
      <c r="E3556">
        <v>2017</v>
      </c>
    </row>
    <row r="3557" spans="1:5" hidden="1" x14ac:dyDescent="0.25">
      <c r="A3557" t="str">
        <f>_xlfn.XLOOKUP(C3557, 'Códigos DANE Municipios'!$B$2:$B$1123, 'Códigos DANE Municipios'!$A$2:$A$1123, "No encontrado")</f>
        <v>25815</v>
      </c>
      <c r="B3557" t="str">
        <f>IFERROR(VLOOKUP(D3557,APOYO!K:L,2,FALSE),A3557)</f>
        <v>25815</v>
      </c>
      <c r="C3557" t="s">
        <v>1108</v>
      </c>
      <c r="D3557" t="str">
        <f>IFERROR(VLOOKUP(C3557,APOYO!J:K,2,FALSE),C3557)</f>
        <v>TOCAIMA</v>
      </c>
      <c r="E3557">
        <v>2017</v>
      </c>
    </row>
    <row r="3558" spans="1:5" hidden="1" x14ac:dyDescent="0.25">
      <c r="A3558" t="str">
        <f>_xlfn.XLOOKUP(C3558, 'Códigos DANE Municipios'!$B$2:$B$1123, 'Códigos DANE Municipios'!$A$2:$A$1123, "No encontrado")</f>
        <v>25817</v>
      </c>
      <c r="B3558" t="str">
        <f>IFERROR(VLOOKUP(D3558,APOYO!K:L,2,FALSE),A3558)</f>
        <v>25817</v>
      </c>
      <c r="C3558" t="s">
        <v>1110</v>
      </c>
      <c r="D3558" t="str">
        <f>IFERROR(VLOOKUP(C3558,APOYO!J:K,2,FALSE),C3558)</f>
        <v>TOCANCIPÁ</v>
      </c>
      <c r="E3558">
        <v>2017</v>
      </c>
    </row>
    <row r="3559" spans="1:5" hidden="1" x14ac:dyDescent="0.25">
      <c r="A3559" t="str">
        <f>_xlfn.XLOOKUP(C3559, 'Códigos DANE Municipios'!$B$2:$B$1123, 'Códigos DANE Municipios'!$A$2:$A$1123, "No encontrado")</f>
        <v>05819</v>
      </c>
      <c r="B3559" t="str">
        <f>IFERROR(VLOOKUP(D3559,APOYO!K:L,2,FALSE),A3559)</f>
        <v>05819</v>
      </c>
      <c r="C3559" t="s">
        <v>234</v>
      </c>
      <c r="D3559" t="str">
        <f>IFERROR(VLOOKUP(C3559,APOYO!J:K,2,FALSE),C3559)</f>
        <v>TOLEDO</v>
      </c>
      <c r="E3559">
        <v>2017</v>
      </c>
    </row>
    <row r="3560" spans="1:5" hidden="1" x14ac:dyDescent="0.25">
      <c r="A3560" t="str">
        <f>_xlfn.XLOOKUP(C3560, 'Códigos DANE Municipios'!$B$2:$B$1123, 'Códigos DANE Municipios'!$A$2:$A$1123, "No encontrado")</f>
        <v>70820</v>
      </c>
      <c r="B3560" t="str">
        <f>IFERROR(VLOOKUP(D3560,APOYO!K:L,2,FALSE),A3560)</f>
        <v>70820</v>
      </c>
      <c r="C3560" t="s">
        <v>1861</v>
      </c>
      <c r="D3560" t="str">
        <f>IFERROR(VLOOKUP(C3560,APOYO!J:K,2,FALSE),C3560)</f>
        <v>SANTIAGO DE TOLÚ</v>
      </c>
      <c r="E3560">
        <v>2017</v>
      </c>
    </row>
    <row r="3561" spans="1:5" hidden="1" x14ac:dyDescent="0.25">
      <c r="A3561" t="str">
        <f>_xlfn.XLOOKUP(C3561, 'Códigos DANE Municipios'!$B$2:$B$1123, 'Códigos DANE Municipios'!$A$2:$A$1123, "No encontrado")</f>
        <v>70823</v>
      </c>
      <c r="B3561" t="str">
        <f>IFERROR(VLOOKUP(D3561,APOYO!K:L,2,FALSE),A3561)</f>
        <v>70823</v>
      </c>
      <c r="C3561" t="s">
        <v>1863</v>
      </c>
      <c r="D3561" t="str">
        <f>IFERROR(VLOOKUP(C3561,APOYO!J:K,2,FALSE),C3561)</f>
        <v>TOLÚ VIEJO</v>
      </c>
      <c r="E3561">
        <v>2017</v>
      </c>
    </row>
    <row r="3562" spans="1:5" hidden="1" x14ac:dyDescent="0.25">
      <c r="A3562" t="str">
        <f>_xlfn.XLOOKUP(C3562, 'Códigos DANE Municipios'!$B$2:$B$1123, 'Códigos DANE Municipios'!$A$2:$A$1123, "No encontrado")</f>
        <v>68820</v>
      </c>
      <c r="B3562" t="str">
        <f>IFERROR(VLOOKUP(D3562,APOYO!K:L,2,FALSE),A3562)</f>
        <v>68820</v>
      </c>
      <c r="C3562" t="s">
        <v>1805</v>
      </c>
      <c r="D3562" t="str">
        <f>IFERROR(VLOOKUP(C3562,APOYO!J:K,2,FALSE),C3562)</f>
        <v>TONA</v>
      </c>
      <c r="E3562">
        <v>2017</v>
      </c>
    </row>
    <row r="3563" spans="1:5" hidden="1" x14ac:dyDescent="0.25">
      <c r="A3563" t="str">
        <f>_xlfn.XLOOKUP(C3563, 'Códigos DANE Municipios'!$B$2:$B$1123, 'Códigos DANE Municipios'!$A$2:$A$1123, "No encontrado")</f>
        <v>76823</v>
      </c>
      <c r="B3563" t="str">
        <f>IFERROR(VLOOKUP(D3563,APOYO!K:L,2,FALSE),A3563)</f>
        <v>76823</v>
      </c>
      <c r="C3563" t="s">
        <v>2016</v>
      </c>
      <c r="D3563" t="str">
        <f>IFERROR(VLOOKUP(C3563,APOYO!J:K,2,FALSE),C3563)</f>
        <v>TORO</v>
      </c>
      <c r="E3563">
        <v>2017</v>
      </c>
    </row>
    <row r="3564" spans="1:5" hidden="1" x14ac:dyDescent="0.25">
      <c r="A3564" t="str">
        <f>_xlfn.XLOOKUP(C3564, 'Códigos DANE Municipios'!$B$2:$B$1123, 'Códigos DANE Municipios'!$A$2:$A$1123, "No encontrado")</f>
        <v>19824</v>
      </c>
      <c r="B3564" t="str">
        <f>IFERROR(VLOOKUP(D3564,APOYO!K:L,2,FALSE),A3564)</f>
        <v>19824</v>
      </c>
      <c r="C3564" t="s">
        <v>804</v>
      </c>
      <c r="D3564" t="str">
        <f>IFERROR(VLOOKUP(C3564,APOYO!J:K,2,FALSE),C3564)</f>
        <v>TOTORÓ</v>
      </c>
      <c r="E3564">
        <v>2017</v>
      </c>
    </row>
    <row r="3565" spans="1:5" hidden="1" x14ac:dyDescent="0.25">
      <c r="A3565" t="str">
        <f>_xlfn.XLOOKUP(C3565, 'Códigos DANE Municipios'!$B$2:$B$1123, 'Códigos DANE Municipios'!$A$2:$A$1123, "No encontrado")</f>
        <v>85430</v>
      </c>
      <c r="B3565" t="str">
        <f>IFERROR(VLOOKUP(D3565,APOYO!K:L,2,FALSE),A3565)</f>
        <v>85430</v>
      </c>
      <c r="C3565" t="s">
        <v>2081</v>
      </c>
      <c r="D3565" t="str">
        <f>IFERROR(VLOOKUP(C3565,APOYO!J:K,2,FALSE),C3565)</f>
        <v>TRINIDAD</v>
      </c>
      <c r="E3565">
        <v>2017</v>
      </c>
    </row>
    <row r="3566" spans="1:5" hidden="1" x14ac:dyDescent="0.25">
      <c r="A3566" t="str">
        <f>_xlfn.XLOOKUP(C3566, 'Códigos DANE Municipios'!$B$2:$B$1123, 'Códigos DANE Municipios'!$A$2:$A$1123, "No encontrado")</f>
        <v>76828</v>
      </c>
      <c r="B3566" t="str">
        <f>IFERROR(VLOOKUP(D3566,APOYO!K:L,2,FALSE),A3566)</f>
        <v>76828</v>
      </c>
      <c r="C3566" t="s">
        <v>2018</v>
      </c>
      <c r="D3566" t="str">
        <f>IFERROR(VLOOKUP(C3566,APOYO!J:K,2,FALSE),C3566)</f>
        <v>TRUJILLO</v>
      </c>
      <c r="E3566">
        <v>2017</v>
      </c>
    </row>
    <row r="3567" spans="1:5" hidden="1" x14ac:dyDescent="0.25">
      <c r="A3567" t="str">
        <f>_xlfn.XLOOKUP(C3567, 'Códigos DANE Municipios'!$B$2:$B$1123, 'Códigos DANE Municipios'!$A$2:$A$1123, "No encontrado")</f>
        <v>08832</v>
      </c>
      <c r="B3567" t="str">
        <f>IFERROR(VLOOKUP(D3567,APOYO!K:L,2,FALSE),A3567)</f>
        <v>08832</v>
      </c>
      <c r="C3567" t="s">
        <v>303</v>
      </c>
      <c r="D3567" t="str">
        <f>IFERROR(VLOOKUP(C3567,APOYO!J:K,2,FALSE),C3567)</f>
        <v>TUBARÁ</v>
      </c>
      <c r="E3567">
        <v>2017</v>
      </c>
    </row>
    <row r="3568" spans="1:5" hidden="1" x14ac:dyDescent="0.25">
      <c r="A3568" t="str">
        <f>_xlfn.XLOOKUP(C3568, 'Códigos DANE Municipios'!$B$2:$B$1123, 'Códigos DANE Municipios'!$A$2:$A$1123, "No encontrado")</f>
        <v>76834</v>
      </c>
      <c r="B3568" t="str">
        <f>IFERROR(VLOOKUP(D3568,APOYO!K:L,2,FALSE),A3568)</f>
        <v>76834</v>
      </c>
      <c r="C3568" t="s">
        <v>2020</v>
      </c>
      <c r="D3568" t="str">
        <f>IFERROR(VLOOKUP(C3568,APOYO!J:K,2,FALSE),C3568)</f>
        <v>TULUÁ</v>
      </c>
      <c r="E3568">
        <v>2017</v>
      </c>
    </row>
    <row r="3569" spans="1:5" hidden="1" x14ac:dyDescent="0.25">
      <c r="A3569" t="str">
        <f>_xlfn.XLOOKUP(C3569, 'Códigos DANE Municipios'!$B$2:$B$1123, 'Códigos DANE Municipios'!$A$2:$A$1123, "No encontrado")</f>
        <v>52835</v>
      </c>
      <c r="B3569" t="str">
        <f>IFERROR(VLOOKUP(D3569,APOYO!K:L,2,FALSE),A3569)</f>
        <v>52835</v>
      </c>
      <c r="C3569" t="s">
        <v>1523</v>
      </c>
      <c r="D3569" t="str">
        <f>IFERROR(VLOOKUP(C3569,APOYO!J:K,2,FALSE),C3569)</f>
        <v>SAN ANDRÉS DE TUMACO</v>
      </c>
      <c r="E3569">
        <v>2017</v>
      </c>
    </row>
    <row r="3570" spans="1:5" hidden="1" x14ac:dyDescent="0.25">
      <c r="A3570" t="str">
        <f>_xlfn.XLOOKUP(C3570, 'Códigos DANE Municipios'!$B$2:$B$1123, 'Códigos DANE Municipios'!$A$2:$A$1123, "No encontrado")</f>
        <v>15001</v>
      </c>
      <c r="B3570" t="str">
        <f>IFERROR(VLOOKUP(D3570,APOYO!K:L,2,FALSE),A3570)</f>
        <v>15001</v>
      </c>
      <c r="C3570" t="s">
        <v>401</v>
      </c>
      <c r="D3570" t="str">
        <f>IFERROR(VLOOKUP(C3570,APOYO!J:K,2,FALSE),C3570)</f>
        <v>TUNJA</v>
      </c>
      <c r="E3570">
        <v>2017</v>
      </c>
    </row>
    <row r="3571" spans="1:5" hidden="1" x14ac:dyDescent="0.25">
      <c r="A3571" t="str">
        <f>_xlfn.XLOOKUP(C3571, 'Códigos DANE Municipios'!$B$2:$B$1123, 'Códigos DANE Municipios'!$A$2:$A$1123, "No encontrado")</f>
        <v>52838</v>
      </c>
      <c r="B3571" t="str">
        <f>IFERROR(VLOOKUP(D3571,APOYO!K:L,2,FALSE),A3571)</f>
        <v>52838</v>
      </c>
      <c r="C3571" t="s">
        <v>1525</v>
      </c>
      <c r="D3571" t="str">
        <f>IFERROR(VLOOKUP(C3571,APOYO!J:K,2,FALSE),C3571)</f>
        <v>TÚQUERRES</v>
      </c>
      <c r="E3571">
        <v>2017</v>
      </c>
    </row>
    <row r="3572" spans="1:5" hidden="1" x14ac:dyDescent="0.25">
      <c r="A3572" t="str">
        <f>_xlfn.XLOOKUP(C3572, 'Códigos DANE Municipios'!$B$2:$B$1123, 'Códigos DANE Municipios'!$A$2:$A$1123, "No encontrado")</f>
        <v>13836</v>
      </c>
      <c r="B3572" t="str">
        <f>IFERROR(VLOOKUP(D3572,APOYO!K:L,2,FALSE),A3572)</f>
        <v>13836</v>
      </c>
      <c r="C3572" t="s">
        <v>393</v>
      </c>
      <c r="D3572" t="str">
        <f>IFERROR(VLOOKUP(C3572,APOYO!J:K,2,FALSE),C3572)</f>
        <v>TURBACO</v>
      </c>
      <c r="E3572">
        <v>2017</v>
      </c>
    </row>
    <row r="3573" spans="1:5" hidden="1" x14ac:dyDescent="0.25">
      <c r="A3573" t="str">
        <f>_xlfn.XLOOKUP(C3573, 'Códigos DANE Municipios'!$B$2:$B$1123, 'Códigos DANE Municipios'!$A$2:$A$1123, "No encontrado")</f>
        <v>13838</v>
      </c>
      <c r="B3573" t="str">
        <f>IFERROR(VLOOKUP(D3573,APOYO!K:L,2,FALSE),A3573)</f>
        <v>13838</v>
      </c>
      <c r="C3573" t="s">
        <v>395</v>
      </c>
      <c r="D3573" t="str">
        <f>IFERROR(VLOOKUP(C3573,APOYO!J:K,2,FALSE),C3573)</f>
        <v>TURBANÁ</v>
      </c>
      <c r="E3573">
        <v>2017</v>
      </c>
    </row>
    <row r="3574" spans="1:5" hidden="1" x14ac:dyDescent="0.25">
      <c r="A3574" t="str">
        <f>_xlfn.XLOOKUP(C3574, 'Códigos DANE Municipios'!$B$2:$B$1123, 'Códigos DANE Municipios'!$A$2:$A$1123, "No encontrado")</f>
        <v>05837</v>
      </c>
      <c r="B3574" t="str">
        <f>IFERROR(VLOOKUP(D3574,APOYO!K:L,2,FALSE),A3574)</f>
        <v>05837</v>
      </c>
      <c r="C3574" t="s">
        <v>236</v>
      </c>
      <c r="D3574" t="str">
        <f>IFERROR(VLOOKUP(C3574,APOYO!J:K,2,FALSE),C3574)</f>
        <v>TURBO</v>
      </c>
      <c r="E3574">
        <v>2017</v>
      </c>
    </row>
    <row r="3575" spans="1:5" hidden="1" x14ac:dyDescent="0.25">
      <c r="A3575" t="str">
        <f>_xlfn.XLOOKUP(C3575, 'Códigos DANE Municipios'!$B$2:$B$1123, 'Códigos DANE Municipios'!$A$2:$A$1123, "No encontrado")</f>
        <v>15835</v>
      </c>
      <c r="B3575" t="str">
        <f>IFERROR(VLOOKUP(D3575,APOYO!K:L,2,FALSE),A3575)</f>
        <v>15835</v>
      </c>
      <c r="C3575" t="s">
        <v>630</v>
      </c>
      <c r="D3575" t="str">
        <f>IFERROR(VLOOKUP(C3575,APOYO!J:K,2,FALSE),C3575)</f>
        <v>TURMEQUÉ</v>
      </c>
      <c r="E3575">
        <v>2017</v>
      </c>
    </row>
    <row r="3576" spans="1:5" hidden="1" x14ac:dyDescent="0.25">
      <c r="A3576" t="str">
        <f>_xlfn.XLOOKUP(C3576, 'Códigos DANE Municipios'!$B$2:$B$1123, 'Códigos DANE Municipios'!$A$2:$A$1123, "No encontrado")</f>
        <v>15837</v>
      </c>
      <c r="B3576" t="str">
        <f>IFERROR(VLOOKUP(D3576,APOYO!K:L,2,FALSE),A3576)</f>
        <v>15837</v>
      </c>
      <c r="C3576" t="s">
        <v>632</v>
      </c>
      <c r="D3576" t="str">
        <f>IFERROR(VLOOKUP(C3576,APOYO!J:K,2,FALSE),C3576)</f>
        <v>TUTA</v>
      </c>
      <c r="E3576">
        <v>2017</v>
      </c>
    </row>
    <row r="3577" spans="1:5" hidden="1" x14ac:dyDescent="0.25">
      <c r="A3577" t="str">
        <f>_xlfn.XLOOKUP(C3577, 'Códigos DANE Municipios'!$B$2:$B$1123, 'Códigos DANE Municipios'!$A$2:$A$1123, "No encontrado")</f>
        <v>25839</v>
      </c>
      <c r="B3577" t="str">
        <f>IFERROR(VLOOKUP(D3577,APOYO!K:L,2,FALSE),A3577)</f>
        <v>25839</v>
      </c>
      <c r="C3577" t="s">
        <v>1114</v>
      </c>
      <c r="D3577" t="str">
        <f>IFERROR(VLOOKUP(C3577,APOYO!J:K,2,FALSE),C3577)</f>
        <v>UBALÁ</v>
      </c>
      <c r="E3577">
        <v>2017</v>
      </c>
    </row>
    <row r="3578" spans="1:5" hidden="1" x14ac:dyDescent="0.25">
      <c r="A3578" t="str">
        <f>_xlfn.XLOOKUP(C3578, 'Códigos DANE Municipios'!$B$2:$B$1123, 'Códigos DANE Municipios'!$A$2:$A$1123, "No encontrado")</f>
        <v>25841</v>
      </c>
      <c r="B3578" t="str">
        <f>IFERROR(VLOOKUP(D3578,APOYO!K:L,2,FALSE),A3578)</f>
        <v>25841</v>
      </c>
      <c r="C3578" t="s">
        <v>1116</v>
      </c>
      <c r="D3578" t="str">
        <f>IFERROR(VLOOKUP(C3578,APOYO!J:K,2,FALSE),C3578)</f>
        <v>UBAQUE</v>
      </c>
      <c r="E3578">
        <v>2017</v>
      </c>
    </row>
    <row r="3579" spans="1:5" hidden="1" x14ac:dyDescent="0.25">
      <c r="A3579" t="str">
        <f>_xlfn.XLOOKUP(C3579, 'Códigos DANE Municipios'!$B$2:$B$1123, 'Códigos DANE Municipios'!$A$2:$A$1123, "No encontrado")</f>
        <v>25843</v>
      </c>
      <c r="B3579" t="str">
        <f>IFERROR(VLOOKUP(D3579,APOYO!K:L,2,FALSE),A3579)</f>
        <v>25843</v>
      </c>
      <c r="C3579" t="s">
        <v>1118</v>
      </c>
      <c r="D3579" t="str">
        <f>IFERROR(VLOOKUP(C3579,APOYO!J:K,2,FALSE),C3579)</f>
        <v>VILLA DE SAN DIEGO DE UBATÉ</v>
      </c>
      <c r="E3579">
        <v>2017</v>
      </c>
    </row>
    <row r="3580" spans="1:5" hidden="1" x14ac:dyDescent="0.25">
      <c r="A3580" t="str">
        <f>_xlfn.XLOOKUP(C3580, 'Códigos DANE Municipios'!$B$2:$B$1123, 'Códigos DANE Municipios'!$A$2:$A$1123, "No encontrado")</f>
        <v>76845</v>
      </c>
      <c r="B3580" t="str">
        <f>IFERROR(VLOOKUP(D3580,APOYO!K:L,2,FALSE),A3580)</f>
        <v>76845</v>
      </c>
      <c r="C3580" t="s">
        <v>2022</v>
      </c>
      <c r="D3580" t="str">
        <f>IFERROR(VLOOKUP(C3580,APOYO!J:K,2,FALSE),C3580)</f>
        <v>ULLOA</v>
      </c>
      <c r="E3580">
        <v>2017</v>
      </c>
    </row>
    <row r="3581" spans="1:5" hidden="1" x14ac:dyDescent="0.25">
      <c r="A3581" t="str">
        <f>_xlfn.XLOOKUP(C3581, 'Códigos DANE Municipios'!$B$2:$B$1123, 'Códigos DANE Municipios'!$A$2:$A$1123, "No encontrado")</f>
        <v>15842</v>
      </c>
      <c r="B3581" t="str">
        <f>IFERROR(VLOOKUP(D3581,APOYO!K:L,2,FALSE),A3581)</f>
        <v>15842</v>
      </c>
      <c r="C3581" t="s">
        <v>636</v>
      </c>
      <c r="D3581" t="str">
        <f>IFERROR(VLOOKUP(C3581,APOYO!J:K,2,FALSE),C3581)</f>
        <v>ÚMBITA</v>
      </c>
      <c r="E3581">
        <v>2017</v>
      </c>
    </row>
    <row r="3582" spans="1:5" hidden="1" x14ac:dyDescent="0.25">
      <c r="A3582" t="str">
        <f>_xlfn.XLOOKUP(C3582, 'Códigos DANE Municipios'!$B$2:$B$1123, 'Códigos DANE Municipios'!$A$2:$A$1123, "No encontrado")</f>
        <v>25845</v>
      </c>
      <c r="B3582" t="str">
        <f>IFERROR(VLOOKUP(D3582,APOYO!K:L,2,FALSE),A3582)</f>
        <v>25845</v>
      </c>
      <c r="C3582" t="s">
        <v>1120</v>
      </c>
      <c r="D3582" t="str">
        <f>IFERROR(VLOOKUP(C3582,APOYO!J:K,2,FALSE),C3582)</f>
        <v>UNE</v>
      </c>
      <c r="E3582">
        <v>2017</v>
      </c>
    </row>
    <row r="3583" spans="1:5" hidden="1" x14ac:dyDescent="0.25">
      <c r="A3583" t="str">
        <f>_xlfn.XLOOKUP(C3583, 'Códigos DANE Municipios'!$B$2:$B$1123, 'Códigos DANE Municipios'!$A$2:$A$1123, "No encontrado")</f>
        <v>27800</v>
      </c>
      <c r="B3583" t="str">
        <f>IFERROR(VLOOKUP(D3583,APOYO!K:L,2,FALSE),A3583)</f>
        <v>27800</v>
      </c>
      <c r="C3583" t="s">
        <v>1197</v>
      </c>
      <c r="D3583" t="str">
        <f>IFERROR(VLOOKUP(C3583,APOYO!J:K,2,FALSE),C3583)</f>
        <v>UNGUÍA</v>
      </c>
      <c r="E3583">
        <v>2017</v>
      </c>
    </row>
    <row r="3584" spans="1:5" hidden="1" x14ac:dyDescent="0.25">
      <c r="A3584" t="str">
        <f>_xlfn.XLOOKUP(C3584, 'Códigos DANE Municipios'!$B$2:$B$1123, 'Códigos DANE Municipios'!$A$2:$A$1123, "No encontrado")</f>
        <v>44847</v>
      </c>
      <c r="B3584" t="str">
        <f>IFERROR(VLOOKUP(D3584,APOYO!K:L,2,FALSE),A3584)</f>
        <v>44847</v>
      </c>
      <c r="C3584" t="s">
        <v>1295</v>
      </c>
      <c r="D3584" t="str">
        <f>IFERROR(VLOOKUP(C3584,APOYO!J:K,2,FALSE),C3584)</f>
        <v>URIBIA</v>
      </c>
      <c r="E3584">
        <v>2017</v>
      </c>
    </row>
    <row r="3585" spans="1:5" hidden="1" x14ac:dyDescent="0.25">
      <c r="A3585" t="str">
        <f>_xlfn.XLOOKUP(C3585, 'Códigos DANE Municipios'!$B$2:$B$1123, 'Códigos DANE Municipios'!$A$2:$A$1123, "No encontrado")</f>
        <v>05847</v>
      </c>
      <c r="B3585" t="str">
        <f>IFERROR(VLOOKUP(D3585,APOYO!K:L,2,FALSE),A3585)</f>
        <v>05847</v>
      </c>
      <c r="C3585" t="s">
        <v>240</v>
      </c>
      <c r="D3585" t="str">
        <f>IFERROR(VLOOKUP(C3585,APOYO!J:K,2,FALSE),C3585)</f>
        <v>URRAO</v>
      </c>
      <c r="E3585">
        <v>2017</v>
      </c>
    </row>
    <row r="3586" spans="1:5" hidden="1" x14ac:dyDescent="0.25">
      <c r="A3586" t="str">
        <f>_xlfn.XLOOKUP(C3586, 'Códigos DANE Municipios'!$B$2:$B$1123, 'Códigos DANE Municipios'!$A$2:$A$1123, "No encontrado")</f>
        <v>44855</v>
      </c>
      <c r="B3586" t="str">
        <f>IFERROR(VLOOKUP(D3586,APOYO!K:L,2,FALSE),A3586)</f>
        <v>44855</v>
      </c>
      <c r="C3586" t="s">
        <v>1297</v>
      </c>
      <c r="D3586" t="str">
        <f>IFERROR(VLOOKUP(C3586,APOYO!J:K,2,FALSE),C3586)</f>
        <v>URUMITA</v>
      </c>
      <c r="E3586">
        <v>2017</v>
      </c>
    </row>
    <row r="3587" spans="1:5" hidden="1" x14ac:dyDescent="0.25">
      <c r="A3587" t="str">
        <f>_xlfn.XLOOKUP(C3587, 'Códigos DANE Municipios'!$B$2:$B$1123, 'Códigos DANE Municipios'!$A$2:$A$1123, "No encontrado")</f>
        <v>08849</v>
      </c>
      <c r="B3587" t="str">
        <f>IFERROR(VLOOKUP(D3587,APOYO!K:L,2,FALSE),A3587)</f>
        <v>08849</v>
      </c>
      <c r="C3587" t="s">
        <v>305</v>
      </c>
      <c r="D3587" t="str">
        <f>IFERROR(VLOOKUP(C3587,APOYO!J:K,2,FALSE),C3587)</f>
        <v>USIACURÍ</v>
      </c>
      <c r="E3587">
        <v>2017</v>
      </c>
    </row>
    <row r="3588" spans="1:5" hidden="1" x14ac:dyDescent="0.25">
      <c r="A3588" t="str">
        <f>_xlfn.XLOOKUP(C3588, 'Códigos DANE Municipios'!$B$2:$B$1123, 'Códigos DANE Municipios'!$A$2:$A$1123, "No encontrado")</f>
        <v>25851</v>
      </c>
      <c r="B3588" t="str">
        <f>IFERROR(VLOOKUP(D3588,APOYO!K:L,2,FALSE),A3588)</f>
        <v>25851</v>
      </c>
      <c r="C3588" t="s">
        <v>1122</v>
      </c>
      <c r="D3588" t="str">
        <f>IFERROR(VLOOKUP(C3588,APOYO!J:K,2,FALSE),C3588)</f>
        <v>ÚTICA</v>
      </c>
      <c r="E3588">
        <v>2017</v>
      </c>
    </row>
    <row r="3589" spans="1:5" hidden="1" x14ac:dyDescent="0.25">
      <c r="A3589" t="str">
        <f>_xlfn.XLOOKUP(C3589, 'Códigos DANE Municipios'!$B$2:$B$1123, 'Códigos DANE Municipios'!$A$2:$A$1123, "No encontrado")</f>
        <v>23855</v>
      </c>
      <c r="B3589" t="str">
        <f>IFERROR(VLOOKUP(D3589,APOYO!K:L,2,FALSE),A3589)</f>
        <v>23855</v>
      </c>
      <c r="C3589" t="s">
        <v>914</v>
      </c>
      <c r="D3589" t="str">
        <f>IFERROR(VLOOKUP(C3589,APOYO!J:K,2,FALSE),C3589)</f>
        <v>VALENCIA</v>
      </c>
      <c r="E3589">
        <v>2017</v>
      </c>
    </row>
    <row r="3590" spans="1:5" hidden="1" x14ac:dyDescent="0.25">
      <c r="A3590" t="str">
        <f>_xlfn.XLOOKUP(C3590, 'Códigos DANE Municipios'!$B$2:$B$1123, 'Códigos DANE Municipios'!$A$2:$A$1123, "No encontrado")</f>
        <v>68855</v>
      </c>
      <c r="B3590" t="str">
        <f>IFERROR(VLOOKUP(D3590,APOYO!K:L,2,FALSE),A3590)</f>
        <v>68855</v>
      </c>
      <c r="C3590" t="s">
        <v>1807</v>
      </c>
      <c r="D3590" t="str">
        <f>IFERROR(VLOOKUP(C3590,APOYO!J:K,2,FALSE),C3590)</f>
        <v>VALLE DE SAN JOSÉ</v>
      </c>
      <c r="E3590">
        <v>2017</v>
      </c>
    </row>
    <row r="3591" spans="1:5" hidden="1" x14ac:dyDescent="0.25">
      <c r="A3591" t="str">
        <f>_xlfn.XLOOKUP(C3591, 'Códigos DANE Municipios'!$B$2:$B$1123, 'Códigos DANE Municipios'!$A$2:$A$1123, "No encontrado")</f>
        <v>20001</v>
      </c>
      <c r="B3591" t="str">
        <f>IFERROR(VLOOKUP(D3591,APOYO!K:L,2,FALSE),A3591)</f>
        <v>20001</v>
      </c>
      <c r="C3591" t="s">
        <v>808</v>
      </c>
      <c r="D3591" t="str">
        <f>IFERROR(VLOOKUP(C3591,APOYO!J:K,2,FALSE),C3591)</f>
        <v>VALLEDUPAR</v>
      </c>
      <c r="E3591">
        <v>2017</v>
      </c>
    </row>
    <row r="3592" spans="1:5" hidden="1" x14ac:dyDescent="0.25">
      <c r="A3592" t="str">
        <f>_xlfn.XLOOKUP(C3592, 'Códigos DANE Municipios'!$B$2:$B$1123, 'Códigos DANE Municipios'!$A$2:$A$1123, "No encontrado")</f>
        <v>68861</v>
      </c>
      <c r="B3592" t="str">
        <f>IFERROR(VLOOKUP(D3592,APOYO!K:L,2,FALSE),A3592)</f>
        <v>68861</v>
      </c>
      <c r="C3592" t="s">
        <v>1809</v>
      </c>
      <c r="D3592" t="str">
        <f>IFERROR(VLOOKUP(C3592,APOYO!J:K,2,FALSE),C3592)</f>
        <v>VÉLEZ</v>
      </c>
      <c r="E3592">
        <v>2017</v>
      </c>
    </row>
    <row r="3593" spans="1:5" hidden="1" x14ac:dyDescent="0.25">
      <c r="A3593" t="str">
        <f>_xlfn.XLOOKUP(C3593, 'Códigos DANE Municipios'!$B$2:$B$1123, 'Códigos DANE Municipios'!$A$2:$A$1123, "No encontrado")</f>
        <v>73861</v>
      </c>
      <c r="B3593" t="str">
        <f>IFERROR(VLOOKUP(D3593,APOYO!K:L,2,FALSE),A3593)</f>
        <v>73861</v>
      </c>
      <c r="C3593" t="s">
        <v>1951</v>
      </c>
      <c r="D3593" t="str">
        <f>IFERROR(VLOOKUP(C3593,APOYO!J:K,2,FALSE),C3593)</f>
        <v>VENADILLO</v>
      </c>
      <c r="E3593">
        <v>2017</v>
      </c>
    </row>
    <row r="3594" spans="1:5" hidden="1" x14ac:dyDescent="0.25">
      <c r="A3594" t="str">
        <f>_xlfn.XLOOKUP(C3594, 'Códigos DANE Municipios'!$B$2:$B$1123, 'Códigos DANE Municipios'!$A$2:$A$1123, "No encontrado")</f>
        <v>05861</v>
      </c>
      <c r="B3594" t="str">
        <f>IFERROR(VLOOKUP(D3594,APOYO!K:L,2,FALSE),A3594)</f>
        <v>05861</v>
      </c>
      <c r="C3594" t="s">
        <v>248</v>
      </c>
      <c r="D3594" t="str">
        <f>IFERROR(VLOOKUP(C3594,APOYO!J:K,2,FALSE),C3594)</f>
        <v>VENECIA</v>
      </c>
      <c r="E3594">
        <v>2017</v>
      </c>
    </row>
    <row r="3595" spans="1:5" hidden="1" x14ac:dyDescent="0.25">
      <c r="A3595" t="str">
        <f>_xlfn.XLOOKUP(C3595, 'Códigos DANE Municipios'!$B$2:$B$1123, 'Códigos DANE Municipios'!$A$2:$A$1123, "No encontrado")</f>
        <v>15861</v>
      </c>
      <c r="B3595" t="str">
        <f>IFERROR(VLOOKUP(D3595,APOYO!K:L,2,FALSE),A3595)</f>
        <v>15861</v>
      </c>
      <c r="C3595" t="s">
        <v>638</v>
      </c>
      <c r="D3595" t="str">
        <f>IFERROR(VLOOKUP(C3595,APOYO!J:K,2,FALSE),C3595)</f>
        <v>VENTAQUEMADA</v>
      </c>
      <c r="E3595">
        <v>2017</v>
      </c>
    </row>
    <row r="3596" spans="1:5" hidden="1" x14ac:dyDescent="0.25">
      <c r="A3596" t="str">
        <f>_xlfn.XLOOKUP(C3596, 'Códigos DANE Municipios'!$B$2:$B$1123, 'Códigos DANE Municipios'!$A$2:$A$1123, "No encontrado")</f>
        <v>76863</v>
      </c>
      <c r="B3596" t="str">
        <f>IFERROR(VLOOKUP(D3596,APOYO!K:L,2,FALSE),A3596)</f>
        <v>76863</v>
      </c>
      <c r="C3596" t="s">
        <v>2024</v>
      </c>
      <c r="D3596" t="str">
        <f>IFERROR(VLOOKUP(C3596,APOYO!J:K,2,FALSE),C3596)</f>
        <v>VERSALLES</v>
      </c>
      <c r="E3596">
        <v>2017</v>
      </c>
    </row>
    <row r="3597" spans="1:5" hidden="1" x14ac:dyDescent="0.25">
      <c r="A3597" t="str">
        <f>_xlfn.XLOOKUP(C3597, 'Códigos DANE Municipios'!$B$2:$B$1123, 'Códigos DANE Municipios'!$A$2:$A$1123, "No encontrado")</f>
        <v>25867</v>
      </c>
      <c r="B3597" t="str">
        <f>IFERROR(VLOOKUP(D3597,APOYO!K:L,2,FALSE),A3597)</f>
        <v>25867</v>
      </c>
      <c r="C3597" t="s">
        <v>1126</v>
      </c>
      <c r="D3597" t="str">
        <f>IFERROR(VLOOKUP(C3597,APOYO!J:K,2,FALSE),C3597)</f>
        <v>VIANÍ</v>
      </c>
      <c r="E3597">
        <v>2017</v>
      </c>
    </row>
    <row r="3598" spans="1:5" hidden="1" x14ac:dyDescent="0.25">
      <c r="A3598" t="str">
        <f>_xlfn.XLOOKUP(C3598, 'Códigos DANE Municipios'!$B$2:$B$1123, 'Códigos DANE Municipios'!$A$2:$A$1123, "No encontrado")</f>
        <v>17867</v>
      </c>
      <c r="B3598" t="str">
        <f>IFERROR(VLOOKUP(D3598,APOYO!K:L,2,FALSE),A3598)</f>
        <v>17867</v>
      </c>
      <c r="C3598" t="s">
        <v>692</v>
      </c>
      <c r="D3598" t="str">
        <f>IFERROR(VLOOKUP(C3598,APOYO!J:K,2,FALSE),C3598)</f>
        <v>VICTORIA</v>
      </c>
      <c r="E3598">
        <v>2017</v>
      </c>
    </row>
    <row r="3599" spans="1:5" hidden="1" x14ac:dyDescent="0.25">
      <c r="A3599" t="str">
        <f>_xlfn.XLOOKUP(C3599, 'Códigos DANE Municipios'!$B$2:$B$1123, 'Códigos DANE Municipios'!$A$2:$A$1123, "No encontrado")</f>
        <v>76869</v>
      </c>
      <c r="B3599" t="str">
        <f>IFERROR(VLOOKUP(D3599,APOYO!K:L,2,FALSE),A3599)</f>
        <v>76869</v>
      </c>
      <c r="C3599" t="s">
        <v>2026</v>
      </c>
      <c r="D3599" t="str">
        <f>IFERROR(VLOOKUP(C3599,APOYO!J:K,2,FALSE),C3599)</f>
        <v>VIJES</v>
      </c>
      <c r="E3599">
        <v>2017</v>
      </c>
    </row>
    <row r="3600" spans="1:5" hidden="1" x14ac:dyDescent="0.25">
      <c r="A3600" t="str">
        <f>_xlfn.XLOOKUP(C3600, 'Códigos DANE Municipios'!$B$2:$B$1123, 'Códigos DANE Municipios'!$A$2:$A$1123, "No encontrado")</f>
        <v>15407</v>
      </c>
      <c r="B3600" t="str">
        <f>IFERROR(VLOOKUP(D3600,APOYO!K:L,2,FALSE),A3600)</f>
        <v>15407</v>
      </c>
      <c r="C3600" t="s">
        <v>498</v>
      </c>
      <c r="D3600" t="str">
        <f>IFERROR(VLOOKUP(C3600,APOYO!J:K,2,FALSE),C3600)</f>
        <v>VILLA DE LEYVA</v>
      </c>
      <c r="E3600">
        <v>2017</v>
      </c>
    </row>
    <row r="3601" spans="1:5" hidden="1" x14ac:dyDescent="0.25">
      <c r="A3601" t="str">
        <f>_xlfn.XLOOKUP(C3601, 'Códigos DANE Municipios'!$B$2:$B$1123, 'Códigos DANE Municipios'!$A$2:$A$1123, "No encontrado")</f>
        <v>19845</v>
      </c>
      <c r="B3601" t="str">
        <f>IFERROR(VLOOKUP(D3601,APOYO!K:L,2,FALSE),A3601)</f>
        <v>19845</v>
      </c>
      <c r="C3601" t="s">
        <v>806</v>
      </c>
      <c r="D3601" t="str">
        <f>IFERROR(VLOOKUP(C3601,APOYO!J:K,2,FALSE),C3601)</f>
        <v>VILLA RICA</v>
      </c>
      <c r="E3601">
        <v>2017</v>
      </c>
    </row>
    <row r="3602" spans="1:5" hidden="1" x14ac:dyDescent="0.25">
      <c r="A3602" t="str">
        <f>_xlfn.XLOOKUP(C3602, 'Códigos DANE Municipios'!$B$2:$B$1123, 'Códigos DANE Municipios'!$A$2:$A$1123, "No encontrado")</f>
        <v>54874</v>
      </c>
      <c r="B3602" t="str">
        <f>IFERROR(VLOOKUP(D3602,APOYO!K:L,2,FALSE),A3602)</f>
        <v>54874</v>
      </c>
      <c r="C3602" t="s">
        <v>1605</v>
      </c>
      <c r="D3602" t="str">
        <f>IFERROR(VLOOKUP(C3602,APOYO!J:K,2,FALSE),C3602)</f>
        <v>VILLA DEL ROSARIO</v>
      </c>
      <c r="E3602">
        <v>2017</v>
      </c>
    </row>
    <row r="3603" spans="1:5" hidden="1" x14ac:dyDescent="0.25">
      <c r="A3603" t="str">
        <f>_xlfn.XLOOKUP(C3603, 'Códigos DANE Municipios'!$B$2:$B$1123, 'Códigos DANE Municipios'!$A$2:$A$1123, "No encontrado")</f>
        <v>86885</v>
      </c>
      <c r="B3603" t="str">
        <f>IFERROR(VLOOKUP(D3603,APOYO!K:L,2,FALSE),A3603)</f>
        <v>86885</v>
      </c>
      <c r="C3603" t="s">
        <v>2104</v>
      </c>
      <c r="D3603" t="str">
        <f>IFERROR(VLOOKUP(C3603,APOYO!J:K,2,FALSE),C3603)</f>
        <v>VILLAGARZÓN</v>
      </c>
      <c r="E3603">
        <v>2017</v>
      </c>
    </row>
    <row r="3604" spans="1:5" hidden="1" x14ac:dyDescent="0.25">
      <c r="A3604" t="str">
        <f>_xlfn.XLOOKUP(C3604, 'Códigos DANE Municipios'!$B$2:$B$1123, 'Códigos DANE Municipios'!$A$2:$A$1123, "No encontrado")</f>
        <v>17873</v>
      </c>
      <c r="B3604" t="str">
        <f>IFERROR(VLOOKUP(D3604,APOYO!K:L,2,FALSE),A3604)</f>
        <v>17873</v>
      </c>
      <c r="C3604" t="s">
        <v>694</v>
      </c>
      <c r="D3604" t="str">
        <f>IFERROR(VLOOKUP(C3604,APOYO!J:K,2,FALSE),C3604)</f>
        <v>VILLAMARÍA</v>
      </c>
      <c r="E3604">
        <v>2017</v>
      </c>
    </row>
    <row r="3605" spans="1:5" hidden="1" x14ac:dyDescent="0.25">
      <c r="A3605" t="str">
        <f>_xlfn.XLOOKUP(C3605, 'Códigos DANE Municipios'!$B$2:$B$1123, 'Códigos DANE Municipios'!$A$2:$A$1123, "No encontrado")</f>
        <v>13873</v>
      </c>
      <c r="B3605" t="str">
        <f>IFERROR(VLOOKUP(D3605,APOYO!K:L,2,FALSE),A3605)</f>
        <v>13873</v>
      </c>
      <c r="C3605" t="s">
        <v>397</v>
      </c>
      <c r="D3605" t="str">
        <f>IFERROR(VLOOKUP(C3605,APOYO!J:K,2,FALSE),C3605)</f>
        <v>VILLANUEVA</v>
      </c>
      <c r="E3605">
        <v>2017</v>
      </c>
    </row>
    <row r="3606" spans="1:5" hidden="1" x14ac:dyDescent="0.25">
      <c r="A3606" t="str">
        <f>_xlfn.XLOOKUP(C3606, 'Códigos DANE Municipios'!$B$2:$B$1123, 'Códigos DANE Municipios'!$A$2:$A$1123, "No encontrado")</f>
        <v>25873</v>
      </c>
      <c r="B3606" t="str">
        <f>IFERROR(VLOOKUP(D3606,APOYO!K:L,2,FALSE),A3606)</f>
        <v>25873</v>
      </c>
      <c r="C3606" t="s">
        <v>1130</v>
      </c>
      <c r="D3606" t="str">
        <f>IFERROR(VLOOKUP(C3606,APOYO!J:K,2,FALSE),C3606)</f>
        <v>VILLAPINZÓN</v>
      </c>
      <c r="E3606">
        <v>2017</v>
      </c>
    </row>
    <row r="3607" spans="1:5" hidden="1" x14ac:dyDescent="0.25">
      <c r="A3607" t="str">
        <f>_xlfn.XLOOKUP(C3607, 'Códigos DANE Municipios'!$B$2:$B$1123, 'Códigos DANE Municipios'!$A$2:$A$1123, "No encontrado")</f>
        <v>50001</v>
      </c>
      <c r="B3607" t="str">
        <f>IFERROR(VLOOKUP(D3607,APOYO!K:L,2,FALSE),A3607)</f>
        <v>50001</v>
      </c>
      <c r="C3607" t="s">
        <v>1358</v>
      </c>
      <c r="D3607" t="str">
        <f>IFERROR(VLOOKUP(C3607,APOYO!J:K,2,FALSE),C3607)</f>
        <v>VILLAVICENCIO</v>
      </c>
      <c r="E3607">
        <v>2017</v>
      </c>
    </row>
    <row r="3608" spans="1:5" hidden="1" x14ac:dyDescent="0.25">
      <c r="A3608" t="str">
        <f>_xlfn.XLOOKUP(C3608, 'Códigos DANE Municipios'!$B$2:$B$1123, 'Códigos DANE Municipios'!$A$2:$A$1123, "No encontrado")</f>
        <v>41872</v>
      </c>
      <c r="B3608" t="str">
        <f>IFERROR(VLOOKUP(D3608,APOYO!K:L,2,FALSE),A3608)</f>
        <v>41872</v>
      </c>
      <c r="C3608" t="s">
        <v>1268</v>
      </c>
      <c r="D3608" t="str">
        <f>IFERROR(VLOOKUP(C3608,APOYO!J:K,2,FALSE),C3608)</f>
        <v>VILLAVIEJA</v>
      </c>
      <c r="E3608">
        <v>2017</v>
      </c>
    </row>
    <row r="3609" spans="1:5" hidden="1" x14ac:dyDescent="0.25">
      <c r="A3609" t="str">
        <f>_xlfn.XLOOKUP(C3609, 'Códigos DANE Municipios'!$B$2:$B$1123, 'Códigos DANE Municipios'!$A$2:$A$1123, "No encontrado")</f>
        <v>25875</v>
      </c>
      <c r="B3609" t="str">
        <f>IFERROR(VLOOKUP(D3609,APOYO!K:L,2,FALSE),A3609)</f>
        <v>25875</v>
      </c>
      <c r="C3609" t="s">
        <v>1132</v>
      </c>
      <c r="D3609" t="str">
        <f>IFERROR(VLOOKUP(C3609,APOYO!J:K,2,FALSE),C3609)</f>
        <v>VILLETA</v>
      </c>
      <c r="E3609">
        <v>2017</v>
      </c>
    </row>
    <row r="3610" spans="1:5" hidden="1" x14ac:dyDescent="0.25">
      <c r="A3610" t="str">
        <f>_xlfn.XLOOKUP(C3610, 'Códigos DANE Municipios'!$B$2:$B$1123, 'Códigos DANE Municipios'!$A$2:$A$1123, "No encontrado")</f>
        <v>25878</v>
      </c>
      <c r="B3610" t="str">
        <f>IFERROR(VLOOKUP(D3610,APOYO!K:L,2,FALSE),A3610)</f>
        <v>25878</v>
      </c>
      <c r="C3610" t="s">
        <v>1134</v>
      </c>
      <c r="D3610" t="str">
        <f>IFERROR(VLOOKUP(C3610,APOYO!J:K,2,FALSE),C3610)</f>
        <v>VIOTÁ</v>
      </c>
      <c r="E3610">
        <v>2017</v>
      </c>
    </row>
    <row r="3611" spans="1:5" hidden="1" x14ac:dyDescent="0.25">
      <c r="A3611" t="str">
        <f>_xlfn.XLOOKUP(C3611, 'Códigos DANE Municipios'!$B$2:$B$1123, 'Códigos DANE Municipios'!$A$2:$A$1123, "No encontrado")</f>
        <v>15879</v>
      </c>
      <c r="B3611" t="str">
        <f>IFERROR(VLOOKUP(D3611,APOYO!K:L,2,FALSE),A3611)</f>
        <v>15879</v>
      </c>
      <c r="C3611" t="s">
        <v>640</v>
      </c>
      <c r="D3611" t="str">
        <f>IFERROR(VLOOKUP(C3611,APOYO!J:K,2,FALSE),C3611)</f>
        <v>VIRACACHÁ</v>
      </c>
      <c r="E3611">
        <v>2017</v>
      </c>
    </row>
    <row r="3612" spans="1:5" hidden="1" x14ac:dyDescent="0.25">
      <c r="A3612" t="str">
        <f>_xlfn.XLOOKUP(C3612, 'Códigos DANE Municipios'!$B$2:$B$1123, 'Códigos DANE Municipios'!$A$2:$A$1123, "No encontrado")</f>
        <v>50711</v>
      </c>
      <c r="B3612" t="str">
        <f>IFERROR(VLOOKUP(D3612,APOYO!K:L,2,FALSE),A3612)</f>
        <v>50711</v>
      </c>
      <c r="C3612" t="s">
        <v>1410</v>
      </c>
      <c r="D3612" t="str">
        <f>IFERROR(VLOOKUP(C3612,APOYO!J:K,2,FALSE),C3612)</f>
        <v>VISTAHERMOSA</v>
      </c>
      <c r="E3612">
        <v>2017</v>
      </c>
    </row>
    <row r="3613" spans="1:5" hidden="1" x14ac:dyDescent="0.25">
      <c r="A3613" t="str">
        <f>_xlfn.XLOOKUP(C3613, 'Códigos DANE Municipios'!$B$2:$B$1123, 'Códigos DANE Municipios'!$A$2:$A$1123, "No encontrado")</f>
        <v>17877</v>
      </c>
      <c r="B3613" t="str">
        <f>IFERROR(VLOOKUP(D3613,APOYO!K:L,2,FALSE),A3613)</f>
        <v>17877</v>
      </c>
      <c r="C3613" t="s">
        <v>696</v>
      </c>
      <c r="D3613" t="str">
        <f>IFERROR(VLOOKUP(C3613,APOYO!J:K,2,FALSE),C3613)</f>
        <v>VITERBO</v>
      </c>
      <c r="E3613">
        <v>2017</v>
      </c>
    </row>
    <row r="3614" spans="1:5" hidden="1" x14ac:dyDescent="0.25">
      <c r="A3614" t="str">
        <f>_xlfn.XLOOKUP(C3614, 'Códigos DANE Municipios'!$B$2:$B$1123, 'Códigos DANE Municipios'!$A$2:$A$1123, "No encontrado")</f>
        <v>41885</v>
      </c>
      <c r="B3614" t="str">
        <f>IFERROR(VLOOKUP(D3614,APOYO!K:L,2,FALSE),A3614)</f>
        <v>41885</v>
      </c>
      <c r="C3614" t="s">
        <v>1270</v>
      </c>
      <c r="D3614" t="str">
        <f>IFERROR(VLOOKUP(C3614,APOYO!J:K,2,FALSE),C3614)</f>
        <v>YAGUARÁ</v>
      </c>
      <c r="E3614">
        <v>2017</v>
      </c>
    </row>
    <row r="3615" spans="1:5" hidden="1" x14ac:dyDescent="0.25">
      <c r="A3615" t="str">
        <f>_xlfn.XLOOKUP(C3615, 'Códigos DANE Municipios'!$B$2:$B$1123, 'Códigos DANE Municipios'!$A$2:$A$1123, "No encontrado")</f>
        <v>05887</v>
      </c>
      <c r="B3615" t="str">
        <f>IFERROR(VLOOKUP(D3615,APOYO!K:L,2,FALSE),A3615)</f>
        <v>05887</v>
      </c>
      <c r="C3615" t="s">
        <v>254</v>
      </c>
      <c r="D3615" t="str">
        <f>IFERROR(VLOOKUP(C3615,APOYO!J:K,2,FALSE),C3615)</f>
        <v>YARUMAL</v>
      </c>
      <c r="E3615">
        <v>2017</v>
      </c>
    </row>
    <row r="3616" spans="1:5" hidden="1" x14ac:dyDescent="0.25">
      <c r="A3616" t="str">
        <f>_xlfn.XLOOKUP(C3616, 'Códigos DANE Municipios'!$B$2:$B$1123, 'Códigos DANE Municipios'!$A$2:$A$1123, "No encontrado")</f>
        <v>05890</v>
      </c>
      <c r="B3616" t="str">
        <f>IFERROR(VLOOKUP(D3616,APOYO!K:L,2,FALSE),A3616)</f>
        <v>05890</v>
      </c>
      <c r="C3616" t="s">
        <v>256</v>
      </c>
      <c r="D3616" t="str">
        <f>IFERROR(VLOOKUP(C3616,APOYO!J:K,2,FALSE),C3616)</f>
        <v>YOLOMBÓ</v>
      </c>
      <c r="E3616">
        <v>2017</v>
      </c>
    </row>
    <row r="3617" spans="1:5" hidden="1" x14ac:dyDescent="0.25">
      <c r="A3617" t="str">
        <f>_xlfn.XLOOKUP(C3617, 'Códigos DANE Municipios'!$B$2:$B$1123, 'Códigos DANE Municipios'!$A$2:$A$1123, "No encontrado")</f>
        <v>05893</v>
      </c>
      <c r="B3617" t="str">
        <f>IFERROR(VLOOKUP(D3617,APOYO!K:L,2,FALSE),A3617)</f>
        <v>05893</v>
      </c>
      <c r="C3617" t="s">
        <v>258</v>
      </c>
      <c r="D3617" t="str">
        <f>IFERROR(VLOOKUP(C3617,APOYO!J:K,2,FALSE),C3617)</f>
        <v>YONDÓ</v>
      </c>
      <c r="E3617">
        <v>2017</v>
      </c>
    </row>
    <row r="3618" spans="1:5" hidden="1" x14ac:dyDescent="0.25">
      <c r="A3618" t="str">
        <f>_xlfn.XLOOKUP(C3618, 'Códigos DANE Municipios'!$B$2:$B$1123, 'Códigos DANE Municipios'!$A$2:$A$1123, "No encontrado")</f>
        <v>85001</v>
      </c>
      <c r="B3618" t="str">
        <f>IFERROR(VLOOKUP(D3618,APOYO!K:L,2,FALSE),A3618)</f>
        <v>85001</v>
      </c>
      <c r="C3618" t="s">
        <v>2048</v>
      </c>
      <c r="D3618" t="str">
        <f>IFERROR(VLOOKUP(C3618,APOYO!J:K,2,FALSE),C3618)</f>
        <v>YOPAL</v>
      </c>
      <c r="E3618">
        <v>2017</v>
      </c>
    </row>
    <row r="3619" spans="1:5" hidden="1" x14ac:dyDescent="0.25">
      <c r="A3619" t="str">
        <f>_xlfn.XLOOKUP(C3619, 'Códigos DANE Municipios'!$B$2:$B$1123, 'Códigos DANE Municipios'!$A$2:$A$1123, "No encontrado")</f>
        <v>76890</v>
      </c>
      <c r="B3619" t="str">
        <f>IFERROR(VLOOKUP(D3619,APOYO!K:L,2,FALSE),A3619)</f>
        <v>76890</v>
      </c>
      <c r="C3619" t="s">
        <v>2028</v>
      </c>
      <c r="D3619" t="str">
        <f>IFERROR(VLOOKUP(C3619,APOYO!J:K,2,FALSE),C3619)</f>
        <v>YOTOCO</v>
      </c>
      <c r="E3619">
        <v>2017</v>
      </c>
    </row>
    <row r="3620" spans="1:5" hidden="1" x14ac:dyDescent="0.25">
      <c r="A3620" t="str">
        <f>_xlfn.XLOOKUP(C3620, 'Códigos DANE Municipios'!$B$2:$B$1123, 'Códigos DANE Municipios'!$A$2:$A$1123, "No encontrado")</f>
        <v>76892</v>
      </c>
      <c r="B3620" t="str">
        <f>IFERROR(VLOOKUP(D3620,APOYO!K:L,2,FALSE),A3620)</f>
        <v>76892</v>
      </c>
      <c r="C3620" t="s">
        <v>2030</v>
      </c>
      <c r="D3620" t="str">
        <f>IFERROR(VLOOKUP(C3620,APOYO!J:K,2,FALSE),C3620)</f>
        <v>YUMBO</v>
      </c>
      <c r="E3620">
        <v>2017</v>
      </c>
    </row>
    <row r="3621" spans="1:5" hidden="1" x14ac:dyDescent="0.25">
      <c r="A3621" t="str">
        <f>_xlfn.XLOOKUP(C3621, 'Códigos DANE Municipios'!$B$2:$B$1123, 'Códigos DANE Municipios'!$A$2:$A$1123, "No encontrado")</f>
        <v>68895</v>
      </c>
      <c r="B3621" t="str">
        <f>IFERROR(VLOOKUP(D3621,APOYO!K:L,2,FALSE),A3621)</f>
        <v>68895</v>
      </c>
      <c r="C3621" t="s">
        <v>1814</v>
      </c>
      <c r="D3621" t="str">
        <f>IFERROR(VLOOKUP(C3621,APOYO!J:K,2,FALSE),C3621)</f>
        <v>ZAPATOCA</v>
      </c>
      <c r="E3621">
        <v>2017</v>
      </c>
    </row>
    <row r="3622" spans="1:5" hidden="1" x14ac:dyDescent="0.25">
      <c r="A3622" t="str">
        <f>_xlfn.XLOOKUP(C3622, 'Códigos DANE Municipios'!$B$2:$B$1123, 'Códigos DANE Municipios'!$A$2:$A$1123, "No encontrado")</f>
        <v>05895</v>
      </c>
      <c r="B3622" t="str">
        <f>IFERROR(VLOOKUP(D3622,APOYO!K:L,2,FALSE),A3622)</f>
        <v>05895</v>
      </c>
      <c r="C3622" t="s">
        <v>260</v>
      </c>
      <c r="D3622" t="str">
        <f>IFERROR(VLOOKUP(C3622,APOYO!J:K,2,FALSE),C3622)</f>
        <v>ZARAGOZA</v>
      </c>
      <c r="E3622">
        <v>2017</v>
      </c>
    </row>
    <row r="3623" spans="1:5" hidden="1" x14ac:dyDescent="0.25">
      <c r="A3623" t="str">
        <f>_xlfn.XLOOKUP(C3623, 'Códigos DANE Municipios'!$B$2:$B$1123, 'Códigos DANE Municipios'!$A$2:$A$1123, "No encontrado")</f>
        <v>76895</v>
      </c>
      <c r="B3623" t="str">
        <f>IFERROR(VLOOKUP(D3623,APOYO!K:L,2,FALSE),A3623)</f>
        <v>76895</v>
      </c>
      <c r="C3623" t="s">
        <v>2032</v>
      </c>
      <c r="D3623" t="str">
        <f>IFERROR(VLOOKUP(C3623,APOYO!J:K,2,FALSE),C3623)</f>
        <v>ZARZAL</v>
      </c>
      <c r="E3623">
        <v>2017</v>
      </c>
    </row>
    <row r="3624" spans="1:5" hidden="1" x14ac:dyDescent="0.25">
      <c r="A3624" t="str">
        <f>_xlfn.XLOOKUP(C3624, 'Códigos DANE Municipios'!$B$2:$B$1123, 'Códigos DANE Municipios'!$A$2:$A$1123, "No encontrado")</f>
        <v>15897</v>
      </c>
      <c r="B3624" t="str">
        <f>IFERROR(VLOOKUP(D3624,APOYO!K:L,2,FALSE),A3624)</f>
        <v>15897</v>
      </c>
      <c r="C3624" t="s">
        <v>642</v>
      </c>
      <c r="D3624" t="str">
        <f>IFERROR(VLOOKUP(C3624,APOYO!J:K,2,FALSE),C3624)</f>
        <v>ZETAQUIRA</v>
      </c>
      <c r="E3624">
        <v>2017</v>
      </c>
    </row>
    <row r="3625" spans="1:5" hidden="1" x14ac:dyDescent="0.25">
      <c r="A3625" t="str">
        <f>_xlfn.XLOOKUP(C3625, 'Códigos DANE Municipios'!$B$2:$B$1123, 'Códigos DANE Municipios'!$A$2:$A$1123, "No encontrado")</f>
        <v>25898</v>
      </c>
      <c r="B3625" t="str">
        <f>IFERROR(VLOOKUP(D3625,APOYO!K:L,2,FALSE),A3625)</f>
        <v>25898</v>
      </c>
      <c r="C3625" t="s">
        <v>1138</v>
      </c>
      <c r="D3625" t="str">
        <f>IFERROR(VLOOKUP(C3625,APOYO!J:K,2,FALSE),C3625)</f>
        <v>ZIPACÓN</v>
      </c>
      <c r="E3625">
        <v>2017</v>
      </c>
    </row>
    <row r="3626" spans="1:5" hidden="1" x14ac:dyDescent="0.25">
      <c r="A3626" t="str">
        <f>_xlfn.XLOOKUP(C3626, 'Códigos DANE Municipios'!$B$2:$B$1123, 'Códigos DANE Municipios'!$A$2:$A$1123, "No encontrado")</f>
        <v>25899</v>
      </c>
      <c r="B3626" t="str">
        <f>IFERROR(VLOOKUP(D3626,APOYO!K:L,2,FALSE),A3626)</f>
        <v>25899</v>
      </c>
      <c r="C3626" t="s">
        <v>1140</v>
      </c>
      <c r="D3626" t="str">
        <f>IFERROR(VLOOKUP(C3626,APOYO!J:K,2,FALSE),C3626)</f>
        <v>ZIPAQUIRÁ</v>
      </c>
      <c r="E3626">
        <v>2017</v>
      </c>
    </row>
    <row r="3627" spans="1:5" hidden="1" x14ac:dyDescent="0.25">
      <c r="A3627" t="str">
        <f>_xlfn.XLOOKUP(C3627, 'Códigos DANE Municipios'!$B$2:$B$1123, 'Códigos DANE Municipios'!$A$2:$A$1123, "No encontrado")</f>
        <v>20570</v>
      </c>
      <c r="B3627" t="str">
        <f>IFERROR(VLOOKUP(D3627,APOYO!K:L,2,FALSE),A3627)</f>
        <v>20570</v>
      </c>
      <c r="C3627" t="s">
        <v>844</v>
      </c>
      <c r="D3627" t="str">
        <f>IFERROR(VLOOKUP(C3627,APOYO!J:K,2,FALSE),C3627)</f>
        <v>PUEBLO BELLO</v>
      </c>
      <c r="E3627">
        <v>2018</v>
      </c>
    </row>
    <row r="3628" spans="1:5" hidden="1" x14ac:dyDescent="0.25">
      <c r="A3628" t="str">
        <f>_xlfn.XLOOKUP(C3628, 'Códigos DANE Municipios'!$B$2:$B$1123, 'Códigos DANE Municipios'!$A$2:$A$1123, "No encontrado")</f>
        <v>44378</v>
      </c>
      <c r="B3628" t="str">
        <f>IFERROR(VLOOKUP(D3628,APOYO!K:L,2,FALSE),A3628)</f>
        <v>44378</v>
      </c>
      <c r="C3628" t="s">
        <v>1285</v>
      </c>
      <c r="D3628" t="str">
        <f>IFERROR(VLOOKUP(C3628,APOYO!J:K,2,FALSE),C3628)</f>
        <v>HATONUEVO</v>
      </c>
      <c r="E3628">
        <v>2018</v>
      </c>
    </row>
    <row r="3629" spans="1:5" hidden="1" x14ac:dyDescent="0.25">
      <c r="A3629" t="str">
        <f>_xlfn.XLOOKUP(C3629, 'Códigos DANE Municipios'!$B$2:$B$1123, 'Códigos DANE Municipios'!$A$2:$A$1123, "No encontrado")</f>
        <v>99624</v>
      </c>
      <c r="B3629" t="str">
        <f>IFERROR(VLOOKUP(D3629,APOYO!K:L,2,FALSE),A3629)</f>
        <v>99624</v>
      </c>
      <c r="C3629" t="s">
        <v>2167</v>
      </c>
      <c r="D3629" t="str">
        <f>IFERROR(VLOOKUP(C3629,APOYO!J:K,2,FALSE),C3629)</f>
        <v>SANTA ROSALÍA</v>
      </c>
      <c r="E3629">
        <v>2018</v>
      </c>
    </row>
    <row r="3630" spans="1:5" hidden="1" x14ac:dyDescent="0.25">
      <c r="A3630" t="str">
        <f>_xlfn.XLOOKUP(C3630, 'Códigos DANE Municipios'!$B$2:$B$1123, 'Códigos DANE Municipios'!$A$2:$A$1123, "No encontrado")</f>
        <v>05002</v>
      </c>
      <c r="B3630" t="str">
        <f>IFERROR(VLOOKUP(D3630,APOYO!K:L,2,FALSE),A3630)</f>
        <v>05002</v>
      </c>
      <c r="C3630" t="s">
        <v>14</v>
      </c>
      <c r="D3630" t="str">
        <f>IFERROR(VLOOKUP(C3630,APOYO!J:K,2,FALSE),C3630)</f>
        <v>ABEJORRAL</v>
      </c>
      <c r="E3630">
        <v>2018</v>
      </c>
    </row>
    <row r="3631" spans="1:5" hidden="1" x14ac:dyDescent="0.25">
      <c r="A3631" t="str">
        <f>_xlfn.XLOOKUP(C3631, 'Códigos DANE Municipios'!$B$2:$B$1123, 'Códigos DANE Municipios'!$A$2:$A$1123, "No encontrado")</f>
        <v>54003</v>
      </c>
      <c r="B3631" t="str">
        <f>IFERROR(VLOOKUP(D3631,APOYO!K:L,2,FALSE),A3631)</f>
        <v>54003</v>
      </c>
      <c r="C3631" t="s">
        <v>1531</v>
      </c>
      <c r="D3631" t="str">
        <f>IFERROR(VLOOKUP(C3631,APOYO!J:K,2,FALSE),C3631)</f>
        <v>ÁBREGO</v>
      </c>
      <c r="E3631">
        <v>2018</v>
      </c>
    </row>
    <row r="3632" spans="1:5" hidden="1" x14ac:dyDescent="0.25">
      <c r="A3632" t="str">
        <f>_xlfn.XLOOKUP(C3632, 'Códigos DANE Municipios'!$B$2:$B$1123, 'Códigos DANE Municipios'!$A$2:$A$1123, "No encontrado")</f>
        <v>05004</v>
      </c>
      <c r="B3632" t="str">
        <f>IFERROR(VLOOKUP(D3632,APOYO!K:L,2,FALSE),A3632)</f>
        <v>05004</v>
      </c>
      <c r="C3632" t="s">
        <v>16</v>
      </c>
      <c r="D3632" t="str">
        <f>IFERROR(VLOOKUP(C3632,APOYO!J:K,2,FALSE),C3632)</f>
        <v>ABRIAQUÍ</v>
      </c>
      <c r="E3632">
        <v>2018</v>
      </c>
    </row>
    <row r="3633" spans="1:5" hidden="1" x14ac:dyDescent="0.25">
      <c r="A3633" t="str">
        <f>_xlfn.XLOOKUP(C3633, 'Códigos DANE Municipios'!$B$2:$B$1123, 'Códigos DANE Municipios'!$A$2:$A$1123, "No encontrado")</f>
        <v>50006</v>
      </c>
      <c r="B3633" t="str">
        <f>IFERROR(VLOOKUP(D3633,APOYO!K:L,2,FALSE),A3633)</f>
        <v>50006</v>
      </c>
      <c r="C3633" t="s">
        <v>1360</v>
      </c>
      <c r="D3633" t="str">
        <f>IFERROR(VLOOKUP(C3633,APOYO!J:K,2,FALSE),C3633)</f>
        <v>ACACÍAS</v>
      </c>
      <c r="E3633">
        <v>2018</v>
      </c>
    </row>
    <row r="3634" spans="1:5" hidden="1" x14ac:dyDescent="0.25">
      <c r="A3634" t="str">
        <f>_xlfn.XLOOKUP(C3634, 'Códigos DANE Municipios'!$B$2:$B$1123, 'Códigos DANE Municipios'!$A$2:$A$1123, "No encontrado")</f>
        <v>27006</v>
      </c>
      <c r="B3634" t="str">
        <f>IFERROR(VLOOKUP(D3634,APOYO!K:L,2,FALSE),A3634)</f>
        <v>27006</v>
      </c>
      <c r="C3634" t="s">
        <v>1144</v>
      </c>
      <c r="D3634" t="str">
        <f>IFERROR(VLOOKUP(C3634,APOYO!J:K,2,FALSE),C3634)</f>
        <v>ACANDÍ</v>
      </c>
      <c r="E3634">
        <v>2018</v>
      </c>
    </row>
    <row r="3635" spans="1:5" hidden="1" x14ac:dyDescent="0.25">
      <c r="A3635" t="str">
        <f>_xlfn.XLOOKUP(C3635, 'Códigos DANE Municipios'!$B$2:$B$1123, 'Códigos DANE Municipios'!$A$2:$A$1123, "No encontrado")</f>
        <v>41006</v>
      </c>
      <c r="B3635" t="str">
        <f>IFERROR(VLOOKUP(D3635,APOYO!K:L,2,FALSE),A3635)</f>
        <v>41006</v>
      </c>
      <c r="C3635" t="s">
        <v>1203</v>
      </c>
      <c r="D3635" t="str">
        <f>IFERROR(VLOOKUP(C3635,APOYO!J:K,2,FALSE),C3635)</f>
        <v>ACEVEDO</v>
      </c>
      <c r="E3635">
        <v>2018</v>
      </c>
    </row>
    <row r="3636" spans="1:5" hidden="1" x14ac:dyDescent="0.25">
      <c r="A3636" t="str">
        <f>_xlfn.XLOOKUP(C3636, 'Códigos DANE Municipios'!$B$2:$B$1123, 'Códigos DANE Municipios'!$A$2:$A$1123, "No encontrado")</f>
        <v>13006</v>
      </c>
      <c r="B3636" t="str">
        <f>IFERROR(VLOOKUP(D3636,APOYO!K:L,2,FALSE),A3636)</f>
        <v>13006</v>
      </c>
      <c r="C3636" t="s">
        <v>311</v>
      </c>
      <c r="D3636" t="str">
        <f>IFERROR(VLOOKUP(C3636,APOYO!J:K,2,FALSE),C3636)</f>
        <v>ACHÍ</v>
      </c>
      <c r="E3636">
        <v>2018</v>
      </c>
    </row>
    <row r="3637" spans="1:5" hidden="1" x14ac:dyDescent="0.25">
      <c r="A3637" t="str">
        <f>_xlfn.XLOOKUP(C3637, 'Códigos DANE Municipios'!$B$2:$B$1123, 'Códigos DANE Municipios'!$A$2:$A$1123, "No encontrado")</f>
        <v>41013</v>
      </c>
      <c r="B3637" t="str">
        <f>IFERROR(VLOOKUP(D3637,APOYO!K:L,2,FALSE),A3637)</f>
        <v>41013</v>
      </c>
      <c r="C3637" t="s">
        <v>1205</v>
      </c>
      <c r="D3637" t="str">
        <f>IFERROR(VLOOKUP(C3637,APOYO!J:K,2,FALSE),C3637)</f>
        <v>AGRADO</v>
      </c>
      <c r="E3637">
        <v>2018</v>
      </c>
    </row>
    <row r="3638" spans="1:5" hidden="1" x14ac:dyDescent="0.25">
      <c r="A3638" t="str">
        <f>_xlfn.XLOOKUP(C3638, 'Códigos DANE Municipios'!$B$2:$B$1123, 'Códigos DANE Municipios'!$A$2:$A$1123, "No encontrado")</f>
        <v>25001</v>
      </c>
      <c r="B3638" t="str">
        <f>IFERROR(VLOOKUP(D3638,APOYO!K:L,2,FALSE),A3638)</f>
        <v>25001</v>
      </c>
      <c r="C3638" t="s">
        <v>916</v>
      </c>
      <c r="D3638" t="str">
        <f>IFERROR(VLOOKUP(C3638,APOYO!J:K,2,FALSE),C3638)</f>
        <v>AGUA DE DIOS</v>
      </c>
      <c r="E3638">
        <v>2018</v>
      </c>
    </row>
    <row r="3639" spans="1:5" hidden="1" x14ac:dyDescent="0.25">
      <c r="A3639" t="str">
        <f>_xlfn.XLOOKUP(C3639, 'Códigos DANE Municipios'!$B$2:$B$1123, 'Códigos DANE Municipios'!$A$2:$A$1123, "No encontrado")</f>
        <v>20011</v>
      </c>
      <c r="B3639" t="str">
        <f>IFERROR(VLOOKUP(D3639,APOYO!K:L,2,FALSE),A3639)</f>
        <v>20011</v>
      </c>
      <c r="C3639" t="s">
        <v>810</v>
      </c>
      <c r="D3639" t="str">
        <f>IFERROR(VLOOKUP(C3639,APOYO!J:K,2,FALSE),C3639)</f>
        <v>AGUACHICA</v>
      </c>
      <c r="E3639">
        <v>2018</v>
      </c>
    </row>
    <row r="3640" spans="1:5" hidden="1" x14ac:dyDescent="0.25">
      <c r="A3640" t="str">
        <f>_xlfn.XLOOKUP(C3640, 'Códigos DANE Municipios'!$B$2:$B$1123, 'Códigos DANE Municipios'!$A$2:$A$1123, "No encontrado")</f>
        <v>68013</v>
      </c>
      <c r="B3640" t="str">
        <f>IFERROR(VLOOKUP(D3640,APOYO!K:L,2,FALSE),A3640)</f>
        <v>68013</v>
      </c>
      <c r="C3640" t="s">
        <v>1657</v>
      </c>
      <c r="D3640" t="str">
        <f>IFERROR(VLOOKUP(C3640,APOYO!J:K,2,FALSE),C3640)</f>
        <v>AGUADA</v>
      </c>
      <c r="E3640">
        <v>2018</v>
      </c>
    </row>
    <row r="3641" spans="1:5" hidden="1" x14ac:dyDescent="0.25">
      <c r="A3641" t="str">
        <f>_xlfn.XLOOKUP(C3641, 'Códigos DANE Municipios'!$B$2:$B$1123, 'Códigos DANE Municipios'!$A$2:$A$1123, "No encontrado")</f>
        <v>17013</v>
      </c>
      <c r="B3641" t="str">
        <f>IFERROR(VLOOKUP(D3641,APOYO!K:L,2,FALSE),A3641)</f>
        <v>17013</v>
      </c>
      <c r="C3641" t="s">
        <v>646</v>
      </c>
      <c r="D3641" t="str">
        <f>IFERROR(VLOOKUP(C3641,APOYO!J:K,2,FALSE),C3641)</f>
        <v>AGUADAS</v>
      </c>
      <c r="E3641">
        <v>2018</v>
      </c>
    </row>
    <row r="3642" spans="1:5" hidden="1" x14ac:dyDescent="0.25">
      <c r="A3642" t="str">
        <f>_xlfn.XLOOKUP(C3642, 'Códigos DANE Municipios'!$B$2:$B$1123, 'Códigos DANE Municipios'!$A$2:$A$1123, "No encontrado")</f>
        <v>85010</v>
      </c>
      <c r="B3642" t="str">
        <f>IFERROR(VLOOKUP(D3642,APOYO!K:L,2,FALSE),A3642)</f>
        <v>85010</v>
      </c>
      <c r="C3642" t="s">
        <v>2050</v>
      </c>
      <c r="D3642" t="str">
        <f>IFERROR(VLOOKUP(C3642,APOYO!J:K,2,FALSE),C3642)</f>
        <v>AGUAZUL</v>
      </c>
      <c r="E3642">
        <v>2018</v>
      </c>
    </row>
    <row r="3643" spans="1:5" hidden="1" x14ac:dyDescent="0.25">
      <c r="A3643" t="str">
        <f>_xlfn.XLOOKUP(C3643, 'Códigos DANE Municipios'!$B$2:$B$1123, 'Códigos DANE Municipios'!$A$2:$A$1123, "No encontrado")</f>
        <v>20013</v>
      </c>
      <c r="B3643" t="str">
        <f>IFERROR(VLOOKUP(D3643,APOYO!K:L,2,FALSE),A3643)</f>
        <v>20013</v>
      </c>
      <c r="C3643" t="s">
        <v>812</v>
      </c>
      <c r="D3643" t="str">
        <f>IFERROR(VLOOKUP(C3643,APOYO!J:K,2,FALSE),C3643)</f>
        <v>AGUSTÍN CODAZZI</v>
      </c>
      <c r="E3643">
        <v>2018</v>
      </c>
    </row>
    <row r="3644" spans="1:5" hidden="1" x14ac:dyDescent="0.25">
      <c r="A3644" t="str">
        <f>_xlfn.XLOOKUP(C3644, 'Códigos DANE Municipios'!$B$2:$B$1123, 'Códigos DANE Municipios'!$A$2:$A$1123, "No encontrado")</f>
        <v>41016</v>
      </c>
      <c r="B3644" t="str">
        <f>IFERROR(VLOOKUP(D3644,APOYO!K:L,2,FALSE),A3644)</f>
        <v>41016</v>
      </c>
      <c r="C3644" t="s">
        <v>1207</v>
      </c>
      <c r="D3644" t="str">
        <f>IFERROR(VLOOKUP(C3644,APOYO!J:K,2,FALSE),C3644)</f>
        <v>AIPE</v>
      </c>
      <c r="E3644">
        <v>2018</v>
      </c>
    </row>
    <row r="3645" spans="1:5" hidden="1" x14ac:dyDescent="0.25">
      <c r="A3645" t="str">
        <f>_xlfn.XLOOKUP(C3645, 'Códigos DANE Municipios'!$B$2:$B$1123, 'Códigos DANE Municipios'!$A$2:$A$1123, "No encontrado")</f>
        <v>25019</v>
      </c>
      <c r="B3645" t="str">
        <f>IFERROR(VLOOKUP(D3645,APOYO!K:L,2,FALSE),A3645)</f>
        <v>25019</v>
      </c>
      <c r="C3645" t="s">
        <v>918</v>
      </c>
      <c r="D3645" t="str">
        <f>IFERROR(VLOOKUP(C3645,APOYO!J:K,2,FALSE),C3645)</f>
        <v>ALBÁN</v>
      </c>
      <c r="E3645">
        <v>2018</v>
      </c>
    </row>
    <row r="3646" spans="1:5" hidden="1" x14ac:dyDescent="0.25">
      <c r="A3646" t="str">
        <f>_xlfn.XLOOKUP(C3646, 'Códigos DANE Municipios'!$B$2:$B$1123, 'Códigos DANE Municipios'!$A$2:$A$1123, "No encontrado")</f>
        <v>18029</v>
      </c>
      <c r="B3646" t="str">
        <f>IFERROR(VLOOKUP(D3646,APOYO!K:L,2,FALSE),A3646)</f>
        <v>18029</v>
      </c>
      <c r="C3646" t="s">
        <v>700</v>
      </c>
      <c r="D3646" t="str">
        <f>IFERROR(VLOOKUP(C3646,APOYO!J:K,2,FALSE),C3646)</f>
        <v>ALBANIA</v>
      </c>
      <c r="E3646">
        <v>2018</v>
      </c>
    </row>
    <row r="3647" spans="1:5" hidden="1" x14ac:dyDescent="0.25">
      <c r="A3647" t="str">
        <f>_xlfn.XLOOKUP(C3647, 'Códigos DANE Municipios'!$B$2:$B$1123, 'Códigos DANE Municipios'!$A$2:$A$1123, "No encontrado")</f>
        <v>76020</v>
      </c>
      <c r="B3647" t="str">
        <f>IFERROR(VLOOKUP(D3647,APOYO!K:L,2,FALSE),A3647)</f>
        <v>76020</v>
      </c>
      <c r="C3647" t="s">
        <v>1959</v>
      </c>
      <c r="D3647" t="str">
        <f>IFERROR(VLOOKUP(C3647,APOYO!J:K,2,FALSE),C3647)</f>
        <v>ALCALÁ</v>
      </c>
      <c r="E3647">
        <v>2018</v>
      </c>
    </row>
    <row r="3648" spans="1:5" hidden="1" x14ac:dyDescent="0.25">
      <c r="A3648" t="str">
        <f>_xlfn.XLOOKUP(C3648, 'Códigos DANE Municipios'!$B$2:$B$1123, 'Códigos DANE Municipios'!$A$2:$A$1123, "No encontrado")</f>
        <v>05021</v>
      </c>
      <c r="B3648" t="str">
        <f>IFERROR(VLOOKUP(D3648,APOYO!K:L,2,FALSE),A3648)</f>
        <v>05021</v>
      </c>
      <c r="C3648" t="s">
        <v>18</v>
      </c>
      <c r="D3648" t="str">
        <f>IFERROR(VLOOKUP(C3648,APOYO!J:K,2,FALSE),C3648)</f>
        <v>ALEJANDRÍA</v>
      </c>
      <c r="E3648">
        <v>2018</v>
      </c>
    </row>
    <row r="3649" spans="1:5" hidden="1" x14ac:dyDescent="0.25">
      <c r="A3649" t="str">
        <f>_xlfn.XLOOKUP(C3649, 'Códigos DANE Municipios'!$B$2:$B$1123, 'Códigos DANE Municipios'!$A$2:$A$1123, "No encontrado")</f>
        <v>41020</v>
      </c>
      <c r="B3649" t="str">
        <f>IFERROR(VLOOKUP(D3649,APOYO!K:L,2,FALSE),A3649)</f>
        <v>41020</v>
      </c>
      <c r="C3649" t="s">
        <v>1209</v>
      </c>
      <c r="D3649" t="str">
        <f>IFERROR(VLOOKUP(C3649,APOYO!J:K,2,FALSE),C3649)</f>
        <v>ALGECIRAS</v>
      </c>
      <c r="E3649">
        <v>2018</v>
      </c>
    </row>
    <row r="3650" spans="1:5" hidden="1" x14ac:dyDescent="0.25">
      <c r="A3650" t="str">
        <f>_xlfn.XLOOKUP(C3650, 'Códigos DANE Municipios'!$B$2:$B$1123, 'Códigos DANE Municipios'!$A$2:$A$1123, "No encontrado")</f>
        <v>73024</v>
      </c>
      <c r="B3650" t="str">
        <f>IFERROR(VLOOKUP(D3650,APOYO!K:L,2,FALSE),A3650)</f>
        <v>73024</v>
      </c>
      <c r="C3650" t="s">
        <v>1867</v>
      </c>
      <c r="D3650" t="str">
        <f>IFERROR(VLOOKUP(C3650,APOYO!J:K,2,FALSE),C3650)</f>
        <v>ALPUJARRA</v>
      </c>
      <c r="E3650">
        <v>2018</v>
      </c>
    </row>
    <row r="3651" spans="1:5" hidden="1" x14ac:dyDescent="0.25">
      <c r="A3651" t="str">
        <f>_xlfn.XLOOKUP(C3651, 'Códigos DANE Municipios'!$B$2:$B$1123, 'Códigos DANE Municipios'!$A$2:$A$1123, "No encontrado")</f>
        <v>73026</v>
      </c>
      <c r="B3651" t="str">
        <f>IFERROR(VLOOKUP(D3651,APOYO!K:L,2,FALSE),A3651)</f>
        <v>73026</v>
      </c>
      <c r="C3651" t="s">
        <v>1869</v>
      </c>
      <c r="D3651" t="str">
        <f>IFERROR(VLOOKUP(C3651,APOYO!J:K,2,FALSE),C3651)</f>
        <v>ALVARADO</v>
      </c>
      <c r="E3651">
        <v>2018</v>
      </c>
    </row>
    <row r="3652" spans="1:5" hidden="1" x14ac:dyDescent="0.25">
      <c r="A3652" t="str">
        <f>_xlfn.XLOOKUP(C3652, 'Códigos DANE Municipios'!$B$2:$B$1123, 'Códigos DANE Municipios'!$A$2:$A$1123, "No encontrado")</f>
        <v>05030</v>
      </c>
      <c r="B3652" t="str">
        <f>IFERROR(VLOOKUP(D3652,APOYO!K:L,2,FALSE),A3652)</f>
        <v>05030</v>
      </c>
      <c r="C3652" t="s">
        <v>20</v>
      </c>
      <c r="D3652" t="str">
        <f>IFERROR(VLOOKUP(C3652,APOYO!J:K,2,FALSE),C3652)</f>
        <v>AMAGÁ</v>
      </c>
      <c r="E3652">
        <v>2018</v>
      </c>
    </row>
    <row r="3653" spans="1:5" hidden="1" x14ac:dyDescent="0.25">
      <c r="A3653" t="str">
        <f>_xlfn.XLOOKUP(C3653, 'Códigos DANE Municipios'!$B$2:$B$1123, 'Códigos DANE Municipios'!$A$2:$A$1123, "No encontrado")</f>
        <v>05031</v>
      </c>
      <c r="B3653" t="str">
        <f>IFERROR(VLOOKUP(D3653,APOYO!K:L,2,FALSE),A3653)</f>
        <v>05031</v>
      </c>
      <c r="C3653" t="s">
        <v>22</v>
      </c>
      <c r="D3653" t="str">
        <f>IFERROR(VLOOKUP(C3653,APOYO!J:K,2,FALSE),C3653)</f>
        <v>AMALFI</v>
      </c>
      <c r="E3653">
        <v>2018</v>
      </c>
    </row>
    <row r="3654" spans="1:5" hidden="1" x14ac:dyDescent="0.25">
      <c r="A3654" t="str">
        <f>_xlfn.XLOOKUP(C3654, 'Códigos DANE Municipios'!$B$2:$B$1123, 'Códigos DANE Municipios'!$A$2:$A$1123, "No encontrado")</f>
        <v>73030</v>
      </c>
      <c r="B3654" t="str">
        <f>IFERROR(VLOOKUP(D3654,APOYO!K:L,2,FALSE),A3654)</f>
        <v>73030</v>
      </c>
      <c r="C3654" t="s">
        <v>1871</v>
      </c>
      <c r="D3654" t="str">
        <f>IFERROR(VLOOKUP(C3654,APOYO!J:K,2,FALSE),C3654)</f>
        <v>AMBALEMA</v>
      </c>
      <c r="E3654">
        <v>2018</v>
      </c>
    </row>
    <row r="3655" spans="1:5" hidden="1" x14ac:dyDescent="0.25">
      <c r="A3655" t="str">
        <f>_xlfn.XLOOKUP(C3655, 'Códigos DANE Municipios'!$B$2:$B$1123, 'Códigos DANE Municipios'!$A$2:$A$1123, "No encontrado")</f>
        <v>25035</v>
      </c>
      <c r="B3655" t="str">
        <f>IFERROR(VLOOKUP(D3655,APOYO!K:L,2,FALSE),A3655)</f>
        <v>25035</v>
      </c>
      <c r="C3655" t="s">
        <v>920</v>
      </c>
      <c r="D3655" t="str">
        <f>IFERROR(VLOOKUP(C3655,APOYO!J:K,2,FALSE),C3655)</f>
        <v>ANAPOIMA</v>
      </c>
      <c r="E3655">
        <v>2018</v>
      </c>
    </row>
    <row r="3656" spans="1:5" hidden="1" x14ac:dyDescent="0.25">
      <c r="A3656" t="str">
        <f>_xlfn.XLOOKUP(C3656, 'Códigos DANE Municipios'!$B$2:$B$1123, 'Códigos DANE Municipios'!$A$2:$A$1123, "No encontrado")</f>
        <v>76036</v>
      </c>
      <c r="B3656" t="str">
        <f>IFERROR(VLOOKUP(D3656,APOYO!K:L,2,FALSE),A3656)</f>
        <v>76036</v>
      </c>
      <c r="C3656" t="s">
        <v>1961</v>
      </c>
      <c r="D3656" t="str">
        <f>IFERROR(VLOOKUP(C3656,APOYO!J:K,2,FALSE),C3656)</f>
        <v>ANDALUCÍA</v>
      </c>
      <c r="E3656">
        <v>2018</v>
      </c>
    </row>
    <row r="3657" spans="1:5" hidden="1" x14ac:dyDescent="0.25">
      <c r="A3657" t="str">
        <f>_xlfn.XLOOKUP(C3657, 'Códigos DANE Municipios'!$B$2:$B$1123, 'Códigos DANE Municipios'!$A$2:$A$1123, "No encontrado")</f>
        <v>05034</v>
      </c>
      <c r="B3657" t="str">
        <f>IFERROR(VLOOKUP(D3657,APOYO!K:L,2,FALSE),A3657)</f>
        <v>05034</v>
      </c>
      <c r="C3657" t="s">
        <v>24</v>
      </c>
      <c r="D3657" t="str">
        <f>IFERROR(VLOOKUP(C3657,APOYO!J:K,2,FALSE),C3657)</f>
        <v>ANDES</v>
      </c>
      <c r="E3657">
        <v>2018</v>
      </c>
    </row>
    <row r="3658" spans="1:5" hidden="1" x14ac:dyDescent="0.25">
      <c r="A3658" t="str">
        <f>_xlfn.XLOOKUP(C3658, 'Códigos DANE Municipios'!$B$2:$B$1123, 'Códigos DANE Municipios'!$A$2:$A$1123, "No encontrado")</f>
        <v>05036</v>
      </c>
      <c r="B3658" t="str">
        <f>IFERROR(VLOOKUP(D3658,APOYO!K:L,2,FALSE),A3658)</f>
        <v>05036</v>
      </c>
      <c r="C3658" t="s">
        <v>26</v>
      </c>
      <c r="D3658" t="str">
        <f>IFERROR(VLOOKUP(C3658,APOYO!J:K,2,FALSE),C3658)</f>
        <v>ANGELÓPOLIS</v>
      </c>
      <c r="E3658">
        <v>2018</v>
      </c>
    </row>
    <row r="3659" spans="1:5" hidden="1" x14ac:dyDescent="0.25">
      <c r="A3659" t="str">
        <f>_xlfn.XLOOKUP(C3659, 'Códigos DANE Municipios'!$B$2:$B$1123, 'Códigos DANE Municipios'!$A$2:$A$1123, "No encontrado")</f>
        <v>05038</v>
      </c>
      <c r="B3659" t="str">
        <f>IFERROR(VLOOKUP(D3659,APOYO!K:L,2,FALSE),A3659)</f>
        <v>05038</v>
      </c>
      <c r="C3659" t="s">
        <v>28</v>
      </c>
      <c r="D3659" t="str">
        <f>IFERROR(VLOOKUP(C3659,APOYO!J:K,2,FALSE),C3659)</f>
        <v>ANGOSTURA</v>
      </c>
      <c r="E3659">
        <v>2018</v>
      </c>
    </row>
    <row r="3660" spans="1:5" hidden="1" x14ac:dyDescent="0.25">
      <c r="A3660" t="str">
        <f>_xlfn.XLOOKUP(C3660, 'Códigos DANE Municipios'!$B$2:$B$1123, 'Códigos DANE Municipios'!$A$2:$A$1123, "No encontrado")</f>
        <v>25040</v>
      </c>
      <c r="B3660" t="str">
        <f>IFERROR(VLOOKUP(D3660,APOYO!K:L,2,FALSE),A3660)</f>
        <v>25040</v>
      </c>
      <c r="C3660" t="s">
        <v>922</v>
      </c>
      <c r="D3660" t="str">
        <f>IFERROR(VLOOKUP(C3660,APOYO!J:K,2,FALSE),C3660)</f>
        <v>ANOLAIMA</v>
      </c>
      <c r="E3660">
        <v>2018</v>
      </c>
    </row>
    <row r="3661" spans="1:5" hidden="1" x14ac:dyDescent="0.25">
      <c r="A3661" t="str">
        <f>_xlfn.XLOOKUP(C3661, 'Códigos DANE Municipios'!$B$2:$B$1123, 'Códigos DANE Municipios'!$A$2:$A$1123, "No encontrado")</f>
        <v>05040</v>
      </c>
      <c r="B3661" t="str">
        <f>IFERROR(VLOOKUP(D3661,APOYO!K:L,2,FALSE),A3661)</f>
        <v>05040</v>
      </c>
      <c r="C3661" t="s">
        <v>30</v>
      </c>
      <c r="D3661" t="str">
        <f>IFERROR(VLOOKUP(C3661,APOYO!J:K,2,FALSE),C3661)</f>
        <v>ANORÍ</v>
      </c>
      <c r="E3661">
        <v>2018</v>
      </c>
    </row>
    <row r="3662" spans="1:5" hidden="1" x14ac:dyDescent="0.25">
      <c r="A3662" t="str">
        <f>_xlfn.XLOOKUP(C3662, 'Códigos DANE Municipios'!$B$2:$B$1123, 'Códigos DANE Municipios'!$A$2:$A$1123, "No encontrado")</f>
        <v>17042</v>
      </c>
      <c r="B3662" t="str">
        <f>IFERROR(VLOOKUP(D3662,APOYO!K:L,2,FALSE),A3662)</f>
        <v>17042</v>
      </c>
      <c r="C3662" t="s">
        <v>648</v>
      </c>
      <c r="D3662" t="str">
        <f>IFERROR(VLOOKUP(C3662,APOYO!J:K,2,FALSE),C3662)</f>
        <v>ANSERMA</v>
      </c>
      <c r="E3662">
        <v>2018</v>
      </c>
    </row>
    <row r="3663" spans="1:5" hidden="1" x14ac:dyDescent="0.25">
      <c r="A3663" t="str">
        <f>_xlfn.XLOOKUP(C3663, 'Códigos DANE Municipios'!$B$2:$B$1123, 'Códigos DANE Municipios'!$A$2:$A$1123, "No encontrado")</f>
        <v>76041</v>
      </c>
      <c r="B3663" t="str">
        <f>IFERROR(VLOOKUP(D3663,APOYO!K:L,2,FALSE),A3663)</f>
        <v>76041</v>
      </c>
      <c r="C3663" t="s">
        <v>1963</v>
      </c>
      <c r="D3663" t="str">
        <f>IFERROR(VLOOKUP(C3663,APOYO!J:K,2,FALSE),C3663)</f>
        <v>ANSERMANUEVO</v>
      </c>
      <c r="E3663">
        <v>2018</v>
      </c>
    </row>
    <row r="3664" spans="1:5" hidden="1" x14ac:dyDescent="0.25">
      <c r="A3664" t="str">
        <f>_xlfn.XLOOKUP(C3664, 'Códigos DANE Municipios'!$B$2:$B$1123, 'Códigos DANE Municipios'!$A$2:$A$1123, "No encontrado")</f>
        <v>05042</v>
      </c>
      <c r="B3664" t="str">
        <f>IFERROR(VLOOKUP(D3664,APOYO!K:L,2,FALSE),A3664)</f>
        <v>05042</v>
      </c>
      <c r="C3664" t="s">
        <v>32</v>
      </c>
      <c r="D3664" t="str">
        <f>IFERROR(VLOOKUP(C3664,APOYO!J:K,2,FALSE),C3664)</f>
        <v>SANTA FÉ DE ANTIOQUIA</v>
      </c>
      <c r="E3664">
        <v>2018</v>
      </c>
    </row>
    <row r="3665" spans="1:5" hidden="1" x14ac:dyDescent="0.25">
      <c r="A3665" t="str">
        <f>_xlfn.XLOOKUP(C3665, 'Códigos DANE Municipios'!$B$2:$B$1123, 'Códigos DANE Municipios'!$A$2:$A$1123, "No encontrado")</f>
        <v>05044</v>
      </c>
      <c r="B3665" t="str">
        <f>IFERROR(VLOOKUP(D3665,APOYO!K:L,2,FALSE),A3665)</f>
        <v>05044</v>
      </c>
      <c r="C3665" t="s">
        <v>34</v>
      </c>
      <c r="D3665" t="str">
        <f>IFERROR(VLOOKUP(C3665,APOYO!J:K,2,FALSE),C3665)</f>
        <v>ANZÁ</v>
      </c>
      <c r="E3665">
        <v>2018</v>
      </c>
    </row>
    <row r="3666" spans="1:5" hidden="1" x14ac:dyDescent="0.25">
      <c r="A3666" t="str">
        <f>_xlfn.XLOOKUP(C3666, 'Códigos DANE Municipios'!$B$2:$B$1123, 'Códigos DANE Municipios'!$A$2:$A$1123, "No encontrado")</f>
        <v>05045</v>
      </c>
      <c r="B3666" t="str">
        <f>IFERROR(VLOOKUP(D3666,APOYO!K:L,2,FALSE),A3666)</f>
        <v>05045</v>
      </c>
      <c r="C3666" t="s">
        <v>36</v>
      </c>
      <c r="D3666" t="str">
        <f>IFERROR(VLOOKUP(C3666,APOYO!J:K,2,FALSE),C3666)</f>
        <v>APARTADÓ</v>
      </c>
      <c r="E3666">
        <v>2018</v>
      </c>
    </row>
    <row r="3667" spans="1:5" hidden="1" x14ac:dyDescent="0.25">
      <c r="A3667" t="str">
        <f>_xlfn.XLOOKUP(C3667, 'Códigos DANE Municipios'!$B$2:$B$1123, 'Códigos DANE Municipios'!$A$2:$A$1123, "No encontrado")</f>
        <v>66045</v>
      </c>
      <c r="B3667" t="str">
        <f>IFERROR(VLOOKUP(D3667,APOYO!K:L,2,FALSE),A3667)</f>
        <v>66045</v>
      </c>
      <c r="C3667" t="s">
        <v>1630</v>
      </c>
      <c r="D3667" t="str">
        <f>IFERROR(VLOOKUP(C3667,APOYO!J:K,2,FALSE),C3667)</f>
        <v>APÍA</v>
      </c>
      <c r="E3667">
        <v>2018</v>
      </c>
    </row>
    <row r="3668" spans="1:5" hidden="1" x14ac:dyDescent="0.25">
      <c r="A3668" t="str">
        <f>_xlfn.XLOOKUP(C3668, 'Códigos DANE Municipios'!$B$2:$B$1123, 'Códigos DANE Municipios'!$A$2:$A$1123, "No encontrado")</f>
        <v>15047</v>
      </c>
      <c r="B3668" t="str">
        <f>IFERROR(VLOOKUP(D3668,APOYO!K:L,2,FALSE),A3668)</f>
        <v>15047</v>
      </c>
      <c r="C3668" t="s">
        <v>405</v>
      </c>
      <c r="D3668" t="str">
        <f>IFERROR(VLOOKUP(C3668,APOYO!J:K,2,FALSE),C3668)</f>
        <v>AQUITANIA</v>
      </c>
      <c r="E3668">
        <v>2018</v>
      </c>
    </row>
    <row r="3669" spans="1:5" hidden="1" x14ac:dyDescent="0.25">
      <c r="A3669" t="str">
        <f>_xlfn.XLOOKUP(C3669, 'Códigos DANE Municipios'!$B$2:$B$1123, 'Códigos DANE Municipios'!$A$2:$A$1123, "No encontrado")</f>
        <v>47053</v>
      </c>
      <c r="B3669" t="str">
        <f>IFERROR(VLOOKUP(D3669,APOYO!K:L,2,FALSE),A3669)</f>
        <v>47053</v>
      </c>
      <c r="C3669" t="s">
        <v>1304</v>
      </c>
      <c r="D3669" t="str">
        <f>IFERROR(VLOOKUP(C3669,APOYO!J:K,2,FALSE),C3669)</f>
        <v>ARACATACA</v>
      </c>
      <c r="E3669">
        <v>2018</v>
      </c>
    </row>
    <row r="3670" spans="1:5" hidden="1" x14ac:dyDescent="0.25">
      <c r="A3670" t="str">
        <f>_xlfn.XLOOKUP(C3670, 'Códigos DANE Municipios'!$B$2:$B$1123, 'Códigos DANE Municipios'!$A$2:$A$1123, "No encontrado")</f>
        <v>17050</v>
      </c>
      <c r="B3670" t="str">
        <f>IFERROR(VLOOKUP(D3670,APOYO!K:L,2,FALSE),A3670)</f>
        <v>17050</v>
      </c>
      <c r="C3670" t="s">
        <v>650</v>
      </c>
      <c r="D3670" t="str">
        <f>IFERROR(VLOOKUP(C3670,APOYO!J:K,2,FALSE),C3670)</f>
        <v>ARANZAZU</v>
      </c>
      <c r="E3670">
        <v>2018</v>
      </c>
    </row>
    <row r="3671" spans="1:5" hidden="1" x14ac:dyDescent="0.25">
      <c r="A3671" t="str">
        <f>_xlfn.XLOOKUP(C3671, 'Códigos DANE Municipios'!$B$2:$B$1123, 'Códigos DANE Municipios'!$A$2:$A$1123, "No encontrado")</f>
        <v>68051</v>
      </c>
      <c r="B3671" t="str">
        <f>IFERROR(VLOOKUP(D3671,APOYO!K:L,2,FALSE),A3671)</f>
        <v>68051</v>
      </c>
      <c r="C3671" t="s">
        <v>1660</v>
      </c>
      <c r="D3671" t="str">
        <f>IFERROR(VLOOKUP(C3671,APOYO!J:K,2,FALSE),C3671)</f>
        <v>ARATOCA</v>
      </c>
      <c r="E3671">
        <v>2018</v>
      </c>
    </row>
    <row r="3672" spans="1:5" hidden="1" x14ac:dyDescent="0.25">
      <c r="A3672" t="str">
        <f>_xlfn.XLOOKUP(C3672, 'Códigos DANE Municipios'!$B$2:$B$1123, 'Códigos DANE Municipios'!$A$2:$A$1123, "No encontrado")</f>
        <v>81001</v>
      </c>
      <c r="B3672" t="str">
        <f>IFERROR(VLOOKUP(D3672,APOYO!K:L,2,FALSE),A3672)</f>
        <v>81001</v>
      </c>
      <c r="C3672" t="s">
        <v>2034</v>
      </c>
      <c r="D3672" t="str">
        <f>IFERROR(VLOOKUP(C3672,APOYO!J:K,2,FALSE),C3672)</f>
        <v>ARAUCA</v>
      </c>
      <c r="E3672">
        <v>2018</v>
      </c>
    </row>
    <row r="3673" spans="1:5" hidden="1" x14ac:dyDescent="0.25">
      <c r="A3673" t="str">
        <f>_xlfn.XLOOKUP(C3673, 'Códigos DANE Municipios'!$B$2:$B$1123, 'Códigos DANE Municipios'!$A$2:$A$1123, "No encontrado")</f>
        <v>81065</v>
      </c>
      <c r="B3673" t="str">
        <f>IFERROR(VLOOKUP(D3673,APOYO!K:L,2,FALSE),A3673)</f>
        <v>81065</v>
      </c>
      <c r="C3673" t="s">
        <v>2036</v>
      </c>
      <c r="D3673" t="str">
        <f>IFERROR(VLOOKUP(C3673,APOYO!J:K,2,FALSE),C3673)</f>
        <v>ARAUQUITA</v>
      </c>
      <c r="E3673">
        <v>2018</v>
      </c>
    </row>
    <row r="3674" spans="1:5" hidden="1" x14ac:dyDescent="0.25">
      <c r="A3674" t="str">
        <f>_xlfn.XLOOKUP(C3674, 'Códigos DANE Municipios'!$B$2:$B$1123, 'Códigos DANE Municipios'!$A$2:$A$1123, "No encontrado")</f>
        <v>25053</v>
      </c>
      <c r="B3674" t="str">
        <f>IFERROR(VLOOKUP(D3674,APOYO!K:L,2,FALSE),A3674)</f>
        <v>25053</v>
      </c>
      <c r="C3674" t="s">
        <v>924</v>
      </c>
      <c r="D3674" t="str">
        <f>IFERROR(VLOOKUP(C3674,APOYO!J:K,2,FALSE),C3674)</f>
        <v>ARBELÁEZ</v>
      </c>
      <c r="E3674">
        <v>2018</v>
      </c>
    </row>
    <row r="3675" spans="1:5" hidden="1" x14ac:dyDescent="0.25">
      <c r="A3675" t="str">
        <f>_xlfn.XLOOKUP(C3675, 'Códigos DANE Municipios'!$B$2:$B$1123, 'Códigos DANE Municipios'!$A$2:$A$1123, "No encontrado")</f>
        <v>54051</v>
      </c>
      <c r="B3675" t="str">
        <f>IFERROR(VLOOKUP(D3675,APOYO!K:L,2,FALSE),A3675)</f>
        <v>54051</v>
      </c>
      <c r="C3675" t="s">
        <v>1533</v>
      </c>
      <c r="D3675" t="str">
        <f>IFERROR(VLOOKUP(C3675,APOYO!J:K,2,FALSE),C3675)</f>
        <v>ARBOLEDAS</v>
      </c>
      <c r="E3675">
        <v>2018</v>
      </c>
    </row>
    <row r="3676" spans="1:5" hidden="1" x14ac:dyDescent="0.25">
      <c r="A3676" t="str">
        <f>_xlfn.XLOOKUP(C3676, 'Códigos DANE Municipios'!$B$2:$B$1123, 'Códigos DANE Municipios'!$A$2:$A$1123, "No encontrado")</f>
        <v>05051</v>
      </c>
      <c r="B3676" t="str">
        <f>IFERROR(VLOOKUP(D3676,APOYO!K:L,2,FALSE),A3676)</f>
        <v>05051</v>
      </c>
      <c r="C3676" t="s">
        <v>38</v>
      </c>
      <c r="D3676" t="str">
        <f>IFERROR(VLOOKUP(C3676,APOYO!J:K,2,FALSE),C3676)</f>
        <v>ARBOLETES</v>
      </c>
      <c r="E3676">
        <v>2018</v>
      </c>
    </row>
    <row r="3677" spans="1:5" hidden="1" x14ac:dyDescent="0.25">
      <c r="A3677" t="str">
        <f>_xlfn.XLOOKUP(C3677, 'Códigos DANE Municipios'!$B$2:$B$1123, 'Códigos DANE Municipios'!$A$2:$A$1123, "No encontrado")</f>
        <v>15051</v>
      </c>
      <c r="B3677" t="str">
        <f>IFERROR(VLOOKUP(D3677,APOYO!K:L,2,FALSE),A3677)</f>
        <v>15051</v>
      </c>
      <c r="C3677" t="s">
        <v>407</v>
      </c>
      <c r="D3677" t="str">
        <f>IFERROR(VLOOKUP(C3677,APOYO!J:K,2,FALSE),C3677)</f>
        <v>ARCABUCO</v>
      </c>
      <c r="E3677">
        <v>2018</v>
      </c>
    </row>
    <row r="3678" spans="1:5" hidden="1" x14ac:dyDescent="0.25">
      <c r="A3678" t="str">
        <f>_xlfn.XLOOKUP(C3678, 'Códigos DANE Municipios'!$B$2:$B$1123, 'Códigos DANE Municipios'!$A$2:$A$1123, "No encontrado")</f>
        <v>05055</v>
      </c>
      <c r="B3678" t="str">
        <f>IFERROR(VLOOKUP(D3678,APOYO!K:L,2,FALSE),A3678)</f>
        <v>05055</v>
      </c>
      <c r="C3678" t="s">
        <v>40</v>
      </c>
      <c r="D3678" t="str">
        <f>IFERROR(VLOOKUP(C3678,APOYO!J:K,2,FALSE),C3678)</f>
        <v>ARGELIA</v>
      </c>
      <c r="E3678">
        <v>2018</v>
      </c>
    </row>
    <row r="3679" spans="1:5" hidden="1" x14ac:dyDescent="0.25">
      <c r="A3679" t="str">
        <f>_xlfn.XLOOKUP(C3679, 'Códigos DANE Municipios'!$B$2:$B$1123, 'Códigos DANE Municipios'!$A$2:$A$1123, "No encontrado")</f>
        <v>47058</v>
      </c>
      <c r="B3679" t="str">
        <f>IFERROR(VLOOKUP(D3679,APOYO!K:L,2,FALSE),A3679)</f>
        <v>47058</v>
      </c>
      <c r="C3679" t="s">
        <v>1306</v>
      </c>
      <c r="D3679" t="str">
        <f>IFERROR(VLOOKUP(C3679,APOYO!J:K,2,FALSE),C3679)</f>
        <v>ARIGUANÍ</v>
      </c>
      <c r="E3679">
        <v>2018</v>
      </c>
    </row>
    <row r="3680" spans="1:5" hidden="1" x14ac:dyDescent="0.25">
      <c r="A3680" t="str">
        <f>_xlfn.XLOOKUP(C3680, 'Códigos DANE Municipios'!$B$2:$B$1123, 'Códigos DANE Municipios'!$A$2:$A$1123, "No encontrado")</f>
        <v>13052</v>
      </c>
      <c r="B3680" t="str">
        <f>IFERROR(VLOOKUP(D3680,APOYO!K:L,2,FALSE),A3680)</f>
        <v>13052</v>
      </c>
      <c r="C3680" t="s">
        <v>317</v>
      </c>
      <c r="D3680" t="str">
        <f>IFERROR(VLOOKUP(C3680,APOYO!J:K,2,FALSE),C3680)</f>
        <v>ARJONA</v>
      </c>
      <c r="E3680">
        <v>2018</v>
      </c>
    </row>
    <row r="3681" spans="1:5" hidden="1" x14ac:dyDescent="0.25">
      <c r="A3681" t="str">
        <f>_xlfn.XLOOKUP(C3681, 'Códigos DANE Municipios'!$B$2:$B$1123, 'Códigos DANE Municipios'!$A$2:$A$1123, "No encontrado")</f>
        <v>05059</v>
      </c>
      <c r="B3681" t="str">
        <f>IFERROR(VLOOKUP(D3681,APOYO!K:L,2,FALSE),A3681)</f>
        <v>05059</v>
      </c>
      <c r="C3681" t="s">
        <v>42</v>
      </c>
      <c r="D3681" t="str">
        <f>IFERROR(VLOOKUP(C3681,APOYO!J:K,2,FALSE),C3681)</f>
        <v>ARMENIA</v>
      </c>
      <c r="E3681">
        <v>2018</v>
      </c>
    </row>
    <row r="3682" spans="1:5" hidden="1" x14ac:dyDescent="0.25">
      <c r="A3682" t="str">
        <f>_xlfn.XLOOKUP(C3682, 'Códigos DANE Municipios'!$B$2:$B$1123, 'Códigos DANE Municipios'!$A$2:$A$1123, "No encontrado")</f>
        <v>73055</v>
      </c>
      <c r="B3682" t="str">
        <f>IFERROR(VLOOKUP(D3682,APOYO!K:L,2,FALSE),A3682)</f>
        <v>73055</v>
      </c>
      <c r="C3682" t="s">
        <v>1875</v>
      </c>
      <c r="D3682" t="str">
        <f>IFERROR(VLOOKUP(C3682,APOYO!J:K,2,FALSE),C3682)</f>
        <v>ARMERO GUAYABAL</v>
      </c>
      <c r="E3682">
        <v>2018</v>
      </c>
    </row>
    <row r="3683" spans="1:5" hidden="1" x14ac:dyDescent="0.25">
      <c r="A3683" t="str">
        <f>_xlfn.XLOOKUP(C3683, 'Códigos DANE Municipios'!$B$2:$B$1123, 'Códigos DANE Municipios'!$A$2:$A$1123, "No encontrado")</f>
        <v>20032</v>
      </c>
      <c r="B3683" t="str">
        <f>IFERROR(VLOOKUP(D3683,APOYO!K:L,2,FALSE),A3683)</f>
        <v>20032</v>
      </c>
      <c r="C3683" t="s">
        <v>814</v>
      </c>
      <c r="D3683" t="str">
        <f>IFERROR(VLOOKUP(C3683,APOYO!J:K,2,FALSE),C3683)</f>
        <v>ASTREA</v>
      </c>
      <c r="E3683">
        <v>2018</v>
      </c>
    </row>
    <row r="3684" spans="1:5" hidden="1" x14ac:dyDescent="0.25">
      <c r="A3684" t="str">
        <f>_xlfn.XLOOKUP(C3684, 'Códigos DANE Municipios'!$B$2:$B$1123, 'Códigos DANE Municipios'!$A$2:$A$1123, "No encontrado")</f>
        <v>23068</v>
      </c>
      <c r="B3684" t="str">
        <f>IFERROR(VLOOKUP(D3684,APOYO!K:L,2,FALSE),A3684)</f>
        <v>23068</v>
      </c>
      <c r="C3684" t="s">
        <v>860</v>
      </c>
      <c r="D3684" t="str">
        <f>IFERROR(VLOOKUP(C3684,APOYO!J:K,2,FALSE),C3684)</f>
        <v>AYAPEL</v>
      </c>
      <c r="E3684">
        <v>2018</v>
      </c>
    </row>
    <row r="3685" spans="1:5" hidden="1" x14ac:dyDescent="0.25">
      <c r="A3685" t="str">
        <f>_xlfn.XLOOKUP(C3685, 'Códigos DANE Municipios'!$B$2:$B$1123, 'Códigos DANE Municipios'!$A$2:$A$1123, "No encontrado")</f>
        <v>27073</v>
      </c>
      <c r="B3685" t="str">
        <f>IFERROR(VLOOKUP(D3685,APOYO!K:L,2,FALSE),A3685)</f>
        <v>27073</v>
      </c>
      <c r="C3685" t="s">
        <v>1150</v>
      </c>
      <c r="D3685" t="str">
        <f>IFERROR(VLOOKUP(C3685,APOYO!J:K,2,FALSE),C3685)</f>
        <v>BAGADÓ</v>
      </c>
      <c r="E3685">
        <v>2018</v>
      </c>
    </row>
    <row r="3686" spans="1:5" hidden="1" x14ac:dyDescent="0.25">
      <c r="A3686" t="str">
        <f>_xlfn.XLOOKUP(C3686, 'Códigos DANE Municipios'!$B$2:$B$1123, 'Códigos DANE Municipios'!$A$2:$A$1123, "No encontrado")</f>
        <v>27075</v>
      </c>
      <c r="B3686" t="str">
        <f>IFERROR(VLOOKUP(D3686,APOYO!K:L,2,FALSE),A3686)</f>
        <v>27075</v>
      </c>
      <c r="C3686" t="s">
        <v>1152</v>
      </c>
      <c r="D3686" t="str">
        <f>IFERROR(VLOOKUP(C3686,APOYO!J:K,2,FALSE),C3686)</f>
        <v>BAHÍA SOLANO</v>
      </c>
      <c r="E3686">
        <v>2018</v>
      </c>
    </row>
    <row r="3687" spans="1:5" hidden="1" x14ac:dyDescent="0.25">
      <c r="A3687" t="str">
        <f>_xlfn.XLOOKUP(C3687, 'Códigos DANE Municipios'!$B$2:$B$1123, 'Códigos DANE Municipios'!$A$2:$A$1123, "No encontrado")</f>
        <v>27077</v>
      </c>
      <c r="B3687" t="str">
        <f>IFERROR(VLOOKUP(D3687,APOYO!K:L,2,FALSE),A3687)</f>
        <v>27077</v>
      </c>
      <c r="C3687" t="s">
        <v>1154</v>
      </c>
      <c r="D3687" t="str">
        <f>IFERROR(VLOOKUP(C3687,APOYO!J:K,2,FALSE),C3687)</f>
        <v>BAJO BAUDÓ</v>
      </c>
      <c r="E3687">
        <v>2018</v>
      </c>
    </row>
    <row r="3688" spans="1:5" hidden="1" x14ac:dyDescent="0.25">
      <c r="A3688" t="str">
        <f>_xlfn.XLOOKUP(C3688, 'Códigos DANE Municipios'!$B$2:$B$1123, 'Códigos DANE Municipios'!$A$2:$A$1123, "No encontrado")</f>
        <v>19075</v>
      </c>
      <c r="B3688" t="str">
        <f>IFERROR(VLOOKUP(D3688,APOYO!K:L,2,FALSE),A3688)</f>
        <v>19075</v>
      </c>
      <c r="C3688" t="s">
        <v>734</v>
      </c>
      <c r="D3688" t="str">
        <f>IFERROR(VLOOKUP(C3688,APOYO!J:K,2,FALSE),C3688)</f>
        <v>BALBOA</v>
      </c>
      <c r="E3688">
        <v>2018</v>
      </c>
    </row>
    <row r="3689" spans="1:5" hidden="1" x14ac:dyDescent="0.25">
      <c r="A3689" t="str">
        <f>_xlfn.XLOOKUP(C3689, 'Códigos DANE Municipios'!$B$2:$B$1123, 'Códigos DANE Municipios'!$A$2:$A$1123, "No encontrado")</f>
        <v>08078</v>
      </c>
      <c r="B3689" t="str">
        <f>IFERROR(VLOOKUP(D3689,APOYO!K:L,2,FALSE),A3689)</f>
        <v>08078</v>
      </c>
      <c r="C3689" t="s">
        <v>264</v>
      </c>
      <c r="D3689" t="str">
        <f>IFERROR(VLOOKUP(C3689,APOYO!J:K,2,FALSE),C3689)</f>
        <v>BARANOA</v>
      </c>
      <c r="E3689">
        <v>2018</v>
      </c>
    </row>
    <row r="3690" spans="1:5" hidden="1" x14ac:dyDescent="0.25">
      <c r="A3690" t="str">
        <f>_xlfn.XLOOKUP(C3690, 'Códigos DANE Municipios'!$B$2:$B$1123, 'Códigos DANE Municipios'!$A$2:$A$1123, "No encontrado")</f>
        <v>41078</v>
      </c>
      <c r="B3690" t="str">
        <f>IFERROR(VLOOKUP(D3690,APOYO!K:L,2,FALSE),A3690)</f>
        <v>41078</v>
      </c>
      <c r="C3690" t="s">
        <v>1213</v>
      </c>
      <c r="D3690" t="str">
        <f>IFERROR(VLOOKUP(C3690,APOYO!J:K,2,FALSE),C3690)</f>
        <v>BARAYA</v>
      </c>
      <c r="E3690">
        <v>2018</v>
      </c>
    </row>
    <row r="3691" spans="1:5" hidden="1" x14ac:dyDescent="0.25">
      <c r="A3691" t="str">
        <f>_xlfn.XLOOKUP(C3691, 'Códigos DANE Municipios'!$B$2:$B$1123, 'Códigos DANE Municipios'!$A$2:$A$1123, "No encontrado")</f>
        <v>52079</v>
      </c>
      <c r="B3691" t="str">
        <f>IFERROR(VLOOKUP(D3691,APOYO!K:L,2,FALSE),A3691)</f>
        <v>52079</v>
      </c>
      <c r="C3691" t="s">
        <v>1421</v>
      </c>
      <c r="D3691" t="str">
        <f>IFERROR(VLOOKUP(C3691,APOYO!J:K,2,FALSE),C3691)</f>
        <v>BARBACOAS</v>
      </c>
      <c r="E3691">
        <v>2018</v>
      </c>
    </row>
    <row r="3692" spans="1:5" hidden="1" x14ac:dyDescent="0.25">
      <c r="A3692" t="str">
        <f>_xlfn.XLOOKUP(C3692, 'Códigos DANE Municipios'!$B$2:$B$1123, 'Códigos DANE Municipios'!$A$2:$A$1123, "No encontrado")</f>
        <v>05079</v>
      </c>
      <c r="B3692" t="str">
        <f>IFERROR(VLOOKUP(D3692,APOYO!K:L,2,FALSE),A3692)</f>
        <v>05079</v>
      </c>
      <c r="C3692" t="s">
        <v>44</v>
      </c>
      <c r="D3692" t="str">
        <f>IFERROR(VLOOKUP(C3692,APOYO!J:K,2,FALSE),C3692)</f>
        <v>BARBOSA</v>
      </c>
      <c r="E3692">
        <v>2018</v>
      </c>
    </row>
    <row r="3693" spans="1:5" hidden="1" x14ac:dyDescent="0.25">
      <c r="A3693" t="str">
        <f>_xlfn.XLOOKUP(C3693, 'Códigos DANE Municipios'!$B$2:$B$1123, 'Códigos DANE Municipios'!$A$2:$A$1123, "No encontrado")</f>
        <v>68079</v>
      </c>
      <c r="B3693" t="str">
        <f>IFERROR(VLOOKUP(D3693,APOYO!K:L,2,FALSE),A3693)</f>
        <v>68079</v>
      </c>
      <c r="C3693" t="s">
        <v>1663</v>
      </c>
      <c r="D3693" t="str">
        <f>IFERROR(VLOOKUP(C3693,APOYO!J:K,2,FALSE),C3693)</f>
        <v>BARICHARA</v>
      </c>
      <c r="E3693">
        <v>2018</v>
      </c>
    </row>
    <row r="3694" spans="1:5" hidden="1" x14ac:dyDescent="0.25">
      <c r="A3694" t="str">
        <f>_xlfn.XLOOKUP(C3694, 'Códigos DANE Municipios'!$B$2:$B$1123, 'Códigos DANE Municipios'!$A$2:$A$1123, "No encontrado")</f>
        <v>50110</v>
      </c>
      <c r="B3694" t="str">
        <f>IFERROR(VLOOKUP(D3694,APOYO!K:L,2,FALSE),A3694)</f>
        <v>50110</v>
      </c>
      <c r="C3694" t="s">
        <v>1362</v>
      </c>
      <c r="D3694" t="str">
        <f>IFERROR(VLOOKUP(C3694,APOYO!J:K,2,FALSE),C3694)</f>
        <v>BARRANCA DE UPÍA</v>
      </c>
      <c r="E3694">
        <v>2018</v>
      </c>
    </row>
    <row r="3695" spans="1:5" hidden="1" x14ac:dyDescent="0.25">
      <c r="A3695" t="str">
        <f>_xlfn.XLOOKUP(C3695, 'Códigos DANE Municipios'!$B$2:$B$1123, 'Códigos DANE Municipios'!$A$2:$A$1123, "No encontrado")</f>
        <v>68081</v>
      </c>
      <c r="B3695" t="str">
        <f>IFERROR(VLOOKUP(D3695,APOYO!K:L,2,FALSE),A3695)</f>
        <v>68081</v>
      </c>
      <c r="C3695" t="s">
        <v>1665</v>
      </c>
      <c r="D3695" t="str">
        <f>IFERROR(VLOOKUP(C3695,APOYO!J:K,2,FALSE),C3695)</f>
        <v>BARRANCABERMEJA</v>
      </c>
      <c r="E3695">
        <v>2018</v>
      </c>
    </row>
    <row r="3696" spans="1:5" hidden="1" x14ac:dyDescent="0.25">
      <c r="A3696" t="str">
        <f>_xlfn.XLOOKUP(C3696, 'Códigos DANE Municipios'!$B$2:$B$1123, 'Códigos DANE Municipios'!$A$2:$A$1123, "No encontrado")</f>
        <v>44078</v>
      </c>
      <c r="B3696" t="str">
        <f>IFERROR(VLOOKUP(D3696,APOYO!K:L,2,FALSE),A3696)</f>
        <v>44078</v>
      </c>
      <c r="C3696" t="s">
        <v>1275</v>
      </c>
      <c r="D3696" t="str">
        <f>IFERROR(VLOOKUP(C3696,APOYO!J:K,2,FALSE),C3696)</f>
        <v>BARRANCAS</v>
      </c>
      <c r="E3696">
        <v>2018</v>
      </c>
    </row>
    <row r="3697" spans="1:5" hidden="1" x14ac:dyDescent="0.25">
      <c r="A3697" t="str">
        <f>_xlfn.XLOOKUP(C3697, 'Códigos DANE Municipios'!$B$2:$B$1123, 'Códigos DANE Municipios'!$A$2:$A$1123, "No encontrado")</f>
        <v>08001</v>
      </c>
      <c r="B3697" t="str">
        <f>IFERROR(VLOOKUP(D3697,APOYO!K:L,2,FALSE),A3697)</f>
        <v>08001</v>
      </c>
      <c r="C3697" t="s">
        <v>262</v>
      </c>
      <c r="D3697" t="str">
        <f>IFERROR(VLOOKUP(C3697,APOYO!J:K,2,FALSE),C3697)</f>
        <v>BARRANQUILLA</v>
      </c>
      <c r="E3697">
        <v>2018</v>
      </c>
    </row>
    <row r="3698" spans="1:5" hidden="1" x14ac:dyDescent="0.25">
      <c r="A3698" t="str">
        <f>_xlfn.XLOOKUP(C3698, 'Códigos DANE Municipios'!$B$2:$B$1123, 'Códigos DANE Municipios'!$A$2:$A$1123, "No encontrado")</f>
        <v>17088</v>
      </c>
      <c r="B3698" t="str">
        <f>IFERROR(VLOOKUP(D3698,APOYO!K:L,2,FALSE),A3698)</f>
        <v>17088</v>
      </c>
      <c r="C3698" t="s">
        <v>652</v>
      </c>
      <c r="D3698" t="str">
        <f>IFERROR(VLOOKUP(C3698,APOYO!J:K,2,FALSE),C3698)</f>
        <v>BELALCÁZAR</v>
      </c>
      <c r="E3698">
        <v>2018</v>
      </c>
    </row>
    <row r="3699" spans="1:5" hidden="1" x14ac:dyDescent="0.25">
      <c r="A3699" t="str">
        <f>_xlfn.XLOOKUP(C3699, 'Códigos DANE Municipios'!$B$2:$B$1123, 'Códigos DANE Municipios'!$A$2:$A$1123, "No encontrado")</f>
        <v>15087</v>
      </c>
      <c r="B3699" t="str">
        <f>IFERROR(VLOOKUP(D3699,APOYO!K:L,2,FALSE),A3699)</f>
        <v>15087</v>
      </c>
      <c r="C3699" t="s">
        <v>409</v>
      </c>
      <c r="D3699" t="str">
        <f>IFERROR(VLOOKUP(C3699,APOYO!J:K,2,FALSE),C3699)</f>
        <v>BELÉN</v>
      </c>
      <c r="E3699">
        <v>2018</v>
      </c>
    </row>
    <row r="3700" spans="1:5" hidden="1" x14ac:dyDescent="0.25">
      <c r="A3700" t="str">
        <f>_xlfn.XLOOKUP(C3700, 'Códigos DANE Municipios'!$B$2:$B$1123, 'Códigos DANE Municipios'!$A$2:$A$1123, "No encontrado")</f>
        <v>66088</v>
      </c>
      <c r="B3700" t="str">
        <f>IFERROR(VLOOKUP(D3700,APOYO!K:L,2,FALSE),A3700)</f>
        <v>66088</v>
      </c>
      <c r="C3700" t="s">
        <v>1633</v>
      </c>
      <c r="D3700" t="str">
        <f>IFERROR(VLOOKUP(C3700,APOYO!J:K,2,FALSE),C3700)</f>
        <v>BELÉN DE UMBRÍA</v>
      </c>
      <c r="E3700">
        <v>2018</v>
      </c>
    </row>
    <row r="3701" spans="1:5" hidden="1" x14ac:dyDescent="0.25">
      <c r="A3701" t="str">
        <f>_xlfn.XLOOKUP(C3701, 'Códigos DANE Municipios'!$B$2:$B$1123, 'Códigos DANE Municipios'!$A$2:$A$1123, "No encontrado")</f>
        <v>05088</v>
      </c>
      <c r="B3701" t="str">
        <f>IFERROR(VLOOKUP(D3701,APOYO!K:L,2,FALSE),A3701)</f>
        <v>05088</v>
      </c>
      <c r="C3701" t="s">
        <v>48</v>
      </c>
      <c r="D3701" t="str">
        <f>IFERROR(VLOOKUP(C3701,APOYO!J:K,2,FALSE),C3701)</f>
        <v>BELLO</v>
      </c>
      <c r="E3701">
        <v>2018</v>
      </c>
    </row>
    <row r="3702" spans="1:5" hidden="1" x14ac:dyDescent="0.25">
      <c r="A3702" t="str">
        <f>_xlfn.XLOOKUP(C3702, 'Códigos DANE Municipios'!$B$2:$B$1123, 'Códigos DANE Municipios'!$A$2:$A$1123, "No encontrado")</f>
        <v>05086</v>
      </c>
      <c r="B3702" t="str">
        <f>IFERROR(VLOOKUP(D3702,APOYO!K:L,2,FALSE),A3702)</f>
        <v>05086</v>
      </c>
      <c r="C3702" t="s">
        <v>46</v>
      </c>
      <c r="D3702" t="str">
        <f>IFERROR(VLOOKUP(C3702,APOYO!J:K,2,FALSE),C3702)</f>
        <v>BELMIRA</v>
      </c>
      <c r="E3702">
        <v>2018</v>
      </c>
    </row>
    <row r="3703" spans="1:5" hidden="1" x14ac:dyDescent="0.25">
      <c r="A3703" t="str">
        <f>_xlfn.XLOOKUP(C3703, 'Códigos DANE Municipios'!$B$2:$B$1123, 'Códigos DANE Municipios'!$A$2:$A$1123, "No encontrado")</f>
        <v>25086</v>
      </c>
      <c r="B3703" t="str">
        <f>IFERROR(VLOOKUP(D3703,APOYO!K:L,2,FALSE),A3703)</f>
        <v>25086</v>
      </c>
      <c r="C3703" t="s">
        <v>926</v>
      </c>
      <c r="D3703" t="str">
        <f>IFERROR(VLOOKUP(C3703,APOYO!J:K,2,FALSE),C3703)</f>
        <v>BELTRÁN</v>
      </c>
      <c r="E3703">
        <v>2018</v>
      </c>
    </row>
    <row r="3704" spans="1:5" hidden="1" x14ac:dyDescent="0.25">
      <c r="A3704" t="str">
        <f>_xlfn.XLOOKUP(C3704, 'Códigos DANE Municipios'!$B$2:$B$1123, 'Códigos DANE Municipios'!$A$2:$A$1123, "No encontrado")</f>
        <v>05091</v>
      </c>
      <c r="B3704" t="str">
        <f>IFERROR(VLOOKUP(D3704,APOYO!K:L,2,FALSE),A3704)</f>
        <v>05091</v>
      </c>
      <c r="C3704" t="s">
        <v>50</v>
      </c>
      <c r="D3704" t="str">
        <f>IFERROR(VLOOKUP(C3704,APOYO!J:K,2,FALSE),C3704)</f>
        <v>BETANIA</v>
      </c>
      <c r="E3704">
        <v>2018</v>
      </c>
    </row>
    <row r="3705" spans="1:5" hidden="1" x14ac:dyDescent="0.25">
      <c r="A3705" t="str">
        <f>_xlfn.XLOOKUP(C3705, 'Códigos DANE Municipios'!$B$2:$B$1123, 'Códigos DANE Municipios'!$A$2:$A$1123, "No encontrado")</f>
        <v>05093</v>
      </c>
      <c r="B3705" t="str">
        <f>IFERROR(VLOOKUP(D3705,APOYO!K:L,2,FALSE),A3705)</f>
        <v>05093</v>
      </c>
      <c r="C3705" t="s">
        <v>52</v>
      </c>
      <c r="D3705" t="str">
        <f>IFERROR(VLOOKUP(C3705,APOYO!J:K,2,FALSE),C3705)</f>
        <v>BETULIA</v>
      </c>
      <c r="E3705">
        <v>2018</v>
      </c>
    </row>
    <row r="3706" spans="1:5" hidden="1" x14ac:dyDescent="0.25">
      <c r="A3706" t="str">
        <f>_xlfn.XLOOKUP(C3706, 'Códigos DANE Municipios'!$B$2:$B$1123, 'Códigos DANE Municipios'!$A$2:$A$1123, "No encontrado")</f>
        <v>25095</v>
      </c>
      <c r="B3706" t="str">
        <f>IFERROR(VLOOKUP(D3706,APOYO!K:L,2,FALSE),A3706)</f>
        <v>25095</v>
      </c>
      <c r="C3706" t="s">
        <v>928</v>
      </c>
      <c r="D3706" t="str">
        <f>IFERROR(VLOOKUP(C3706,APOYO!J:K,2,FALSE),C3706)</f>
        <v>BITUIMA</v>
      </c>
      <c r="E3706">
        <v>2018</v>
      </c>
    </row>
    <row r="3707" spans="1:5" hidden="1" x14ac:dyDescent="0.25">
      <c r="A3707" t="str">
        <f>_xlfn.XLOOKUP(C3707, 'Códigos DANE Municipios'!$B$2:$B$1123, 'Códigos DANE Municipios'!$A$2:$A$1123, "No encontrado")</f>
        <v>15097</v>
      </c>
      <c r="B3707" t="str">
        <f>IFERROR(VLOOKUP(D3707,APOYO!K:L,2,FALSE),A3707)</f>
        <v>15097</v>
      </c>
      <c r="C3707" t="s">
        <v>415</v>
      </c>
      <c r="D3707" t="str">
        <f>IFERROR(VLOOKUP(C3707,APOYO!J:K,2,FALSE),C3707)</f>
        <v>BOAVITA</v>
      </c>
      <c r="E3707">
        <v>2018</v>
      </c>
    </row>
    <row r="3708" spans="1:5" hidden="1" x14ac:dyDescent="0.25">
      <c r="A3708" t="str">
        <f>_xlfn.XLOOKUP(C3708, 'Códigos DANE Municipios'!$B$2:$B$1123, 'Códigos DANE Municipios'!$A$2:$A$1123, "No encontrado")</f>
        <v>54099</v>
      </c>
      <c r="B3708" t="str">
        <f>IFERROR(VLOOKUP(D3708,APOYO!K:L,2,FALSE),A3708)</f>
        <v>54099</v>
      </c>
      <c r="C3708" t="s">
        <v>1535</v>
      </c>
      <c r="D3708" t="str">
        <f>IFERROR(VLOOKUP(C3708,APOYO!J:K,2,FALSE),C3708)</f>
        <v>BOCHALEMA</v>
      </c>
      <c r="E3708">
        <v>2018</v>
      </c>
    </row>
    <row r="3709" spans="1:5" hidden="1" x14ac:dyDescent="0.25">
      <c r="A3709" t="str">
        <f>_xlfn.XLOOKUP(C3709, 'Códigos DANE Municipios'!$B$2:$B$1123, 'Códigos DANE Municipios'!$A$2:$A$1123, "No encontrado")</f>
        <v>11001</v>
      </c>
      <c r="B3709" t="str">
        <f>IFERROR(VLOOKUP(D3709,APOYO!K:L,2,FALSE),A3709)</f>
        <v>11001</v>
      </c>
      <c r="C3709" t="s">
        <v>307</v>
      </c>
      <c r="D3709" t="str">
        <f>IFERROR(VLOOKUP(C3709,APOYO!J:K,2,FALSE),C3709)</f>
        <v>BOGOTÁ, D.C.</v>
      </c>
      <c r="E3709">
        <v>2018</v>
      </c>
    </row>
    <row r="3710" spans="1:5" hidden="1" x14ac:dyDescent="0.25">
      <c r="A3710" t="str">
        <f>_xlfn.XLOOKUP(C3710, 'Códigos DANE Municipios'!$B$2:$B$1123, 'Códigos DANE Municipios'!$A$2:$A$1123, "No encontrado")</f>
        <v>25099</v>
      </c>
      <c r="B3710" t="str">
        <f>IFERROR(VLOOKUP(D3710,APOYO!K:L,2,FALSE),A3710)</f>
        <v>25099</v>
      </c>
      <c r="C3710" t="s">
        <v>930</v>
      </c>
      <c r="D3710" t="str">
        <f>IFERROR(VLOOKUP(C3710,APOYO!J:K,2,FALSE),C3710)</f>
        <v>BOJACÁ</v>
      </c>
      <c r="E3710">
        <v>2018</v>
      </c>
    </row>
    <row r="3711" spans="1:5" hidden="1" x14ac:dyDescent="0.25">
      <c r="A3711" t="str">
        <f>_xlfn.XLOOKUP(C3711, 'Códigos DANE Municipios'!$B$2:$B$1123, 'Códigos DANE Municipios'!$A$2:$A$1123, "No encontrado")</f>
        <v>19100</v>
      </c>
      <c r="B3711" t="str">
        <f>IFERROR(VLOOKUP(D3711,APOYO!K:L,2,FALSE),A3711)</f>
        <v>19100</v>
      </c>
      <c r="C3711" t="s">
        <v>736</v>
      </c>
      <c r="D3711" t="str">
        <f>IFERROR(VLOOKUP(C3711,APOYO!J:K,2,FALSE),C3711)</f>
        <v>BOLÍVAR</v>
      </c>
      <c r="E3711">
        <v>2018</v>
      </c>
    </row>
    <row r="3712" spans="1:5" hidden="1" x14ac:dyDescent="0.25">
      <c r="A3712" t="str">
        <f>_xlfn.XLOOKUP(C3712, 'Códigos DANE Municipios'!$B$2:$B$1123, 'Códigos DANE Municipios'!$A$2:$A$1123, "No encontrado")</f>
        <v>20060</v>
      </c>
      <c r="B3712" t="str">
        <f>IFERROR(VLOOKUP(D3712,APOYO!K:L,2,FALSE),A3712)</f>
        <v>20060</v>
      </c>
      <c r="C3712" t="s">
        <v>818</v>
      </c>
      <c r="D3712" t="str">
        <f>IFERROR(VLOOKUP(C3712,APOYO!J:K,2,FALSE),C3712)</f>
        <v>BOSCONIA</v>
      </c>
      <c r="E3712">
        <v>2018</v>
      </c>
    </row>
    <row r="3713" spans="1:5" hidden="1" x14ac:dyDescent="0.25">
      <c r="A3713" t="str">
        <f>_xlfn.XLOOKUP(C3713, 'Códigos DANE Municipios'!$B$2:$B$1123, 'Códigos DANE Municipios'!$A$2:$A$1123, "No encontrado")</f>
        <v>15104</v>
      </c>
      <c r="B3713" t="str">
        <f>IFERROR(VLOOKUP(D3713,APOYO!K:L,2,FALSE),A3713)</f>
        <v>15104</v>
      </c>
      <c r="C3713" t="s">
        <v>417</v>
      </c>
      <c r="D3713" t="str">
        <f>IFERROR(VLOOKUP(C3713,APOYO!J:K,2,FALSE),C3713)</f>
        <v>BOYACÁ</v>
      </c>
      <c r="E3713">
        <v>2018</v>
      </c>
    </row>
    <row r="3714" spans="1:5" hidden="1" x14ac:dyDescent="0.25">
      <c r="A3714" t="str">
        <f>_xlfn.XLOOKUP(C3714, 'Códigos DANE Municipios'!$B$2:$B$1123, 'Códigos DANE Municipios'!$A$2:$A$1123, "No encontrado")</f>
        <v>05107</v>
      </c>
      <c r="B3714" t="str">
        <f>IFERROR(VLOOKUP(D3714,APOYO!K:L,2,FALSE),A3714)</f>
        <v>05107</v>
      </c>
      <c r="C3714" t="s">
        <v>56</v>
      </c>
      <c r="D3714" t="str">
        <f>IFERROR(VLOOKUP(C3714,APOYO!J:K,2,FALSE),C3714)</f>
        <v>BRICEÑO</v>
      </c>
      <c r="E3714">
        <v>2018</v>
      </c>
    </row>
    <row r="3715" spans="1:5" hidden="1" x14ac:dyDescent="0.25">
      <c r="A3715" t="str">
        <f>_xlfn.XLOOKUP(C3715, 'Códigos DANE Municipios'!$B$2:$B$1123, 'Códigos DANE Municipios'!$A$2:$A$1123, "No encontrado")</f>
        <v>05107</v>
      </c>
      <c r="B3715" t="str">
        <f>IFERROR(VLOOKUP(D3715,APOYO!K:L,2,FALSE),A3715)</f>
        <v>05107</v>
      </c>
      <c r="C3715" t="s">
        <v>56</v>
      </c>
      <c r="D3715" t="str">
        <f>IFERROR(VLOOKUP(C3715,APOYO!J:K,2,FALSE),C3715)</f>
        <v>BRICEÑO</v>
      </c>
      <c r="E3715">
        <v>2018</v>
      </c>
    </row>
    <row r="3716" spans="1:5" hidden="1" x14ac:dyDescent="0.25">
      <c r="A3716" t="str">
        <f>_xlfn.XLOOKUP(C3716, 'Códigos DANE Municipios'!$B$2:$B$1123, 'Códigos DANE Municipios'!$A$2:$A$1123, "No encontrado")</f>
        <v>68001</v>
      </c>
      <c r="B3716" t="str">
        <f>IFERROR(VLOOKUP(D3716,APOYO!K:L,2,FALSE),A3716)</f>
        <v>68001</v>
      </c>
      <c r="C3716" t="s">
        <v>1655</v>
      </c>
      <c r="D3716" t="str">
        <f>IFERROR(VLOOKUP(C3716,APOYO!J:K,2,FALSE),C3716)</f>
        <v>BUCARAMANGA</v>
      </c>
      <c r="E3716">
        <v>2018</v>
      </c>
    </row>
    <row r="3717" spans="1:5" hidden="1" x14ac:dyDescent="0.25">
      <c r="A3717" t="str">
        <f>_xlfn.XLOOKUP(C3717, 'Códigos DANE Municipios'!$B$2:$B$1123, 'Códigos DANE Municipios'!$A$2:$A$1123, "No encontrado")</f>
        <v>76109</v>
      </c>
      <c r="B3717" t="str">
        <f>IFERROR(VLOOKUP(D3717,APOYO!K:L,2,FALSE),A3717)</f>
        <v>76109</v>
      </c>
      <c r="C3717" t="s">
        <v>1967</v>
      </c>
      <c r="D3717" t="str">
        <f>IFERROR(VLOOKUP(C3717,APOYO!J:K,2,FALSE),C3717)</f>
        <v>BUENAVENTURA</v>
      </c>
      <c r="E3717">
        <v>2018</v>
      </c>
    </row>
    <row r="3718" spans="1:5" hidden="1" x14ac:dyDescent="0.25">
      <c r="A3718" t="str">
        <f>_xlfn.XLOOKUP(C3718, 'Códigos DANE Municipios'!$B$2:$B$1123, 'Códigos DANE Municipios'!$A$2:$A$1123, "No encontrado")</f>
        <v>15109</v>
      </c>
      <c r="B3718" t="str">
        <f>IFERROR(VLOOKUP(D3718,APOYO!K:L,2,FALSE),A3718)</f>
        <v>15109</v>
      </c>
      <c r="C3718" t="s">
        <v>420</v>
      </c>
      <c r="D3718" t="str">
        <f>IFERROR(VLOOKUP(C3718,APOYO!J:K,2,FALSE),C3718)</f>
        <v>BUENAVISTA</v>
      </c>
      <c r="E3718">
        <v>2018</v>
      </c>
    </row>
    <row r="3719" spans="1:5" hidden="1" x14ac:dyDescent="0.25">
      <c r="A3719" t="str">
        <f>_xlfn.XLOOKUP(C3719, 'Códigos DANE Municipios'!$B$2:$B$1123, 'Códigos DANE Municipios'!$A$2:$A$1123, "No encontrado")</f>
        <v>52110</v>
      </c>
      <c r="B3719" t="str">
        <f>IFERROR(VLOOKUP(D3719,APOYO!K:L,2,FALSE),A3719)</f>
        <v>52110</v>
      </c>
      <c r="C3719" t="s">
        <v>1424</v>
      </c>
      <c r="D3719" t="str">
        <f>IFERROR(VLOOKUP(C3719,APOYO!J:K,2,FALSE),C3719)</f>
        <v>BUESACO</v>
      </c>
      <c r="E3719">
        <v>2018</v>
      </c>
    </row>
    <row r="3720" spans="1:5" hidden="1" x14ac:dyDescent="0.25">
      <c r="A3720" t="str">
        <f>_xlfn.XLOOKUP(C3720, 'Códigos DANE Municipios'!$B$2:$B$1123, 'Códigos DANE Municipios'!$A$2:$A$1123, "No encontrado")</f>
        <v>76111</v>
      </c>
      <c r="B3720" t="str">
        <f>IFERROR(VLOOKUP(D3720,APOYO!K:L,2,FALSE),A3720)</f>
        <v>76111</v>
      </c>
      <c r="C3720" t="s">
        <v>1969</v>
      </c>
      <c r="D3720" t="str">
        <f>IFERROR(VLOOKUP(C3720,APOYO!J:K,2,FALSE),C3720)</f>
        <v>GUADALAJARA DE BUGA</v>
      </c>
      <c r="E3720">
        <v>2018</v>
      </c>
    </row>
    <row r="3721" spans="1:5" hidden="1" x14ac:dyDescent="0.25">
      <c r="A3721" t="str">
        <f>_xlfn.XLOOKUP(C3721, 'Códigos DANE Municipios'!$B$2:$B$1123, 'Códigos DANE Municipios'!$A$2:$A$1123, "No encontrado")</f>
        <v>76113</v>
      </c>
      <c r="B3721" t="str">
        <f>IFERROR(VLOOKUP(D3721,APOYO!K:L,2,FALSE),A3721)</f>
        <v>76113</v>
      </c>
      <c r="C3721" t="s">
        <v>1971</v>
      </c>
      <c r="D3721" t="str">
        <f>IFERROR(VLOOKUP(C3721,APOYO!J:K,2,FALSE),C3721)</f>
        <v>BUGALAGRANDE</v>
      </c>
      <c r="E3721">
        <v>2018</v>
      </c>
    </row>
    <row r="3722" spans="1:5" hidden="1" x14ac:dyDescent="0.25">
      <c r="A3722" t="str">
        <f>_xlfn.XLOOKUP(C3722, 'Códigos DANE Municipios'!$B$2:$B$1123, 'Códigos DANE Municipios'!$A$2:$A$1123, "No encontrado")</f>
        <v>05113</v>
      </c>
      <c r="B3722" t="str">
        <f>IFERROR(VLOOKUP(D3722,APOYO!K:L,2,FALSE),A3722)</f>
        <v>05113</v>
      </c>
      <c r="C3722" t="s">
        <v>58</v>
      </c>
      <c r="D3722" t="str">
        <f>IFERROR(VLOOKUP(C3722,APOYO!J:K,2,FALSE),C3722)</f>
        <v>BURITICÁ</v>
      </c>
      <c r="E3722">
        <v>2018</v>
      </c>
    </row>
    <row r="3723" spans="1:5" hidden="1" x14ac:dyDescent="0.25">
      <c r="A3723" t="str">
        <f>_xlfn.XLOOKUP(C3723, 'Códigos DANE Municipios'!$B$2:$B$1123, 'Códigos DANE Municipios'!$A$2:$A$1123, "No encontrado")</f>
        <v>25120</v>
      </c>
      <c r="B3723" t="str">
        <f>IFERROR(VLOOKUP(D3723,APOYO!K:L,2,FALSE),A3723)</f>
        <v>25120</v>
      </c>
      <c r="C3723" t="s">
        <v>932</v>
      </c>
      <c r="D3723" t="str">
        <f>IFERROR(VLOOKUP(C3723,APOYO!J:K,2,FALSE),C3723)</f>
        <v>CABRERA</v>
      </c>
      <c r="E3723">
        <v>2018</v>
      </c>
    </row>
    <row r="3724" spans="1:5" hidden="1" x14ac:dyDescent="0.25">
      <c r="A3724" t="str">
        <f>_xlfn.XLOOKUP(C3724, 'Códigos DANE Municipios'!$B$2:$B$1123, 'Códigos DANE Municipios'!$A$2:$A$1123, "No encontrado")</f>
        <v>50124</v>
      </c>
      <c r="B3724" t="str">
        <f>IFERROR(VLOOKUP(D3724,APOYO!K:L,2,FALSE),A3724)</f>
        <v>50124</v>
      </c>
      <c r="C3724" t="s">
        <v>1364</v>
      </c>
      <c r="D3724" t="str">
        <f>IFERROR(VLOOKUP(C3724,APOYO!J:K,2,FALSE),C3724)</f>
        <v>CABUYARO</v>
      </c>
      <c r="E3724">
        <v>2018</v>
      </c>
    </row>
    <row r="3725" spans="1:5" hidden="1" x14ac:dyDescent="0.25">
      <c r="A3725" t="str">
        <f>_xlfn.XLOOKUP(C3725, 'Códigos DANE Municipios'!$B$2:$B$1123, 'Códigos DANE Municipios'!$A$2:$A$1123, "No encontrado")</f>
        <v>05120</v>
      </c>
      <c r="B3725" t="str">
        <f>IFERROR(VLOOKUP(D3725,APOYO!K:L,2,FALSE),A3725)</f>
        <v>05120</v>
      </c>
      <c r="C3725" t="s">
        <v>60</v>
      </c>
      <c r="D3725" t="str">
        <f>IFERROR(VLOOKUP(C3725,APOYO!J:K,2,FALSE),C3725)</f>
        <v>CÁCERES</v>
      </c>
      <c r="E3725">
        <v>2018</v>
      </c>
    </row>
    <row r="3726" spans="1:5" hidden="1" x14ac:dyDescent="0.25">
      <c r="A3726" t="str">
        <f>_xlfn.XLOOKUP(C3726, 'Códigos DANE Municipios'!$B$2:$B$1123, 'Códigos DANE Municipios'!$A$2:$A$1123, "No encontrado")</f>
        <v>25123</v>
      </c>
      <c r="B3726" t="str">
        <f>IFERROR(VLOOKUP(D3726,APOYO!K:L,2,FALSE),A3726)</f>
        <v>25123</v>
      </c>
      <c r="C3726" t="s">
        <v>934</v>
      </c>
      <c r="D3726" t="str">
        <f>IFERROR(VLOOKUP(C3726,APOYO!J:K,2,FALSE),C3726)</f>
        <v>CACHIPAY</v>
      </c>
      <c r="E3726">
        <v>2018</v>
      </c>
    </row>
    <row r="3727" spans="1:5" hidden="1" x14ac:dyDescent="0.25">
      <c r="A3727" t="str">
        <f>_xlfn.XLOOKUP(C3727, 'Códigos DANE Municipios'!$B$2:$B$1123, 'Códigos DANE Municipios'!$A$2:$A$1123, "No encontrado")</f>
        <v>54128</v>
      </c>
      <c r="B3727" t="str">
        <f>IFERROR(VLOOKUP(D3727,APOYO!K:L,2,FALSE),A3727)</f>
        <v>54128</v>
      </c>
      <c r="C3727" t="s">
        <v>1541</v>
      </c>
      <c r="D3727" t="str">
        <f>IFERROR(VLOOKUP(C3727,APOYO!J:K,2,FALSE),C3727)</f>
        <v>CÁCHIRA</v>
      </c>
      <c r="E3727">
        <v>2018</v>
      </c>
    </row>
    <row r="3728" spans="1:5" hidden="1" x14ac:dyDescent="0.25">
      <c r="A3728" t="str">
        <f>_xlfn.XLOOKUP(C3728, 'Códigos DANE Municipios'!$B$2:$B$1123, 'Códigos DANE Municipios'!$A$2:$A$1123, "No encontrado")</f>
        <v>54125</v>
      </c>
      <c r="B3728" t="str">
        <f>IFERROR(VLOOKUP(D3728,APOYO!K:L,2,FALSE),A3728)</f>
        <v>54125</v>
      </c>
      <c r="C3728" t="s">
        <v>1539</v>
      </c>
      <c r="D3728" t="str">
        <f>IFERROR(VLOOKUP(C3728,APOYO!J:K,2,FALSE),C3728)</f>
        <v>CÁCOTA</v>
      </c>
      <c r="E3728">
        <v>2018</v>
      </c>
    </row>
    <row r="3729" spans="1:5" hidden="1" x14ac:dyDescent="0.25">
      <c r="A3729" t="str">
        <f>_xlfn.XLOOKUP(C3729, 'Códigos DANE Municipios'!$B$2:$B$1123, 'Códigos DANE Municipios'!$A$2:$A$1123, "No encontrado")</f>
        <v>05125</v>
      </c>
      <c r="B3729" t="str">
        <f>IFERROR(VLOOKUP(D3729,APOYO!K:L,2,FALSE),A3729)</f>
        <v>05125</v>
      </c>
      <c r="C3729" t="s">
        <v>62</v>
      </c>
      <c r="D3729" t="str">
        <f>IFERROR(VLOOKUP(C3729,APOYO!J:K,2,FALSE),C3729)</f>
        <v>CAICEDO</v>
      </c>
      <c r="E3729">
        <v>2018</v>
      </c>
    </row>
    <row r="3730" spans="1:5" hidden="1" x14ac:dyDescent="0.25">
      <c r="A3730" t="str">
        <f>_xlfn.XLOOKUP(C3730, 'Códigos DANE Municipios'!$B$2:$B$1123, 'Códigos DANE Municipios'!$A$2:$A$1123, "No encontrado")</f>
        <v>76122</v>
      </c>
      <c r="B3730" t="str">
        <f>IFERROR(VLOOKUP(D3730,APOYO!K:L,2,FALSE),A3730)</f>
        <v>76122</v>
      </c>
      <c r="C3730" t="s">
        <v>1973</v>
      </c>
      <c r="D3730" t="str">
        <f>IFERROR(VLOOKUP(C3730,APOYO!J:K,2,FALSE),C3730)</f>
        <v>CAICEDONIA</v>
      </c>
      <c r="E3730">
        <v>2018</v>
      </c>
    </row>
    <row r="3731" spans="1:5" hidden="1" x14ac:dyDescent="0.25">
      <c r="A3731" t="str">
        <f>_xlfn.XLOOKUP(C3731, 'Códigos DANE Municipios'!$B$2:$B$1123, 'Códigos DANE Municipios'!$A$2:$A$1123, "No encontrado")</f>
        <v>73124</v>
      </c>
      <c r="B3731" t="str">
        <f>IFERROR(VLOOKUP(D3731,APOYO!K:L,2,FALSE),A3731)</f>
        <v>73124</v>
      </c>
      <c r="C3731" t="s">
        <v>1879</v>
      </c>
      <c r="D3731" t="str">
        <f>IFERROR(VLOOKUP(C3731,APOYO!J:K,2,FALSE),C3731)</f>
        <v>CAJAMARCA</v>
      </c>
      <c r="E3731">
        <v>2018</v>
      </c>
    </row>
    <row r="3732" spans="1:5" hidden="1" x14ac:dyDescent="0.25">
      <c r="A3732" t="str">
        <f>_xlfn.XLOOKUP(C3732, 'Códigos DANE Municipios'!$B$2:$B$1123, 'Códigos DANE Municipios'!$A$2:$A$1123, "No encontrado")</f>
        <v>19130</v>
      </c>
      <c r="B3732" t="str">
        <f>IFERROR(VLOOKUP(D3732,APOYO!K:L,2,FALSE),A3732)</f>
        <v>19130</v>
      </c>
      <c r="C3732" t="s">
        <v>740</v>
      </c>
      <c r="D3732" t="str">
        <f>IFERROR(VLOOKUP(C3732,APOYO!J:K,2,FALSE),C3732)</f>
        <v>CAJIBÍO</v>
      </c>
      <c r="E3732">
        <v>2018</v>
      </c>
    </row>
    <row r="3733" spans="1:5" hidden="1" x14ac:dyDescent="0.25">
      <c r="A3733" t="str">
        <f>_xlfn.XLOOKUP(C3733, 'Códigos DANE Municipios'!$B$2:$B$1123, 'Códigos DANE Municipios'!$A$2:$A$1123, "No encontrado")</f>
        <v>25126</v>
      </c>
      <c r="B3733" t="str">
        <f>IFERROR(VLOOKUP(D3733,APOYO!K:L,2,FALSE),A3733)</f>
        <v>25126</v>
      </c>
      <c r="C3733" t="s">
        <v>936</v>
      </c>
      <c r="D3733" t="str">
        <f>IFERROR(VLOOKUP(C3733,APOYO!J:K,2,FALSE),C3733)</f>
        <v>CAJICÁ</v>
      </c>
      <c r="E3733">
        <v>2018</v>
      </c>
    </row>
    <row r="3734" spans="1:5" hidden="1" x14ac:dyDescent="0.25">
      <c r="A3734" t="str">
        <f>_xlfn.XLOOKUP(C3734, 'Códigos DANE Municipios'!$B$2:$B$1123, 'Códigos DANE Municipios'!$A$2:$A$1123, "No encontrado")</f>
        <v>13140</v>
      </c>
      <c r="B3734" t="str">
        <f>IFERROR(VLOOKUP(D3734,APOYO!K:L,2,FALSE),A3734)</f>
        <v>13140</v>
      </c>
      <c r="C3734" t="s">
        <v>323</v>
      </c>
      <c r="D3734" t="str">
        <f>IFERROR(VLOOKUP(C3734,APOYO!J:K,2,FALSE),C3734)</f>
        <v>CALAMAR</v>
      </c>
      <c r="E3734">
        <v>2018</v>
      </c>
    </row>
    <row r="3735" spans="1:5" hidden="1" x14ac:dyDescent="0.25">
      <c r="A3735" t="str">
        <f>_xlfn.XLOOKUP(C3735, 'Códigos DANE Municipios'!$B$2:$B$1123, 'Códigos DANE Municipios'!$A$2:$A$1123, "No encontrado")</f>
        <v>63130</v>
      </c>
      <c r="B3735" t="str">
        <f>IFERROR(VLOOKUP(D3735,APOYO!K:L,2,FALSE),A3735)</f>
        <v>63130</v>
      </c>
      <c r="C3735" t="s">
        <v>1609</v>
      </c>
      <c r="D3735" t="str">
        <f>IFERROR(VLOOKUP(C3735,APOYO!J:K,2,FALSE),C3735)</f>
        <v>CALARCÁ</v>
      </c>
      <c r="E3735">
        <v>2018</v>
      </c>
    </row>
    <row r="3736" spans="1:5" hidden="1" x14ac:dyDescent="0.25">
      <c r="A3736" t="str">
        <f>_xlfn.XLOOKUP(C3736, 'Códigos DANE Municipios'!$B$2:$B$1123, 'Códigos DANE Municipios'!$A$2:$A$1123, "No encontrado")</f>
        <v>05129</v>
      </c>
      <c r="B3736" t="str">
        <f>IFERROR(VLOOKUP(D3736,APOYO!K:L,2,FALSE),A3736)</f>
        <v>05129</v>
      </c>
      <c r="C3736" t="s">
        <v>64</v>
      </c>
      <c r="D3736" t="str">
        <f>IFERROR(VLOOKUP(C3736,APOYO!J:K,2,FALSE),C3736)</f>
        <v>CALDAS</v>
      </c>
      <c r="E3736">
        <v>2018</v>
      </c>
    </row>
    <row r="3737" spans="1:5" hidden="1" x14ac:dyDescent="0.25">
      <c r="A3737" t="str">
        <f>_xlfn.XLOOKUP(C3737, 'Códigos DANE Municipios'!$B$2:$B$1123, 'Códigos DANE Municipios'!$A$2:$A$1123, "No encontrado")</f>
        <v>19137</v>
      </c>
      <c r="B3737" t="str">
        <f>IFERROR(VLOOKUP(D3737,APOYO!K:L,2,FALSE),A3737)</f>
        <v>19137</v>
      </c>
      <c r="C3737" t="s">
        <v>742</v>
      </c>
      <c r="D3737" t="str">
        <f>IFERROR(VLOOKUP(C3737,APOYO!J:K,2,FALSE),C3737)</f>
        <v>CALDONO</v>
      </c>
      <c r="E3737">
        <v>2018</v>
      </c>
    </row>
    <row r="3738" spans="1:5" hidden="1" x14ac:dyDescent="0.25">
      <c r="A3738" t="str">
        <f>_xlfn.XLOOKUP(C3738, 'Códigos DANE Municipios'!$B$2:$B$1123, 'Códigos DANE Municipios'!$A$2:$A$1123, "No encontrado")</f>
        <v>76001</v>
      </c>
      <c r="B3738" t="str">
        <f>IFERROR(VLOOKUP(D3738,APOYO!K:L,2,FALSE),A3738)</f>
        <v>76001</v>
      </c>
      <c r="C3738" t="s">
        <v>1957</v>
      </c>
      <c r="D3738" t="str">
        <f>IFERROR(VLOOKUP(C3738,APOYO!J:K,2,FALSE),C3738)</f>
        <v>CALI</v>
      </c>
      <c r="E3738">
        <v>2018</v>
      </c>
    </row>
    <row r="3739" spans="1:5" hidden="1" x14ac:dyDescent="0.25">
      <c r="A3739" t="str">
        <f>_xlfn.XLOOKUP(C3739, 'Códigos DANE Municipios'!$B$2:$B$1123, 'Códigos DANE Municipios'!$A$2:$A$1123, "No encontrado")</f>
        <v>68132</v>
      </c>
      <c r="B3739" t="str">
        <f>IFERROR(VLOOKUP(D3739,APOYO!K:L,2,FALSE),A3739)</f>
        <v>68132</v>
      </c>
      <c r="C3739" t="s">
        <v>1670</v>
      </c>
      <c r="D3739" t="str">
        <f>IFERROR(VLOOKUP(C3739,APOYO!J:K,2,FALSE),C3739)</f>
        <v>CALIFORNIA</v>
      </c>
      <c r="E3739">
        <v>2018</v>
      </c>
    </row>
    <row r="3740" spans="1:5" hidden="1" x14ac:dyDescent="0.25">
      <c r="A3740" t="str">
        <f>_xlfn.XLOOKUP(C3740, 'Códigos DANE Municipios'!$B$2:$B$1123, 'Códigos DANE Municipios'!$A$2:$A$1123, "No encontrado")</f>
        <v>76126</v>
      </c>
      <c r="B3740" t="str">
        <f>IFERROR(VLOOKUP(D3740,APOYO!K:L,2,FALSE),A3740)</f>
        <v>76126</v>
      </c>
      <c r="C3740" t="s">
        <v>1975</v>
      </c>
      <c r="D3740" t="str">
        <f>IFERROR(VLOOKUP(C3740,APOYO!J:K,2,FALSE),C3740)</f>
        <v>CALIMA</v>
      </c>
      <c r="E3740">
        <v>2018</v>
      </c>
    </row>
    <row r="3741" spans="1:5" hidden="1" x14ac:dyDescent="0.25">
      <c r="A3741" t="str">
        <f>_xlfn.XLOOKUP(C3741, 'Códigos DANE Municipios'!$B$2:$B$1123, 'Códigos DANE Municipios'!$A$2:$A$1123, "No encontrado")</f>
        <v>19142</v>
      </c>
      <c r="B3741" t="str">
        <f>IFERROR(VLOOKUP(D3741,APOYO!K:L,2,FALSE),A3741)</f>
        <v>19142</v>
      </c>
      <c r="C3741" t="s">
        <v>744</v>
      </c>
      <c r="D3741" t="str">
        <f>IFERROR(VLOOKUP(C3741,APOYO!J:K,2,FALSE),C3741)</f>
        <v>CALOTO</v>
      </c>
      <c r="E3741">
        <v>2018</v>
      </c>
    </row>
    <row r="3742" spans="1:5" hidden="1" x14ac:dyDescent="0.25">
      <c r="A3742" t="str">
        <f>_xlfn.XLOOKUP(C3742, 'Códigos DANE Municipios'!$B$2:$B$1123, 'Códigos DANE Municipios'!$A$2:$A$1123, "No encontrado")</f>
        <v>41132</v>
      </c>
      <c r="B3742" t="str">
        <f>IFERROR(VLOOKUP(D3742,APOYO!K:L,2,FALSE),A3742)</f>
        <v>41132</v>
      </c>
      <c r="C3742" t="s">
        <v>1215</v>
      </c>
      <c r="D3742" t="str">
        <f>IFERROR(VLOOKUP(C3742,APOYO!J:K,2,FALSE),C3742)</f>
        <v>CAMPOALEGRE</v>
      </c>
      <c r="E3742">
        <v>2018</v>
      </c>
    </row>
    <row r="3743" spans="1:5" hidden="1" x14ac:dyDescent="0.25">
      <c r="A3743" t="str">
        <f>_xlfn.XLOOKUP(C3743, 'Códigos DANE Municipios'!$B$2:$B$1123, 'Códigos DANE Municipios'!$A$2:$A$1123, "No encontrado")</f>
        <v>08141</v>
      </c>
      <c r="B3743" t="str">
        <f>IFERROR(VLOOKUP(D3743,APOYO!K:L,2,FALSE),A3743)</f>
        <v>08141</v>
      </c>
      <c r="C3743" t="s">
        <v>268</v>
      </c>
      <c r="D3743" t="str">
        <f>IFERROR(VLOOKUP(C3743,APOYO!J:K,2,FALSE),C3743)</f>
        <v>CANDELARIA</v>
      </c>
      <c r="E3743">
        <v>2018</v>
      </c>
    </row>
    <row r="3744" spans="1:5" hidden="1" x14ac:dyDescent="0.25">
      <c r="A3744" t="str">
        <f>_xlfn.XLOOKUP(C3744, 'Códigos DANE Municipios'!$B$2:$B$1123, 'Códigos DANE Municipios'!$A$2:$A$1123, "No encontrado")</f>
        <v>13160</v>
      </c>
      <c r="B3744" t="str">
        <f>IFERROR(VLOOKUP(D3744,APOYO!K:L,2,FALSE),A3744)</f>
        <v>13160</v>
      </c>
      <c r="C3744" t="s">
        <v>325</v>
      </c>
      <c r="D3744" t="str">
        <f>IFERROR(VLOOKUP(C3744,APOYO!J:K,2,FALSE),C3744)</f>
        <v>CANTAGALLO</v>
      </c>
      <c r="E3744">
        <v>2018</v>
      </c>
    </row>
    <row r="3745" spans="1:5" hidden="1" x14ac:dyDescent="0.25">
      <c r="A3745" t="str">
        <f>_xlfn.XLOOKUP(C3745, 'Códigos DANE Municipios'!$B$2:$B$1123, 'Códigos DANE Municipios'!$A$2:$A$1123, "No encontrado")</f>
        <v>05138</v>
      </c>
      <c r="B3745" t="str">
        <f>IFERROR(VLOOKUP(D3745,APOYO!K:L,2,FALSE),A3745)</f>
        <v>05138</v>
      </c>
      <c r="C3745" t="s">
        <v>68</v>
      </c>
      <c r="D3745" t="str">
        <f>IFERROR(VLOOKUP(C3745,APOYO!J:K,2,FALSE),C3745)</f>
        <v>CAÑASGORDAS</v>
      </c>
      <c r="E3745">
        <v>2018</v>
      </c>
    </row>
    <row r="3746" spans="1:5" hidden="1" x14ac:dyDescent="0.25">
      <c r="A3746" t="str">
        <f>_xlfn.XLOOKUP(C3746, 'Códigos DANE Municipios'!$B$2:$B$1123, 'Códigos DANE Municipios'!$A$2:$A$1123, "No encontrado")</f>
        <v>25148</v>
      </c>
      <c r="B3746" t="str">
        <f>IFERROR(VLOOKUP(D3746,APOYO!K:L,2,FALSE),A3746)</f>
        <v>25148</v>
      </c>
      <c r="C3746" t="s">
        <v>938</v>
      </c>
      <c r="D3746" t="str">
        <f>IFERROR(VLOOKUP(C3746,APOYO!J:K,2,FALSE),C3746)</f>
        <v>CAPARRAPÍ</v>
      </c>
      <c r="E3746">
        <v>2018</v>
      </c>
    </row>
    <row r="3747" spans="1:5" hidden="1" x14ac:dyDescent="0.25">
      <c r="A3747" t="str">
        <f>_xlfn.XLOOKUP(C3747, 'Códigos DANE Municipios'!$B$2:$B$1123, 'Códigos DANE Municipios'!$A$2:$A$1123, "No encontrado")</f>
        <v>68147</v>
      </c>
      <c r="B3747" t="str">
        <f>IFERROR(VLOOKUP(D3747,APOYO!K:L,2,FALSE),A3747)</f>
        <v>68147</v>
      </c>
      <c r="C3747" t="s">
        <v>1672</v>
      </c>
      <c r="D3747" t="str">
        <f>IFERROR(VLOOKUP(C3747,APOYO!J:K,2,FALSE),C3747)</f>
        <v>CAPITANEJO</v>
      </c>
      <c r="E3747">
        <v>2018</v>
      </c>
    </row>
    <row r="3748" spans="1:5" hidden="1" x14ac:dyDescent="0.25">
      <c r="A3748" t="str">
        <f>_xlfn.XLOOKUP(C3748, 'Códigos DANE Municipios'!$B$2:$B$1123, 'Códigos DANE Municipios'!$A$2:$A$1123, "No encontrado")</f>
        <v>25151</v>
      </c>
      <c r="B3748" t="str">
        <f>IFERROR(VLOOKUP(D3748,APOYO!K:L,2,FALSE),A3748)</f>
        <v>25151</v>
      </c>
      <c r="C3748" t="s">
        <v>940</v>
      </c>
      <c r="D3748" t="str">
        <f>IFERROR(VLOOKUP(C3748,APOYO!J:K,2,FALSE),C3748)</f>
        <v>CÁQUEZA</v>
      </c>
      <c r="E3748">
        <v>2018</v>
      </c>
    </row>
    <row r="3749" spans="1:5" hidden="1" x14ac:dyDescent="0.25">
      <c r="A3749" t="str">
        <f>_xlfn.XLOOKUP(C3749, 'Códigos DANE Municipios'!$B$2:$B$1123, 'Códigos DANE Municipios'!$A$2:$A$1123, "No encontrado")</f>
        <v>05142</v>
      </c>
      <c r="B3749" t="str">
        <f>IFERROR(VLOOKUP(D3749,APOYO!K:L,2,FALSE),A3749)</f>
        <v>05142</v>
      </c>
      <c r="C3749" t="s">
        <v>70</v>
      </c>
      <c r="D3749" t="str">
        <f>IFERROR(VLOOKUP(C3749,APOYO!J:K,2,FALSE),C3749)</f>
        <v>CARACOLÍ</v>
      </c>
      <c r="E3749">
        <v>2018</v>
      </c>
    </row>
    <row r="3750" spans="1:5" hidden="1" x14ac:dyDescent="0.25">
      <c r="A3750" t="str">
        <f>_xlfn.XLOOKUP(C3750, 'Códigos DANE Municipios'!$B$2:$B$1123, 'Códigos DANE Municipios'!$A$2:$A$1123, "No encontrado")</f>
        <v>05145</v>
      </c>
      <c r="B3750" t="str">
        <f>IFERROR(VLOOKUP(D3750,APOYO!K:L,2,FALSE),A3750)</f>
        <v>05145</v>
      </c>
      <c r="C3750" t="s">
        <v>72</v>
      </c>
      <c r="D3750" t="str">
        <f>IFERROR(VLOOKUP(C3750,APOYO!J:K,2,FALSE),C3750)</f>
        <v>CARAMANTA</v>
      </c>
      <c r="E3750">
        <v>2018</v>
      </c>
    </row>
    <row r="3751" spans="1:5" hidden="1" x14ac:dyDescent="0.25">
      <c r="A3751" t="str">
        <f>_xlfn.XLOOKUP(C3751, 'Códigos DANE Municipios'!$B$2:$B$1123, 'Códigos DANE Municipios'!$A$2:$A$1123, "No encontrado")</f>
        <v>05147</v>
      </c>
      <c r="B3751" t="str">
        <f>IFERROR(VLOOKUP(D3751,APOYO!K:L,2,FALSE),A3751)</f>
        <v>05147</v>
      </c>
      <c r="C3751" t="s">
        <v>74</v>
      </c>
      <c r="D3751" t="str">
        <f>IFERROR(VLOOKUP(C3751,APOYO!J:K,2,FALSE),C3751)</f>
        <v>CAREPA</v>
      </c>
      <c r="E3751">
        <v>2018</v>
      </c>
    </row>
    <row r="3752" spans="1:5" hidden="1" x14ac:dyDescent="0.25">
      <c r="A3752" t="str">
        <f>_xlfn.XLOOKUP(C3752, 'Códigos DANE Municipios'!$B$2:$B$1123, 'Códigos DANE Municipios'!$A$2:$A$1123, "No encontrado")</f>
        <v>73148</v>
      </c>
      <c r="B3752" t="str">
        <f>IFERROR(VLOOKUP(D3752,APOYO!K:L,2,FALSE),A3752)</f>
        <v>73148</v>
      </c>
      <c r="C3752" t="s">
        <v>1881</v>
      </c>
      <c r="D3752" t="str">
        <f>IFERROR(VLOOKUP(C3752,APOYO!J:K,2,FALSE),C3752)</f>
        <v>CARMEN DE APICALÁ</v>
      </c>
      <c r="E3752">
        <v>2018</v>
      </c>
    </row>
    <row r="3753" spans="1:5" hidden="1" x14ac:dyDescent="0.25">
      <c r="A3753" t="str">
        <f>_xlfn.XLOOKUP(C3753, 'Códigos DANE Municipios'!$B$2:$B$1123, 'Códigos DANE Municipios'!$A$2:$A$1123, "No encontrado")</f>
        <v>25154</v>
      </c>
      <c r="B3753" t="str">
        <f>IFERROR(VLOOKUP(D3753,APOYO!K:L,2,FALSE),A3753)</f>
        <v>25154</v>
      </c>
      <c r="C3753" t="s">
        <v>942</v>
      </c>
      <c r="D3753" t="str">
        <f>IFERROR(VLOOKUP(C3753,APOYO!J:K,2,FALSE),C3753)</f>
        <v>CARMEN DE CARUPA</v>
      </c>
      <c r="E3753">
        <v>2018</v>
      </c>
    </row>
    <row r="3754" spans="1:5" hidden="1" x14ac:dyDescent="0.25">
      <c r="A3754" t="str">
        <f>_xlfn.XLOOKUP(C3754, 'Códigos DANE Municipios'!$B$2:$B$1123, 'Códigos DANE Municipios'!$A$2:$A$1123, "No encontrado")</f>
        <v>05148</v>
      </c>
      <c r="B3754" t="str">
        <f>IFERROR(VLOOKUP(D3754,APOYO!K:L,2,FALSE),A3754)</f>
        <v>05148</v>
      </c>
      <c r="C3754" t="s">
        <v>76</v>
      </c>
      <c r="D3754" t="str">
        <f>IFERROR(VLOOKUP(C3754,APOYO!J:K,2,FALSE),C3754)</f>
        <v>EL CARMEN DE VIBORAL</v>
      </c>
      <c r="E3754">
        <v>2018</v>
      </c>
    </row>
    <row r="3755" spans="1:5" hidden="1" x14ac:dyDescent="0.25">
      <c r="A3755" t="str">
        <f>_xlfn.XLOOKUP(C3755, 'Códigos DANE Municipios'!$B$2:$B$1123, 'Códigos DANE Municipios'!$A$2:$A$1123, "No encontrado")</f>
        <v>05150</v>
      </c>
      <c r="B3755" t="str">
        <f>IFERROR(VLOOKUP(D3755,APOYO!K:L,2,FALSE),A3755)</f>
        <v>05150</v>
      </c>
      <c r="C3755" t="s">
        <v>78</v>
      </c>
      <c r="D3755" t="str">
        <f>IFERROR(VLOOKUP(C3755,APOYO!J:K,2,FALSE),C3755)</f>
        <v>CAROLINA</v>
      </c>
      <c r="E3755">
        <v>2018</v>
      </c>
    </row>
    <row r="3756" spans="1:5" hidden="1" x14ac:dyDescent="0.25">
      <c r="A3756" t="str">
        <f>_xlfn.XLOOKUP(C3756, 'Códigos DANE Municipios'!$B$2:$B$1123, 'Códigos DANE Municipios'!$A$2:$A$1123, "No encontrado")</f>
        <v>13001</v>
      </c>
      <c r="B3756" t="str">
        <f>IFERROR(VLOOKUP(D3756,APOYO!K:L,2,FALSE),A3756)</f>
        <v>13001</v>
      </c>
      <c r="C3756" t="s">
        <v>309</v>
      </c>
      <c r="D3756" t="str">
        <f>IFERROR(VLOOKUP(C3756,APOYO!J:K,2,FALSE),C3756)</f>
        <v>CARTAGENA DE INDIAS</v>
      </c>
      <c r="E3756">
        <v>2018</v>
      </c>
    </row>
    <row r="3757" spans="1:5" hidden="1" x14ac:dyDescent="0.25">
      <c r="A3757" t="str">
        <f>_xlfn.XLOOKUP(C3757, 'Códigos DANE Municipios'!$B$2:$B$1123, 'Códigos DANE Municipios'!$A$2:$A$1123, "No encontrado")</f>
        <v>18150</v>
      </c>
      <c r="B3757" t="str">
        <f>IFERROR(VLOOKUP(D3757,APOYO!K:L,2,FALSE),A3757)</f>
        <v>18150</v>
      </c>
      <c r="C3757" t="s">
        <v>704</v>
      </c>
      <c r="D3757" t="str">
        <f>IFERROR(VLOOKUP(C3757,APOYO!J:K,2,FALSE),C3757)</f>
        <v>CARTAGENA DEL CHAIRÁ</v>
      </c>
      <c r="E3757">
        <v>2018</v>
      </c>
    </row>
    <row r="3758" spans="1:5" hidden="1" x14ac:dyDescent="0.25">
      <c r="A3758" t="str">
        <f>_xlfn.XLOOKUP(C3758, 'Códigos DANE Municipios'!$B$2:$B$1123, 'Códigos DANE Municipios'!$A$2:$A$1123, "No encontrado")</f>
        <v>76147</v>
      </c>
      <c r="B3758" t="str">
        <f>IFERROR(VLOOKUP(D3758,APOYO!K:L,2,FALSE),A3758)</f>
        <v>76147</v>
      </c>
      <c r="C3758" t="s">
        <v>1978</v>
      </c>
      <c r="D3758" t="str">
        <f>IFERROR(VLOOKUP(C3758,APOYO!J:K,2,FALSE),C3758)</f>
        <v>CARTAGO</v>
      </c>
      <c r="E3758">
        <v>2018</v>
      </c>
    </row>
    <row r="3759" spans="1:5" hidden="1" x14ac:dyDescent="0.25">
      <c r="A3759" t="str">
        <f>_xlfn.XLOOKUP(C3759, 'Códigos DANE Municipios'!$B$2:$B$1123, 'Códigos DANE Municipios'!$A$2:$A$1123, "No encontrado")</f>
        <v>97161</v>
      </c>
      <c r="B3759" t="str">
        <f>IFERROR(VLOOKUP(D3759,APOYO!K:L,2,FALSE),A3759)</f>
        <v>97161</v>
      </c>
      <c r="C3759" t="s">
        <v>2153</v>
      </c>
      <c r="D3759" t="str">
        <f>IFERROR(VLOOKUP(C3759,APOYO!J:K,2,FALSE),C3759)</f>
        <v>CARURÚ</v>
      </c>
      <c r="E3759">
        <v>2018</v>
      </c>
    </row>
    <row r="3760" spans="1:5" hidden="1" x14ac:dyDescent="0.25">
      <c r="A3760" t="str">
        <f>_xlfn.XLOOKUP(C3760, 'Códigos DANE Municipios'!$B$2:$B$1123, 'Códigos DANE Municipios'!$A$2:$A$1123, "No encontrado")</f>
        <v>50150</v>
      </c>
      <c r="B3760" t="str">
        <f>IFERROR(VLOOKUP(D3760,APOYO!K:L,2,FALSE),A3760)</f>
        <v>50150</v>
      </c>
      <c r="C3760" t="s">
        <v>1366</v>
      </c>
      <c r="D3760" t="str">
        <f>IFERROR(VLOOKUP(C3760,APOYO!J:K,2,FALSE),C3760)</f>
        <v>CASTILLA LA NUEVA</v>
      </c>
      <c r="E3760">
        <v>2018</v>
      </c>
    </row>
    <row r="3761" spans="1:5" hidden="1" x14ac:dyDescent="0.25">
      <c r="A3761" t="str">
        <f>_xlfn.XLOOKUP(C3761, 'Códigos DANE Municipios'!$B$2:$B$1123, 'Códigos DANE Municipios'!$A$2:$A$1123, "No encontrado")</f>
        <v>05154</v>
      </c>
      <c r="B3761" t="str">
        <f>IFERROR(VLOOKUP(D3761,APOYO!K:L,2,FALSE),A3761)</f>
        <v>05154</v>
      </c>
      <c r="C3761" t="s">
        <v>80</v>
      </c>
      <c r="D3761" t="str">
        <f>IFERROR(VLOOKUP(C3761,APOYO!J:K,2,FALSE),C3761)</f>
        <v>CAUCASIA</v>
      </c>
      <c r="E3761">
        <v>2018</v>
      </c>
    </row>
    <row r="3762" spans="1:5" hidden="1" x14ac:dyDescent="0.25">
      <c r="A3762" t="str">
        <f>_xlfn.XLOOKUP(C3762, 'Códigos DANE Municipios'!$B$2:$B$1123, 'Códigos DANE Municipios'!$A$2:$A$1123, "No encontrado")</f>
        <v>68160</v>
      </c>
      <c r="B3762" t="str">
        <f>IFERROR(VLOOKUP(D3762,APOYO!K:L,2,FALSE),A3762)</f>
        <v>68160</v>
      </c>
      <c r="C3762" t="s">
        <v>1676</v>
      </c>
      <c r="D3762" t="str">
        <f>IFERROR(VLOOKUP(C3762,APOYO!J:K,2,FALSE),C3762)</f>
        <v>CEPITÁ</v>
      </c>
      <c r="E3762">
        <v>2018</v>
      </c>
    </row>
    <row r="3763" spans="1:5" hidden="1" x14ac:dyDescent="0.25">
      <c r="A3763" t="str">
        <f>_xlfn.XLOOKUP(C3763, 'Códigos DANE Municipios'!$B$2:$B$1123, 'Códigos DANE Municipios'!$A$2:$A$1123, "No encontrado")</f>
        <v>23162</v>
      </c>
      <c r="B3763" t="str">
        <f>IFERROR(VLOOKUP(D3763,APOYO!K:L,2,FALSE),A3763)</f>
        <v>23162</v>
      </c>
      <c r="C3763" t="s">
        <v>865</v>
      </c>
      <c r="D3763" t="str">
        <f>IFERROR(VLOOKUP(C3763,APOYO!J:K,2,FALSE),C3763)</f>
        <v>CERETÉ</v>
      </c>
      <c r="E3763">
        <v>2018</v>
      </c>
    </row>
    <row r="3764" spans="1:5" hidden="1" x14ac:dyDescent="0.25">
      <c r="A3764" t="str">
        <f>_xlfn.XLOOKUP(C3764, 'Códigos DANE Municipios'!$B$2:$B$1123, 'Códigos DANE Municipios'!$A$2:$A$1123, "No encontrado")</f>
        <v>52240</v>
      </c>
      <c r="B3764" t="str">
        <f>IFERROR(VLOOKUP(D3764,APOYO!K:L,2,FALSE),A3764)</f>
        <v>52240</v>
      </c>
      <c r="C3764" t="s">
        <v>1439</v>
      </c>
      <c r="D3764" t="str">
        <f>IFERROR(VLOOKUP(C3764,APOYO!J:K,2,FALSE),C3764)</f>
        <v>CHACHAGÜÍ</v>
      </c>
      <c r="E3764">
        <v>2018</v>
      </c>
    </row>
    <row r="3765" spans="1:5" hidden="1" x14ac:dyDescent="0.25">
      <c r="A3765" t="str">
        <f>_xlfn.XLOOKUP(C3765, 'Códigos DANE Municipios'!$B$2:$B$1123, 'Códigos DANE Municipios'!$A$2:$A$1123, "No encontrado")</f>
        <v>25168</v>
      </c>
      <c r="B3765" t="str">
        <f>IFERROR(VLOOKUP(D3765,APOYO!K:L,2,FALSE),A3765)</f>
        <v>25168</v>
      </c>
      <c r="C3765" t="s">
        <v>944</v>
      </c>
      <c r="D3765" t="str">
        <f>IFERROR(VLOOKUP(C3765,APOYO!J:K,2,FALSE),C3765)</f>
        <v>CHAGUANÍ</v>
      </c>
      <c r="E3765">
        <v>2018</v>
      </c>
    </row>
    <row r="3766" spans="1:5" hidden="1" x14ac:dyDescent="0.25">
      <c r="A3766" t="str">
        <f>_xlfn.XLOOKUP(C3766, 'Códigos DANE Municipios'!$B$2:$B$1123, 'Códigos DANE Municipios'!$A$2:$A$1123, "No encontrado")</f>
        <v>68167</v>
      </c>
      <c r="B3766" t="str">
        <f>IFERROR(VLOOKUP(D3766,APOYO!K:L,2,FALSE),A3766)</f>
        <v>68167</v>
      </c>
      <c r="C3766" t="s">
        <v>1680</v>
      </c>
      <c r="D3766" t="str">
        <f>IFERROR(VLOOKUP(C3766,APOYO!J:K,2,FALSE),C3766)</f>
        <v>CHARALÁ</v>
      </c>
      <c r="E3766">
        <v>2018</v>
      </c>
    </row>
    <row r="3767" spans="1:5" hidden="1" x14ac:dyDescent="0.25">
      <c r="A3767" t="str">
        <f>_xlfn.XLOOKUP(C3767, 'Códigos DANE Municipios'!$B$2:$B$1123, 'Códigos DANE Municipios'!$A$2:$A$1123, "No encontrado")</f>
        <v>25175</v>
      </c>
      <c r="B3767" t="str">
        <f>IFERROR(VLOOKUP(D3767,APOYO!K:L,2,FALSE),A3767)</f>
        <v>25175</v>
      </c>
      <c r="C3767" t="s">
        <v>946</v>
      </c>
      <c r="D3767" t="str">
        <f>IFERROR(VLOOKUP(C3767,APOYO!J:K,2,FALSE),C3767)</f>
        <v>CHÍA</v>
      </c>
      <c r="E3767">
        <v>2018</v>
      </c>
    </row>
    <row r="3768" spans="1:5" hidden="1" x14ac:dyDescent="0.25">
      <c r="A3768" t="str">
        <f>_xlfn.XLOOKUP(C3768, 'Códigos DANE Municipios'!$B$2:$B$1123, 'Códigos DANE Municipios'!$A$2:$A$1123, "No encontrado")</f>
        <v>05172</v>
      </c>
      <c r="B3768" t="str">
        <f>IFERROR(VLOOKUP(D3768,APOYO!K:L,2,FALSE),A3768)</f>
        <v>05172</v>
      </c>
      <c r="C3768" t="s">
        <v>82</v>
      </c>
      <c r="D3768" t="str">
        <f>IFERROR(VLOOKUP(C3768,APOYO!J:K,2,FALSE),C3768)</f>
        <v>CHIGORODÓ</v>
      </c>
      <c r="E3768">
        <v>2018</v>
      </c>
    </row>
    <row r="3769" spans="1:5" hidden="1" x14ac:dyDescent="0.25">
      <c r="A3769" t="str">
        <f>_xlfn.XLOOKUP(C3769, 'Códigos DANE Municipios'!$B$2:$B$1123, 'Códigos DANE Municipios'!$A$2:$A$1123, "No encontrado")</f>
        <v>20175</v>
      </c>
      <c r="B3769" t="str">
        <f>IFERROR(VLOOKUP(D3769,APOYO!K:L,2,FALSE),A3769)</f>
        <v>20175</v>
      </c>
      <c r="C3769" t="s">
        <v>820</v>
      </c>
      <c r="D3769" t="str">
        <f>IFERROR(VLOOKUP(C3769,APOYO!J:K,2,FALSE),C3769)</f>
        <v>CHIMICHAGUA</v>
      </c>
      <c r="E3769">
        <v>2018</v>
      </c>
    </row>
    <row r="3770" spans="1:5" hidden="1" x14ac:dyDescent="0.25">
      <c r="A3770" t="str">
        <f>_xlfn.XLOOKUP(C3770, 'Códigos DANE Municipios'!$B$2:$B$1123, 'Códigos DANE Municipios'!$A$2:$A$1123, "No encontrado")</f>
        <v>54172</v>
      </c>
      <c r="B3770" t="str">
        <f>IFERROR(VLOOKUP(D3770,APOYO!K:L,2,FALSE),A3770)</f>
        <v>54172</v>
      </c>
      <c r="C3770" t="s">
        <v>1543</v>
      </c>
      <c r="D3770" t="str">
        <f>IFERROR(VLOOKUP(C3770,APOYO!J:K,2,FALSE),C3770)</f>
        <v>CHINÁCOTA</v>
      </c>
      <c r="E3770">
        <v>2018</v>
      </c>
    </row>
    <row r="3771" spans="1:5" hidden="1" x14ac:dyDescent="0.25">
      <c r="A3771" t="str">
        <f>_xlfn.XLOOKUP(C3771, 'Códigos DANE Municipios'!$B$2:$B$1123, 'Códigos DANE Municipios'!$A$2:$A$1123, "No encontrado")</f>
        <v>17174</v>
      </c>
      <c r="B3771" t="str">
        <f>IFERROR(VLOOKUP(D3771,APOYO!K:L,2,FALSE),A3771)</f>
        <v>17174</v>
      </c>
      <c r="C3771" t="s">
        <v>654</v>
      </c>
      <c r="D3771" t="str">
        <f>IFERROR(VLOOKUP(C3771,APOYO!J:K,2,FALSE),C3771)</f>
        <v>CHINCHINÁ</v>
      </c>
      <c r="E3771">
        <v>2018</v>
      </c>
    </row>
    <row r="3772" spans="1:5" hidden="1" x14ac:dyDescent="0.25">
      <c r="A3772" t="str">
        <f>_xlfn.XLOOKUP(C3772, 'Códigos DANE Municipios'!$B$2:$B$1123, 'Códigos DANE Municipios'!$A$2:$A$1123, "No encontrado")</f>
        <v>23182</v>
      </c>
      <c r="B3772" t="str">
        <f>IFERROR(VLOOKUP(D3772,APOYO!K:L,2,FALSE),A3772)</f>
        <v>23182</v>
      </c>
      <c r="C3772" t="s">
        <v>869</v>
      </c>
      <c r="D3772" t="str">
        <f>IFERROR(VLOOKUP(C3772,APOYO!J:K,2,FALSE),C3772)</f>
        <v>CHINÚ</v>
      </c>
      <c r="E3772">
        <v>2018</v>
      </c>
    </row>
    <row r="3773" spans="1:5" hidden="1" x14ac:dyDescent="0.25">
      <c r="A3773" t="str">
        <f>_xlfn.XLOOKUP(C3773, 'Códigos DANE Municipios'!$B$2:$B$1123, 'Códigos DANE Municipios'!$A$2:$A$1123, "No encontrado")</f>
        <v>25178</v>
      </c>
      <c r="B3773" t="str">
        <f>IFERROR(VLOOKUP(D3773,APOYO!K:L,2,FALSE),A3773)</f>
        <v>25178</v>
      </c>
      <c r="C3773" t="s">
        <v>948</v>
      </c>
      <c r="D3773" t="str">
        <f>IFERROR(VLOOKUP(C3773,APOYO!J:K,2,FALSE),C3773)</f>
        <v>CHIPAQUE</v>
      </c>
      <c r="E3773">
        <v>2018</v>
      </c>
    </row>
    <row r="3774" spans="1:5" hidden="1" x14ac:dyDescent="0.25">
      <c r="A3774" t="str">
        <f>_xlfn.XLOOKUP(C3774, 'Códigos DANE Municipios'!$B$2:$B$1123, 'Códigos DANE Municipios'!$A$2:$A$1123, "No encontrado")</f>
        <v>15176</v>
      </c>
      <c r="B3774" t="str">
        <f>IFERROR(VLOOKUP(D3774,APOYO!K:L,2,FALSE),A3774)</f>
        <v>15176</v>
      </c>
      <c r="C3774" t="s">
        <v>431</v>
      </c>
      <c r="D3774" t="str">
        <f>IFERROR(VLOOKUP(C3774,APOYO!J:K,2,FALSE),C3774)</f>
        <v>CHIQUINQUIRÁ</v>
      </c>
      <c r="E3774">
        <v>2018</v>
      </c>
    </row>
    <row r="3775" spans="1:5" hidden="1" x14ac:dyDescent="0.25">
      <c r="A3775" t="str">
        <f>_xlfn.XLOOKUP(C3775, 'Códigos DANE Municipios'!$B$2:$B$1123, 'Códigos DANE Municipios'!$A$2:$A$1123, "No encontrado")</f>
        <v>20178</v>
      </c>
      <c r="B3775" t="str">
        <f>IFERROR(VLOOKUP(D3775,APOYO!K:L,2,FALSE),A3775)</f>
        <v>20178</v>
      </c>
      <c r="C3775" t="s">
        <v>822</v>
      </c>
      <c r="D3775" t="str">
        <f>IFERROR(VLOOKUP(C3775,APOYO!J:K,2,FALSE),C3775)</f>
        <v>CHIRIGUANÁ</v>
      </c>
      <c r="E3775">
        <v>2018</v>
      </c>
    </row>
    <row r="3776" spans="1:5" hidden="1" x14ac:dyDescent="0.25">
      <c r="A3776" t="str">
        <f>_xlfn.XLOOKUP(C3776, 'Códigos DANE Municipios'!$B$2:$B$1123, 'Códigos DANE Municipios'!$A$2:$A$1123, "No encontrado")</f>
        <v>15180</v>
      </c>
      <c r="B3776" t="str">
        <f>IFERROR(VLOOKUP(D3776,APOYO!K:L,2,FALSE),A3776)</f>
        <v>15180</v>
      </c>
      <c r="C3776" t="s">
        <v>433</v>
      </c>
      <c r="D3776" t="str">
        <f>IFERROR(VLOOKUP(C3776,APOYO!J:K,2,FALSE),C3776)</f>
        <v>CHISCAS</v>
      </c>
      <c r="E3776">
        <v>2018</v>
      </c>
    </row>
    <row r="3777" spans="1:5" hidden="1" x14ac:dyDescent="0.25">
      <c r="A3777" t="str">
        <f>_xlfn.XLOOKUP(C3777, 'Códigos DANE Municipios'!$B$2:$B$1123, 'Códigos DANE Municipios'!$A$2:$A$1123, "No encontrado")</f>
        <v>54174</v>
      </c>
      <c r="B3777" t="str">
        <f>IFERROR(VLOOKUP(D3777,APOYO!K:L,2,FALSE),A3777)</f>
        <v>54174</v>
      </c>
      <c r="C3777" t="s">
        <v>1545</v>
      </c>
      <c r="D3777" t="str">
        <f>IFERROR(VLOOKUP(C3777,APOYO!J:K,2,FALSE),C3777)</f>
        <v>CHITAGÁ</v>
      </c>
      <c r="E3777">
        <v>2018</v>
      </c>
    </row>
    <row r="3778" spans="1:5" hidden="1" x14ac:dyDescent="0.25">
      <c r="A3778" t="str">
        <f>_xlfn.XLOOKUP(C3778, 'Códigos DANE Municipios'!$B$2:$B$1123, 'Códigos DANE Municipios'!$A$2:$A$1123, "No encontrado")</f>
        <v>15236</v>
      </c>
      <c r="B3778" t="str">
        <f>IFERROR(VLOOKUP(D3778,APOYO!K:L,2,FALSE),A3778)</f>
        <v>15236</v>
      </c>
      <c r="C3778" t="s">
        <v>459</v>
      </c>
      <c r="D3778" t="str">
        <f>IFERROR(VLOOKUP(C3778,APOYO!J:K,2,FALSE),C3778)</f>
        <v>CHIVOR</v>
      </c>
      <c r="E3778">
        <v>2018</v>
      </c>
    </row>
    <row r="3779" spans="1:5" hidden="1" x14ac:dyDescent="0.25">
      <c r="A3779" t="str">
        <f>_xlfn.XLOOKUP(C3779, 'Códigos DANE Municipios'!$B$2:$B$1123, 'Códigos DANE Municipios'!$A$2:$A$1123, "No encontrado")</f>
        <v>25181</v>
      </c>
      <c r="B3779" t="str">
        <f>IFERROR(VLOOKUP(D3779,APOYO!K:L,2,FALSE),A3779)</f>
        <v>25181</v>
      </c>
      <c r="C3779" t="s">
        <v>950</v>
      </c>
      <c r="D3779" t="str">
        <f>IFERROR(VLOOKUP(C3779,APOYO!J:K,2,FALSE),C3779)</f>
        <v>CHOACHÍ</v>
      </c>
      <c r="E3779">
        <v>2018</v>
      </c>
    </row>
    <row r="3780" spans="1:5" hidden="1" x14ac:dyDescent="0.25">
      <c r="A3780" t="str">
        <f>_xlfn.XLOOKUP(C3780, 'Códigos DANE Municipios'!$B$2:$B$1123, 'Códigos DANE Municipios'!$A$2:$A$1123, "No encontrado")</f>
        <v>25183</v>
      </c>
      <c r="B3780" t="str">
        <f>IFERROR(VLOOKUP(D3780,APOYO!K:L,2,FALSE),A3780)</f>
        <v>25183</v>
      </c>
      <c r="C3780" t="s">
        <v>952</v>
      </c>
      <c r="D3780" t="str">
        <f>IFERROR(VLOOKUP(C3780,APOYO!J:K,2,FALSE),C3780)</f>
        <v>CHOCONTÁ</v>
      </c>
      <c r="E3780">
        <v>2018</v>
      </c>
    </row>
    <row r="3781" spans="1:5" hidden="1" x14ac:dyDescent="0.25">
      <c r="A3781" t="str">
        <f>_xlfn.XLOOKUP(C3781, 'Códigos DANE Municipios'!$B$2:$B$1123, 'Códigos DANE Municipios'!$A$2:$A$1123, "No encontrado")</f>
        <v>47189</v>
      </c>
      <c r="B3781" t="str">
        <f>IFERROR(VLOOKUP(D3781,APOYO!K:L,2,FALSE),A3781)</f>
        <v>47189</v>
      </c>
      <c r="C3781" t="s">
        <v>1312</v>
      </c>
      <c r="D3781" t="str">
        <f>IFERROR(VLOOKUP(C3781,APOYO!J:K,2,FALSE),C3781)</f>
        <v>CIÉNAGA</v>
      </c>
      <c r="E3781">
        <v>2018</v>
      </c>
    </row>
    <row r="3782" spans="1:5" hidden="1" x14ac:dyDescent="0.25">
      <c r="A3782" t="str">
        <f>_xlfn.XLOOKUP(C3782, 'Códigos DANE Municipios'!$B$2:$B$1123, 'Códigos DANE Municipios'!$A$2:$A$1123, "No encontrado")</f>
        <v>23189</v>
      </c>
      <c r="B3782" t="str">
        <f>IFERROR(VLOOKUP(D3782,APOYO!K:L,2,FALSE),A3782)</f>
        <v>23189</v>
      </c>
      <c r="C3782" t="s">
        <v>871</v>
      </c>
      <c r="D3782" t="str">
        <f>IFERROR(VLOOKUP(C3782,APOYO!J:K,2,FALSE),C3782)</f>
        <v>CIÉNAGA DE ORO</v>
      </c>
      <c r="E3782">
        <v>2018</v>
      </c>
    </row>
    <row r="3783" spans="1:5" hidden="1" x14ac:dyDescent="0.25">
      <c r="A3783" t="str">
        <f>_xlfn.XLOOKUP(C3783, 'Códigos DANE Municipios'!$B$2:$B$1123, 'Códigos DANE Municipios'!$A$2:$A$1123, "No encontrado")</f>
        <v>68190</v>
      </c>
      <c r="B3783" t="str">
        <f>IFERROR(VLOOKUP(D3783,APOYO!K:L,2,FALSE),A3783)</f>
        <v>68190</v>
      </c>
      <c r="C3783" t="s">
        <v>1688</v>
      </c>
      <c r="D3783" t="str">
        <f>IFERROR(VLOOKUP(C3783,APOYO!J:K,2,FALSE),C3783)</f>
        <v>CIMITARRA</v>
      </c>
      <c r="E3783">
        <v>2018</v>
      </c>
    </row>
    <row r="3784" spans="1:5" hidden="1" x14ac:dyDescent="0.25">
      <c r="A3784" t="str">
        <f>_xlfn.XLOOKUP(C3784, 'Códigos DANE Municipios'!$B$2:$B$1123, 'Códigos DANE Municipios'!$A$2:$A$1123, "No encontrado")</f>
        <v>63190</v>
      </c>
      <c r="B3784" t="str">
        <f>IFERROR(VLOOKUP(D3784,APOYO!K:L,2,FALSE),A3784)</f>
        <v>63190</v>
      </c>
      <c r="C3784" t="s">
        <v>1611</v>
      </c>
      <c r="D3784" t="str">
        <f>IFERROR(VLOOKUP(C3784,APOYO!J:K,2,FALSE),C3784)</f>
        <v>CIRCASIA</v>
      </c>
      <c r="E3784">
        <v>2018</v>
      </c>
    </row>
    <row r="3785" spans="1:5" hidden="1" x14ac:dyDescent="0.25">
      <c r="A3785" t="str">
        <f>_xlfn.XLOOKUP(C3785, 'Códigos DANE Municipios'!$B$2:$B$1123, 'Códigos DANE Municipios'!$A$2:$A$1123, "No encontrado")</f>
        <v>05190</v>
      </c>
      <c r="B3785" t="str">
        <f>IFERROR(VLOOKUP(D3785,APOYO!K:L,2,FALSE),A3785)</f>
        <v>05190</v>
      </c>
      <c r="C3785" t="s">
        <v>84</v>
      </c>
      <c r="D3785" t="str">
        <f>IFERROR(VLOOKUP(C3785,APOYO!J:K,2,FALSE),C3785)</f>
        <v>CISNEROS</v>
      </c>
      <c r="E3785">
        <v>2018</v>
      </c>
    </row>
    <row r="3786" spans="1:5" hidden="1" x14ac:dyDescent="0.25">
      <c r="A3786" t="str">
        <f>_xlfn.XLOOKUP(C3786, 'Códigos DANE Municipios'!$B$2:$B$1123, 'Códigos DANE Municipios'!$A$2:$A$1123, "No encontrado")</f>
        <v>05197</v>
      </c>
      <c r="B3786" t="str">
        <f>IFERROR(VLOOKUP(D3786,APOYO!K:L,2,FALSE),A3786)</f>
        <v>05197</v>
      </c>
      <c r="C3786" t="s">
        <v>86</v>
      </c>
      <c r="D3786" t="str">
        <f>IFERROR(VLOOKUP(C3786,APOYO!J:K,2,FALSE),C3786)</f>
        <v>COCORNÁ</v>
      </c>
      <c r="E3786">
        <v>2018</v>
      </c>
    </row>
    <row r="3787" spans="1:5" hidden="1" x14ac:dyDescent="0.25">
      <c r="A3787" t="str">
        <f>_xlfn.XLOOKUP(C3787, 'Códigos DANE Municipios'!$B$2:$B$1123, 'Códigos DANE Municipios'!$A$2:$A$1123, "No encontrado")</f>
        <v>05190</v>
      </c>
      <c r="B3787" t="str">
        <f>IFERROR(VLOOKUP(D3787,APOYO!K:L,2,FALSE),A3787)</f>
        <v>05190</v>
      </c>
      <c r="C3787" t="s">
        <v>84</v>
      </c>
      <c r="D3787" t="str">
        <f>IFERROR(VLOOKUP(C3787,APOYO!J:K,2,FALSE),C3787)</f>
        <v>CISNEROS</v>
      </c>
      <c r="E3787">
        <v>2018</v>
      </c>
    </row>
    <row r="3788" spans="1:5" hidden="1" x14ac:dyDescent="0.25">
      <c r="A3788" t="str">
        <f>_xlfn.XLOOKUP(C3788, 'Códigos DANE Municipios'!$B$2:$B$1123, 'Códigos DANE Municipios'!$A$2:$A$1123, "No encontrado")</f>
        <v>05197</v>
      </c>
      <c r="B3788" t="str">
        <f>IFERROR(VLOOKUP(D3788,APOYO!K:L,2,FALSE),A3788)</f>
        <v>05197</v>
      </c>
      <c r="C3788" t="s">
        <v>86</v>
      </c>
      <c r="D3788" t="str">
        <f>IFERROR(VLOOKUP(C3788,APOYO!J:K,2,FALSE),C3788)</f>
        <v>COCORNÁ</v>
      </c>
      <c r="E3788">
        <v>2018</v>
      </c>
    </row>
    <row r="3789" spans="1:5" hidden="1" x14ac:dyDescent="0.25">
      <c r="A3789" t="str">
        <f>_xlfn.XLOOKUP(C3789, 'Códigos DANE Municipios'!$B$2:$B$1123, 'Códigos DANE Municipios'!$A$2:$A$1123, "No encontrado")</f>
        <v>73200</v>
      </c>
      <c r="B3789" t="str">
        <f>IFERROR(VLOOKUP(D3789,APOYO!K:L,2,FALSE),A3789)</f>
        <v>73200</v>
      </c>
      <c r="C3789" t="s">
        <v>1887</v>
      </c>
      <c r="D3789" t="str">
        <f>IFERROR(VLOOKUP(C3789,APOYO!J:K,2,FALSE),C3789)</f>
        <v>COELLO</v>
      </c>
      <c r="E3789">
        <v>2018</v>
      </c>
    </row>
    <row r="3790" spans="1:5" hidden="1" x14ac:dyDescent="0.25">
      <c r="A3790" t="str">
        <f>_xlfn.XLOOKUP(C3790, 'Códigos DANE Municipios'!$B$2:$B$1123, 'Códigos DANE Municipios'!$A$2:$A$1123, "No encontrado")</f>
        <v>25200</v>
      </c>
      <c r="B3790" t="str">
        <f>IFERROR(VLOOKUP(D3790,APOYO!K:L,2,FALSE),A3790)</f>
        <v>25200</v>
      </c>
      <c r="C3790" t="s">
        <v>954</v>
      </c>
      <c r="D3790" t="str">
        <f>IFERROR(VLOOKUP(C3790,APOYO!J:K,2,FALSE),C3790)</f>
        <v>COGUA</v>
      </c>
      <c r="E3790">
        <v>2018</v>
      </c>
    </row>
    <row r="3791" spans="1:5" hidden="1" x14ac:dyDescent="0.25">
      <c r="A3791" t="str">
        <f>_xlfn.XLOOKUP(C3791, 'Códigos DANE Municipios'!$B$2:$B$1123, 'Códigos DANE Municipios'!$A$2:$A$1123, "No encontrado")</f>
        <v>41206</v>
      </c>
      <c r="B3791" t="str">
        <f>IFERROR(VLOOKUP(D3791,APOYO!K:L,2,FALSE),A3791)</f>
        <v>41206</v>
      </c>
      <c r="C3791" t="s">
        <v>1217</v>
      </c>
      <c r="D3791" t="str">
        <f>IFERROR(VLOOKUP(C3791,APOYO!J:K,2,FALSE),C3791)</f>
        <v>COLOMBIA</v>
      </c>
      <c r="E3791">
        <v>2018</v>
      </c>
    </row>
    <row r="3792" spans="1:5" hidden="1" x14ac:dyDescent="0.25">
      <c r="A3792" t="str">
        <f>_xlfn.XLOOKUP(C3792, 'Códigos DANE Municipios'!$B$2:$B$1123, 'Códigos DANE Municipios'!$A$2:$A$1123, "No encontrado")</f>
        <v>52203</v>
      </c>
      <c r="B3792" t="str">
        <f>IFERROR(VLOOKUP(D3792,APOYO!K:L,2,FALSE),A3792)</f>
        <v>52203</v>
      </c>
      <c r="C3792" t="s">
        <v>1426</v>
      </c>
      <c r="D3792" t="str">
        <f>IFERROR(VLOOKUP(C3792,APOYO!J:K,2,FALSE),C3792)</f>
        <v>COLÓN</v>
      </c>
      <c r="E3792">
        <v>2018</v>
      </c>
    </row>
    <row r="3793" spans="1:5" hidden="1" x14ac:dyDescent="0.25">
      <c r="A3793" t="str">
        <f>_xlfn.XLOOKUP(C3793, 'Códigos DANE Municipios'!$B$2:$B$1123, 'Códigos DANE Municipios'!$A$2:$A$1123, "No encontrado")</f>
        <v>15204</v>
      </c>
      <c r="B3793" t="str">
        <f>IFERROR(VLOOKUP(D3793,APOYO!K:L,2,FALSE),A3793)</f>
        <v>15204</v>
      </c>
      <c r="C3793" t="s">
        <v>443</v>
      </c>
      <c r="D3793" t="str">
        <f>IFERROR(VLOOKUP(C3793,APOYO!J:K,2,FALSE),C3793)</f>
        <v>CÓMBITA</v>
      </c>
      <c r="E3793">
        <v>2018</v>
      </c>
    </row>
    <row r="3794" spans="1:5" hidden="1" x14ac:dyDescent="0.25">
      <c r="A3794" t="str">
        <f>_xlfn.XLOOKUP(C3794, 'Códigos DANE Municipios'!$B$2:$B$1123, 'Códigos DANE Municipios'!$A$2:$A$1123, "No encontrado")</f>
        <v>05206</v>
      </c>
      <c r="B3794" t="str">
        <f>IFERROR(VLOOKUP(D3794,APOYO!K:L,2,FALSE),A3794)</f>
        <v>05206</v>
      </c>
      <c r="C3794" t="s">
        <v>88</v>
      </c>
      <c r="D3794" t="str">
        <f>IFERROR(VLOOKUP(C3794,APOYO!J:K,2,FALSE),C3794)</f>
        <v>CONCEPCIÓN</v>
      </c>
      <c r="E3794">
        <v>2018</v>
      </c>
    </row>
    <row r="3795" spans="1:5" hidden="1" x14ac:dyDescent="0.25">
      <c r="A3795" t="str">
        <f>_xlfn.XLOOKUP(C3795, 'Códigos DANE Municipios'!$B$2:$B$1123, 'Códigos DANE Municipios'!$A$2:$A$1123, "No encontrado")</f>
        <v>05209</v>
      </c>
      <c r="B3795" t="str">
        <f>IFERROR(VLOOKUP(D3795,APOYO!K:L,2,FALSE),A3795)</f>
        <v>05209</v>
      </c>
      <c r="C3795" t="s">
        <v>90</v>
      </c>
      <c r="D3795" t="str">
        <f>IFERROR(VLOOKUP(C3795,APOYO!J:K,2,FALSE),C3795)</f>
        <v>CONCORDIA</v>
      </c>
      <c r="E3795">
        <v>2018</v>
      </c>
    </row>
    <row r="3796" spans="1:5" hidden="1" x14ac:dyDescent="0.25">
      <c r="A3796" t="str">
        <f>_xlfn.XLOOKUP(C3796, 'Códigos DANE Municipios'!$B$2:$B$1123, 'Códigos DANE Municipios'!$A$2:$A$1123, "No encontrado")</f>
        <v>27205</v>
      </c>
      <c r="B3796" t="str">
        <f>IFERROR(VLOOKUP(D3796,APOYO!K:L,2,FALSE),A3796)</f>
        <v>27205</v>
      </c>
      <c r="C3796" t="s">
        <v>1164</v>
      </c>
      <c r="D3796" t="str">
        <f>IFERROR(VLOOKUP(C3796,APOYO!J:K,2,FALSE),C3796)</f>
        <v>CONDOTO</v>
      </c>
      <c r="E3796">
        <v>2018</v>
      </c>
    </row>
    <row r="3797" spans="1:5" hidden="1" x14ac:dyDescent="0.25">
      <c r="A3797" t="str">
        <f>_xlfn.XLOOKUP(C3797, 'Códigos DANE Municipios'!$B$2:$B$1123, 'Códigos DANE Municipios'!$A$2:$A$1123, "No encontrado")</f>
        <v>52207</v>
      </c>
      <c r="B3797" t="str">
        <f>IFERROR(VLOOKUP(D3797,APOYO!K:L,2,FALSE),A3797)</f>
        <v>52207</v>
      </c>
      <c r="C3797" t="s">
        <v>1428</v>
      </c>
      <c r="D3797" t="str">
        <f>IFERROR(VLOOKUP(C3797,APOYO!J:K,2,FALSE),C3797)</f>
        <v>CONSACÁ</v>
      </c>
      <c r="E3797">
        <v>2018</v>
      </c>
    </row>
    <row r="3798" spans="1:5" hidden="1" x14ac:dyDescent="0.25">
      <c r="A3798" t="str">
        <f>_xlfn.XLOOKUP(C3798, 'Códigos DANE Municipios'!$B$2:$B$1123, 'Códigos DANE Municipios'!$A$2:$A$1123, "No encontrado")</f>
        <v>68211</v>
      </c>
      <c r="B3798" t="str">
        <f>IFERROR(VLOOKUP(D3798,APOYO!K:L,2,FALSE),A3798)</f>
        <v>68211</v>
      </c>
      <c r="C3798" t="s">
        <v>1693</v>
      </c>
      <c r="D3798" t="str">
        <f>IFERROR(VLOOKUP(C3798,APOYO!J:K,2,FALSE),C3798)</f>
        <v>CONTRATACIÓN</v>
      </c>
      <c r="E3798">
        <v>2018</v>
      </c>
    </row>
    <row r="3799" spans="1:5" hidden="1" x14ac:dyDescent="0.25">
      <c r="A3799" t="str">
        <f>_xlfn.XLOOKUP(C3799, 'Códigos DANE Municipios'!$B$2:$B$1123, 'Códigos DANE Municipios'!$A$2:$A$1123, "No encontrado")</f>
        <v>52210</v>
      </c>
      <c r="B3799" t="str">
        <f>IFERROR(VLOOKUP(D3799,APOYO!K:L,2,FALSE),A3799)</f>
        <v>52210</v>
      </c>
      <c r="C3799" t="s">
        <v>1430</v>
      </c>
      <c r="D3799" t="str">
        <f>IFERROR(VLOOKUP(C3799,APOYO!J:K,2,FALSE),C3799)</f>
        <v>CONTADERO</v>
      </c>
      <c r="E3799">
        <v>2018</v>
      </c>
    </row>
    <row r="3800" spans="1:5" hidden="1" x14ac:dyDescent="0.25">
      <c r="A3800" t="str">
        <f>_xlfn.XLOOKUP(C3800, 'Códigos DANE Municipios'!$B$2:$B$1123, 'Códigos DANE Municipios'!$A$2:$A$1123, "No encontrado")</f>
        <v>05212</v>
      </c>
      <c r="B3800" t="str">
        <f>IFERROR(VLOOKUP(D3800,APOYO!K:L,2,FALSE),A3800)</f>
        <v>05212</v>
      </c>
      <c r="C3800" t="s">
        <v>92</v>
      </c>
      <c r="D3800" t="str">
        <f>IFERROR(VLOOKUP(C3800,APOYO!J:K,2,FALSE),C3800)</f>
        <v>COPACABANA</v>
      </c>
      <c r="E3800">
        <v>2018</v>
      </c>
    </row>
    <row r="3801" spans="1:5" hidden="1" x14ac:dyDescent="0.25">
      <c r="A3801" t="str">
        <f>_xlfn.XLOOKUP(C3801, 'Códigos DANE Municipios'!$B$2:$B$1123, 'Códigos DANE Municipios'!$A$2:$A$1123, "No encontrado")</f>
        <v>13212</v>
      </c>
      <c r="B3801" t="str">
        <f>IFERROR(VLOOKUP(D3801,APOYO!K:L,2,FALSE),A3801)</f>
        <v>13212</v>
      </c>
      <c r="C3801" t="s">
        <v>329</v>
      </c>
      <c r="D3801" t="str">
        <f>IFERROR(VLOOKUP(C3801,APOYO!J:K,2,FALSE),C3801)</f>
        <v>CÓRDOBA</v>
      </c>
      <c r="E3801">
        <v>2018</v>
      </c>
    </row>
    <row r="3802" spans="1:5" hidden="1" x14ac:dyDescent="0.25">
      <c r="A3802" t="str">
        <f>_xlfn.XLOOKUP(C3802, 'Códigos DANE Municipios'!$B$2:$B$1123, 'Códigos DANE Municipios'!$A$2:$A$1123, "No encontrado")</f>
        <v>19212</v>
      </c>
      <c r="B3802" t="str">
        <f>IFERROR(VLOOKUP(D3802,APOYO!K:L,2,FALSE),A3802)</f>
        <v>19212</v>
      </c>
      <c r="C3802" t="s">
        <v>746</v>
      </c>
      <c r="D3802" t="str">
        <f>IFERROR(VLOOKUP(C3802,APOYO!J:K,2,FALSE),C3802)</f>
        <v>CORINTO</v>
      </c>
      <c r="E3802">
        <v>2018</v>
      </c>
    </row>
    <row r="3803" spans="1:5" hidden="1" x14ac:dyDescent="0.25">
      <c r="A3803" t="str">
        <f>_xlfn.XLOOKUP(C3803, 'Códigos DANE Municipios'!$B$2:$B$1123, 'Códigos DANE Municipios'!$A$2:$A$1123, "No encontrado")</f>
        <v>70215</v>
      </c>
      <c r="B3803" t="str">
        <f>IFERROR(VLOOKUP(D3803,APOYO!K:L,2,FALSE),A3803)</f>
        <v>70215</v>
      </c>
      <c r="C3803" t="s">
        <v>1823</v>
      </c>
      <c r="D3803" t="str">
        <f>IFERROR(VLOOKUP(C3803,APOYO!J:K,2,FALSE),C3803)</f>
        <v>COROZAL</v>
      </c>
      <c r="E3803">
        <v>2018</v>
      </c>
    </row>
    <row r="3804" spans="1:5" hidden="1" x14ac:dyDescent="0.25">
      <c r="A3804" t="str">
        <f>_xlfn.XLOOKUP(C3804, 'Códigos DANE Municipios'!$B$2:$B$1123, 'Códigos DANE Municipios'!$A$2:$A$1123, "No encontrado")</f>
        <v>25214</v>
      </c>
      <c r="B3804" t="str">
        <f>IFERROR(VLOOKUP(D3804,APOYO!K:L,2,FALSE),A3804)</f>
        <v>25214</v>
      </c>
      <c r="C3804" t="s">
        <v>956</v>
      </c>
      <c r="D3804" t="str">
        <f>IFERROR(VLOOKUP(C3804,APOYO!J:K,2,FALSE),C3804)</f>
        <v>COTA</v>
      </c>
      <c r="E3804">
        <v>2018</v>
      </c>
    </row>
    <row r="3805" spans="1:5" hidden="1" x14ac:dyDescent="0.25">
      <c r="A3805" t="str">
        <f>_xlfn.XLOOKUP(C3805, 'Códigos DANE Municipios'!$B$2:$B$1123, 'Códigos DANE Municipios'!$A$2:$A$1123, "No encontrado")</f>
        <v>70221</v>
      </c>
      <c r="B3805" t="str">
        <f>IFERROR(VLOOKUP(D3805,APOYO!K:L,2,FALSE),A3805)</f>
        <v>70221</v>
      </c>
      <c r="C3805" t="s">
        <v>1825</v>
      </c>
      <c r="D3805" t="str">
        <f>IFERROR(VLOOKUP(C3805,APOYO!J:K,2,FALSE),C3805)</f>
        <v>COVEÑAS</v>
      </c>
      <c r="E3805">
        <v>2018</v>
      </c>
    </row>
    <row r="3806" spans="1:5" hidden="1" x14ac:dyDescent="0.25">
      <c r="A3806" t="str">
        <f>_xlfn.XLOOKUP(C3806, 'Códigos DANE Municipios'!$B$2:$B$1123, 'Códigos DANE Municipios'!$A$2:$A$1123, "No encontrado")</f>
        <v>81220</v>
      </c>
      <c r="B3806" t="str">
        <f>IFERROR(VLOOKUP(D3806,APOYO!K:L,2,FALSE),A3806)</f>
        <v>81220</v>
      </c>
      <c r="C3806" t="s">
        <v>2038</v>
      </c>
      <c r="D3806" t="str">
        <f>IFERROR(VLOOKUP(C3806,APOYO!J:K,2,FALSE),C3806)</f>
        <v>CRAVO NORTE</v>
      </c>
      <c r="E3806">
        <v>2018</v>
      </c>
    </row>
    <row r="3807" spans="1:5" hidden="1" x14ac:dyDescent="0.25">
      <c r="A3807" t="str">
        <f>_xlfn.XLOOKUP(C3807, 'Códigos DANE Municipios'!$B$2:$B$1123, 'Códigos DANE Municipios'!$A$2:$A$1123, "No encontrado")</f>
        <v>15223</v>
      </c>
      <c r="B3807" t="str">
        <f>IFERROR(VLOOKUP(D3807,APOYO!K:L,2,FALSE),A3807)</f>
        <v>15223</v>
      </c>
      <c r="C3807" t="s">
        <v>451</v>
      </c>
      <c r="D3807" t="str">
        <f>IFERROR(VLOOKUP(C3807,APOYO!J:K,2,FALSE),C3807)</f>
        <v>CUBARÁ</v>
      </c>
      <c r="E3807">
        <v>2018</v>
      </c>
    </row>
    <row r="3808" spans="1:5" hidden="1" x14ac:dyDescent="0.25">
      <c r="A3808" t="str">
        <f>_xlfn.XLOOKUP(C3808, 'Códigos DANE Municipios'!$B$2:$B$1123, 'Códigos DANE Municipios'!$A$2:$A$1123, "No encontrado")</f>
        <v>50223</v>
      </c>
      <c r="B3808" t="str">
        <f>IFERROR(VLOOKUP(D3808,APOYO!K:L,2,FALSE),A3808)</f>
        <v>50223</v>
      </c>
      <c r="C3808" t="s">
        <v>1368</v>
      </c>
      <c r="D3808" t="str">
        <f>IFERROR(VLOOKUP(C3808,APOYO!J:K,2,FALSE),C3808)</f>
        <v>SAN LUIS DE CUBARRAL</v>
      </c>
      <c r="E3808">
        <v>2018</v>
      </c>
    </row>
    <row r="3809" spans="1:5" hidden="1" x14ac:dyDescent="0.25">
      <c r="A3809" t="str">
        <f>_xlfn.XLOOKUP(C3809, 'Códigos DANE Municipios'!$B$2:$B$1123, 'Códigos DANE Municipios'!$A$2:$A$1123, "No encontrado")</f>
        <v>15224</v>
      </c>
      <c r="B3809" t="str">
        <f>IFERROR(VLOOKUP(D3809,APOYO!K:L,2,FALSE),A3809)</f>
        <v>15224</v>
      </c>
      <c r="C3809" t="s">
        <v>453</v>
      </c>
      <c r="D3809" t="str">
        <f>IFERROR(VLOOKUP(C3809,APOYO!J:K,2,FALSE),C3809)</f>
        <v>CUCAITA</v>
      </c>
      <c r="E3809">
        <v>2018</v>
      </c>
    </row>
    <row r="3810" spans="1:5" hidden="1" x14ac:dyDescent="0.25">
      <c r="A3810" t="str">
        <f>_xlfn.XLOOKUP(C3810, 'Códigos DANE Municipios'!$B$2:$B$1123, 'Códigos DANE Municipios'!$A$2:$A$1123, "No encontrado")</f>
        <v>25224</v>
      </c>
      <c r="B3810" t="str">
        <f>IFERROR(VLOOKUP(D3810,APOYO!K:L,2,FALSE),A3810)</f>
        <v>25224</v>
      </c>
      <c r="C3810" t="s">
        <v>958</v>
      </c>
      <c r="D3810" t="str">
        <f>IFERROR(VLOOKUP(C3810,APOYO!J:K,2,FALSE),C3810)</f>
        <v>CUCUNUBÁ</v>
      </c>
      <c r="E3810">
        <v>2018</v>
      </c>
    </row>
    <row r="3811" spans="1:5" hidden="1" x14ac:dyDescent="0.25">
      <c r="A3811" t="str">
        <f>_xlfn.XLOOKUP(C3811, 'Códigos DANE Municipios'!$B$2:$B$1123, 'Códigos DANE Municipios'!$A$2:$A$1123, "No encontrado")</f>
        <v>54001</v>
      </c>
      <c r="B3811" t="str">
        <f>IFERROR(VLOOKUP(D3811,APOYO!K:L,2,FALSE),A3811)</f>
        <v>54001</v>
      </c>
      <c r="C3811" t="s">
        <v>1529</v>
      </c>
      <c r="D3811" t="str">
        <f>IFERROR(VLOOKUP(C3811,APOYO!J:K,2,FALSE),C3811)</f>
        <v>CÚCUTA</v>
      </c>
      <c r="E3811">
        <v>2018</v>
      </c>
    </row>
    <row r="3812" spans="1:5" hidden="1" x14ac:dyDescent="0.25">
      <c r="A3812" t="str">
        <f>_xlfn.XLOOKUP(C3812, 'Códigos DANE Municipios'!$B$2:$B$1123, 'Códigos DANE Municipios'!$A$2:$A$1123, "No encontrado")</f>
        <v>54223</v>
      </c>
      <c r="B3812" t="str">
        <f>IFERROR(VLOOKUP(D3812,APOYO!K:L,2,FALSE),A3812)</f>
        <v>54223</v>
      </c>
      <c r="C3812" t="s">
        <v>1549</v>
      </c>
      <c r="D3812" t="str">
        <f>IFERROR(VLOOKUP(C3812,APOYO!J:K,2,FALSE),C3812)</f>
        <v>CUCUTILLA</v>
      </c>
      <c r="E3812">
        <v>2018</v>
      </c>
    </row>
    <row r="3813" spans="1:5" hidden="1" x14ac:dyDescent="0.25">
      <c r="A3813" t="str">
        <f>_xlfn.XLOOKUP(C3813, 'Códigos DANE Municipios'!$B$2:$B$1123, 'Códigos DANE Municipios'!$A$2:$A$1123, "No encontrado")</f>
        <v>15226</v>
      </c>
      <c r="B3813" t="str">
        <f>IFERROR(VLOOKUP(D3813,APOYO!K:L,2,FALSE),A3813)</f>
        <v>15226</v>
      </c>
      <c r="C3813" t="s">
        <v>455</v>
      </c>
      <c r="D3813" t="str">
        <f>IFERROR(VLOOKUP(C3813,APOYO!J:K,2,FALSE),C3813)</f>
        <v>CUÍTIVA</v>
      </c>
      <c r="E3813">
        <v>2018</v>
      </c>
    </row>
    <row r="3814" spans="1:5" hidden="1" x14ac:dyDescent="0.25">
      <c r="A3814" t="str">
        <f>_xlfn.XLOOKUP(C3814, 'Códigos DANE Municipios'!$B$2:$B$1123, 'Códigos DANE Municipios'!$A$2:$A$1123, "No encontrado")</f>
        <v>50226</v>
      </c>
      <c r="B3814" t="str">
        <f>IFERROR(VLOOKUP(D3814,APOYO!K:L,2,FALSE),A3814)</f>
        <v>50226</v>
      </c>
      <c r="C3814" t="s">
        <v>1370</v>
      </c>
      <c r="D3814" t="str">
        <f>IFERROR(VLOOKUP(C3814,APOYO!J:K,2,FALSE),C3814)</f>
        <v>CUMARAL</v>
      </c>
      <c r="E3814">
        <v>2018</v>
      </c>
    </row>
    <row r="3815" spans="1:5" hidden="1" x14ac:dyDescent="0.25">
      <c r="A3815" t="str">
        <f>_xlfn.XLOOKUP(C3815, 'Códigos DANE Municipios'!$B$2:$B$1123, 'Códigos DANE Municipios'!$A$2:$A$1123, "No encontrado")</f>
        <v>99773</v>
      </c>
      <c r="B3815" t="str">
        <f>IFERROR(VLOOKUP(D3815,APOYO!K:L,2,FALSE),A3815)</f>
        <v>99773</v>
      </c>
      <c r="C3815" t="s">
        <v>2169</v>
      </c>
      <c r="D3815" t="str">
        <f>IFERROR(VLOOKUP(C3815,APOYO!J:K,2,FALSE),C3815)</f>
        <v>CUMARIBO</v>
      </c>
      <c r="E3815">
        <v>2018</v>
      </c>
    </row>
    <row r="3816" spans="1:5" hidden="1" x14ac:dyDescent="0.25">
      <c r="A3816" t="str">
        <f>_xlfn.XLOOKUP(C3816, 'Códigos DANE Municipios'!$B$2:$B$1123, 'Códigos DANE Municipios'!$A$2:$A$1123, "No encontrado")</f>
        <v>52227</v>
      </c>
      <c r="B3816" t="str">
        <f>IFERROR(VLOOKUP(D3816,APOYO!K:L,2,FALSE),A3816)</f>
        <v>52227</v>
      </c>
      <c r="C3816" t="s">
        <v>1435</v>
      </c>
      <c r="D3816" t="str">
        <f>IFERROR(VLOOKUP(C3816,APOYO!J:K,2,FALSE),C3816)</f>
        <v>CUMBAL</v>
      </c>
      <c r="E3816">
        <v>2018</v>
      </c>
    </row>
    <row r="3817" spans="1:5" hidden="1" x14ac:dyDescent="0.25">
      <c r="A3817" t="str">
        <f>_xlfn.XLOOKUP(C3817, 'Códigos DANE Municipios'!$B$2:$B$1123, 'Códigos DANE Municipios'!$A$2:$A$1123, "No encontrado")</f>
        <v>73226</v>
      </c>
      <c r="B3817" t="str">
        <f>IFERROR(VLOOKUP(D3817,APOYO!K:L,2,FALSE),A3817)</f>
        <v>73226</v>
      </c>
      <c r="C3817" t="s">
        <v>1891</v>
      </c>
      <c r="D3817" t="str">
        <f>IFERROR(VLOOKUP(C3817,APOYO!J:K,2,FALSE),C3817)</f>
        <v>CUNDAY</v>
      </c>
      <c r="E3817">
        <v>2018</v>
      </c>
    </row>
    <row r="3818" spans="1:5" hidden="1" x14ac:dyDescent="0.25">
      <c r="A3818" t="str">
        <f>_xlfn.XLOOKUP(C3818, 'Códigos DANE Municipios'!$B$2:$B$1123, 'Códigos DANE Municipios'!$A$2:$A$1123, "No encontrado")</f>
        <v>68229</v>
      </c>
      <c r="B3818" t="str">
        <f>IFERROR(VLOOKUP(D3818,APOYO!K:L,2,FALSE),A3818)</f>
        <v>68229</v>
      </c>
      <c r="C3818" t="s">
        <v>1697</v>
      </c>
      <c r="D3818" t="str">
        <f>IFERROR(VLOOKUP(C3818,APOYO!J:K,2,FALSE),C3818)</f>
        <v>CURITÍ</v>
      </c>
      <c r="E3818">
        <v>2018</v>
      </c>
    </row>
    <row r="3819" spans="1:5" hidden="1" x14ac:dyDescent="0.25">
      <c r="A3819" t="str">
        <f>_xlfn.XLOOKUP(C3819, 'Códigos DANE Municipios'!$B$2:$B$1123, 'Códigos DANE Municipios'!$A$2:$A$1123, "No encontrado")</f>
        <v>20228</v>
      </c>
      <c r="B3819" t="str">
        <f>IFERROR(VLOOKUP(D3819,APOYO!K:L,2,FALSE),A3819)</f>
        <v>20228</v>
      </c>
      <c r="C3819" t="s">
        <v>824</v>
      </c>
      <c r="D3819" t="str">
        <f>IFERROR(VLOOKUP(C3819,APOYO!J:K,2,FALSE),C3819)</f>
        <v>CURUMANÍ</v>
      </c>
      <c r="E3819">
        <v>2018</v>
      </c>
    </row>
    <row r="3820" spans="1:5" hidden="1" x14ac:dyDescent="0.25">
      <c r="A3820" t="str">
        <f>_xlfn.XLOOKUP(C3820, 'Códigos DANE Municipios'!$B$2:$B$1123, 'Códigos DANE Municipios'!$A$2:$A$1123, "No encontrado")</f>
        <v>76233</v>
      </c>
      <c r="B3820" t="str">
        <f>IFERROR(VLOOKUP(D3820,APOYO!K:L,2,FALSE),A3820)</f>
        <v>76233</v>
      </c>
      <c r="C3820" t="s">
        <v>1980</v>
      </c>
      <c r="D3820" t="str">
        <f>IFERROR(VLOOKUP(C3820,APOYO!J:K,2,FALSE),C3820)</f>
        <v>DAGUA</v>
      </c>
      <c r="E3820">
        <v>2018</v>
      </c>
    </row>
    <row r="3821" spans="1:5" hidden="1" x14ac:dyDescent="0.25">
      <c r="A3821" t="str">
        <f>_xlfn.XLOOKUP(C3821, 'Códigos DANE Municipios'!$B$2:$B$1123, 'Códigos DANE Municipios'!$A$2:$A$1123, "No encontrado")</f>
        <v>44090</v>
      </c>
      <c r="B3821" t="str">
        <f>IFERROR(VLOOKUP(D3821,APOYO!K:L,2,FALSE),A3821)</f>
        <v>44090</v>
      </c>
      <c r="C3821" t="s">
        <v>1277</v>
      </c>
      <c r="D3821" t="str">
        <f>IFERROR(VLOOKUP(C3821,APOYO!J:K,2,FALSE),C3821)</f>
        <v>DIBULLA</v>
      </c>
      <c r="E3821">
        <v>2018</v>
      </c>
    </row>
    <row r="3822" spans="1:5" hidden="1" x14ac:dyDescent="0.25">
      <c r="A3822" t="str">
        <f>_xlfn.XLOOKUP(C3822, 'Códigos DANE Municipios'!$B$2:$B$1123, 'Códigos DANE Municipios'!$A$2:$A$1123, "No encontrado")</f>
        <v>44098</v>
      </c>
      <c r="B3822" t="str">
        <f>IFERROR(VLOOKUP(D3822,APOYO!K:L,2,FALSE),A3822)</f>
        <v>44098</v>
      </c>
      <c r="C3822" t="s">
        <v>1279</v>
      </c>
      <c r="D3822" t="str">
        <f>IFERROR(VLOOKUP(C3822,APOYO!J:K,2,FALSE),C3822)</f>
        <v>DISTRACCIÓN</v>
      </c>
      <c r="E3822">
        <v>2018</v>
      </c>
    </row>
    <row r="3823" spans="1:5" hidden="1" x14ac:dyDescent="0.25">
      <c r="A3823" t="str">
        <f>_xlfn.XLOOKUP(C3823, 'Códigos DANE Municipios'!$B$2:$B$1123, 'Códigos DANE Municipios'!$A$2:$A$1123, "No encontrado")</f>
        <v>05237</v>
      </c>
      <c r="B3823" t="str">
        <f>IFERROR(VLOOKUP(D3823,APOYO!K:L,2,FALSE),A3823)</f>
        <v>05237</v>
      </c>
      <c r="C3823" t="s">
        <v>96</v>
      </c>
      <c r="D3823" t="str">
        <f>IFERROR(VLOOKUP(C3823,APOYO!J:K,2,FALSE),C3823)</f>
        <v>DONMATÍAS</v>
      </c>
      <c r="E3823">
        <v>2018</v>
      </c>
    </row>
    <row r="3824" spans="1:5" hidden="1" x14ac:dyDescent="0.25">
      <c r="A3824" t="str">
        <f>_xlfn.XLOOKUP(C3824, 'Códigos DANE Municipios'!$B$2:$B$1123, 'Códigos DANE Municipios'!$A$2:$A$1123, "No encontrado")</f>
        <v>66170</v>
      </c>
      <c r="B3824" t="str">
        <f>IFERROR(VLOOKUP(D3824,APOYO!K:L,2,FALSE),A3824)</f>
        <v>66170</v>
      </c>
      <c r="C3824" t="s">
        <v>1635</v>
      </c>
      <c r="D3824" t="str">
        <f>IFERROR(VLOOKUP(C3824,APOYO!J:K,2,FALSE),C3824)</f>
        <v>DOSQUEBRADAS</v>
      </c>
      <c r="E3824">
        <v>2018</v>
      </c>
    </row>
    <row r="3825" spans="1:5" hidden="1" x14ac:dyDescent="0.25">
      <c r="A3825" t="str">
        <f>_xlfn.XLOOKUP(C3825, 'Códigos DANE Municipios'!$B$2:$B$1123, 'Códigos DANE Municipios'!$A$2:$A$1123, "No encontrado")</f>
        <v>15238</v>
      </c>
      <c r="B3825" t="str">
        <f>IFERROR(VLOOKUP(D3825,APOYO!K:L,2,FALSE),A3825)</f>
        <v>15238</v>
      </c>
      <c r="C3825" t="s">
        <v>461</v>
      </c>
      <c r="D3825" t="str">
        <f>IFERROR(VLOOKUP(C3825,APOYO!J:K,2,FALSE),C3825)</f>
        <v>DUITAMA</v>
      </c>
      <c r="E3825">
        <v>2018</v>
      </c>
    </row>
    <row r="3826" spans="1:5" hidden="1" x14ac:dyDescent="0.25">
      <c r="A3826" t="str">
        <f>_xlfn.XLOOKUP(C3826, 'Códigos DANE Municipios'!$B$2:$B$1123, 'Códigos DANE Municipios'!$A$2:$A$1123, "No encontrado")</f>
        <v>05240</v>
      </c>
      <c r="B3826" t="str">
        <f>IFERROR(VLOOKUP(D3826,APOYO!K:L,2,FALSE),A3826)</f>
        <v>05240</v>
      </c>
      <c r="C3826" t="s">
        <v>98</v>
      </c>
      <c r="D3826" t="str">
        <f>IFERROR(VLOOKUP(C3826,APOYO!J:K,2,FALSE),C3826)</f>
        <v>EBÉJICO</v>
      </c>
      <c r="E3826">
        <v>2018</v>
      </c>
    </row>
    <row r="3827" spans="1:5" hidden="1" x14ac:dyDescent="0.25">
      <c r="A3827" t="str">
        <f>_xlfn.XLOOKUP(C3827, 'Códigos DANE Municipios'!$B$2:$B$1123, 'Códigos DANE Municipios'!$A$2:$A$1123, "No encontrado")</f>
        <v>05250</v>
      </c>
      <c r="B3827" t="str">
        <f>IFERROR(VLOOKUP(D3827,APOYO!K:L,2,FALSE),A3827)</f>
        <v>05250</v>
      </c>
      <c r="C3827" t="s">
        <v>100</v>
      </c>
      <c r="D3827" t="str">
        <f>IFERROR(VLOOKUP(C3827,APOYO!J:K,2,FALSE),C3827)</f>
        <v>EL BAGRE</v>
      </c>
      <c r="E3827">
        <v>2018</v>
      </c>
    </row>
    <row r="3828" spans="1:5" hidden="1" x14ac:dyDescent="0.25">
      <c r="A3828" t="str">
        <f>_xlfn.XLOOKUP(C3828, 'Códigos DANE Municipios'!$B$2:$B$1123, 'Códigos DANE Municipios'!$A$2:$A$1123, "No encontrado")</f>
        <v>47245</v>
      </c>
      <c r="B3828" t="str">
        <f>IFERROR(VLOOKUP(D3828,APOYO!K:L,2,FALSE),A3828)</f>
        <v>47245</v>
      </c>
      <c r="C3828" t="s">
        <v>1315</v>
      </c>
      <c r="D3828" t="str">
        <f>IFERROR(VLOOKUP(C3828,APOYO!J:K,2,FALSE),C3828)</f>
        <v>EL BANCO</v>
      </c>
      <c r="E3828">
        <v>2018</v>
      </c>
    </row>
    <row r="3829" spans="1:5" hidden="1" x14ac:dyDescent="0.25">
      <c r="A3829" t="str">
        <f>_xlfn.XLOOKUP(C3829, 'Códigos DANE Municipios'!$B$2:$B$1123, 'Códigos DANE Municipios'!$A$2:$A$1123, "No encontrado")</f>
        <v>76246</v>
      </c>
      <c r="B3829" t="str">
        <f>IFERROR(VLOOKUP(D3829,APOYO!K:L,2,FALSE),A3829)</f>
        <v>76246</v>
      </c>
      <c r="C3829" t="s">
        <v>1984</v>
      </c>
      <c r="D3829" t="str">
        <f>IFERROR(VLOOKUP(C3829,APOYO!J:K,2,FALSE),C3829)</f>
        <v>EL CAIRO</v>
      </c>
      <c r="E3829">
        <v>2018</v>
      </c>
    </row>
    <row r="3830" spans="1:5" hidden="1" x14ac:dyDescent="0.25">
      <c r="A3830" t="str">
        <f>_xlfn.XLOOKUP(C3830, 'Códigos DANE Municipios'!$B$2:$B$1123, 'Códigos DANE Municipios'!$A$2:$A$1123, "No encontrado")</f>
        <v>54245</v>
      </c>
      <c r="B3830" t="str">
        <f>IFERROR(VLOOKUP(D3830,APOYO!K:L,2,FALSE),A3830)</f>
        <v>54245</v>
      </c>
      <c r="C3830" t="s">
        <v>1553</v>
      </c>
      <c r="D3830" t="str">
        <f>IFERROR(VLOOKUP(C3830,APOYO!J:K,2,FALSE),C3830)</f>
        <v>EL CARMEN</v>
      </c>
      <c r="E3830">
        <v>2018</v>
      </c>
    </row>
    <row r="3831" spans="1:5" hidden="1" x14ac:dyDescent="0.25">
      <c r="A3831" t="str">
        <f>_xlfn.XLOOKUP(C3831, 'Códigos DANE Municipios'!$B$2:$B$1123, 'Códigos DANE Municipios'!$A$2:$A$1123, "No encontrado")</f>
        <v>13244</v>
      </c>
      <c r="B3831" t="str">
        <f>IFERROR(VLOOKUP(D3831,APOYO!K:L,2,FALSE),A3831)</f>
        <v>13244</v>
      </c>
      <c r="C3831" t="s">
        <v>333</v>
      </c>
      <c r="D3831" t="str">
        <f>IFERROR(VLOOKUP(C3831,APOYO!J:K,2,FALSE),C3831)</f>
        <v>EL CARMEN DE BOLÍVAR</v>
      </c>
      <c r="E3831">
        <v>2018</v>
      </c>
    </row>
    <row r="3832" spans="1:5" hidden="1" x14ac:dyDescent="0.25">
      <c r="A3832" t="str">
        <f>_xlfn.XLOOKUP(C3832, 'Códigos DANE Municipios'!$B$2:$B$1123, 'Códigos DANE Municipios'!$A$2:$A$1123, "No encontrado")</f>
        <v>50251</v>
      </c>
      <c r="B3832" t="str">
        <f>IFERROR(VLOOKUP(D3832,APOYO!K:L,2,FALSE),A3832)</f>
        <v>50251</v>
      </c>
      <c r="C3832" t="s">
        <v>1374</v>
      </c>
      <c r="D3832" t="str">
        <f>IFERROR(VLOOKUP(C3832,APOYO!J:K,2,FALSE),C3832)</f>
        <v>EL CASTILLO</v>
      </c>
      <c r="E3832">
        <v>2018</v>
      </c>
    </row>
    <row r="3833" spans="1:5" hidden="1" x14ac:dyDescent="0.25">
      <c r="A3833" t="str">
        <f>_xlfn.XLOOKUP(C3833, 'Códigos DANE Municipios'!$B$2:$B$1123, 'Códigos DANE Municipios'!$A$2:$A$1123, "No encontrado")</f>
        <v>76248</v>
      </c>
      <c r="B3833" t="str">
        <f>IFERROR(VLOOKUP(D3833,APOYO!K:L,2,FALSE),A3833)</f>
        <v>76248</v>
      </c>
      <c r="C3833" t="s">
        <v>1986</v>
      </c>
      <c r="D3833" t="str">
        <f>IFERROR(VLOOKUP(C3833,APOYO!J:K,2,FALSE),C3833)</f>
        <v>EL CERRITO</v>
      </c>
      <c r="E3833">
        <v>2018</v>
      </c>
    </row>
    <row r="3834" spans="1:5" hidden="1" x14ac:dyDescent="0.25">
      <c r="A3834" t="str">
        <f>_xlfn.XLOOKUP(C3834, 'Códigos DANE Municipios'!$B$2:$B$1123, 'Códigos DANE Municipios'!$A$2:$A$1123, "No encontrado")</f>
        <v>15244</v>
      </c>
      <c r="B3834" t="str">
        <f>IFERROR(VLOOKUP(D3834,APOYO!K:L,2,FALSE),A3834)</f>
        <v>15244</v>
      </c>
      <c r="C3834" t="s">
        <v>463</v>
      </c>
      <c r="D3834" t="str">
        <f>IFERROR(VLOOKUP(C3834,APOYO!J:K,2,FALSE),C3834)</f>
        <v>EL COCUY</v>
      </c>
      <c r="E3834">
        <v>2018</v>
      </c>
    </row>
    <row r="3835" spans="1:5" hidden="1" x14ac:dyDescent="0.25">
      <c r="A3835" t="str">
        <f>_xlfn.XLOOKUP(C3835, 'Códigos DANE Municipios'!$B$2:$B$1123, 'Códigos DANE Municipios'!$A$2:$A$1123, "No encontrado")</f>
        <v>25245</v>
      </c>
      <c r="B3835" t="str">
        <f>IFERROR(VLOOKUP(D3835,APOYO!K:L,2,FALSE),A3835)</f>
        <v>25245</v>
      </c>
      <c r="C3835" t="s">
        <v>960</v>
      </c>
      <c r="D3835" t="str">
        <f>IFERROR(VLOOKUP(C3835,APOYO!J:K,2,FALSE),C3835)</f>
        <v>EL COLEGIO</v>
      </c>
      <c r="E3835">
        <v>2018</v>
      </c>
    </row>
    <row r="3836" spans="1:5" hidden="1" x14ac:dyDescent="0.25">
      <c r="A3836" t="str">
        <f>_xlfn.XLOOKUP(C3836, 'Códigos DANE Municipios'!$B$2:$B$1123, 'Códigos DANE Municipios'!$A$2:$A$1123, "No encontrado")</f>
        <v>20238</v>
      </c>
      <c r="B3836" t="str">
        <f>IFERROR(VLOOKUP(D3836,APOYO!K:L,2,FALSE),A3836)</f>
        <v>20238</v>
      </c>
      <c r="C3836" t="s">
        <v>826</v>
      </c>
      <c r="D3836" t="str">
        <f>IFERROR(VLOOKUP(C3836,APOYO!J:K,2,FALSE),C3836)</f>
        <v>EL COPEY</v>
      </c>
      <c r="E3836">
        <v>2018</v>
      </c>
    </row>
    <row r="3837" spans="1:5" hidden="1" x14ac:dyDescent="0.25">
      <c r="A3837" t="str">
        <f>_xlfn.XLOOKUP(C3837, 'Códigos DANE Municipios'!$B$2:$B$1123, 'Códigos DANE Municipios'!$A$2:$A$1123, "No encontrado")</f>
        <v>18247</v>
      </c>
      <c r="B3837" t="str">
        <f>IFERROR(VLOOKUP(D3837,APOYO!K:L,2,FALSE),A3837)</f>
        <v>18247</v>
      </c>
      <c r="C3837" t="s">
        <v>708</v>
      </c>
      <c r="D3837" t="str">
        <f>IFERROR(VLOOKUP(C3837,APOYO!J:K,2,FALSE),C3837)</f>
        <v>EL DONCELLO</v>
      </c>
      <c r="E3837">
        <v>2018</v>
      </c>
    </row>
    <row r="3838" spans="1:5" hidden="1" x14ac:dyDescent="0.25">
      <c r="A3838" t="str">
        <f>_xlfn.XLOOKUP(C3838, 'Códigos DANE Municipios'!$B$2:$B$1123, 'Códigos DANE Municipios'!$A$2:$A$1123, "No encontrado")</f>
        <v>50270</v>
      </c>
      <c r="B3838" t="str">
        <f>IFERROR(VLOOKUP(D3838,APOYO!K:L,2,FALSE),A3838)</f>
        <v>50270</v>
      </c>
      <c r="C3838" t="s">
        <v>1376</v>
      </c>
      <c r="D3838" t="str">
        <f>IFERROR(VLOOKUP(C3838,APOYO!J:K,2,FALSE),C3838)</f>
        <v>EL DORADO</v>
      </c>
      <c r="E3838">
        <v>2018</v>
      </c>
    </row>
    <row r="3839" spans="1:5" hidden="1" x14ac:dyDescent="0.25">
      <c r="A3839" t="str">
        <f>_xlfn.XLOOKUP(C3839, 'Códigos DANE Municipios'!$B$2:$B$1123, 'Códigos DANE Municipios'!$A$2:$A$1123, "No encontrado")</f>
        <v>76250</v>
      </c>
      <c r="B3839" t="str">
        <f>IFERROR(VLOOKUP(D3839,APOYO!K:L,2,FALSE),A3839)</f>
        <v>76250</v>
      </c>
      <c r="C3839" t="s">
        <v>1988</v>
      </c>
      <c r="D3839" t="str">
        <f>IFERROR(VLOOKUP(C3839,APOYO!J:K,2,FALSE),C3839)</f>
        <v>EL DOVIO</v>
      </c>
      <c r="E3839">
        <v>2018</v>
      </c>
    </row>
    <row r="3840" spans="1:5" hidden="1" x14ac:dyDescent="0.25">
      <c r="A3840" t="str">
        <f>_xlfn.XLOOKUP(C3840, 'Códigos DANE Municipios'!$B$2:$B$1123, 'Códigos DANE Municipios'!$A$2:$A$1123, "No encontrado")</f>
        <v>20250</v>
      </c>
      <c r="B3840" t="str">
        <f>IFERROR(VLOOKUP(D3840,APOYO!K:L,2,FALSE),A3840)</f>
        <v>20250</v>
      </c>
      <c r="C3840" t="s">
        <v>828</v>
      </c>
      <c r="D3840" t="str">
        <f>IFERROR(VLOOKUP(C3840,APOYO!J:K,2,FALSE),C3840)</f>
        <v>EL PASO</v>
      </c>
      <c r="E3840">
        <v>2018</v>
      </c>
    </row>
    <row r="3841" spans="1:5" hidden="1" x14ac:dyDescent="0.25">
      <c r="A3841" t="str">
        <f>_xlfn.XLOOKUP(C3841, 'Códigos DANE Municipios'!$B$2:$B$1123, 'Códigos DANE Municipios'!$A$2:$A$1123, "No encontrado")</f>
        <v>18256</v>
      </c>
      <c r="B3841" t="str">
        <f>IFERROR(VLOOKUP(D3841,APOYO!K:L,2,FALSE),A3841)</f>
        <v>18256</v>
      </c>
      <c r="C3841" t="s">
        <v>710</v>
      </c>
      <c r="D3841" t="str">
        <f>IFERROR(VLOOKUP(C3841,APOYO!J:K,2,FALSE),C3841)</f>
        <v>EL PAUJÍL</v>
      </c>
      <c r="E3841">
        <v>2018</v>
      </c>
    </row>
    <row r="3842" spans="1:5" hidden="1" x14ac:dyDescent="0.25">
      <c r="A3842" t="str">
        <f>_xlfn.XLOOKUP(C3842, 'Códigos DANE Municipios'!$B$2:$B$1123, 'Códigos DANE Municipios'!$A$2:$A$1123, "No encontrado")</f>
        <v>13268</v>
      </c>
      <c r="B3842" t="str">
        <f>IFERROR(VLOOKUP(D3842,APOYO!K:L,2,FALSE),A3842)</f>
        <v>13268</v>
      </c>
      <c r="C3842" t="s">
        <v>337</v>
      </c>
      <c r="D3842" t="str">
        <f>IFERROR(VLOOKUP(C3842,APOYO!J:K,2,FALSE),C3842)</f>
        <v>EL PEÑÓN</v>
      </c>
      <c r="E3842">
        <v>2018</v>
      </c>
    </row>
    <row r="3843" spans="1:5" hidden="1" x14ac:dyDescent="0.25">
      <c r="A3843" t="str">
        <f>_xlfn.XLOOKUP(C3843, 'Códigos DANE Municipios'!$B$2:$B$1123, 'Códigos DANE Municipios'!$A$2:$A$1123, "No encontrado")</f>
        <v>68255</v>
      </c>
      <c r="B3843" t="str">
        <f>IFERROR(VLOOKUP(D3843,APOYO!K:L,2,FALSE),A3843)</f>
        <v>68255</v>
      </c>
      <c r="C3843" t="s">
        <v>1704</v>
      </c>
      <c r="D3843" t="str">
        <f>IFERROR(VLOOKUP(C3843,APOYO!J:K,2,FALSE),C3843)</f>
        <v>EL PLAYÓN</v>
      </c>
      <c r="E3843">
        <v>2018</v>
      </c>
    </row>
    <row r="3844" spans="1:5" hidden="1" x14ac:dyDescent="0.25">
      <c r="A3844" t="str">
        <f>_xlfn.XLOOKUP(C3844, 'Códigos DANE Municipios'!$B$2:$B$1123, 'Códigos DANE Municipios'!$A$2:$A$1123, "No encontrado")</f>
        <v>95025</v>
      </c>
      <c r="B3844" t="str">
        <f>IFERROR(VLOOKUP(D3844,APOYO!K:L,2,FALSE),A3844)</f>
        <v>95025</v>
      </c>
      <c r="C3844" t="s">
        <v>2148</v>
      </c>
      <c r="D3844" t="str">
        <f>IFERROR(VLOOKUP(C3844,APOYO!J:K,2,FALSE),C3844)</f>
        <v>EL RETORNO</v>
      </c>
      <c r="E3844">
        <v>2018</v>
      </c>
    </row>
    <row r="3845" spans="1:5" hidden="1" x14ac:dyDescent="0.25">
      <c r="A3845" t="str">
        <f>_xlfn.XLOOKUP(C3845, 'Códigos DANE Municipios'!$B$2:$B$1123, 'Códigos DANE Municipios'!$A$2:$A$1123, "No encontrado")</f>
        <v>25260</v>
      </c>
      <c r="B3845" t="str">
        <f>IFERROR(VLOOKUP(D3845,APOYO!K:L,2,FALSE),A3845)</f>
        <v>25260</v>
      </c>
      <c r="C3845" t="s">
        <v>963</v>
      </c>
      <c r="D3845" t="str">
        <f>IFERROR(VLOOKUP(C3845,APOYO!J:K,2,FALSE),C3845)</f>
        <v>EL ROSAL</v>
      </c>
      <c r="E3845">
        <v>2018</v>
      </c>
    </row>
    <row r="3846" spans="1:5" hidden="1" x14ac:dyDescent="0.25">
      <c r="A3846" t="str">
        <f>_xlfn.XLOOKUP(C3846, 'Códigos DANE Municipios'!$B$2:$B$1123, 'Códigos DANE Municipios'!$A$2:$A$1123, "No encontrado")</f>
        <v>52256</v>
      </c>
      <c r="B3846" t="str">
        <f>IFERROR(VLOOKUP(D3846,APOYO!K:L,2,FALSE),A3846)</f>
        <v>52256</v>
      </c>
      <c r="C3846" t="s">
        <v>1445</v>
      </c>
      <c r="D3846" t="str">
        <f>IFERROR(VLOOKUP(C3846,APOYO!J:K,2,FALSE),C3846)</f>
        <v>EL ROSARIO</v>
      </c>
      <c r="E3846">
        <v>2018</v>
      </c>
    </row>
    <row r="3847" spans="1:5" hidden="1" x14ac:dyDescent="0.25">
      <c r="A3847" t="str">
        <f>_xlfn.XLOOKUP(C3847, 'Códigos DANE Municipios'!$B$2:$B$1123, 'Códigos DANE Municipios'!$A$2:$A$1123, "No encontrado")</f>
        <v>19256</v>
      </c>
      <c r="B3847" t="str">
        <f>IFERROR(VLOOKUP(D3847,APOYO!K:L,2,FALSE),A3847)</f>
        <v>19256</v>
      </c>
      <c r="C3847" t="s">
        <v>748</v>
      </c>
      <c r="D3847" t="str">
        <f>IFERROR(VLOOKUP(C3847,APOYO!J:K,2,FALSE),C3847)</f>
        <v>EL TAMBO</v>
      </c>
      <c r="E3847">
        <v>2018</v>
      </c>
    </row>
    <row r="3848" spans="1:5" hidden="1" x14ac:dyDescent="0.25">
      <c r="A3848" t="str">
        <f>_xlfn.XLOOKUP(C3848, 'Códigos DANE Municipios'!$B$2:$B$1123, 'Códigos DANE Municipios'!$A$2:$A$1123, "No encontrado")</f>
        <v>54250</v>
      </c>
      <c r="B3848" t="str">
        <f>IFERROR(VLOOKUP(D3848,APOYO!K:L,2,FALSE),A3848)</f>
        <v>54250</v>
      </c>
      <c r="C3848" t="s">
        <v>1555</v>
      </c>
      <c r="D3848" t="str">
        <f>IFERROR(VLOOKUP(C3848,APOYO!J:K,2,FALSE),C3848)</f>
        <v>EL TARRA</v>
      </c>
      <c r="E3848">
        <v>2018</v>
      </c>
    </row>
    <row r="3849" spans="1:5" hidden="1" x14ac:dyDescent="0.25">
      <c r="A3849" t="str">
        <f>_xlfn.XLOOKUP(C3849, 'Códigos DANE Municipios'!$B$2:$B$1123, 'Códigos DANE Municipios'!$A$2:$A$1123, "No encontrado")</f>
        <v>54261</v>
      </c>
      <c r="B3849" t="str">
        <f>IFERROR(VLOOKUP(D3849,APOYO!K:L,2,FALSE),A3849)</f>
        <v>54261</v>
      </c>
      <c r="C3849" t="s">
        <v>1557</v>
      </c>
      <c r="D3849" t="str">
        <f>IFERROR(VLOOKUP(C3849,APOYO!J:K,2,FALSE),C3849)</f>
        <v>EL ZULIA</v>
      </c>
      <c r="E3849">
        <v>2018</v>
      </c>
    </row>
    <row r="3850" spans="1:5" hidden="1" x14ac:dyDescent="0.25">
      <c r="A3850" t="str">
        <f>_xlfn.XLOOKUP(C3850, 'Códigos DANE Municipios'!$B$2:$B$1123, 'Códigos DANE Municipios'!$A$2:$A$1123, "No encontrado")</f>
        <v>68266</v>
      </c>
      <c r="B3850" t="str">
        <f>IFERROR(VLOOKUP(D3850,APOYO!K:L,2,FALSE),A3850)</f>
        <v>68266</v>
      </c>
      <c r="C3850" t="s">
        <v>1708</v>
      </c>
      <c r="D3850" t="str">
        <f>IFERROR(VLOOKUP(C3850,APOYO!J:K,2,FALSE),C3850)</f>
        <v>ENCISO</v>
      </c>
      <c r="E3850">
        <v>2018</v>
      </c>
    </row>
    <row r="3851" spans="1:5" hidden="1" x14ac:dyDescent="0.25">
      <c r="A3851" t="str">
        <f>_xlfn.XLOOKUP(C3851, 'Códigos DANE Municipios'!$B$2:$B$1123, 'Códigos DANE Municipios'!$A$2:$A$1123, "No encontrado")</f>
        <v>41244</v>
      </c>
      <c r="B3851" t="str">
        <f>IFERROR(VLOOKUP(D3851,APOYO!K:L,2,FALSE),A3851)</f>
        <v>41244</v>
      </c>
      <c r="C3851" t="s">
        <v>1219</v>
      </c>
      <c r="D3851" t="str">
        <f>IFERROR(VLOOKUP(C3851,APOYO!J:K,2,FALSE),C3851)</f>
        <v>ELÍAS</v>
      </c>
      <c r="E3851">
        <v>2018</v>
      </c>
    </row>
    <row r="3852" spans="1:5" hidden="1" x14ac:dyDescent="0.25">
      <c r="A3852" t="str">
        <f>_xlfn.XLOOKUP(C3852, 'Códigos DANE Municipios'!$B$2:$B$1123, 'Códigos DANE Municipios'!$A$2:$A$1123, "No encontrado")</f>
        <v>05264</v>
      </c>
      <c r="B3852" t="str">
        <f>IFERROR(VLOOKUP(D3852,APOYO!K:L,2,FALSE),A3852)</f>
        <v>05264</v>
      </c>
      <c r="C3852" t="s">
        <v>102</v>
      </c>
      <c r="D3852" t="str">
        <f>IFERROR(VLOOKUP(C3852,APOYO!J:K,2,FALSE),C3852)</f>
        <v>ENTRERRÍOS</v>
      </c>
      <c r="E3852">
        <v>2018</v>
      </c>
    </row>
    <row r="3853" spans="1:5" hidden="1" x14ac:dyDescent="0.25">
      <c r="A3853" t="str">
        <f>_xlfn.XLOOKUP(C3853, 'Códigos DANE Municipios'!$B$2:$B$1123, 'Códigos DANE Municipios'!$A$2:$A$1123, "No encontrado")</f>
        <v>05266</v>
      </c>
      <c r="B3853" t="str">
        <f>IFERROR(VLOOKUP(D3853,APOYO!K:L,2,FALSE),A3853)</f>
        <v>05266</v>
      </c>
      <c r="C3853" t="s">
        <v>104</v>
      </c>
      <c r="D3853" t="str">
        <f>IFERROR(VLOOKUP(C3853,APOYO!J:K,2,FALSE),C3853)</f>
        <v>ENVIGADO</v>
      </c>
      <c r="E3853">
        <v>2018</v>
      </c>
    </row>
    <row r="3854" spans="1:5" hidden="1" x14ac:dyDescent="0.25">
      <c r="A3854" t="str">
        <f>_xlfn.XLOOKUP(C3854, 'Códigos DANE Municipios'!$B$2:$B$1123, 'Códigos DANE Municipios'!$A$2:$A$1123, "No encontrado")</f>
        <v>73268</v>
      </c>
      <c r="B3854" t="str">
        <f>IFERROR(VLOOKUP(D3854,APOYO!K:L,2,FALSE),A3854)</f>
        <v>73268</v>
      </c>
      <c r="C3854" t="s">
        <v>1895</v>
      </c>
      <c r="D3854" t="str">
        <f>IFERROR(VLOOKUP(C3854,APOYO!J:K,2,FALSE),C3854)</f>
        <v>ESPINAL</v>
      </c>
      <c r="E3854">
        <v>2018</v>
      </c>
    </row>
    <row r="3855" spans="1:5" hidden="1" x14ac:dyDescent="0.25">
      <c r="A3855" t="str">
        <f>_xlfn.XLOOKUP(C3855, 'Códigos DANE Municipios'!$B$2:$B$1123, 'Códigos DANE Municipios'!$A$2:$A$1123, "No encontrado")</f>
        <v>25269</v>
      </c>
      <c r="B3855" t="str">
        <f>IFERROR(VLOOKUP(D3855,APOYO!K:L,2,FALSE),A3855)</f>
        <v>25269</v>
      </c>
      <c r="C3855" t="s">
        <v>965</v>
      </c>
      <c r="D3855" t="str">
        <f>IFERROR(VLOOKUP(C3855,APOYO!J:K,2,FALSE),C3855)</f>
        <v>FACATATIVÁ</v>
      </c>
      <c r="E3855">
        <v>2018</v>
      </c>
    </row>
    <row r="3856" spans="1:5" hidden="1" x14ac:dyDescent="0.25">
      <c r="A3856" t="str">
        <f>_xlfn.XLOOKUP(C3856, 'Códigos DANE Municipios'!$B$2:$B$1123, 'Códigos DANE Municipios'!$A$2:$A$1123, "No encontrado")</f>
        <v>17272</v>
      </c>
      <c r="B3856" t="str">
        <f>IFERROR(VLOOKUP(D3856,APOYO!K:L,2,FALSE),A3856)</f>
        <v>17272</v>
      </c>
      <c r="C3856" t="s">
        <v>656</v>
      </c>
      <c r="D3856" t="str">
        <f>IFERROR(VLOOKUP(C3856,APOYO!J:K,2,FALSE),C3856)</f>
        <v>FILADELFIA</v>
      </c>
      <c r="E3856">
        <v>2018</v>
      </c>
    </row>
    <row r="3857" spans="1:5" hidden="1" x14ac:dyDescent="0.25">
      <c r="A3857" t="str">
        <f>_xlfn.XLOOKUP(C3857, 'Códigos DANE Municipios'!$B$2:$B$1123, 'Códigos DANE Municipios'!$A$2:$A$1123, "No encontrado")</f>
        <v>63272</v>
      </c>
      <c r="B3857" t="str">
        <f>IFERROR(VLOOKUP(D3857,APOYO!K:L,2,FALSE),A3857)</f>
        <v>63272</v>
      </c>
      <c r="C3857" t="s">
        <v>1614</v>
      </c>
      <c r="D3857" t="str">
        <f>IFERROR(VLOOKUP(C3857,APOYO!J:K,2,FALSE),C3857)</f>
        <v>FILANDIA</v>
      </c>
      <c r="E3857">
        <v>2018</v>
      </c>
    </row>
    <row r="3858" spans="1:5" hidden="1" x14ac:dyDescent="0.25">
      <c r="A3858" t="str">
        <f>_xlfn.XLOOKUP(C3858, 'Códigos DANE Municipios'!$B$2:$B$1123, 'Códigos DANE Municipios'!$A$2:$A$1123, "No encontrado")</f>
        <v>15272</v>
      </c>
      <c r="B3858" t="str">
        <f>IFERROR(VLOOKUP(D3858,APOYO!K:L,2,FALSE),A3858)</f>
        <v>15272</v>
      </c>
      <c r="C3858" t="s">
        <v>467</v>
      </c>
      <c r="D3858" t="str">
        <f>IFERROR(VLOOKUP(C3858,APOYO!J:K,2,FALSE),C3858)</f>
        <v>FIRAVITOBA</v>
      </c>
      <c r="E3858">
        <v>2018</v>
      </c>
    </row>
    <row r="3859" spans="1:5" hidden="1" x14ac:dyDescent="0.25">
      <c r="A3859" t="str">
        <f>_xlfn.XLOOKUP(C3859, 'Códigos DANE Municipios'!$B$2:$B$1123, 'Códigos DANE Municipios'!$A$2:$A$1123, "No encontrado")</f>
        <v>73275</v>
      </c>
      <c r="B3859" t="str">
        <f>IFERROR(VLOOKUP(D3859,APOYO!K:L,2,FALSE),A3859)</f>
        <v>73275</v>
      </c>
      <c r="C3859" t="s">
        <v>1899</v>
      </c>
      <c r="D3859" t="str">
        <f>IFERROR(VLOOKUP(C3859,APOYO!J:K,2,FALSE),C3859)</f>
        <v>FLANDES</v>
      </c>
      <c r="E3859">
        <v>2018</v>
      </c>
    </row>
    <row r="3860" spans="1:5" hidden="1" x14ac:dyDescent="0.25">
      <c r="A3860" t="str">
        <f>_xlfn.XLOOKUP(C3860, 'Códigos DANE Municipios'!$B$2:$B$1123, 'Códigos DANE Municipios'!$A$2:$A$1123, "No encontrado")</f>
        <v>18001</v>
      </c>
      <c r="B3860" t="str">
        <f>IFERROR(VLOOKUP(D3860,APOYO!K:L,2,FALSE),A3860)</f>
        <v>18001</v>
      </c>
      <c r="C3860" t="s">
        <v>698</v>
      </c>
      <c r="D3860" t="str">
        <f>IFERROR(VLOOKUP(C3860,APOYO!J:K,2,FALSE),C3860)</f>
        <v>FLORENCIA</v>
      </c>
      <c r="E3860">
        <v>2018</v>
      </c>
    </row>
    <row r="3861" spans="1:5" hidden="1" x14ac:dyDescent="0.25">
      <c r="A3861" t="str">
        <f>_xlfn.XLOOKUP(C3861, 'Códigos DANE Municipios'!$B$2:$B$1123, 'Códigos DANE Municipios'!$A$2:$A$1123, "No encontrado")</f>
        <v>15276</v>
      </c>
      <c r="B3861" t="str">
        <f>IFERROR(VLOOKUP(D3861,APOYO!K:L,2,FALSE),A3861)</f>
        <v>15276</v>
      </c>
      <c r="C3861" t="s">
        <v>469</v>
      </c>
      <c r="D3861" t="str">
        <f>IFERROR(VLOOKUP(C3861,APOYO!J:K,2,FALSE),C3861)</f>
        <v>FLORESTA</v>
      </c>
      <c r="E3861">
        <v>2018</v>
      </c>
    </row>
    <row r="3862" spans="1:5" hidden="1" x14ac:dyDescent="0.25">
      <c r="A3862" t="str">
        <f>_xlfn.XLOOKUP(C3862, 'Códigos DANE Municipios'!$B$2:$B$1123, 'Códigos DANE Municipios'!$A$2:$A$1123, "No encontrado")</f>
        <v>68271</v>
      </c>
      <c r="B3862" t="str">
        <f>IFERROR(VLOOKUP(D3862,APOYO!K:L,2,FALSE),A3862)</f>
        <v>68271</v>
      </c>
      <c r="C3862" t="s">
        <v>1710</v>
      </c>
      <c r="D3862" t="str">
        <f>IFERROR(VLOOKUP(C3862,APOYO!J:K,2,FALSE),C3862)</f>
        <v>FLORIÁN</v>
      </c>
      <c r="E3862">
        <v>2018</v>
      </c>
    </row>
    <row r="3863" spans="1:5" hidden="1" x14ac:dyDescent="0.25">
      <c r="A3863" t="str">
        <f>_xlfn.XLOOKUP(C3863, 'Códigos DANE Municipios'!$B$2:$B$1123, 'Códigos DANE Municipios'!$A$2:$A$1123, "No encontrado")</f>
        <v>76275</v>
      </c>
      <c r="B3863" t="str">
        <f>IFERROR(VLOOKUP(D3863,APOYO!K:L,2,FALSE),A3863)</f>
        <v>76275</v>
      </c>
      <c r="C3863" t="s">
        <v>1990</v>
      </c>
      <c r="D3863" t="str">
        <f>IFERROR(VLOOKUP(C3863,APOYO!J:K,2,FALSE),C3863)</f>
        <v>FLORIDA</v>
      </c>
      <c r="E3863">
        <v>2018</v>
      </c>
    </row>
    <row r="3864" spans="1:5" hidden="1" x14ac:dyDescent="0.25">
      <c r="A3864" t="str">
        <f>_xlfn.XLOOKUP(C3864, 'Códigos DANE Municipios'!$B$2:$B$1123, 'Códigos DANE Municipios'!$A$2:$A$1123, "No encontrado")</f>
        <v>68276</v>
      </c>
      <c r="B3864" t="str">
        <f>IFERROR(VLOOKUP(D3864,APOYO!K:L,2,FALSE),A3864)</f>
        <v>68276</v>
      </c>
      <c r="C3864" t="s">
        <v>1712</v>
      </c>
      <c r="D3864" t="str">
        <f>IFERROR(VLOOKUP(C3864,APOYO!J:K,2,FALSE),C3864)</f>
        <v>FLORIDABLANCA</v>
      </c>
      <c r="E3864">
        <v>2018</v>
      </c>
    </row>
    <row r="3865" spans="1:5" hidden="1" x14ac:dyDescent="0.25">
      <c r="A3865" t="str">
        <f>_xlfn.XLOOKUP(C3865, 'Códigos DANE Municipios'!$B$2:$B$1123, 'Códigos DANE Municipios'!$A$2:$A$1123, "No encontrado")</f>
        <v>25279</v>
      </c>
      <c r="B3865" t="str">
        <f>IFERROR(VLOOKUP(D3865,APOYO!K:L,2,FALSE),A3865)</f>
        <v>25279</v>
      </c>
      <c r="C3865" t="s">
        <v>967</v>
      </c>
      <c r="D3865" t="str">
        <f>IFERROR(VLOOKUP(C3865,APOYO!J:K,2,FALSE),C3865)</f>
        <v>FÓMEQUE</v>
      </c>
      <c r="E3865">
        <v>2018</v>
      </c>
    </row>
    <row r="3866" spans="1:5" hidden="1" x14ac:dyDescent="0.25">
      <c r="A3866" t="str">
        <f>_xlfn.XLOOKUP(C3866, 'Códigos DANE Municipios'!$B$2:$B$1123, 'Códigos DANE Municipios'!$A$2:$A$1123, "No encontrado")</f>
        <v>44279</v>
      </c>
      <c r="B3866" t="str">
        <f>IFERROR(VLOOKUP(D3866,APOYO!K:L,2,FALSE),A3866)</f>
        <v>44279</v>
      </c>
      <c r="C3866" t="s">
        <v>1283</v>
      </c>
      <c r="D3866" t="str">
        <f>IFERROR(VLOOKUP(C3866,APOYO!J:K,2,FALSE),C3866)</f>
        <v>FONSECA</v>
      </c>
      <c r="E3866">
        <v>2018</v>
      </c>
    </row>
    <row r="3867" spans="1:5" hidden="1" x14ac:dyDescent="0.25">
      <c r="A3867" t="str">
        <f>_xlfn.XLOOKUP(C3867, 'Códigos DANE Municipios'!$B$2:$B$1123, 'Códigos DANE Municipios'!$A$2:$A$1123, "No encontrado")</f>
        <v>81300</v>
      </c>
      <c r="B3867" t="str">
        <f>IFERROR(VLOOKUP(D3867,APOYO!K:L,2,FALSE),A3867)</f>
        <v>81300</v>
      </c>
      <c r="C3867" t="s">
        <v>2040</v>
      </c>
      <c r="D3867" t="str">
        <f>IFERROR(VLOOKUP(C3867,APOYO!J:K,2,FALSE),C3867)</f>
        <v>FORTUL</v>
      </c>
      <c r="E3867">
        <v>2018</v>
      </c>
    </row>
    <row r="3868" spans="1:5" hidden="1" x14ac:dyDescent="0.25">
      <c r="A3868" t="str">
        <f>_xlfn.XLOOKUP(C3868, 'Códigos DANE Municipios'!$B$2:$B$1123, 'Códigos DANE Municipios'!$A$2:$A$1123, "No encontrado")</f>
        <v>05282</v>
      </c>
      <c r="B3868" t="str">
        <f>IFERROR(VLOOKUP(D3868,APOYO!K:L,2,FALSE),A3868)</f>
        <v>05282</v>
      </c>
      <c r="C3868" t="s">
        <v>106</v>
      </c>
      <c r="D3868" t="str">
        <f>IFERROR(VLOOKUP(C3868,APOYO!J:K,2,FALSE),C3868)</f>
        <v>FREDONIA</v>
      </c>
      <c r="E3868">
        <v>2018</v>
      </c>
    </row>
    <row r="3869" spans="1:5" hidden="1" x14ac:dyDescent="0.25">
      <c r="A3869" t="str">
        <f>_xlfn.XLOOKUP(C3869, 'Códigos DANE Municipios'!$B$2:$B$1123, 'Códigos DANE Municipios'!$A$2:$A$1123, "No encontrado")</f>
        <v>73283</v>
      </c>
      <c r="B3869" t="str">
        <f>IFERROR(VLOOKUP(D3869,APOYO!K:L,2,FALSE),A3869)</f>
        <v>73283</v>
      </c>
      <c r="C3869" t="s">
        <v>1901</v>
      </c>
      <c r="D3869" t="str">
        <f>IFERROR(VLOOKUP(C3869,APOYO!J:K,2,FALSE),C3869)</f>
        <v>FRESNO</v>
      </c>
      <c r="E3869">
        <v>2018</v>
      </c>
    </row>
    <row r="3870" spans="1:5" hidden="1" x14ac:dyDescent="0.25">
      <c r="A3870" t="str">
        <f>_xlfn.XLOOKUP(C3870, 'Códigos DANE Municipios'!$B$2:$B$1123, 'Códigos DANE Municipios'!$A$2:$A$1123, "No encontrado")</f>
        <v>05284</v>
      </c>
      <c r="B3870" t="str">
        <f>IFERROR(VLOOKUP(D3870,APOYO!K:L,2,FALSE),A3870)</f>
        <v>05284</v>
      </c>
      <c r="C3870" t="s">
        <v>108</v>
      </c>
      <c r="D3870" t="str">
        <f>IFERROR(VLOOKUP(C3870,APOYO!J:K,2,FALSE),C3870)</f>
        <v>FRONTINO</v>
      </c>
      <c r="E3870">
        <v>2018</v>
      </c>
    </row>
    <row r="3871" spans="1:5" hidden="1" x14ac:dyDescent="0.25">
      <c r="A3871" t="str">
        <f>_xlfn.XLOOKUP(C3871, 'Códigos DANE Municipios'!$B$2:$B$1123, 'Códigos DANE Municipios'!$A$2:$A$1123, "No encontrado")</f>
        <v>50287</v>
      </c>
      <c r="B3871" t="str">
        <f>IFERROR(VLOOKUP(D3871,APOYO!K:L,2,FALSE),A3871)</f>
        <v>50287</v>
      </c>
      <c r="C3871" t="s">
        <v>1378</v>
      </c>
      <c r="D3871" t="str">
        <f>IFERROR(VLOOKUP(C3871,APOYO!J:K,2,FALSE),C3871)</f>
        <v>FUENTE DE ORO</v>
      </c>
      <c r="E3871">
        <v>2018</v>
      </c>
    </row>
    <row r="3872" spans="1:5" hidden="1" x14ac:dyDescent="0.25">
      <c r="A3872" t="str">
        <f>_xlfn.XLOOKUP(C3872, 'Códigos DANE Municipios'!$B$2:$B$1123, 'Códigos DANE Municipios'!$A$2:$A$1123, "No encontrado")</f>
        <v>47288</v>
      </c>
      <c r="B3872" t="str">
        <f>IFERROR(VLOOKUP(D3872,APOYO!K:L,2,FALSE),A3872)</f>
        <v>47288</v>
      </c>
      <c r="C3872" t="s">
        <v>1321</v>
      </c>
      <c r="D3872" t="str">
        <f>IFERROR(VLOOKUP(C3872,APOYO!J:K,2,FALSE),C3872)</f>
        <v>FUNDACIÓN</v>
      </c>
      <c r="E3872">
        <v>2018</v>
      </c>
    </row>
    <row r="3873" spans="1:5" hidden="1" x14ac:dyDescent="0.25">
      <c r="A3873" t="str">
        <f>_xlfn.XLOOKUP(C3873, 'Códigos DANE Municipios'!$B$2:$B$1123, 'Códigos DANE Municipios'!$A$2:$A$1123, "No encontrado")</f>
        <v>52287</v>
      </c>
      <c r="B3873" t="str">
        <f>IFERROR(VLOOKUP(D3873,APOYO!K:L,2,FALSE),A3873)</f>
        <v>52287</v>
      </c>
      <c r="C3873" t="s">
        <v>1450</v>
      </c>
      <c r="D3873" t="str">
        <f>IFERROR(VLOOKUP(C3873,APOYO!J:K,2,FALSE),C3873)</f>
        <v>FUNES</v>
      </c>
      <c r="E3873">
        <v>2018</v>
      </c>
    </row>
    <row r="3874" spans="1:5" hidden="1" x14ac:dyDescent="0.25">
      <c r="A3874" t="str">
        <f>_xlfn.XLOOKUP(C3874, 'Códigos DANE Municipios'!$B$2:$B$1123, 'Códigos DANE Municipios'!$A$2:$A$1123, "No encontrado")</f>
        <v>25286</v>
      </c>
      <c r="B3874" t="str">
        <f>IFERROR(VLOOKUP(D3874,APOYO!K:L,2,FALSE),A3874)</f>
        <v>25286</v>
      </c>
      <c r="C3874" t="s">
        <v>971</v>
      </c>
      <c r="D3874" t="str">
        <f>IFERROR(VLOOKUP(C3874,APOYO!J:K,2,FALSE),C3874)</f>
        <v>FUNZA</v>
      </c>
      <c r="E3874">
        <v>2018</v>
      </c>
    </row>
    <row r="3875" spans="1:5" hidden="1" x14ac:dyDescent="0.25">
      <c r="A3875" t="str">
        <f>_xlfn.XLOOKUP(C3875, 'Códigos DANE Municipios'!$B$2:$B$1123, 'Códigos DANE Municipios'!$A$2:$A$1123, "No encontrado")</f>
        <v>25288</v>
      </c>
      <c r="B3875" t="str">
        <f>IFERROR(VLOOKUP(D3875,APOYO!K:L,2,FALSE),A3875)</f>
        <v>25288</v>
      </c>
      <c r="C3875" t="s">
        <v>973</v>
      </c>
      <c r="D3875" t="str">
        <f>IFERROR(VLOOKUP(C3875,APOYO!J:K,2,FALSE),C3875)</f>
        <v>FÚQUENE</v>
      </c>
      <c r="E3875">
        <v>2018</v>
      </c>
    </row>
    <row r="3876" spans="1:5" hidden="1" x14ac:dyDescent="0.25">
      <c r="A3876" t="str">
        <f>_xlfn.XLOOKUP(C3876, 'Códigos DANE Municipios'!$B$2:$B$1123, 'Códigos DANE Municipios'!$A$2:$A$1123, "No encontrado")</f>
        <v>25290</v>
      </c>
      <c r="B3876" t="str">
        <f>IFERROR(VLOOKUP(D3876,APOYO!K:L,2,FALSE),A3876)</f>
        <v>25290</v>
      </c>
      <c r="C3876" t="s">
        <v>975</v>
      </c>
      <c r="D3876" t="str">
        <f>IFERROR(VLOOKUP(C3876,APOYO!J:K,2,FALSE),C3876)</f>
        <v>FUSAGASUGÁ</v>
      </c>
      <c r="E3876">
        <v>2018</v>
      </c>
    </row>
    <row r="3877" spans="1:5" hidden="1" x14ac:dyDescent="0.25">
      <c r="A3877" t="str">
        <f>_xlfn.XLOOKUP(C3877, 'Códigos DANE Municipios'!$B$2:$B$1123, 'Códigos DANE Municipios'!$A$2:$A$1123, "No encontrado")</f>
        <v>25295</v>
      </c>
      <c r="B3877" t="str">
        <f>IFERROR(VLOOKUP(D3877,APOYO!K:L,2,FALSE),A3877)</f>
        <v>25295</v>
      </c>
      <c r="C3877" t="s">
        <v>979</v>
      </c>
      <c r="D3877" t="str">
        <f>IFERROR(VLOOKUP(C3877,APOYO!J:K,2,FALSE),C3877)</f>
        <v>GACHANCIPÁ</v>
      </c>
      <c r="E3877">
        <v>2018</v>
      </c>
    </row>
    <row r="3878" spans="1:5" hidden="1" x14ac:dyDescent="0.25">
      <c r="A3878" t="str">
        <f>_xlfn.XLOOKUP(C3878, 'Códigos DANE Municipios'!$B$2:$B$1123, 'Códigos DANE Municipios'!$A$2:$A$1123, "No encontrado")</f>
        <v>25297</v>
      </c>
      <c r="B3878" t="str">
        <f>IFERROR(VLOOKUP(D3878,APOYO!K:L,2,FALSE),A3878)</f>
        <v>25297</v>
      </c>
      <c r="C3878" t="s">
        <v>981</v>
      </c>
      <c r="D3878" t="str">
        <f>IFERROR(VLOOKUP(C3878,APOYO!J:K,2,FALSE),C3878)</f>
        <v>GACHETÁ</v>
      </c>
      <c r="E3878">
        <v>2018</v>
      </c>
    </row>
    <row r="3879" spans="1:5" hidden="1" x14ac:dyDescent="0.25">
      <c r="A3879" t="str">
        <f>_xlfn.XLOOKUP(C3879, 'Códigos DANE Municipios'!$B$2:$B$1123, 'Códigos DANE Municipios'!$A$2:$A$1123, "No encontrado")</f>
        <v>08296</v>
      </c>
      <c r="B3879" t="str">
        <f>IFERROR(VLOOKUP(D3879,APOYO!K:L,2,FALSE),A3879)</f>
        <v>08296</v>
      </c>
      <c r="C3879" t="s">
        <v>270</v>
      </c>
      <c r="D3879" t="str">
        <f>IFERROR(VLOOKUP(C3879,APOYO!J:K,2,FALSE),C3879)</f>
        <v>GALAPA</v>
      </c>
      <c r="E3879">
        <v>2018</v>
      </c>
    </row>
    <row r="3880" spans="1:5" hidden="1" x14ac:dyDescent="0.25">
      <c r="A3880" t="str">
        <f>_xlfn.XLOOKUP(C3880, 'Códigos DANE Municipios'!$B$2:$B$1123, 'Códigos DANE Municipios'!$A$2:$A$1123, "No encontrado")</f>
        <v>68298</v>
      </c>
      <c r="B3880" t="str">
        <f>IFERROR(VLOOKUP(D3880,APOYO!K:L,2,FALSE),A3880)</f>
        <v>68298</v>
      </c>
      <c r="C3880" t="s">
        <v>1716</v>
      </c>
      <c r="D3880" t="str">
        <f>IFERROR(VLOOKUP(C3880,APOYO!J:K,2,FALSE),C3880)</f>
        <v>GÁMBITA</v>
      </c>
      <c r="E3880">
        <v>2018</v>
      </c>
    </row>
    <row r="3881" spans="1:5" hidden="1" x14ac:dyDescent="0.25">
      <c r="A3881" t="str">
        <f>_xlfn.XLOOKUP(C3881, 'Códigos DANE Municipios'!$B$2:$B$1123, 'Códigos DANE Municipios'!$A$2:$A$1123, "No encontrado")</f>
        <v>15293</v>
      </c>
      <c r="B3881" t="str">
        <f>IFERROR(VLOOKUP(D3881,APOYO!K:L,2,FALSE),A3881)</f>
        <v>15293</v>
      </c>
      <c r="C3881" t="s">
        <v>471</v>
      </c>
      <c r="D3881" t="str">
        <f>IFERROR(VLOOKUP(C3881,APOYO!J:K,2,FALSE),C3881)</f>
        <v>GACHANTIVÁ</v>
      </c>
      <c r="E3881">
        <v>2018</v>
      </c>
    </row>
    <row r="3882" spans="1:5" hidden="1" x14ac:dyDescent="0.25">
      <c r="A3882" t="str">
        <f>_xlfn.XLOOKUP(C3882, 'Códigos DANE Municipios'!$B$2:$B$1123, 'Códigos DANE Municipios'!$A$2:$A$1123, "No encontrado")</f>
        <v>68296</v>
      </c>
      <c r="B3882" t="str">
        <f>IFERROR(VLOOKUP(D3882,APOYO!K:L,2,FALSE),A3882)</f>
        <v>68296</v>
      </c>
      <c r="C3882" t="s">
        <v>1714</v>
      </c>
      <c r="D3882" t="str">
        <f>IFERROR(VLOOKUP(C3882,APOYO!J:K,2,FALSE),C3882)</f>
        <v>GALÁN</v>
      </c>
      <c r="E3882">
        <v>2018</v>
      </c>
    </row>
    <row r="3883" spans="1:5" hidden="1" x14ac:dyDescent="0.25">
      <c r="A3883" t="str">
        <f>_xlfn.XLOOKUP(C3883, 'Códigos DANE Municipios'!$B$2:$B$1123, 'Códigos DANE Municipios'!$A$2:$A$1123, "No encontrado")</f>
        <v>08296</v>
      </c>
      <c r="B3883" t="str">
        <f>IFERROR(VLOOKUP(D3883,APOYO!K:L,2,FALSE),A3883)</f>
        <v>08296</v>
      </c>
      <c r="C3883" t="s">
        <v>270</v>
      </c>
      <c r="D3883" t="str">
        <f>IFERROR(VLOOKUP(C3883,APOYO!J:K,2,FALSE),C3883)</f>
        <v>GALAPA</v>
      </c>
      <c r="E3883">
        <v>2018</v>
      </c>
    </row>
    <row r="3884" spans="1:5" hidden="1" x14ac:dyDescent="0.25">
      <c r="A3884" t="str">
        <f>_xlfn.XLOOKUP(C3884, 'Códigos DANE Municipios'!$B$2:$B$1123, 'Códigos DANE Municipios'!$A$2:$A$1123, "No encontrado")</f>
        <v>15299</v>
      </c>
      <c r="B3884" t="str">
        <f>IFERROR(VLOOKUP(D3884,APOYO!K:L,2,FALSE),A3884)</f>
        <v>15299</v>
      </c>
      <c r="C3884" t="s">
        <v>475</v>
      </c>
      <c r="D3884" t="str">
        <f>IFERROR(VLOOKUP(C3884,APOYO!J:K,2,FALSE),C3884)</f>
        <v>GARAGOA</v>
      </c>
      <c r="E3884">
        <v>2018</v>
      </c>
    </row>
    <row r="3885" spans="1:5" hidden="1" x14ac:dyDescent="0.25">
      <c r="A3885" t="str">
        <f>_xlfn.XLOOKUP(C3885, 'Códigos DANE Municipios'!$B$2:$B$1123, 'Códigos DANE Municipios'!$A$2:$A$1123, "No encontrado")</f>
        <v>41298</v>
      </c>
      <c r="B3885" t="str">
        <f>IFERROR(VLOOKUP(D3885,APOYO!K:L,2,FALSE),A3885)</f>
        <v>41298</v>
      </c>
      <c r="C3885" t="s">
        <v>1221</v>
      </c>
      <c r="D3885" t="str">
        <f>IFERROR(VLOOKUP(C3885,APOYO!J:K,2,FALSE),C3885)</f>
        <v>GARZÓN</v>
      </c>
      <c r="E3885">
        <v>2018</v>
      </c>
    </row>
    <row r="3886" spans="1:5" hidden="1" x14ac:dyDescent="0.25">
      <c r="A3886" t="str">
        <f>_xlfn.XLOOKUP(C3886, 'Códigos DANE Municipios'!$B$2:$B$1123, 'Códigos DANE Municipios'!$A$2:$A$1123, "No encontrado")</f>
        <v>63302</v>
      </c>
      <c r="B3886" t="str">
        <f>IFERROR(VLOOKUP(D3886,APOYO!K:L,2,FALSE),A3886)</f>
        <v>63302</v>
      </c>
      <c r="C3886" t="s">
        <v>1616</v>
      </c>
      <c r="D3886" t="str">
        <f>IFERROR(VLOOKUP(C3886,APOYO!J:K,2,FALSE),C3886)</f>
        <v>GÉNOVA</v>
      </c>
      <c r="E3886">
        <v>2018</v>
      </c>
    </row>
    <row r="3887" spans="1:5" hidden="1" x14ac:dyDescent="0.25">
      <c r="A3887" t="str">
        <f>_xlfn.XLOOKUP(C3887, 'Códigos DANE Municipios'!$B$2:$B$1123, 'Códigos DANE Municipios'!$A$2:$A$1123, "No encontrado")</f>
        <v>41306</v>
      </c>
      <c r="B3887" t="str">
        <f>IFERROR(VLOOKUP(D3887,APOYO!K:L,2,FALSE),A3887)</f>
        <v>41306</v>
      </c>
      <c r="C3887" t="s">
        <v>1223</v>
      </c>
      <c r="D3887" t="str">
        <f>IFERROR(VLOOKUP(C3887,APOYO!J:K,2,FALSE),C3887)</f>
        <v>GIGANTE</v>
      </c>
      <c r="E3887">
        <v>2018</v>
      </c>
    </row>
    <row r="3888" spans="1:5" hidden="1" x14ac:dyDescent="0.25">
      <c r="A3888" t="str">
        <f>_xlfn.XLOOKUP(C3888, 'Códigos DANE Municipios'!$B$2:$B$1123, 'Códigos DANE Municipios'!$A$2:$A$1123, "No encontrado")</f>
        <v>76306</v>
      </c>
      <c r="B3888" t="str">
        <f>IFERROR(VLOOKUP(D3888,APOYO!K:L,2,FALSE),A3888)</f>
        <v>76306</v>
      </c>
      <c r="C3888" t="s">
        <v>1992</v>
      </c>
      <c r="D3888" t="str">
        <f>IFERROR(VLOOKUP(C3888,APOYO!J:K,2,FALSE),C3888)</f>
        <v>GINEBRA</v>
      </c>
      <c r="E3888">
        <v>2018</v>
      </c>
    </row>
    <row r="3889" spans="1:5" hidden="1" x14ac:dyDescent="0.25">
      <c r="A3889" t="str">
        <f>_xlfn.XLOOKUP(C3889, 'Códigos DANE Municipios'!$B$2:$B$1123, 'Códigos DANE Municipios'!$A$2:$A$1123, "No encontrado")</f>
        <v>05306</v>
      </c>
      <c r="B3889" t="str">
        <f>IFERROR(VLOOKUP(D3889,APOYO!K:L,2,FALSE),A3889)</f>
        <v>05306</v>
      </c>
      <c r="C3889" t="s">
        <v>110</v>
      </c>
      <c r="D3889" t="str">
        <f>IFERROR(VLOOKUP(C3889,APOYO!J:K,2,FALSE),C3889)</f>
        <v>GIRALDO</v>
      </c>
      <c r="E3889">
        <v>2018</v>
      </c>
    </row>
    <row r="3890" spans="1:5" hidden="1" x14ac:dyDescent="0.25">
      <c r="A3890" t="str">
        <f>_xlfn.XLOOKUP(C3890, 'Códigos DANE Municipios'!$B$2:$B$1123, 'Códigos DANE Municipios'!$A$2:$A$1123, "No encontrado")</f>
        <v>25307</v>
      </c>
      <c r="B3890" t="str">
        <f>IFERROR(VLOOKUP(D3890,APOYO!K:L,2,FALSE),A3890)</f>
        <v>25307</v>
      </c>
      <c r="C3890" t="s">
        <v>985</v>
      </c>
      <c r="D3890" t="str">
        <f>IFERROR(VLOOKUP(C3890,APOYO!J:K,2,FALSE),C3890)</f>
        <v>GIRARDOT</v>
      </c>
      <c r="E3890">
        <v>2018</v>
      </c>
    </row>
    <row r="3891" spans="1:5" hidden="1" x14ac:dyDescent="0.25">
      <c r="A3891" t="str">
        <f>_xlfn.XLOOKUP(C3891, 'Códigos DANE Municipios'!$B$2:$B$1123, 'Códigos DANE Municipios'!$A$2:$A$1123, "No encontrado")</f>
        <v>05308</v>
      </c>
      <c r="B3891" t="str">
        <f>IFERROR(VLOOKUP(D3891,APOYO!K:L,2,FALSE),A3891)</f>
        <v>05308</v>
      </c>
      <c r="C3891" t="s">
        <v>112</v>
      </c>
      <c r="D3891" t="str">
        <f>IFERROR(VLOOKUP(C3891,APOYO!J:K,2,FALSE),C3891)</f>
        <v>GIRARDOTA</v>
      </c>
      <c r="E3891">
        <v>2018</v>
      </c>
    </row>
    <row r="3892" spans="1:5" hidden="1" x14ac:dyDescent="0.25">
      <c r="A3892" t="str">
        <f>_xlfn.XLOOKUP(C3892, 'Códigos DANE Municipios'!$B$2:$B$1123, 'Códigos DANE Municipios'!$A$2:$A$1123, "No encontrado")</f>
        <v>68307</v>
      </c>
      <c r="B3892" t="str">
        <f>IFERROR(VLOOKUP(D3892,APOYO!K:L,2,FALSE),A3892)</f>
        <v>68307</v>
      </c>
      <c r="C3892" t="s">
        <v>1718</v>
      </c>
      <c r="D3892" t="str">
        <f>IFERROR(VLOOKUP(C3892,APOYO!J:K,2,FALSE),C3892)</f>
        <v>GIRÓN</v>
      </c>
      <c r="E3892">
        <v>2018</v>
      </c>
    </row>
    <row r="3893" spans="1:5" hidden="1" x14ac:dyDescent="0.25">
      <c r="A3893" t="str">
        <f>_xlfn.XLOOKUP(C3893, 'Códigos DANE Municipios'!$B$2:$B$1123, 'Códigos DANE Municipios'!$A$2:$A$1123, "No encontrado")</f>
        <v>05310</v>
      </c>
      <c r="B3893" t="str">
        <f>IFERROR(VLOOKUP(D3893,APOYO!K:L,2,FALSE),A3893)</f>
        <v>05310</v>
      </c>
      <c r="C3893" t="s">
        <v>114</v>
      </c>
      <c r="D3893" t="str">
        <f>IFERROR(VLOOKUP(C3893,APOYO!J:K,2,FALSE),C3893)</f>
        <v>GÓMEZ PLATA</v>
      </c>
      <c r="E3893">
        <v>2018</v>
      </c>
    </row>
    <row r="3894" spans="1:5" hidden="1" x14ac:dyDescent="0.25">
      <c r="A3894" t="str">
        <f>_xlfn.XLOOKUP(C3894, 'Códigos DANE Municipios'!$B$2:$B$1123, 'Códigos DANE Municipios'!$A$2:$A$1123, "No encontrado")</f>
        <v>05313</v>
      </c>
      <c r="B3894" t="str">
        <f>IFERROR(VLOOKUP(D3894,APOYO!K:L,2,FALSE),A3894)</f>
        <v>05313</v>
      </c>
      <c r="C3894" t="s">
        <v>116</v>
      </c>
      <c r="D3894" t="str">
        <f>IFERROR(VLOOKUP(C3894,APOYO!J:K,2,FALSE),C3894)</f>
        <v>GRANADA</v>
      </c>
      <c r="E3894">
        <v>2018</v>
      </c>
    </row>
    <row r="3895" spans="1:5" hidden="1" x14ac:dyDescent="0.25">
      <c r="A3895" t="str">
        <f>_xlfn.XLOOKUP(C3895, 'Códigos DANE Municipios'!$B$2:$B$1123, 'Códigos DANE Municipios'!$A$2:$A$1123, "No encontrado")</f>
        <v>05313</v>
      </c>
      <c r="B3895" t="str">
        <f>IFERROR(VLOOKUP(D3895,APOYO!K:L,2,FALSE),A3895)</f>
        <v>05313</v>
      </c>
      <c r="C3895" t="s">
        <v>116</v>
      </c>
      <c r="D3895" t="str">
        <f>IFERROR(VLOOKUP(C3895,APOYO!J:K,2,FALSE),C3895)</f>
        <v>GRANADA</v>
      </c>
      <c r="E3895">
        <v>2018</v>
      </c>
    </row>
    <row r="3896" spans="1:5" hidden="1" x14ac:dyDescent="0.25">
      <c r="A3896" t="str">
        <f>_xlfn.XLOOKUP(C3896, 'Códigos DANE Municipios'!$B$2:$B$1123, 'Códigos DANE Municipios'!$A$2:$A$1123, "No encontrado")</f>
        <v>05313</v>
      </c>
      <c r="B3896" t="str">
        <f>IFERROR(VLOOKUP(D3896,APOYO!K:L,2,FALSE),A3896)</f>
        <v>05313</v>
      </c>
      <c r="C3896" t="s">
        <v>116</v>
      </c>
      <c r="D3896" t="str">
        <f>IFERROR(VLOOKUP(C3896,APOYO!J:K,2,FALSE),C3896)</f>
        <v>GRANADA</v>
      </c>
      <c r="E3896">
        <v>2018</v>
      </c>
    </row>
    <row r="3897" spans="1:5" hidden="1" x14ac:dyDescent="0.25">
      <c r="A3897" t="str">
        <f>_xlfn.XLOOKUP(C3897, 'Códigos DANE Municipios'!$B$2:$B$1123, 'Códigos DANE Municipios'!$A$2:$A$1123, "No encontrado")</f>
        <v>15317</v>
      </c>
      <c r="B3897" t="str">
        <f>IFERROR(VLOOKUP(D3897,APOYO!K:L,2,FALSE),A3897)</f>
        <v>15317</v>
      </c>
      <c r="C3897" t="s">
        <v>477</v>
      </c>
      <c r="D3897" t="str">
        <f>IFERROR(VLOOKUP(C3897,APOYO!J:K,2,FALSE),C3897)</f>
        <v>GUACAMAYAS</v>
      </c>
      <c r="E3897">
        <v>2018</v>
      </c>
    </row>
    <row r="3898" spans="1:5" hidden="1" x14ac:dyDescent="0.25">
      <c r="A3898" t="str">
        <f>_xlfn.XLOOKUP(C3898, 'Códigos DANE Municipios'!$B$2:$B$1123, 'Códigos DANE Municipios'!$A$2:$A$1123, "No encontrado")</f>
        <v>76318</v>
      </c>
      <c r="B3898" t="str">
        <f>IFERROR(VLOOKUP(D3898,APOYO!K:L,2,FALSE),A3898)</f>
        <v>76318</v>
      </c>
      <c r="C3898" t="s">
        <v>1994</v>
      </c>
      <c r="D3898" t="str">
        <f>IFERROR(VLOOKUP(C3898,APOYO!J:K,2,FALSE),C3898)</f>
        <v>GUACARÍ</v>
      </c>
      <c r="E3898">
        <v>2018</v>
      </c>
    </row>
    <row r="3899" spans="1:5" hidden="1" x14ac:dyDescent="0.25">
      <c r="A3899" t="str">
        <f>_xlfn.XLOOKUP(C3899, 'Códigos DANE Municipios'!$B$2:$B$1123, 'Códigos DANE Municipios'!$A$2:$A$1123, "No encontrado")</f>
        <v>25317</v>
      </c>
      <c r="B3899" t="str">
        <f>IFERROR(VLOOKUP(D3899,APOYO!K:L,2,FALSE),A3899)</f>
        <v>25317</v>
      </c>
      <c r="C3899" t="s">
        <v>988</v>
      </c>
      <c r="D3899" t="str">
        <f>IFERROR(VLOOKUP(C3899,APOYO!J:K,2,FALSE),C3899)</f>
        <v>GUACHETÁ</v>
      </c>
      <c r="E3899">
        <v>2018</v>
      </c>
    </row>
    <row r="3900" spans="1:5" hidden="1" x14ac:dyDescent="0.25">
      <c r="A3900" t="str">
        <f>_xlfn.XLOOKUP(C3900, 'Códigos DANE Municipios'!$B$2:$B$1123, 'Códigos DANE Municipios'!$A$2:$A$1123, "No encontrado")</f>
        <v>52317</v>
      </c>
      <c r="B3900" t="str">
        <f>IFERROR(VLOOKUP(D3900,APOYO!K:L,2,FALSE),A3900)</f>
        <v>52317</v>
      </c>
      <c r="C3900" t="s">
        <v>1452</v>
      </c>
      <c r="D3900" t="str">
        <f>IFERROR(VLOOKUP(C3900,APOYO!J:K,2,FALSE),C3900)</f>
        <v>GUACHUCAL</v>
      </c>
      <c r="E3900">
        <v>2018</v>
      </c>
    </row>
    <row r="3901" spans="1:5" hidden="1" x14ac:dyDescent="0.25">
      <c r="A3901" t="str">
        <f>_xlfn.XLOOKUP(C3901, 'Códigos DANE Municipios'!$B$2:$B$1123, 'Códigos DANE Municipios'!$A$2:$A$1123, "No encontrado")</f>
        <v>05315</v>
      </c>
      <c r="B3901" t="str">
        <f>IFERROR(VLOOKUP(D3901,APOYO!K:L,2,FALSE),A3901)</f>
        <v>05315</v>
      </c>
      <c r="C3901" t="s">
        <v>118</v>
      </c>
      <c r="D3901" t="str">
        <f>IFERROR(VLOOKUP(C3901,APOYO!J:K,2,FALSE),C3901)</f>
        <v>GUADALUPE</v>
      </c>
      <c r="E3901">
        <v>2018</v>
      </c>
    </row>
    <row r="3902" spans="1:5" hidden="1" x14ac:dyDescent="0.25">
      <c r="A3902" t="str">
        <f>_xlfn.XLOOKUP(C3902, 'Códigos DANE Municipios'!$B$2:$B$1123, 'Códigos DANE Municipios'!$A$2:$A$1123, "No encontrado")</f>
        <v>25320</v>
      </c>
      <c r="B3902" t="str">
        <f>IFERROR(VLOOKUP(D3902,APOYO!K:L,2,FALSE),A3902)</f>
        <v>25320</v>
      </c>
      <c r="C3902" t="s">
        <v>990</v>
      </c>
      <c r="D3902" t="str">
        <f>IFERROR(VLOOKUP(C3902,APOYO!J:K,2,FALSE),C3902)</f>
        <v>GUADUAS</v>
      </c>
      <c r="E3902">
        <v>2018</v>
      </c>
    </row>
    <row r="3903" spans="1:5" hidden="1" x14ac:dyDescent="0.25">
      <c r="A3903" t="str">
        <f>_xlfn.XLOOKUP(C3903, 'Códigos DANE Municipios'!$B$2:$B$1123, 'Códigos DANE Municipios'!$A$2:$A$1123, "No encontrado")</f>
        <v>47318</v>
      </c>
      <c r="B3903" t="str">
        <f>IFERROR(VLOOKUP(D3903,APOYO!K:L,2,FALSE),A3903)</f>
        <v>47318</v>
      </c>
      <c r="C3903" t="s">
        <v>1323</v>
      </c>
      <c r="D3903" t="str">
        <f>IFERROR(VLOOKUP(C3903,APOYO!J:K,2,FALSE),C3903)</f>
        <v>GUAMAL</v>
      </c>
      <c r="E3903">
        <v>2018</v>
      </c>
    </row>
    <row r="3904" spans="1:5" hidden="1" x14ac:dyDescent="0.25">
      <c r="A3904" t="str">
        <f>_xlfn.XLOOKUP(C3904, 'Códigos DANE Municipios'!$B$2:$B$1123, 'Códigos DANE Municipios'!$A$2:$A$1123, "No encontrado")</f>
        <v>73319</v>
      </c>
      <c r="B3904" t="str">
        <f>IFERROR(VLOOKUP(D3904,APOYO!K:L,2,FALSE),A3904)</f>
        <v>73319</v>
      </c>
      <c r="C3904" t="s">
        <v>1903</v>
      </c>
      <c r="D3904" t="str">
        <f>IFERROR(VLOOKUP(C3904,APOYO!J:K,2,FALSE),C3904)</f>
        <v>GUAMO</v>
      </c>
      <c r="E3904">
        <v>2018</v>
      </c>
    </row>
    <row r="3905" spans="1:5" hidden="1" x14ac:dyDescent="0.25">
      <c r="A3905" t="str">
        <f>_xlfn.XLOOKUP(C3905, 'Códigos DANE Municipios'!$B$2:$B$1123, 'Códigos DANE Municipios'!$A$2:$A$1123, "No encontrado")</f>
        <v>19318</v>
      </c>
      <c r="B3905" t="str">
        <f>IFERROR(VLOOKUP(D3905,APOYO!K:L,2,FALSE),A3905)</f>
        <v>19318</v>
      </c>
      <c r="C3905" t="s">
        <v>753</v>
      </c>
      <c r="D3905" t="str">
        <f>IFERROR(VLOOKUP(C3905,APOYO!J:K,2,FALSE),C3905)</f>
        <v>GUAPÍ</v>
      </c>
      <c r="E3905">
        <v>2018</v>
      </c>
    </row>
    <row r="3906" spans="1:5" hidden="1" x14ac:dyDescent="0.25">
      <c r="A3906" t="str">
        <f>_xlfn.XLOOKUP(C3906, 'Códigos DANE Municipios'!$B$2:$B$1123, 'Códigos DANE Municipios'!$A$2:$A$1123, "No encontrado")</f>
        <v>70265</v>
      </c>
      <c r="B3906" t="str">
        <f>IFERROR(VLOOKUP(D3906,APOYO!K:L,2,FALSE),A3906)</f>
        <v>70265</v>
      </c>
      <c r="C3906" t="s">
        <v>1833</v>
      </c>
      <c r="D3906" t="str">
        <f>IFERROR(VLOOKUP(C3906,APOYO!J:K,2,FALSE),C3906)</f>
        <v>GUARANDA</v>
      </c>
      <c r="E3906">
        <v>2018</v>
      </c>
    </row>
    <row r="3907" spans="1:5" hidden="1" x14ac:dyDescent="0.25">
      <c r="A3907" t="str">
        <f>_xlfn.XLOOKUP(C3907, 'Códigos DANE Municipios'!$B$2:$B$1123, 'Códigos DANE Municipios'!$A$2:$A$1123, "No encontrado")</f>
        <v>05318</v>
      </c>
      <c r="B3907" t="str">
        <f>IFERROR(VLOOKUP(D3907,APOYO!K:L,2,FALSE),A3907)</f>
        <v>05318</v>
      </c>
      <c r="C3907" t="s">
        <v>120</v>
      </c>
      <c r="D3907" t="str">
        <f>IFERROR(VLOOKUP(C3907,APOYO!J:K,2,FALSE),C3907)</f>
        <v>GUARNE</v>
      </c>
      <c r="E3907">
        <v>2018</v>
      </c>
    </row>
    <row r="3908" spans="1:5" hidden="1" x14ac:dyDescent="0.25">
      <c r="A3908" t="str">
        <f>_xlfn.XLOOKUP(C3908, 'Códigos DANE Municipios'!$B$2:$B$1123, 'Códigos DANE Municipios'!$A$2:$A$1123, "No encontrado")</f>
        <v>25322</v>
      </c>
      <c r="B3908" t="str">
        <f>IFERROR(VLOOKUP(D3908,APOYO!K:L,2,FALSE),A3908)</f>
        <v>25322</v>
      </c>
      <c r="C3908" t="s">
        <v>992</v>
      </c>
      <c r="D3908" t="str">
        <f>IFERROR(VLOOKUP(C3908,APOYO!J:K,2,FALSE),C3908)</f>
        <v>GUASCA</v>
      </c>
      <c r="E3908">
        <v>2018</v>
      </c>
    </row>
    <row r="3909" spans="1:5" hidden="1" x14ac:dyDescent="0.25">
      <c r="A3909" t="str">
        <f>_xlfn.XLOOKUP(C3909, 'Códigos DANE Municipios'!$B$2:$B$1123, 'Códigos DANE Municipios'!$A$2:$A$1123, "No encontrado")</f>
        <v>05321</v>
      </c>
      <c r="B3909" t="str">
        <f>IFERROR(VLOOKUP(D3909,APOYO!K:L,2,FALSE),A3909)</f>
        <v>05321</v>
      </c>
      <c r="C3909" t="s">
        <v>122</v>
      </c>
      <c r="D3909" t="str">
        <f>IFERROR(VLOOKUP(C3909,APOYO!J:K,2,FALSE),C3909)</f>
        <v>GUATAPÉ</v>
      </c>
      <c r="E3909">
        <v>2018</v>
      </c>
    </row>
    <row r="3910" spans="1:5" hidden="1" x14ac:dyDescent="0.25">
      <c r="A3910" t="str">
        <f>_xlfn.XLOOKUP(C3910, 'Códigos DANE Municipios'!$B$2:$B$1123, 'Códigos DANE Municipios'!$A$2:$A$1123, "No encontrado")</f>
        <v>25324</v>
      </c>
      <c r="B3910" t="str">
        <f>IFERROR(VLOOKUP(D3910,APOYO!K:L,2,FALSE),A3910)</f>
        <v>25324</v>
      </c>
      <c r="C3910" t="s">
        <v>994</v>
      </c>
      <c r="D3910" t="str">
        <f>IFERROR(VLOOKUP(C3910,APOYO!J:K,2,FALSE),C3910)</f>
        <v>GUATAQUÍ</v>
      </c>
      <c r="E3910">
        <v>2018</v>
      </c>
    </row>
    <row r="3911" spans="1:5" hidden="1" x14ac:dyDescent="0.25">
      <c r="A3911" t="str">
        <f>_xlfn.XLOOKUP(C3911, 'Códigos DANE Municipios'!$B$2:$B$1123, 'Códigos DANE Municipios'!$A$2:$A$1123, "No encontrado")</f>
        <v>25326</v>
      </c>
      <c r="B3911" t="str">
        <f>IFERROR(VLOOKUP(D3911,APOYO!K:L,2,FALSE),A3911)</f>
        <v>25326</v>
      </c>
      <c r="C3911" t="s">
        <v>996</v>
      </c>
      <c r="D3911" t="str">
        <f>IFERROR(VLOOKUP(C3911,APOYO!J:K,2,FALSE),C3911)</f>
        <v>GUATAVITA</v>
      </c>
      <c r="E3911">
        <v>2018</v>
      </c>
    </row>
    <row r="3912" spans="1:5" hidden="1" x14ac:dyDescent="0.25">
      <c r="A3912" t="str">
        <f>_xlfn.XLOOKUP(C3912, 'Códigos DANE Municipios'!$B$2:$B$1123, 'Códigos DANE Municipios'!$A$2:$A$1123, "No encontrado")</f>
        <v>15322</v>
      </c>
      <c r="B3912" t="str">
        <f>IFERROR(VLOOKUP(D3912,APOYO!K:L,2,FALSE),A3912)</f>
        <v>15322</v>
      </c>
      <c r="C3912" t="s">
        <v>479</v>
      </c>
      <c r="D3912" t="str">
        <f>IFERROR(VLOOKUP(C3912,APOYO!J:K,2,FALSE),C3912)</f>
        <v>GUATEQUE</v>
      </c>
      <c r="E3912">
        <v>2018</v>
      </c>
    </row>
    <row r="3913" spans="1:5" hidden="1" x14ac:dyDescent="0.25">
      <c r="A3913" t="str">
        <f>_xlfn.XLOOKUP(C3913, 'Códigos DANE Municipios'!$B$2:$B$1123, 'Códigos DANE Municipios'!$A$2:$A$1123, "No encontrado")</f>
        <v>66318</v>
      </c>
      <c r="B3913" t="str">
        <f>IFERROR(VLOOKUP(D3913,APOYO!K:L,2,FALSE),A3913)</f>
        <v>66318</v>
      </c>
      <c r="C3913" t="s">
        <v>1637</v>
      </c>
      <c r="D3913" t="str">
        <f>IFERROR(VLOOKUP(C3913,APOYO!J:K,2,FALSE),C3913)</f>
        <v>GUÁTICA</v>
      </c>
      <c r="E3913">
        <v>2018</v>
      </c>
    </row>
    <row r="3914" spans="1:5" hidden="1" x14ac:dyDescent="0.25">
      <c r="A3914" t="str">
        <f>_xlfn.XLOOKUP(C3914, 'Códigos DANE Municipios'!$B$2:$B$1123, 'Códigos DANE Municipios'!$A$2:$A$1123, "No encontrado")</f>
        <v>15325</v>
      </c>
      <c r="B3914" t="str">
        <f>IFERROR(VLOOKUP(D3914,APOYO!K:L,2,FALSE),A3914)</f>
        <v>15325</v>
      </c>
      <c r="C3914" t="s">
        <v>481</v>
      </c>
      <c r="D3914" t="str">
        <f>IFERROR(VLOOKUP(C3914,APOYO!J:K,2,FALSE),C3914)</f>
        <v>GUAYATÁ</v>
      </c>
      <c r="E3914">
        <v>2018</v>
      </c>
    </row>
    <row r="3915" spans="1:5" hidden="1" x14ac:dyDescent="0.25">
      <c r="A3915" t="str">
        <f>_xlfn.XLOOKUP(C3915, 'Códigos DANE Municipios'!$B$2:$B$1123, 'Códigos DANE Municipios'!$A$2:$A$1123, "No encontrado")</f>
        <v>68327</v>
      </c>
      <c r="B3915" t="str">
        <f>IFERROR(VLOOKUP(D3915,APOYO!K:L,2,FALSE),A3915)</f>
        <v>68327</v>
      </c>
      <c r="C3915" t="s">
        <v>1727</v>
      </c>
      <c r="D3915" t="str">
        <f>IFERROR(VLOOKUP(C3915,APOYO!J:K,2,FALSE),C3915)</f>
        <v>GÜEPSA</v>
      </c>
      <c r="E3915">
        <v>2018</v>
      </c>
    </row>
    <row r="3916" spans="1:5" hidden="1" x14ac:dyDescent="0.25">
      <c r="A3916" t="str">
        <f>_xlfn.XLOOKUP(C3916, 'Códigos DANE Municipios'!$B$2:$B$1123, 'Códigos DANE Municipios'!$A$2:$A$1123, "No encontrado")</f>
        <v>15332</v>
      </c>
      <c r="B3916" t="str">
        <f>IFERROR(VLOOKUP(D3916,APOYO!K:L,2,FALSE),A3916)</f>
        <v>15332</v>
      </c>
      <c r="C3916" t="s">
        <v>483</v>
      </c>
      <c r="D3916" t="str">
        <f>IFERROR(VLOOKUP(C3916,APOYO!J:K,2,FALSE),C3916)</f>
        <v>GÜICÁN</v>
      </c>
      <c r="E3916">
        <v>2018</v>
      </c>
    </row>
    <row r="3917" spans="1:5" hidden="1" x14ac:dyDescent="0.25">
      <c r="A3917" t="str">
        <f>_xlfn.XLOOKUP(C3917, 'Códigos DANE Municipios'!$B$2:$B$1123, 'Códigos DANE Municipios'!$A$2:$A$1123, "No encontrado")</f>
        <v>85125</v>
      </c>
      <c r="B3917" t="str">
        <f>IFERROR(VLOOKUP(D3917,APOYO!K:L,2,FALSE),A3917)</f>
        <v>85125</v>
      </c>
      <c r="C3917" t="s">
        <v>2054</v>
      </c>
      <c r="D3917" t="str">
        <f>IFERROR(VLOOKUP(C3917,APOYO!J:K,2,FALSE),C3917)</f>
        <v>HATO COROZAL</v>
      </c>
      <c r="E3917">
        <v>2018</v>
      </c>
    </row>
    <row r="3918" spans="1:5" hidden="1" x14ac:dyDescent="0.25">
      <c r="A3918" t="str">
        <f>_xlfn.XLOOKUP(C3918, 'Códigos DANE Municipios'!$B$2:$B$1123, 'Códigos DANE Municipios'!$A$2:$A$1123, "No encontrado")</f>
        <v>05347</v>
      </c>
      <c r="B3918" t="str">
        <f>IFERROR(VLOOKUP(D3918,APOYO!K:L,2,FALSE),A3918)</f>
        <v>05347</v>
      </c>
      <c r="C3918" t="s">
        <v>124</v>
      </c>
      <c r="D3918" t="str">
        <f>IFERROR(VLOOKUP(C3918,APOYO!J:K,2,FALSE),C3918)</f>
        <v>HELICONIA</v>
      </c>
      <c r="E3918">
        <v>2018</v>
      </c>
    </row>
    <row r="3919" spans="1:5" hidden="1" x14ac:dyDescent="0.25">
      <c r="A3919" t="str">
        <f>_xlfn.XLOOKUP(C3919, 'Códigos DANE Municipios'!$B$2:$B$1123, 'Códigos DANE Municipios'!$A$2:$A$1123, "No encontrado")</f>
        <v>73347</v>
      </c>
      <c r="B3919" t="str">
        <f>IFERROR(VLOOKUP(D3919,APOYO!K:L,2,FALSE),A3919)</f>
        <v>73347</v>
      </c>
      <c r="C3919" t="s">
        <v>1905</v>
      </c>
      <c r="D3919" t="str">
        <f>IFERROR(VLOOKUP(C3919,APOYO!J:K,2,FALSE),C3919)</f>
        <v>HERVEO</v>
      </c>
      <c r="E3919">
        <v>2018</v>
      </c>
    </row>
    <row r="3920" spans="1:5" hidden="1" x14ac:dyDescent="0.25">
      <c r="A3920" t="str">
        <f>_xlfn.XLOOKUP(C3920, 'Códigos DANE Municipios'!$B$2:$B$1123, 'Códigos DANE Municipios'!$A$2:$A$1123, "No encontrado")</f>
        <v>05353</v>
      </c>
      <c r="B3920" t="str">
        <f>IFERROR(VLOOKUP(D3920,APOYO!K:L,2,FALSE),A3920)</f>
        <v>05353</v>
      </c>
      <c r="C3920" t="s">
        <v>126</v>
      </c>
      <c r="D3920" t="str">
        <f>IFERROR(VLOOKUP(C3920,APOYO!J:K,2,FALSE),C3920)</f>
        <v>HISPANIA</v>
      </c>
      <c r="E3920">
        <v>2018</v>
      </c>
    </row>
    <row r="3921" spans="1:5" hidden="1" x14ac:dyDescent="0.25">
      <c r="A3921" t="str">
        <f>_xlfn.XLOOKUP(C3921, 'Códigos DANE Municipios'!$B$2:$B$1123, 'Códigos DANE Municipios'!$A$2:$A$1123, "No encontrado")</f>
        <v>73349</v>
      </c>
      <c r="B3921" t="str">
        <f>IFERROR(VLOOKUP(D3921,APOYO!K:L,2,FALSE),A3921)</f>
        <v>73349</v>
      </c>
      <c r="C3921" t="s">
        <v>1907</v>
      </c>
      <c r="D3921" t="str">
        <f>IFERROR(VLOOKUP(C3921,APOYO!J:K,2,FALSE),C3921)</f>
        <v>HONDA</v>
      </c>
      <c r="E3921">
        <v>2018</v>
      </c>
    </row>
    <row r="3922" spans="1:5" hidden="1" x14ac:dyDescent="0.25">
      <c r="A3922" t="str">
        <f>_xlfn.XLOOKUP(C3922, 'Códigos DANE Municipios'!$B$2:$B$1123, 'Códigos DANE Municipios'!$A$2:$A$1123, "No encontrado")</f>
        <v>73001</v>
      </c>
      <c r="B3922" t="str">
        <f>IFERROR(VLOOKUP(D3922,APOYO!K:L,2,FALSE),A3922)</f>
        <v>73001</v>
      </c>
      <c r="C3922" t="s">
        <v>1865</v>
      </c>
      <c r="D3922" t="str">
        <f>IFERROR(VLOOKUP(C3922,APOYO!J:K,2,FALSE),C3922)</f>
        <v>IBAGUÉ</v>
      </c>
      <c r="E3922">
        <v>2018</v>
      </c>
    </row>
    <row r="3923" spans="1:5" hidden="1" x14ac:dyDescent="0.25">
      <c r="A3923" t="str">
        <f>_xlfn.XLOOKUP(C3923, 'Códigos DANE Municipios'!$B$2:$B$1123, 'Códigos DANE Municipios'!$A$2:$A$1123, "No encontrado")</f>
        <v>73352</v>
      </c>
      <c r="B3923" t="str">
        <f>IFERROR(VLOOKUP(D3923,APOYO!K:L,2,FALSE),A3923)</f>
        <v>73352</v>
      </c>
      <c r="C3923" t="s">
        <v>1909</v>
      </c>
      <c r="D3923" t="str">
        <f>IFERROR(VLOOKUP(C3923,APOYO!J:K,2,FALSE),C3923)</f>
        <v>ICONONZO</v>
      </c>
      <c r="E3923">
        <v>2018</v>
      </c>
    </row>
    <row r="3924" spans="1:5" hidden="1" x14ac:dyDescent="0.25">
      <c r="A3924" t="str">
        <f>_xlfn.XLOOKUP(C3924, 'Códigos DANE Municipios'!$B$2:$B$1123, 'Códigos DANE Municipios'!$A$2:$A$1123, "No encontrado")</f>
        <v>41357</v>
      </c>
      <c r="B3924" t="str">
        <f>IFERROR(VLOOKUP(D3924,APOYO!K:L,2,FALSE),A3924)</f>
        <v>41357</v>
      </c>
      <c r="C3924" t="s">
        <v>1228</v>
      </c>
      <c r="D3924" t="str">
        <f>IFERROR(VLOOKUP(C3924,APOYO!J:K,2,FALSE),C3924)</f>
        <v>ÍQUIRA</v>
      </c>
      <c r="E3924">
        <v>2018</v>
      </c>
    </row>
    <row r="3925" spans="1:5" hidden="1" x14ac:dyDescent="0.25">
      <c r="A3925" t="str">
        <f>_xlfn.XLOOKUP(C3925, 'Códigos DANE Municipios'!$B$2:$B$1123, 'Códigos DANE Municipios'!$A$2:$A$1123, "No encontrado")</f>
        <v>52352</v>
      </c>
      <c r="B3925" t="str">
        <f>IFERROR(VLOOKUP(D3925,APOYO!K:L,2,FALSE),A3925)</f>
        <v>52352</v>
      </c>
      <c r="C3925" t="s">
        <v>1458</v>
      </c>
      <c r="D3925" t="str">
        <f>IFERROR(VLOOKUP(C3925,APOYO!J:K,2,FALSE),C3925)</f>
        <v>ILES</v>
      </c>
      <c r="E3925">
        <v>2018</v>
      </c>
    </row>
    <row r="3926" spans="1:5" hidden="1" x14ac:dyDescent="0.25">
      <c r="A3926" t="str">
        <f>_xlfn.XLOOKUP(C3926, 'Códigos DANE Municipios'!$B$2:$B$1123, 'Códigos DANE Municipios'!$A$2:$A$1123, "No encontrado")</f>
        <v>19355</v>
      </c>
      <c r="B3926" t="str">
        <f>IFERROR(VLOOKUP(D3926,APOYO!K:L,2,FALSE),A3926)</f>
        <v>19355</v>
      </c>
      <c r="C3926" t="s">
        <v>755</v>
      </c>
      <c r="D3926" t="str">
        <f>IFERROR(VLOOKUP(C3926,APOYO!J:K,2,FALSE),C3926)</f>
        <v>INZÁ</v>
      </c>
      <c r="E3926">
        <v>2018</v>
      </c>
    </row>
    <row r="3927" spans="1:5" hidden="1" x14ac:dyDescent="0.25">
      <c r="A3927" t="str">
        <f>_xlfn.XLOOKUP(C3927, 'Códigos DANE Municipios'!$B$2:$B$1123, 'Códigos DANE Municipios'!$A$2:$A$1123, "No encontrado")</f>
        <v>52356</v>
      </c>
      <c r="B3927" t="str">
        <f>IFERROR(VLOOKUP(D3927,APOYO!K:L,2,FALSE),A3927)</f>
        <v>52356</v>
      </c>
      <c r="C3927" t="s">
        <v>1462</v>
      </c>
      <c r="D3927" t="str">
        <f>IFERROR(VLOOKUP(C3927,APOYO!J:K,2,FALSE),C3927)</f>
        <v>IPIALES</v>
      </c>
      <c r="E3927">
        <v>2018</v>
      </c>
    </row>
    <row r="3928" spans="1:5" hidden="1" x14ac:dyDescent="0.25">
      <c r="A3928" t="str">
        <f>_xlfn.XLOOKUP(C3928, 'Códigos DANE Municipios'!$B$2:$B$1123, 'Códigos DANE Municipios'!$A$2:$A$1123, "No encontrado")</f>
        <v>27361</v>
      </c>
      <c r="B3928" t="str">
        <f>IFERROR(VLOOKUP(D3928,APOYO!K:L,2,FALSE),A3928)</f>
        <v>27361</v>
      </c>
      <c r="C3928" t="s">
        <v>1170</v>
      </c>
      <c r="D3928" t="str">
        <f>IFERROR(VLOOKUP(C3928,APOYO!J:K,2,FALSE),C3928)</f>
        <v>ISTMINA</v>
      </c>
      <c r="E3928">
        <v>2018</v>
      </c>
    </row>
    <row r="3929" spans="1:5" hidden="1" x14ac:dyDescent="0.25">
      <c r="A3929" t="str">
        <f>_xlfn.XLOOKUP(C3929, 'Códigos DANE Municipios'!$B$2:$B$1123, 'Códigos DANE Municipios'!$A$2:$A$1123, "No encontrado")</f>
        <v>05360</v>
      </c>
      <c r="B3929" t="str">
        <f>IFERROR(VLOOKUP(D3929,APOYO!K:L,2,FALSE),A3929)</f>
        <v>05360</v>
      </c>
      <c r="C3929" t="s">
        <v>128</v>
      </c>
      <c r="D3929" t="str">
        <f>IFERROR(VLOOKUP(C3929,APOYO!J:K,2,FALSE),C3929)</f>
        <v>ITAGÜÍ</v>
      </c>
      <c r="E3929">
        <v>2018</v>
      </c>
    </row>
    <row r="3930" spans="1:5" hidden="1" x14ac:dyDescent="0.25">
      <c r="A3930" t="str">
        <f>_xlfn.XLOOKUP(C3930, 'Códigos DANE Municipios'!$B$2:$B$1123, 'Códigos DANE Municipios'!$A$2:$A$1123, "No encontrado")</f>
        <v>05361</v>
      </c>
      <c r="B3930" t="str">
        <f>IFERROR(VLOOKUP(D3930,APOYO!K:L,2,FALSE),A3930)</f>
        <v>05361</v>
      </c>
      <c r="C3930" t="s">
        <v>130</v>
      </c>
      <c r="D3930" t="str">
        <f>IFERROR(VLOOKUP(C3930,APOYO!J:K,2,FALSE),C3930)</f>
        <v>ITUANGO</v>
      </c>
      <c r="E3930">
        <v>2018</v>
      </c>
    </row>
    <row r="3931" spans="1:5" hidden="1" x14ac:dyDescent="0.25">
      <c r="A3931" t="str">
        <f>_xlfn.XLOOKUP(C3931, 'Códigos DANE Municipios'!$B$2:$B$1123, 'Códigos DANE Municipios'!$A$2:$A$1123, "No encontrado")</f>
        <v>15362</v>
      </c>
      <c r="B3931" t="str">
        <f>IFERROR(VLOOKUP(D3931,APOYO!K:L,2,FALSE),A3931)</f>
        <v>15362</v>
      </c>
      <c r="C3931" t="s">
        <v>485</v>
      </c>
      <c r="D3931" t="str">
        <f>IFERROR(VLOOKUP(C3931,APOYO!J:K,2,FALSE),C3931)</f>
        <v>IZA</v>
      </c>
      <c r="E3931">
        <v>2018</v>
      </c>
    </row>
    <row r="3932" spans="1:5" hidden="1" x14ac:dyDescent="0.25">
      <c r="A3932" t="str">
        <f>_xlfn.XLOOKUP(C3932, 'Códigos DANE Municipios'!$B$2:$B$1123, 'Códigos DANE Municipios'!$A$2:$A$1123, "No encontrado")</f>
        <v>76364</v>
      </c>
      <c r="B3932" t="str">
        <f>IFERROR(VLOOKUP(D3932,APOYO!K:L,2,FALSE),A3932)</f>
        <v>76364</v>
      </c>
      <c r="C3932" t="s">
        <v>1996</v>
      </c>
      <c r="D3932" t="str">
        <f>IFERROR(VLOOKUP(C3932,APOYO!J:K,2,FALSE),C3932)</f>
        <v>JAMUNDÍ</v>
      </c>
      <c r="E3932">
        <v>2018</v>
      </c>
    </row>
    <row r="3933" spans="1:5" hidden="1" x14ac:dyDescent="0.25">
      <c r="A3933" t="str">
        <f>_xlfn.XLOOKUP(C3933, 'Códigos DANE Municipios'!$B$2:$B$1123, 'Códigos DANE Municipios'!$A$2:$A$1123, "No encontrado")</f>
        <v>05364</v>
      </c>
      <c r="B3933" t="str">
        <f>IFERROR(VLOOKUP(D3933,APOYO!K:L,2,FALSE),A3933)</f>
        <v>05364</v>
      </c>
      <c r="C3933" t="s">
        <v>132</v>
      </c>
      <c r="D3933" t="str">
        <f>IFERROR(VLOOKUP(C3933,APOYO!J:K,2,FALSE),C3933)</f>
        <v>JARDÍN</v>
      </c>
      <c r="E3933">
        <v>2018</v>
      </c>
    </row>
    <row r="3934" spans="1:5" hidden="1" x14ac:dyDescent="0.25">
      <c r="A3934" t="str">
        <f>_xlfn.XLOOKUP(C3934, 'Códigos DANE Municipios'!$B$2:$B$1123, 'Códigos DANE Municipios'!$A$2:$A$1123, "No encontrado")</f>
        <v>15367</v>
      </c>
      <c r="B3934" t="str">
        <f>IFERROR(VLOOKUP(D3934,APOYO!K:L,2,FALSE),A3934)</f>
        <v>15367</v>
      </c>
      <c r="C3934" t="s">
        <v>487</v>
      </c>
      <c r="D3934" t="str">
        <f>IFERROR(VLOOKUP(C3934,APOYO!J:K,2,FALSE),C3934)</f>
        <v>JENESANO</v>
      </c>
      <c r="E3934">
        <v>2018</v>
      </c>
    </row>
    <row r="3935" spans="1:5" hidden="1" x14ac:dyDescent="0.25">
      <c r="A3935" t="str">
        <f>_xlfn.XLOOKUP(C3935, 'Códigos DANE Municipios'!$B$2:$B$1123, 'Códigos DANE Municipios'!$A$2:$A$1123, "No encontrado")</f>
        <v>05368</v>
      </c>
      <c r="B3935" t="str">
        <f>IFERROR(VLOOKUP(D3935,APOYO!K:L,2,FALSE),A3935)</f>
        <v>05368</v>
      </c>
      <c r="C3935" t="s">
        <v>134</v>
      </c>
      <c r="D3935" t="str">
        <f>IFERROR(VLOOKUP(C3935,APOYO!J:K,2,FALSE),C3935)</f>
        <v>JERICÓ</v>
      </c>
      <c r="E3935">
        <v>2018</v>
      </c>
    </row>
    <row r="3936" spans="1:5" hidden="1" x14ac:dyDescent="0.25">
      <c r="A3936" t="str">
        <f>_xlfn.XLOOKUP(C3936, 'Códigos DANE Municipios'!$B$2:$B$1123, 'Códigos DANE Municipios'!$A$2:$A$1123, "No encontrado")</f>
        <v>08372</v>
      </c>
      <c r="B3936" t="str">
        <f>IFERROR(VLOOKUP(D3936,APOYO!K:L,2,FALSE),A3936)</f>
        <v>08372</v>
      </c>
      <c r="C3936" t="s">
        <v>272</v>
      </c>
      <c r="D3936" t="str">
        <f>IFERROR(VLOOKUP(C3936,APOYO!J:K,2,FALSE),C3936)</f>
        <v>JUAN DE ACOSTA</v>
      </c>
      <c r="E3936">
        <v>2018</v>
      </c>
    </row>
    <row r="3937" spans="1:5" hidden="1" x14ac:dyDescent="0.25">
      <c r="A3937" t="str">
        <f>_xlfn.XLOOKUP(C3937, 'Códigos DANE Municipios'!$B$2:$B$1123, 'Códigos DANE Municipios'!$A$2:$A$1123, "No encontrado")</f>
        <v>25372</v>
      </c>
      <c r="B3937" t="str">
        <f>IFERROR(VLOOKUP(D3937,APOYO!K:L,2,FALSE),A3937)</f>
        <v>25372</v>
      </c>
      <c r="C3937" t="s">
        <v>1006</v>
      </c>
      <c r="D3937" t="str">
        <f>IFERROR(VLOOKUP(C3937,APOYO!J:K,2,FALSE),C3937)</f>
        <v>JUNÍN</v>
      </c>
      <c r="E3937">
        <v>2018</v>
      </c>
    </row>
    <row r="3938" spans="1:5" hidden="1" x14ac:dyDescent="0.25">
      <c r="A3938" t="str">
        <f>_xlfn.XLOOKUP(C3938, 'Códigos DANE Municipios'!$B$2:$B$1123, 'Códigos DANE Municipios'!$A$2:$A$1123, "No encontrado")</f>
        <v>27372</v>
      </c>
      <c r="B3938" t="str">
        <f>IFERROR(VLOOKUP(D3938,APOYO!K:L,2,FALSE),A3938)</f>
        <v>27372</v>
      </c>
      <c r="C3938" t="s">
        <v>1172</v>
      </c>
      <c r="D3938" t="str">
        <f>IFERROR(VLOOKUP(C3938,APOYO!J:K,2,FALSE),C3938)</f>
        <v>JURADÓ</v>
      </c>
      <c r="E3938">
        <v>2018</v>
      </c>
    </row>
    <row r="3939" spans="1:5" hidden="1" x14ac:dyDescent="0.25">
      <c r="A3939" t="str">
        <f>_xlfn.XLOOKUP(C3939, 'Códigos DANE Municipios'!$B$2:$B$1123, 'Códigos DANE Municipios'!$A$2:$A$1123, "No encontrado")</f>
        <v>41378</v>
      </c>
      <c r="B3939" t="str">
        <f>IFERROR(VLOOKUP(D3939,APOYO!K:L,2,FALSE),A3939)</f>
        <v>41378</v>
      </c>
      <c r="C3939" t="s">
        <v>1232</v>
      </c>
      <c r="D3939" t="str">
        <f>IFERROR(VLOOKUP(C3939,APOYO!J:K,2,FALSE),C3939)</f>
        <v>LA ARGENTINA</v>
      </c>
      <c r="E3939">
        <v>2018</v>
      </c>
    </row>
    <row r="3940" spans="1:5" hidden="1" x14ac:dyDescent="0.25">
      <c r="A3940" t="str">
        <f>_xlfn.XLOOKUP(C3940, 'Códigos DANE Municipios'!$B$2:$B$1123, 'Códigos DANE Municipios'!$A$2:$A$1123, "No encontrado")</f>
        <v>25377</v>
      </c>
      <c r="B3940" t="str">
        <f>IFERROR(VLOOKUP(D3940,APOYO!K:L,2,FALSE),A3940)</f>
        <v>25377</v>
      </c>
      <c r="C3940" t="s">
        <v>1008</v>
      </c>
      <c r="D3940" t="str">
        <f>IFERROR(VLOOKUP(C3940,APOYO!J:K,2,FALSE),C3940)</f>
        <v>LA CALERA</v>
      </c>
      <c r="E3940">
        <v>2018</v>
      </c>
    </row>
    <row r="3941" spans="1:5" hidden="1" x14ac:dyDescent="0.25">
      <c r="A3941" t="str">
        <f>_xlfn.XLOOKUP(C3941, 'Códigos DANE Municipios'!$B$2:$B$1123, 'Códigos DANE Municipios'!$A$2:$A$1123, "No encontrado")</f>
        <v>05376</v>
      </c>
      <c r="B3941" t="str">
        <f>IFERROR(VLOOKUP(D3941,APOYO!K:L,2,FALSE),A3941)</f>
        <v>05376</v>
      </c>
      <c r="C3941" t="s">
        <v>136</v>
      </c>
      <c r="D3941" t="str">
        <f>IFERROR(VLOOKUP(C3941,APOYO!J:K,2,FALSE),C3941)</f>
        <v>LA CEJA</v>
      </c>
      <c r="E3941">
        <v>2018</v>
      </c>
    </row>
    <row r="3942" spans="1:5" hidden="1" x14ac:dyDescent="0.25">
      <c r="A3942" t="str">
        <f>_xlfn.XLOOKUP(C3942, 'Códigos DANE Municipios'!$B$2:$B$1123, 'Códigos DANE Municipios'!$A$2:$A$1123, "No encontrado")</f>
        <v>66383</v>
      </c>
      <c r="B3942" t="str">
        <f>IFERROR(VLOOKUP(D3942,APOYO!K:L,2,FALSE),A3942)</f>
        <v>66383</v>
      </c>
      <c r="C3942" t="s">
        <v>1639</v>
      </c>
      <c r="D3942" t="str">
        <f>IFERROR(VLOOKUP(C3942,APOYO!J:K,2,FALSE),C3942)</f>
        <v>LA CELIA</v>
      </c>
      <c r="E3942">
        <v>2018</v>
      </c>
    </row>
    <row r="3943" spans="1:5" hidden="1" x14ac:dyDescent="0.25">
      <c r="A3943" t="str">
        <f>_xlfn.XLOOKUP(C3943, 'Códigos DANE Municipios'!$B$2:$B$1123, 'Códigos DANE Municipios'!$A$2:$A$1123, "No encontrado")</f>
        <v>91405</v>
      </c>
      <c r="B3943" t="str">
        <f>IFERROR(VLOOKUP(D3943,APOYO!K:L,2,FALSE),A3943)</f>
        <v>91405</v>
      </c>
      <c r="C3943" t="s">
        <v>2112</v>
      </c>
      <c r="D3943" t="str">
        <f>IFERROR(VLOOKUP(C3943,APOYO!J:K,2,FALSE),C3943)</f>
        <v>LA CHORRERA</v>
      </c>
      <c r="E3943">
        <v>2018</v>
      </c>
    </row>
    <row r="3944" spans="1:5" hidden="1" x14ac:dyDescent="0.25">
      <c r="A3944" t="str">
        <f>_xlfn.XLOOKUP(C3944, 'Códigos DANE Municipios'!$B$2:$B$1123, 'Códigos DANE Municipios'!$A$2:$A$1123, "No encontrado")</f>
        <v>52378</v>
      </c>
      <c r="B3944" t="str">
        <f>IFERROR(VLOOKUP(D3944,APOYO!K:L,2,FALSE),A3944)</f>
        <v>52378</v>
      </c>
      <c r="C3944" t="s">
        <v>1464</v>
      </c>
      <c r="D3944" t="str">
        <f>IFERROR(VLOOKUP(C3944,APOYO!J:K,2,FALSE),C3944)</f>
        <v>LA CRUZ</v>
      </c>
      <c r="E3944">
        <v>2018</v>
      </c>
    </row>
    <row r="3945" spans="1:5" hidden="1" x14ac:dyDescent="0.25">
      <c r="A3945" t="str">
        <f>_xlfn.XLOOKUP(C3945, 'Códigos DANE Municipios'!$B$2:$B$1123, 'Códigos DANE Municipios'!$A$2:$A$1123, "No encontrado")</f>
        <v>76377</v>
      </c>
      <c r="B3945" t="str">
        <f>IFERROR(VLOOKUP(D3945,APOYO!K:L,2,FALSE),A3945)</f>
        <v>76377</v>
      </c>
      <c r="C3945" t="s">
        <v>1998</v>
      </c>
      <c r="D3945" t="str">
        <f>IFERROR(VLOOKUP(C3945,APOYO!J:K,2,FALSE),C3945)</f>
        <v>LA CUMBRE</v>
      </c>
      <c r="E3945">
        <v>2018</v>
      </c>
    </row>
    <row r="3946" spans="1:5" hidden="1" x14ac:dyDescent="0.25">
      <c r="A3946" t="str">
        <f>_xlfn.XLOOKUP(C3946, 'Códigos DANE Municipios'!$B$2:$B$1123, 'Códigos DANE Municipios'!$A$2:$A$1123, "No encontrado")</f>
        <v>17380</v>
      </c>
      <c r="B3946" t="str">
        <f>IFERROR(VLOOKUP(D3946,APOYO!K:L,2,FALSE),A3946)</f>
        <v>17380</v>
      </c>
      <c r="C3946" t="s">
        <v>658</v>
      </c>
      <c r="D3946" t="str">
        <f>IFERROR(VLOOKUP(C3946,APOYO!J:K,2,FALSE),C3946)</f>
        <v>LA DORADA</v>
      </c>
      <c r="E3946">
        <v>2018</v>
      </c>
    </row>
    <row r="3947" spans="1:5" hidden="1" x14ac:dyDescent="0.25">
      <c r="A3947" t="str">
        <f>_xlfn.XLOOKUP(C3947, 'Códigos DANE Municipios'!$B$2:$B$1123, 'Códigos DANE Municipios'!$A$2:$A$1123, "No encontrado")</f>
        <v>05380</v>
      </c>
      <c r="B3947" t="str">
        <f>IFERROR(VLOOKUP(D3947,APOYO!K:L,2,FALSE),A3947)</f>
        <v>05380</v>
      </c>
      <c r="C3947" t="s">
        <v>138</v>
      </c>
      <c r="D3947" t="str">
        <f>IFERROR(VLOOKUP(C3947,APOYO!J:K,2,FALSE),C3947)</f>
        <v>LA ESTRELLA</v>
      </c>
      <c r="E3947">
        <v>2018</v>
      </c>
    </row>
    <row r="3948" spans="1:5" hidden="1" x14ac:dyDescent="0.25">
      <c r="A3948" t="str">
        <f>_xlfn.XLOOKUP(C3948, 'Códigos DANE Municipios'!$B$2:$B$1123, 'Códigos DANE Municipios'!$A$2:$A$1123, "No encontrado")</f>
        <v>52381</v>
      </c>
      <c r="B3948" t="str">
        <f>IFERROR(VLOOKUP(D3948,APOYO!K:L,2,FALSE),A3948)</f>
        <v>52381</v>
      </c>
      <c r="C3948" t="s">
        <v>1466</v>
      </c>
      <c r="D3948" t="str">
        <f>IFERROR(VLOOKUP(C3948,APOYO!J:K,2,FALSE),C3948)</f>
        <v>LA FLORIDA</v>
      </c>
      <c r="E3948">
        <v>2018</v>
      </c>
    </row>
    <row r="3949" spans="1:5" hidden="1" x14ac:dyDescent="0.25">
      <c r="A3949" t="str">
        <f>_xlfn.XLOOKUP(C3949, 'Códigos DANE Municipios'!$B$2:$B$1123, 'Códigos DANE Municipios'!$A$2:$A$1123, "No encontrado")</f>
        <v>20383</v>
      </c>
      <c r="B3949" t="str">
        <f>IFERROR(VLOOKUP(D3949,APOYO!K:L,2,FALSE),A3949)</f>
        <v>20383</v>
      </c>
      <c r="C3949" t="s">
        <v>834</v>
      </c>
      <c r="D3949" t="str">
        <f>IFERROR(VLOOKUP(C3949,APOYO!J:K,2,FALSE),C3949)</f>
        <v>LA GLORIA</v>
      </c>
      <c r="E3949">
        <v>2018</v>
      </c>
    </row>
    <row r="3950" spans="1:5" hidden="1" x14ac:dyDescent="0.25">
      <c r="A3950" t="str">
        <f>_xlfn.XLOOKUP(C3950, 'Códigos DANE Municipios'!$B$2:$B$1123, 'Códigos DANE Municipios'!$A$2:$A$1123, "No encontrado")</f>
        <v>20400</v>
      </c>
      <c r="B3950" t="str">
        <f>IFERROR(VLOOKUP(D3950,APOYO!K:L,2,FALSE),A3950)</f>
        <v>20400</v>
      </c>
      <c r="C3950" t="s">
        <v>836</v>
      </c>
      <c r="D3950" t="str">
        <f>IFERROR(VLOOKUP(C3950,APOYO!J:K,2,FALSE),C3950)</f>
        <v>LA JAGUA DE IBIRICO</v>
      </c>
      <c r="E3950">
        <v>2018</v>
      </c>
    </row>
    <row r="3951" spans="1:5" hidden="1" x14ac:dyDescent="0.25">
      <c r="A3951" t="str">
        <f>_xlfn.XLOOKUP(C3951, 'Códigos DANE Municipios'!$B$2:$B$1123, 'Códigos DANE Municipios'!$A$2:$A$1123, "No encontrado")</f>
        <v>50350</v>
      </c>
      <c r="B3951" t="str">
        <f>IFERROR(VLOOKUP(D3951,APOYO!K:L,2,FALSE),A3951)</f>
        <v>50350</v>
      </c>
      <c r="C3951" t="s">
        <v>1386</v>
      </c>
      <c r="D3951" t="str">
        <f>IFERROR(VLOOKUP(C3951,APOYO!J:K,2,FALSE),C3951)</f>
        <v>LA MACARENA</v>
      </c>
      <c r="E3951">
        <v>2018</v>
      </c>
    </row>
    <row r="3952" spans="1:5" hidden="1" x14ac:dyDescent="0.25">
      <c r="A3952" t="str">
        <f>_xlfn.XLOOKUP(C3952, 'Códigos DANE Municipios'!$B$2:$B$1123, 'Códigos DANE Municipios'!$A$2:$A$1123, "No encontrado")</f>
        <v>17388</v>
      </c>
      <c r="B3952" t="str">
        <f>IFERROR(VLOOKUP(D3952,APOYO!K:L,2,FALSE),A3952)</f>
        <v>17388</v>
      </c>
      <c r="C3952" t="s">
        <v>660</v>
      </c>
      <c r="D3952" t="str">
        <f>IFERROR(VLOOKUP(C3952,APOYO!J:K,2,FALSE),C3952)</f>
        <v>LA MERCED</v>
      </c>
      <c r="E3952">
        <v>2018</v>
      </c>
    </row>
    <row r="3953" spans="1:5" hidden="1" x14ac:dyDescent="0.25">
      <c r="A3953" t="str">
        <f>_xlfn.XLOOKUP(C3953, 'Códigos DANE Municipios'!$B$2:$B$1123, 'Códigos DANE Municipios'!$A$2:$A$1123, "No encontrado")</f>
        <v>25386</v>
      </c>
      <c r="B3953" t="str">
        <f>IFERROR(VLOOKUP(D3953,APOYO!K:L,2,FALSE),A3953)</f>
        <v>25386</v>
      </c>
      <c r="C3953" t="s">
        <v>1010</v>
      </c>
      <c r="D3953" t="str">
        <f>IFERROR(VLOOKUP(C3953,APOYO!J:K,2,FALSE),C3953)</f>
        <v>LA MESA</v>
      </c>
      <c r="E3953">
        <v>2018</v>
      </c>
    </row>
    <row r="3954" spans="1:5" hidden="1" x14ac:dyDescent="0.25">
      <c r="A3954" t="str">
        <f>_xlfn.XLOOKUP(C3954, 'Códigos DANE Municipios'!$B$2:$B$1123, 'Códigos DANE Municipios'!$A$2:$A$1123, "No encontrado")</f>
        <v>20621</v>
      </c>
      <c r="B3954" t="str">
        <f>IFERROR(VLOOKUP(D3954,APOYO!K:L,2,FALSE),A3954)</f>
        <v>20621</v>
      </c>
      <c r="C3954" t="s">
        <v>848</v>
      </c>
      <c r="D3954" t="str">
        <f>IFERROR(VLOOKUP(C3954,APOYO!J:K,2,FALSE),C3954)</f>
        <v>LA PAZ</v>
      </c>
      <c r="E3954">
        <v>2018</v>
      </c>
    </row>
    <row r="3955" spans="1:5" hidden="1" x14ac:dyDescent="0.25">
      <c r="A3955" t="str">
        <f>_xlfn.XLOOKUP(C3955, 'Códigos DANE Municipios'!$B$2:$B$1123, 'Códigos DANE Municipios'!$A$2:$A$1123, "No encontrado")</f>
        <v>91407</v>
      </c>
      <c r="B3955" t="str">
        <f>IFERROR(VLOOKUP(D3955,APOYO!K:L,2,FALSE),A3955)</f>
        <v>91407</v>
      </c>
      <c r="C3955" t="s">
        <v>2114</v>
      </c>
      <c r="D3955" t="str">
        <f>IFERROR(VLOOKUP(C3955,APOYO!J:K,2,FALSE),C3955)</f>
        <v>LA PEDRERA</v>
      </c>
      <c r="E3955">
        <v>2018</v>
      </c>
    </row>
    <row r="3956" spans="1:5" hidden="1" x14ac:dyDescent="0.25">
      <c r="A3956" t="str">
        <f>_xlfn.XLOOKUP(C3956, 'Códigos DANE Municipios'!$B$2:$B$1123, 'Códigos DANE Municipios'!$A$2:$A$1123, "No encontrado")</f>
        <v>25398</v>
      </c>
      <c r="B3956" t="str">
        <f>IFERROR(VLOOKUP(D3956,APOYO!K:L,2,FALSE),A3956)</f>
        <v>25398</v>
      </c>
      <c r="C3956" t="s">
        <v>1014</v>
      </c>
      <c r="D3956" t="str">
        <f>IFERROR(VLOOKUP(C3956,APOYO!J:K,2,FALSE),C3956)</f>
        <v>LA PEÑA</v>
      </c>
      <c r="E3956">
        <v>2018</v>
      </c>
    </row>
    <row r="3957" spans="1:5" hidden="1" x14ac:dyDescent="0.25">
      <c r="A3957" t="str">
        <f>_xlfn.XLOOKUP(C3957, 'Códigos DANE Municipios'!$B$2:$B$1123, 'Códigos DANE Municipios'!$A$2:$A$1123, "No encontrado")</f>
        <v>05390</v>
      </c>
      <c r="B3957" t="str">
        <f>IFERROR(VLOOKUP(D3957,APOYO!K:L,2,FALSE),A3957)</f>
        <v>05390</v>
      </c>
      <c r="C3957" t="s">
        <v>140</v>
      </c>
      <c r="D3957" t="str">
        <f>IFERROR(VLOOKUP(C3957,APOYO!J:K,2,FALSE),C3957)</f>
        <v>LA PINTADA</v>
      </c>
      <c r="E3957">
        <v>2018</v>
      </c>
    </row>
    <row r="3958" spans="1:5" hidden="1" x14ac:dyDescent="0.25">
      <c r="A3958" t="str">
        <f>_xlfn.XLOOKUP(C3958, 'Códigos DANE Municipios'!$B$2:$B$1123, 'Códigos DANE Municipios'!$A$2:$A$1123, "No encontrado")</f>
        <v>41396</v>
      </c>
      <c r="B3958" t="str">
        <f>IFERROR(VLOOKUP(D3958,APOYO!K:L,2,FALSE),A3958)</f>
        <v>41396</v>
      </c>
      <c r="C3958" t="s">
        <v>1234</v>
      </c>
      <c r="D3958" t="str">
        <f>IFERROR(VLOOKUP(C3958,APOYO!J:K,2,FALSE),C3958)</f>
        <v>LA PLATA</v>
      </c>
      <c r="E3958">
        <v>2018</v>
      </c>
    </row>
    <row r="3959" spans="1:5" hidden="1" x14ac:dyDescent="0.25">
      <c r="A3959" t="str">
        <f>_xlfn.XLOOKUP(C3959, 'Códigos DANE Municipios'!$B$2:$B$1123, 'Códigos DANE Municipios'!$A$2:$A$1123, "No encontrado")</f>
        <v>54398</v>
      </c>
      <c r="B3959" t="str">
        <f>IFERROR(VLOOKUP(D3959,APOYO!K:L,2,FALSE),A3959)</f>
        <v>54398</v>
      </c>
      <c r="C3959" t="s">
        <v>1569</v>
      </c>
      <c r="D3959" t="str">
        <f>IFERROR(VLOOKUP(C3959,APOYO!J:K,2,FALSE),C3959)</f>
        <v>LA PLAYA</v>
      </c>
      <c r="E3959">
        <v>2018</v>
      </c>
    </row>
    <row r="3960" spans="1:5" hidden="1" x14ac:dyDescent="0.25">
      <c r="A3960" t="str">
        <f>_xlfn.XLOOKUP(C3960, 'Códigos DANE Municipios'!$B$2:$B$1123, 'Códigos DANE Municipios'!$A$2:$A$1123, "No encontrado")</f>
        <v>99524</v>
      </c>
      <c r="B3960" t="str">
        <f>IFERROR(VLOOKUP(D3960,APOYO!K:L,2,FALSE),A3960)</f>
        <v>99524</v>
      </c>
      <c r="C3960" t="s">
        <v>2165</v>
      </c>
      <c r="D3960" t="str">
        <f>IFERROR(VLOOKUP(C3960,APOYO!J:K,2,FALSE),C3960)</f>
        <v>LA PRIMAVERA</v>
      </c>
      <c r="E3960">
        <v>2018</v>
      </c>
    </row>
    <row r="3961" spans="1:5" hidden="1" x14ac:dyDescent="0.25">
      <c r="A3961" t="str">
        <f>_xlfn.XLOOKUP(C3961, 'Códigos DANE Municipios'!$B$2:$B$1123, 'Códigos DANE Municipios'!$A$2:$A$1123, "No encontrado")</f>
        <v>19392</v>
      </c>
      <c r="B3961" t="str">
        <f>IFERROR(VLOOKUP(D3961,APOYO!K:L,2,FALSE),A3961)</f>
        <v>19392</v>
      </c>
      <c r="C3961" t="s">
        <v>759</v>
      </c>
      <c r="D3961" t="str">
        <f>IFERROR(VLOOKUP(C3961,APOYO!J:K,2,FALSE),C3961)</f>
        <v>LA SIERRA</v>
      </c>
      <c r="E3961">
        <v>2018</v>
      </c>
    </row>
    <row r="3962" spans="1:5" hidden="1" x14ac:dyDescent="0.25">
      <c r="A3962" t="str">
        <f>_xlfn.XLOOKUP(C3962, 'Códigos DANE Municipios'!$B$2:$B$1123, 'Códigos DANE Municipios'!$A$2:$A$1123, "No encontrado")</f>
        <v>63401</v>
      </c>
      <c r="B3962" t="str">
        <f>IFERROR(VLOOKUP(D3962,APOYO!K:L,2,FALSE),A3962)</f>
        <v>63401</v>
      </c>
      <c r="C3962" t="s">
        <v>1618</v>
      </c>
      <c r="D3962" t="str">
        <f>IFERROR(VLOOKUP(C3962,APOYO!J:K,2,FALSE),C3962)</f>
        <v>LA TEBAIDA</v>
      </c>
      <c r="E3962">
        <v>2018</v>
      </c>
    </row>
    <row r="3963" spans="1:5" hidden="1" x14ac:dyDescent="0.25">
      <c r="A3963" t="str">
        <f>_xlfn.XLOOKUP(C3963, 'Códigos DANE Municipios'!$B$2:$B$1123, 'Códigos DANE Municipios'!$A$2:$A$1123, "No encontrado")</f>
        <v>05400</v>
      </c>
      <c r="B3963" t="str">
        <f>IFERROR(VLOOKUP(D3963,APOYO!K:L,2,FALSE),A3963)</f>
        <v>05400</v>
      </c>
      <c r="C3963" t="s">
        <v>142</v>
      </c>
      <c r="D3963" t="str">
        <f>IFERROR(VLOOKUP(C3963,APOYO!J:K,2,FALSE),C3963)</f>
        <v>LA UNIÓN</v>
      </c>
      <c r="E3963">
        <v>2018</v>
      </c>
    </row>
    <row r="3964" spans="1:5" hidden="1" x14ac:dyDescent="0.25">
      <c r="A3964" t="str">
        <f>_xlfn.XLOOKUP(C3964, 'Códigos DANE Municipios'!$B$2:$B$1123, 'Códigos DANE Municipios'!$A$2:$A$1123, "No encontrado")</f>
        <v>50370</v>
      </c>
      <c r="B3964" t="str">
        <f>IFERROR(VLOOKUP(D3964,APOYO!K:L,2,FALSE),A3964)</f>
        <v>50370</v>
      </c>
      <c r="C3964" t="s">
        <v>1388</v>
      </c>
      <c r="D3964" t="str">
        <f>IFERROR(VLOOKUP(C3964,APOYO!J:K,2,FALSE),C3964)</f>
        <v>URIBE</v>
      </c>
      <c r="E3964">
        <v>2018</v>
      </c>
    </row>
    <row r="3965" spans="1:5" hidden="1" x14ac:dyDescent="0.25">
      <c r="A3965" t="str">
        <f>_xlfn.XLOOKUP(C3965, 'Códigos DANE Municipios'!$B$2:$B$1123, 'Códigos DANE Municipios'!$A$2:$A$1123, "No encontrado")</f>
        <v>19397</v>
      </c>
      <c r="B3965" t="str">
        <f>IFERROR(VLOOKUP(D3965,APOYO!K:L,2,FALSE),A3965)</f>
        <v>19397</v>
      </c>
      <c r="C3965" t="s">
        <v>761</v>
      </c>
      <c r="D3965" t="str">
        <f>IFERROR(VLOOKUP(C3965,APOYO!J:K,2,FALSE),C3965)</f>
        <v>LA VEGA</v>
      </c>
      <c r="E3965">
        <v>2018</v>
      </c>
    </row>
    <row r="3966" spans="1:5" hidden="1" x14ac:dyDescent="0.25">
      <c r="A3966" t="str">
        <f>_xlfn.XLOOKUP(C3966, 'Códigos DANE Municipios'!$B$2:$B$1123, 'Códigos DANE Municipios'!$A$2:$A$1123, "No encontrado")</f>
        <v>15401</v>
      </c>
      <c r="B3966" t="str">
        <f>IFERROR(VLOOKUP(D3966,APOYO!K:L,2,FALSE),A3966)</f>
        <v>15401</v>
      </c>
      <c r="C3966" t="s">
        <v>494</v>
      </c>
      <c r="D3966" t="str">
        <f>IFERROR(VLOOKUP(C3966,APOYO!J:K,2,FALSE),C3966)</f>
        <v>LA VICTORIA</v>
      </c>
      <c r="E3966">
        <v>2018</v>
      </c>
    </row>
    <row r="3967" spans="1:5" hidden="1" x14ac:dyDescent="0.25">
      <c r="A3967" t="str">
        <f>_xlfn.XLOOKUP(C3967, 'Códigos DANE Municipios'!$B$2:$B$1123, 'Códigos DANE Municipios'!$A$2:$A$1123, "No encontrado")</f>
        <v>66400</v>
      </c>
      <c r="B3967" t="str">
        <f>IFERROR(VLOOKUP(D3967,APOYO!K:L,2,FALSE),A3967)</f>
        <v>66400</v>
      </c>
      <c r="C3967" t="s">
        <v>1641</v>
      </c>
      <c r="D3967" t="str">
        <f>IFERROR(VLOOKUP(C3967,APOYO!J:K,2,FALSE),C3967)</f>
        <v>LA VIRGINIA</v>
      </c>
      <c r="E3967">
        <v>2018</v>
      </c>
    </row>
    <row r="3968" spans="1:5" hidden="1" x14ac:dyDescent="0.25">
      <c r="A3968" t="str">
        <f>_xlfn.XLOOKUP(C3968, 'Códigos DANE Municipios'!$B$2:$B$1123, 'Códigos DANE Municipios'!$A$2:$A$1123, "No encontrado")</f>
        <v>68385</v>
      </c>
      <c r="B3968" t="str">
        <f>IFERROR(VLOOKUP(D3968,APOYO!K:L,2,FALSE),A3968)</f>
        <v>68385</v>
      </c>
      <c r="C3968" t="s">
        <v>1737</v>
      </c>
      <c r="D3968" t="str">
        <f>IFERROR(VLOOKUP(C3968,APOYO!J:K,2,FALSE),C3968)</f>
        <v>LANDÁZURI</v>
      </c>
      <c r="E3968">
        <v>2018</v>
      </c>
    </row>
    <row r="3969" spans="1:5" hidden="1" x14ac:dyDescent="0.25">
      <c r="A3969" t="str">
        <f>_xlfn.XLOOKUP(C3969, 'Códigos DANE Municipios'!$B$2:$B$1123, 'Códigos DANE Municipios'!$A$2:$A$1123, "No encontrado")</f>
        <v>68406</v>
      </c>
      <c r="B3969" t="str">
        <f>IFERROR(VLOOKUP(D3969,APOYO!K:L,2,FALSE),A3969)</f>
        <v>68406</v>
      </c>
      <c r="C3969" t="s">
        <v>1740</v>
      </c>
      <c r="D3969" t="str">
        <f>IFERROR(VLOOKUP(C3969,APOYO!J:K,2,FALSE),C3969)</f>
        <v>LEBRIJA</v>
      </c>
      <c r="E3969">
        <v>2018</v>
      </c>
    </row>
    <row r="3970" spans="1:5" hidden="1" x14ac:dyDescent="0.25">
      <c r="A3970" t="str">
        <f>_xlfn.XLOOKUP(C3970, 'Códigos DANE Municipios'!$B$2:$B$1123, 'Códigos DANE Municipios'!$A$2:$A$1123, "No encontrado")</f>
        <v>50400</v>
      </c>
      <c r="B3970" t="str">
        <f>IFERROR(VLOOKUP(D3970,APOYO!K:L,2,FALSE),A3970)</f>
        <v>50400</v>
      </c>
      <c r="C3970" t="s">
        <v>1390</v>
      </c>
      <c r="D3970" t="str">
        <f>IFERROR(VLOOKUP(C3970,APOYO!J:K,2,FALSE),C3970)</f>
        <v>LEJANÍAS</v>
      </c>
      <c r="E3970">
        <v>2018</v>
      </c>
    </row>
    <row r="3971" spans="1:5" hidden="1" x14ac:dyDescent="0.25">
      <c r="A3971" t="str">
        <f>_xlfn.XLOOKUP(C3971, 'Códigos DANE Municipios'!$B$2:$B$1123, 'Códigos DANE Municipios'!$A$2:$A$1123, "No encontrado")</f>
        <v>25407</v>
      </c>
      <c r="B3971" t="str">
        <f>IFERROR(VLOOKUP(D3971,APOYO!K:L,2,FALSE),A3971)</f>
        <v>25407</v>
      </c>
      <c r="C3971" t="s">
        <v>1017</v>
      </c>
      <c r="D3971" t="str">
        <f>IFERROR(VLOOKUP(C3971,APOYO!J:K,2,FALSE),C3971)</f>
        <v>LENGUAZAQUE</v>
      </c>
      <c r="E3971">
        <v>2018</v>
      </c>
    </row>
    <row r="3972" spans="1:5" hidden="1" x14ac:dyDescent="0.25">
      <c r="A3972" t="str">
        <f>_xlfn.XLOOKUP(C3972, 'Códigos DANE Municipios'!$B$2:$B$1123, 'Códigos DANE Municipios'!$A$2:$A$1123, "No encontrado")</f>
        <v>73408</v>
      </c>
      <c r="B3972" t="str">
        <f>IFERROR(VLOOKUP(D3972,APOYO!K:L,2,FALSE),A3972)</f>
        <v>73408</v>
      </c>
      <c r="C3972" t="s">
        <v>1911</v>
      </c>
      <c r="D3972" t="str">
        <f>IFERROR(VLOOKUP(C3972,APOYO!J:K,2,FALSE),C3972)</f>
        <v>LÉRIDA</v>
      </c>
      <c r="E3972">
        <v>2018</v>
      </c>
    </row>
    <row r="3973" spans="1:5" hidden="1" x14ac:dyDescent="0.25">
      <c r="A3973" t="str">
        <f>_xlfn.XLOOKUP(C3973, 'Códigos DANE Municipios'!$B$2:$B$1123, 'Códigos DANE Municipios'!$A$2:$A$1123, "No encontrado")</f>
        <v>91001</v>
      </c>
      <c r="B3973" t="str">
        <f>IFERROR(VLOOKUP(D3973,APOYO!K:L,2,FALSE),A3973)</f>
        <v>91001</v>
      </c>
      <c r="C3973" t="s">
        <v>2108</v>
      </c>
      <c r="D3973" t="str">
        <f>IFERROR(VLOOKUP(C3973,APOYO!J:K,2,FALSE),C3973)</f>
        <v>LETICIA</v>
      </c>
      <c r="E3973">
        <v>2018</v>
      </c>
    </row>
    <row r="3974" spans="1:5" hidden="1" x14ac:dyDescent="0.25">
      <c r="A3974" t="str">
        <f>_xlfn.XLOOKUP(C3974, 'Códigos DANE Municipios'!$B$2:$B$1123, 'Códigos DANE Municipios'!$A$2:$A$1123, "No encontrado")</f>
        <v>73411</v>
      </c>
      <c r="B3974" t="str">
        <f>IFERROR(VLOOKUP(D3974,APOYO!K:L,2,FALSE),A3974)</f>
        <v>73411</v>
      </c>
      <c r="C3974" t="s">
        <v>1913</v>
      </c>
      <c r="D3974" t="str">
        <f>IFERROR(VLOOKUP(C3974,APOYO!J:K,2,FALSE),C3974)</f>
        <v>LÍBANO</v>
      </c>
      <c r="E3974">
        <v>2018</v>
      </c>
    </row>
    <row r="3975" spans="1:5" hidden="1" x14ac:dyDescent="0.25">
      <c r="A3975" t="str">
        <f>_xlfn.XLOOKUP(C3975, 'Códigos DANE Municipios'!$B$2:$B$1123, 'Códigos DANE Municipios'!$A$2:$A$1123, "No encontrado")</f>
        <v>52411</v>
      </c>
      <c r="B3975" t="str">
        <f>IFERROR(VLOOKUP(D3975,APOYO!K:L,2,FALSE),A3975)</f>
        <v>52411</v>
      </c>
      <c r="C3975" t="s">
        <v>1475</v>
      </c>
      <c r="D3975" t="str">
        <f>IFERROR(VLOOKUP(C3975,APOYO!J:K,2,FALSE),C3975)</f>
        <v>LINARES</v>
      </c>
      <c r="E3975">
        <v>2018</v>
      </c>
    </row>
    <row r="3976" spans="1:5" hidden="1" x14ac:dyDescent="0.25">
      <c r="A3976" t="str">
        <f>_xlfn.XLOOKUP(C3976, 'Códigos DANE Municipios'!$B$2:$B$1123, 'Códigos DANE Municipios'!$A$2:$A$1123, "No encontrado")</f>
        <v>27413</v>
      </c>
      <c r="B3976" t="str">
        <f>IFERROR(VLOOKUP(D3976,APOYO!K:L,2,FALSE),A3976)</f>
        <v>27413</v>
      </c>
      <c r="C3976" t="s">
        <v>1174</v>
      </c>
      <c r="D3976" t="str">
        <f>IFERROR(VLOOKUP(C3976,APOYO!J:K,2,FALSE),C3976)</f>
        <v>LLORÓ</v>
      </c>
      <c r="E3976">
        <v>2018</v>
      </c>
    </row>
    <row r="3977" spans="1:5" hidden="1" x14ac:dyDescent="0.25">
      <c r="A3977" t="str">
        <f>_xlfn.XLOOKUP(C3977, 'Códigos DANE Municipios'!$B$2:$B$1123, 'Códigos DANE Municipios'!$A$2:$A$1123, "No encontrado")</f>
        <v>05411</v>
      </c>
      <c r="B3977" t="str">
        <f>IFERROR(VLOOKUP(D3977,APOYO!K:L,2,FALSE),A3977)</f>
        <v>05411</v>
      </c>
      <c r="C3977" t="s">
        <v>144</v>
      </c>
      <c r="D3977" t="str">
        <f>IFERROR(VLOOKUP(C3977,APOYO!J:K,2,FALSE),C3977)</f>
        <v>LIBORINA</v>
      </c>
      <c r="E3977">
        <v>2018</v>
      </c>
    </row>
    <row r="3978" spans="1:5" hidden="1" x14ac:dyDescent="0.25">
      <c r="A3978" t="str">
        <f>_xlfn.XLOOKUP(C3978, 'Códigos DANE Municipios'!$B$2:$B$1123, 'Códigos DANE Municipios'!$A$2:$A$1123, "No encontrado")</f>
        <v>23417</v>
      </c>
      <c r="B3978" t="str">
        <f>IFERROR(VLOOKUP(D3978,APOYO!K:L,2,FALSE),A3978)</f>
        <v>23417</v>
      </c>
      <c r="C3978" t="s">
        <v>877</v>
      </c>
      <c r="D3978" t="str">
        <f>IFERROR(VLOOKUP(C3978,APOYO!J:K,2,FALSE),C3978)</f>
        <v>LORICA</v>
      </c>
      <c r="E3978">
        <v>2018</v>
      </c>
    </row>
    <row r="3979" spans="1:5" hidden="1" x14ac:dyDescent="0.25">
      <c r="A3979" t="str">
        <f>_xlfn.XLOOKUP(C3979, 'Códigos DANE Municipios'!$B$2:$B$1123, 'Códigos DANE Municipios'!$A$2:$A$1123, "No encontrado")</f>
        <v>52418</v>
      </c>
      <c r="B3979" t="str">
        <f>IFERROR(VLOOKUP(D3979,APOYO!K:L,2,FALSE),A3979)</f>
        <v>52418</v>
      </c>
      <c r="C3979" t="s">
        <v>1477</v>
      </c>
      <c r="D3979" t="str">
        <f>IFERROR(VLOOKUP(C3979,APOYO!J:K,2,FALSE),C3979)</f>
        <v>LOS ANDES</v>
      </c>
      <c r="E3979">
        <v>2018</v>
      </c>
    </row>
    <row r="3980" spans="1:5" hidden="1" x14ac:dyDescent="0.25">
      <c r="A3980" t="str">
        <f>_xlfn.XLOOKUP(C3980, 'Códigos DANE Municipios'!$B$2:$B$1123, 'Códigos DANE Municipios'!$A$2:$A$1123, "No encontrado")</f>
        <v>70418</v>
      </c>
      <c r="B3980" t="str">
        <f>IFERROR(VLOOKUP(D3980,APOYO!K:L,2,FALSE),A3980)</f>
        <v>70418</v>
      </c>
      <c r="C3980" t="s">
        <v>1836</v>
      </c>
      <c r="D3980" t="str">
        <f>IFERROR(VLOOKUP(C3980,APOYO!J:K,2,FALSE),C3980)</f>
        <v>LOS PALMITOS</v>
      </c>
      <c r="E3980">
        <v>2018</v>
      </c>
    </row>
    <row r="3981" spans="1:5" hidden="1" x14ac:dyDescent="0.25">
      <c r="A3981" t="str">
        <f>_xlfn.XLOOKUP(C3981, 'Códigos DANE Municipios'!$B$2:$B$1123, 'Códigos DANE Municipios'!$A$2:$A$1123, "No encontrado")</f>
        <v>54405</v>
      </c>
      <c r="B3981" t="str">
        <f>IFERROR(VLOOKUP(D3981,APOYO!K:L,2,FALSE),A3981)</f>
        <v>54405</v>
      </c>
      <c r="C3981" t="s">
        <v>1571</v>
      </c>
      <c r="D3981" t="str">
        <f>IFERROR(VLOOKUP(C3981,APOYO!J:K,2,FALSE),C3981)</f>
        <v>LOS PATIOS</v>
      </c>
      <c r="E3981">
        <v>2018</v>
      </c>
    </row>
    <row r="3982" spans="1:5" hidden="1" x14ac:dyDescent="0.25">
      <c r="A3982" t="str">
        <f>_xlfn.XLOOKUP(C3982, 'Códigos DANE Municipios'!$B$2:$B$1123, 'Códigos DANE Municipios'!$A$2:$A$1123, "No encontrado")</f>
        <v>68418</v>
      </c>
      <c r="B3982" t="str">
        <f>IFERROR(VLOOKUP(D3982,APOYO!K:L,2,FALSE),A3982)</f>
        <v>68418</v>
      </c>
      <c r="C3982" t="s">
        <v>1742</v>
      </c>
      <c r="D3982" t="str">
        <f>IFERROR(VLOOKUP(C3982,APOYO!J:K,2,FALSE),C3982)</f>
        <v>LOS SANTOS</v>
      </c>
      <c r="E3982">
        <v>2018</v>
      </c>
    </row>
    <row r="3983" spans="1:5" hidden="1" x14ac:dyDescent="0.25">
      <c r="A3983" t="str">
        <f>_xlfn.XLOOKUP(C3983, 'Códigos DANE Municipios'!$B$2:$B$1123, 'Códigos DANE Municipios'!$A$2:$A$1123, "No encontrado")</f>
        <v>08421</v>
      </c>
      <c r="B3983" t="str">
        <f>IFERROR(VLOOKUP(D3983,APOYO!K:L,2,FALSE),A3983)</f>
        <v>08421</v>
      </c>
      <c r="C3983" t="s">
        <v>274</v>
      </c>
      <c r="D3983" t="str">
        <f>IFERROR(VLOOKUP(C3983,APOYO!J:K,2,FALSE),C3983)</f>
        <v>LURUACO</v>
      </c>
      <c r="E3983">
        <v>2018</v>
      </c>
    </row>
    <row r="3984" spans="1:5" hidden="1" x14ac:dyDescent="0.25">
      <c r="A3984" t="str">
        <f>_xlfn.XLOOKUP(C3984, 'Códigos DANE Municipios'!$B$2:$B$1123, 'Códigos DANE Municipios'!$A$2:$A$1123, "No encontrado")</f>
        <v>05425</v>
      </c>
      <c r="B3984" t="str">
        <f>IFERROR(VLOOKUP(D3984,APOYO!K:L,2,FALSE),A3984)</f>
        <v>05425</v>
      </c>
      <c r="C3984" t="s">
        <v>146</v>
      </c>
      <c r="D3984" t="str">
        <f>IFERROR(VLOOKUP(C3984,APOYO!J:K,2,FALSE),C3984)</f>
        <v>MACEO</v>
      </c>
      <c r="E3984">
        <v>2018</v>
      </c>
    </row>
    <row r="3985" spans="1:5" hidden="1" x14ac:dyDescent="0.25">
      <c r="A3985" t="str">
        <f>_xlfn.XLOOKUP(C3985, 'Códigos DANE Municipios'!$B$2:$B$1123, 'Códigos DANE Municipios'!$A$2:$A$1123, "No encontrado")</f>
        <v>25426</v>
      </c>
      <c r="B3985" t="str">
        <f>IFERROR(VLOOKUP(D3985,APOYO!K:L,2,FALSE),A3985)</f>
        <v>25426</v>
      </c>
      <c r="C3985" t="s">
        <v>1019</v>
      </c>
      <c r="D3985" t="str">
        <f>IFERROR(VLOOKUP(C3985,APOYO!J:K,2,FALSE),C3985)</f>
        <v>MACHETÁ</v>
      </c>
      <c r="E3985">
        <v>2018</v>
      </c>
    </row>
    <row r="3986" spans="1:5" hidden="1" x14ac:dyDescent="0.25">
      <c r="A3986" t="str">
        <f>_xlfn.XLOOKUP(C3986, 'Códigos DANE Municipios'!$B$2:$B$1123, 'Códigos DANE Municipios'!$A$2:$A$1123, "No encontrado")</f>
        <v>25430</v>
      </c>
      <c r="B3986" t="str">
        <f>IFERROR(VLOOKUP(D3986,APOYO!K:L,2,FALSE),A3986)</f>
        <v>25430</v>
      </c>
      <c r="C3986" t="s">
        <v>1021</v>
      </c>
      <c r="D3986" t="str">
        <f>IFERROR(VLOOKUP(C3986,APOYO!J:K,2,FALSE),C3986)</f>
        <v>MADRID</v>
      </c>
      <c r="E3986">
        <v>2018</v>
      </c>
    </row>
    <row r="3987" spans="1:5" hidden="1" x14ac:dyDescent="0.25">
      <c r="A3987" t="str">
        <f>_xlfn.XLOOKUP(C3987, 'Códigos DANE Municipios'!$B$2:$B$1123, 'Códigos DANE Municipios'!$A$2:$A$1123, "No encontrado")</f>
        <v>13430</v>
      </c>
      <c r="B3987" t="str">
        <f>IFERROR(VLOOKUP(D3987,APOYO!K:L,2,FALSE),A3987)</f>
        <v>13430</v>
      </c>
      <c r="C3987" t="s">
        <v>341</v>
      </c>
      <c r="D3987" t="str">
        <f>IFERROR(VLOOKUP(C3987,APOYO!J:K,2,FALSE),C3987)</f>
        <v>MAGANGUÉ</v>
      </c>
      <c r="E3987">
        <v>2018</v>
      </c>
    </row>
    <row r="3988" spans="1:5" hidden="1" x14ac:dyDescent="0.25">
      <c r="A3988" t="str">
        <f>_xlfn.XLOOKUP(C3988, 'Códigos DANE Municipios'!$B$2:$B$1123, 'Códigos DANE Municipios'!$A$2:$A$1123, "No encontrado")</f>
        <v>13433</v>
      </c>
      <c r="B3988" t="str">
        <f>IFERROR(VLOOKUP(D3988,APOYO!K:L,2,FALSE),A3988)</f>
        <v>13433</v>
      </c>
      <c r="C3988" t="s">
        <v>343</v>
      </c>
      <c r="D3988" t="str">
        <f>IFERROR(VLOOKUP(C3988,APOYO!J:K,2,FALSE),C3988)</f>
        <v>MAHATES</v>
      </c>
      <c r="E3988">
        <v>2018</v>
      </c>
    </row>
    <row r="3989" spans="1:5" hidden="1" x14ac:dyDescent="0.25">
      <c r="A3989" t="str">
        <f>_xlfn.XLOOKUP(C3989, 'Códigos DANE Municipios'!$B$2:$B$1123, 'Códigos DANE Municipios'!$A$2:$A$1123, "No encontrado")</f>
        <v>44430</v>
      </c>
      <c r="B3989" t="str">
        <f>IFERROR(VLOOKUP(D3989,APOYO!K:L,2,FALSE),A3989)</f>
        <v>44430</v>
      </c>
      <c r="C3989" t="s">
        <v>1289</v>
      </c>
      <c r="D3989" t="str">
        <f>IFERROR(VLOOKUP(C3989,APOYO!J:K,2,FALSE),C3989)</f>
        <v>MAICAO</v>
      </c>
      <c r="E3989">
        <v>2018</v>
      </c>
    </row>
    <row r="3990" spans="1:5" hidden="1" x14ac:dyDescent="0.25">
      <c r="A3990" t="str">
        <f>_xlfn.XLOOKUP(C3990, 'Códigos DANE Municipios'!$B$2:$B$1123, 'Códigos DANE Municipios'!$A$2:$A$1123, "No encontrado")</f>
        <v>68432</v>
      </c>
      <c r="B3990" t="str">
        <f>IFERROR(VLOOKUP(D3990,APOYO!K:L,2,FALSE),A3990)</f>
        <v>68432</v>
      </c>
      <c r="C3990" t="s">
        <v>1746</v>
      </c>
      <c r="D3990" t="str">
        <f>IFERROR(VLOOKUP(C3990,APOYO!J:K,2,FALSE),C3990)</f>
        <v>MÁLAGA</v>
      </c>
      <c r="E3990">
        <v>2018</v>
      </c>
    </row>
    <row r="3991" spans="1:5" hidden="1" x14ac:dyDescent="0.25">
      <c r="A3991" t="str">
        <f>_xlfn.XLOOKUP(C3991, 'Códigos DANE Municipios'!$B$2:$B$1123, 'Códigos DANE Municipios'!$A$2:$A$1123, "No encontrado")</f>
        <v>08433</v>
      </c>
      <c r="B3991" t="str">
        <f>IFERROR(VLOOKUP(D3991,APOYO!K:L,2,FALSE),A3991)</f>
        <v>08433</v>
      </c>
      <c r="C3991" t="s">
        <v>276</v>
      </c>
      <c r="D3991" t="str">
        <f>IFERROR(VLOOKUP(C3991,APOYO!J:K,2,FALSE),C3991)</f>
        <v>MALAMBO</v>
      </c>
      <c r="E3991">
        <v>2018</v>
      </c>
    </row>
    <row r="3992" spans="1:5" hidden="1" x14ac:dyDescent="0.25">
      <c r="A3992" t="str">
        <f>_xlfn.XLOOKUP(C3992, 'Códigos DANE Municipios'!$B$2:$B$1123, 'Códigos DANE Municipios'!$A$2:$A$1123, "No encontrado")</f>
        <v>44560</v>
      </c>
      <c r="B3992" t="str">
        <f>IFERROR(VLOOKUP(D3992,APOYO!K:L,2,FALSE),A3992)</f>
        <v>44560</v>
      </c>
      <c r="C3992" t="s">
        <v>1291</v>
      </c>
      <c r="D3992" t="str">
        <f>IFERROR(VLOOKUP(C3992,APOYO!J:K,2,FALSE),C3992)</f>
        <v>MANAURE</v>
      </c>
      <c r="E3992">
        <v>2018</v>
      </c>
    </row>
    <row r="3993" spans="1:5" hidden="1" x14ac:dyDescent="0.25">
      <c r="A3993" t="str">
        <f>_xlfn.XLOOKUP(C3993, 'Códigos DANE Municipios'!$B$2:$B$1123, 'Códigos DANE Municipios'!$A$2:$A$1123, "No encontrado")</f>
        <v>20443</v>
      </c>
      <c r="B3993" t="str">
        <f>IFERROR(VLOOKUP(D3993,APOYO!K:L,2,FALSE),A3993)</f>
        <v>20443</v>
      </c>
      <c r="C3993" t="s">
        <v>838</v>
      </c>
      <c r="D3993" t="str">
        <f>IFERROR(VLOOKUP(C3993,APOYO!J:K,2,FALSE),C3993)</f>
        <v>MANAURE BALCÓN DEL CESAR</v>
      </c>
      <c r="E3993">
        <v>2018</v>
      </c>
    </row>
    <row r="3994" spans="1:5" hidden="1" x14ac:dyDescent="0.25">
      <c r="A3994" t="str">
        <f>_xlfn.XLOOKUP(C3994, 'Códigos DANE Municipios'!$B$2:$B$1123, 'Códigos DANE Municipios'!$A$2:$A$1123, "No encontrado")</f>
        <v>85139</v>
      </c>
      <c r="B3994" t="str">
        <f>IFERROR(VLOOKUP(D3994,APOYO!K:L,2,FALSE),A3994)</f>
        <v>85139</v>
      </c>
      <c r="C3994" t="s">
        <v>2058</v>
      </c>
      <c r="D3994" t="str">
        <f>IFERROR(VLOOKUP(C3994,APOYO!J:K,2,FALSE),C3994)</f>
        <v>MANÍ</v>
      </c>
      <c r="E3994">
        <v>2018</v>
      </c>
    </row>
    <row r="3995" spans="1:5" hidden="1" x14ac:dyDescent="0.25">
      <c r="A3995" t="str">
        <f>_xlfn.XLOOKUP(C3995, 'Códigos DANE Municipios'!$B$2:$B$1123, 'Códigos DANE Municipios'!$A$2:$A$1123, "No encontrado")</f>
        <v>17001</v>
      </c>
      <c r="B3995" t="str">
        <f>IFERROR(VLOOKUP(D3995,APOYO!K:L,2,FALSE),A3995)</f>
        <v>17001</v>
      </c>
      <c r="C3995" t="s">
        <v>644</v>
      </c>
      <c r="D3995" t="str">
        <f>IFERROR(VLOOKUP(C3995,APOYO!J:K,2,FALSE),C3995)</f>
        <v>MANIZALES</v>
      </c>
      <c r="E3995">
        <v>2018</v>
      </c>
    </row>
    <row r="3996" spans="1:5" hidden="1" x14ac:dyDescent="0.25">
      <c r="A3996" t="str">
        <f>_xlfn.XLOOKUP(C3996, 'Códigos DANE Municipios'!$B$2:$B$1123, 'Códigos DANE Municipios'!$A$2:$A$1123, "No encontrado")</f>
        <v>25436</v>
      </c>
      <c r="B3996" t="str">
        <f>IFERROR(VLOOKUP(D3996,APOYO!K:L,2,FALSE),A3996)</f>
        <v>25436</v>
      </c>
      <c r="C3996" t="s">
        <v>1023</v>
      </c>
      <c r="D3996" t="str">
        <f>IFERROR(VLOOKUP(C3996,APOYO!J:K,2,FALSE),C3996)</f>
        <v>MANTA</v>
      </c>
      <c r="E3996">
        <v>2018</v>
      </c>
    </row>
    <row r="3997" spans="1:5" hidden="1" x14ac:dyDescent="0.25">
      <c r="A3997" t="str">
        <f>_xlfn.XLOOKUP(C3997, 'Códigos DANE Municipios'!$B$2:$B$1123, 'Códigos DANE Municipios'!$A$2:$A$1123, "No encontrado")</f>
        <v>17433</v>
      </c>
      <c r="B3997" t="str">
        <f>IFERROR(VLOOKUP(D3997,APOYO!K:L,2,FALSE),A3997)</f>
        <v>17433</v>
      </c>
      <c r="C3997" t="s">
        <v>662</v>
      </c>
      <c r="D3997" t="str">
        <f>IFERROR(VLOOKUP(C3997,APOYO!J:K,2,FALSE),C3997)</f>
        <v>MANZANARES</v>
      </c>
      <c r="E3997">
        <v>2018</v>
      </c>
    </row>
    <row r="3998" spans="1:5" hidden="1" x14ac:dyDescent="0.25">
      <c r="A3998" t="str">
        <f>_xlfn.XLOOKUP(C3998, 'Códigos DANE Municipios'!$B$2:$B$1123, 'Códigos DANE Municipios'!$A$2:$A$1123, "No encontrado")</f>
        <v>50325</v>
      </c>
      <c r="B3998" t="str">
        <f>IFERROR(VLOOKUP(D3998,APOYO!K:L,2,FALSE),A3998)</f>
        <v>50325</v>
      </c>
      <c r="C3998" t="s">
        <v>1382</v>
      </c>
      <c r="D3998" t="str">
        <f>IFERROR(VLOOKUP(C3998,APOYO!J:K,2,FALSE),C3998)</f>
        <v>MAPIRIPÁN</v>
      </c>
      <c r="E3998">
        <v>2018</v>
      </c>
    </row>
    <row r="3999" spans="1:5" hidden="1" x14ac:dyDescent="0.25">
      <c r="A3999" t="str">
        <f>_xlfn.XLOOKUP(C3999, 'Códigos DANE Municipios'!$B$2:$B$1123, 'Códigos DANE Municipios'!$A$2:$A$1123, "No encontrado")</f>
        <v>05440</v>
      </c>
      <c r="B3999" t="str">
        <f>IFERROR(VLOOKUP(D3999,APOYO!K:L,2,FALSE),A3999)</f>
        <v>05440</v>
      </c>
      <c r="C3999" t="s">
        <v>148</v>
      </c>
      <c r="D3999" t="str">
        <f>IFERROR(VLOOKUP(C3999,APOYO!J:K,2,FALSE),C3999)</f>
        <v>MARINILLA</v>
      </c>
      <c r="E3999">
        <v>2018</v>
      </c>
    </row>
    <row r="4000" spans="1:5" hidden="1" x14ac:dyDescent="0.25">
      <c r="A4000" t="str">
        <f>_xlfn.XLOOKUP(C4000, 'Códigos DANE Municipios'!$B$2:$B$1123, 'Códigos DANE Municipios'!$A$2:$A$1123, "No encontrado")</f>
        <v>73443</v>
      </c>
      <c r="B4000" t="str">
        <f>IFERROR(VLOOKUP(D4000,APOYO!K:L,2,FALSE),A4000)</f>
        <v>73443</v>
      </c>
      <c r="C4000" t="s">
        <v>1915</v>
      </c>
      <c r="D4000" t="str">
        <f>IFERROR(VLOOKUP(C4000,APOYO!J:K,2,FALSE),C4000)</f>
        <v>SAN SEBASTIÁN DE MARIQUITA</v>
      </c>
      <c r="E4000">
        <v>2018</v>
      </c>
    </row>
    <row r="4001" spans="1:5" hidden="1" x14ac:dyDescent="0.25">
      <c r="A4001" t="str">
        <f>_xlfn.XLOOKUP(C4001, 'Códigos DANE Municipios'!$B$2:$B$1123, 'Códigos DANE Municipios'!$A$2:$A$1123, "No encontrado")</f>
        <v>17444</v>
      </c>
      <c r="B4001" t="str">
        <f>IFERROR(VLOOKUP(D4001,APOYO!K:L,2,FALSE),A4001)</f>
        <v>17444</v>
      </c>
      <c r="C4001" t="s">
        <v>666</v>
      </c>
      <c r="D4001" t="str">
        <f>IFERROR(VLOOKUP(C4001,APOYO!J:K,2,FALSE),C4001)</f>
        <v>MARQUETALIA</v>
      </c>
      <c r="E4001">
        <v>2018</v>
      </c>
    </row>
    <row r="4002" spans="1:5" hidden="1" x14ac:dyDescent="0.25">
      <c r="A4002" t="str">
        <f>_xlfn.XLOOKUP(C4002, 'Códigos DANE Municipios'!$B$2:$B$1123, 'Códigos DANE Municipios'!$A$2:$A$1123, "No encontrado")</f>
        <v>66440</v>
      </c>
      <c r="B4002" t="str">
        <f>IFERROR(VLOOKUP(D4002,APOYO!K:L,2,FALSE),A4002)</f>
        <v>66440</v>
      </c>
      <c r="C4002" t="s">
        <v>1643</v>
      </c>
      <c r="D4002" t="str">
        <f>IFERROR(VLOOKUP(C4002,APOYO!J:K,2,FALSE),C4002)</f>
        <v>MARSELLA</v>
      </c>
      <c r="E4002">
        <v>2018</v>
      </c>
    </row>
    <row r="4003" spans="1:5" hidden="1" x14ac:dyDescent="0.25">
      <c r="A4003" t="str">
        <f>_xlfn.XLOOKUP(C4003, 'Códigos DANE Municipios'!$B$2:$B$1123, 'Códigos DANE Municipios'!$A$2:$A$1123, "No encontrado")</f>
        <v>17446</v>
      </c>
      <c r="B4003" t="str">
        <f>IFERROR(VLOOKUP(D4003,APOYO!K:L,2,FALSE),A4003)</f>
        <v>17446</v>
      </c>
      <c r="C4003" t="s">
        <v>668</v>
      </c>
      <c r="D4003" t="str">
        <f>IFERROR(VLOOKUP(C4003,APOYO!J:K,2,FALSE),C4003)</f>
        <v>MARULANDA</v>
      </c>
      <c r="E4003">
        <v>2018</v>
      </c>
    </row>
    <row r="4004" spans="1:5" hidden="1" x14ac:dyDescent="0.25">
      <c r="A4004" t="str">
        <f>_xlfn.XLOOKUP(C4004, 'Códigos DANE Municipios'!$B$2:$B$1123, 'Códigos DANE Municipios'!$A$2:$A$1123, "No encontrado")</f>
        <v>68444</v>
      </c>
      <c r="B4004" t="str">
        <f>IFERROR(VLOOKUP(D4004,APOYO!K:L,2,FALSE),A4004)</f>
        <v>68444</v>
      </c>
      <c r="C4004" t="s">
        <v>1748</v>
      </c>
      <c r="D4004" t="str">
        <f>IFERROR(VLOOKUP(C4004,APOYO!J:K,2,FALSE),C4004)</f>
        <v>MATANZA</v>
      </c>
      <c r="E4004">
        <v>2018</v>
      </c>
    </row>
    <row r="4005" spans="1:5" hidden="1" x14ac:dyDescent="0.25">
      <c r="A4005" t="str">
        <f>_xlfn.XLOOKUP(C4005, 'Códigos DANE Municipios'!$B$2:$B$1123, 'Códigos DANE Municipios'!$A$2:$A$1123, "No encontrado")</f>
        <v>05001</v>
      </c>
      <c r="B4005" t="str">
        <f>IFERROR(VLOOKUP(D4005,APOYO!K:L,2,FALSE),A4005)</f>
        <v>05001</v>
      </c>
      <c r="C4005" t="s">
        <v>12</v>
      </c>
      <c r="D4005" t="str">
        <f>IFERROR(VLOOKUP(C4005,APOYO!J:K,2,FALSE),C4005)</f>
        <v>MEDELLÍN</v>
      </c>
      <c r="E4005">
        <v>2018</v>
      </c>
    </row>
    <row r="4006" spans="1:5" hidden="1" x14ac:dyDescent="0.25">
      <c r="A4006" t="str">
        <f>_xlfn.XLOOKUP(C4006, 'Códigos DANE Municipios'!$B$2:$B$1123, 'Códigos DANE Municipios'!$A$2:$A$1123, "No encontrado")</f>
        <v>25438</v>
      </c>
      <c r="B4006" t="str">
        <f>IFERROR(VLOOKUP(D4006,APOYO!K:L,2,FALSE),A4006)</f>
        <v>25438</v>
      </c>
      <c r="C4006" t="s">
        <v>1025</v>
      </c>
      <c r="D4006" t="str">
        <f>IFERROR(VLOOKUP(C4006,APOYO!J:K,2,FALSE),C4006)</f>
        <v>MEDINA</v>
      </c>
      <c r="E4006">
        <v>2018</v>
      </c>
    </row>
    <row r="4007" spans="1:5" hidden="1" x14ac:dyDescent="0.25">
      <c r="A4007" t="str">
        <f>_xlfn.XLOOKUP(C4007, 'Códigos DANE Municipios'!$B$2:$B$1123, 'Códigos DANE Municipios'!$A$2:$A$1123, "No encontrado")</f>
        <v>27430</v>
      </c>
      <c r="B4007" t="str">
        <f>IFERROR(VLOOKUP(D4007,APOYO!K:L,2,FALSE),A4007)</f>
        <v>27430</v>
      </c>
      <c r="C4007" t="s">
        <v>1178</v>
      </c>
      <c r="D4007" t="str">
        <f>IFERROR(VLOOKUP(C4007,APOYO!J:K,2,FALSE),C4007)</f>
        <v>MEDIO BAUDÓ</v>
      </c>
      <c r="E4007">
        <v>2018</v>
      </c>
    </row>
    <row r="4008" spans="1:5" hidden="1" x14ac:dyDescent="0.25">
      <c r="A4008" t="str">
        <f>_xlfn.XLOOKUP(C4008, 'Códigos DANE Municipios'!$B$2:$B$1123, 'Códigos DANE Municipios'!$A$2:$A$1123, "No encontrado")</f>
        <v>73449</v>
      </c>
      <c r="B4008" t="str">
        <f>IFERROR(VLOOKUP(D4008,APOYO!K:L,2,FALSE),A4008)</f>
        <v>73449</v>
      </c>
      <c r="C4008" t="s">
        <v>1917</v>
      </c>
      <c r="D4008" t="str">
        <f>IFERROR(VLOOKUP(C4008,APOYO!J:K,2,FALSE),C4008)</f>
        <v>MELGAR</v>
      </c>
      <c r="E4008">
        <v>2018</v>
      </c>
    </row>
    <row r="4009" spans="1:5" hidden="1" x14ac:dyDescent="0.25">
      <c r="A4009" t="str">
        <f>_xlfn.XLOOKUP(C4009, 'Códigos DANE Municipios'!$B$2:$B$1123, 'Códigos DANE Municipios'!$A$2:$A$1123, "No encontrado")</f>
        <v>50330</v>
      </c>
      <c r="B4009" t="str">
        <f>IFERROR(VLOOKUP(D4009,APOYO!K:L,2,FALSE),A4009)</f>
        <v>50330</v>
      </c>
      <c r="C4009" t="s">
        <v>1384</v>
      </c>
      <c r="D4009" t="str">
        <f>IFERROR(VLOOKUP(C4009,APOYO!J:K,2,FALSE),C4009)</f>
        <v>MESETAS</v>
      </c>
      <c r="E4009">
        <v>2018</v>
      </c>
    </row>
    <row r="4010" spans="1:5" hidden="1" x14ac:dyDescent="0.25">
      <c r="A4010" t="str">
        <f>_xlfn.XLOOKUP(C4010, 'Códigos DANE Municipios'!$B$2:$B$1123, 'Códigos DANE Municipios'!$A$2:$A$1123, "No encontrado")</f>
        <v>15455</v>
      </c>
      <c r="B4010" t="str">
        <f>IFERROR(VLOOKUP(D4010,APOYO!K:L,2,FALSE),A4010)</f>
        <v>15455</v>
      </c>
      <c r="C4010" t="s">
        <v>504</v>
      </c>
      <c r="D4010" t="str">
        <f>IFERROR(VLOOKUP(C4010,APOYO!J:K,2,FALSE),C4010)</f>
        <v>MIRAFLORES</v>
      </c>
      <c r="E4010">
        <v>2018</v>
      </c>
    </row>
    <row r="4011" spans="1:5" hidden="1" x14ac:dyDescent="0.25">
      <c r="A4011" t="str">
        <f>_xlfn.XLOOKUP(C4011, 'Códigos DANE Municipios'!$B$2:$B$1123, 'Códigos DANE Municipios'!$A$2:$A$1123, "No encontrado")</f>
        <v>19455</v>
      </c>
      <c r="B4011" t="str">
        <f>IFERROR(VLOOKUP(D4011,APOYO!K:L,2,FALSE),A4011)</f>
        <v>19455</v>
      </c>
      <c r="C4011" t="s">
        <v>767</v>
      </c>
      <c r="D4011" t="str">
        <f>IFERROR(VLOOKUP(C4011,APOYO!J:K,2,FALSE),C4011)</f>
        <v>MIRANDA</v>
      </c>
      <c r="E4011">
        <v>2018</v>
      </c>
    </row>
    <row r="4012" spans="1:5" hidden="1" x14ac:dyDescent="0.25">
      <c r="A4012" t="str">
        <f>_xlfn.XLOOKUP(C4012, 'Códigos DANE Municipios'!$B$2:$B$1123, 'Códigos DANE Municipios'!$A$2:$A$1123, "No encontrado")</f>
        <v>66456</v>
      </c>
      <c r="B4012" t="str">
        <f>IFERROR(VLOOKUP(D4012,APOYO!K:L,2,FALSE),A4012)</f>
        <v>66456</v>
      </c>
      <c r="C4012" t="s">
        <v>1645</v>
      </c>
      <c r="D4012" t="str">
        <f>IFERROR(VLOOKUP(C4012,APOYO!J:K,2,FALSE),C4012)</f>
        <v>MISTRATÓ</v>
      </c>
      <c r="E4012">
        <v>2018</v>
      </c>
    </row>
    <row r="4013" spans="1:5" hidden="1" x14ac:dyDescent="0.25">
      <c r="A4013" t="str">
        <f>_xlfn.XLOOKUP(C4013, 'Códigos DANE Municipios'!$B$2:$B$1123, 'Códigos DANE Municipios'!$A$2:$A$1123, "No encontrado")</f>
        <v>97001</v>
      </c>
      <c r="B4013" t="str">
        <f>IFERROR(VLOOKUP(D4013,APOYO!K:L,2,FALSE),A4013)</f>
        <v>97001</v>
      </c>
      <c r="C4013" t="s">
        <v>2151</v>
      </c>
      <c r="D4013" t="str">
        <f>IFERROR(VLOOKUP(C4013,APOYO!J:K,2,FALSE),C4013)</f>
        <v>MITÚ</v>
      </c>
      <c r="E4013">
        <v>2018</v>
      </c>
    </row>
    <row r="4014" spans="1:5" hidden="1" x14ac:dyDescent="0.25">
      <c r="A4014" t="str">
        <f>_xlfn.XLOOKUP(C4014, 'Códigos DANE Municipios'!$B$2:$B$1123, 'Códigos DANE Municipios'!$A$2:$A$1123, "No encontrado")</f>
        <v>86001</v>
      </c>
      <c r="B4014" t="str">
        <f>IFERROR(VLOOKUP(D4014,APOYO!K:L,2,FALSE),A4014)</f>
        <v>86001</v>
      </c>
      <c r="C4014" t="s">
        <v>2084</v>
      </c>
      <c r="D4014" t="str">
        <f>IFERROR(VLOOKUP(C4014,APOYO!J:K,2,FALSE),C4014)</f>
        <v>MOCOA</v>
      </c>
      <c r="E4014">
        <v>2018</v>
      </c>
    </row>
    <row r="4015" spans="1:5" hidden="1" x14ac:dyDescent="0.25">
      <c r="A4015" t="str">
        <f>_xlfn.XLOOKUP(C4015, 'Códigos DANE Municipios'!$B$2:$B$1123, 'Códigos DANE Municipios'!$A$2:$A$1123, "No encontrado")</f>
        <v>68464</v>
      </c>
      <c r="B4015" t="str">
        <f>IFERROR(VLOOKUP(D4015,APOYO!K:L,2,FALSE),A4015)</f>
        <v>68464</v>
      </c>
      <c r="C4015" t="s">
        <v>1750</v>
      </c>
      <c r="D4015" t="str">
        <f>IFERROR(VLOOKUP(C4015,APOYO!J:K,2,FALSE),C4015)</f>
        <v>MOGOTES</v>
      </c>
      <c r="E4015">
        <v>2018</v>
      </c>
    </row>
    <row r="4016" spans="1:5" hidden="1" x14ac:dyDescent="0.25">
      <c r="A4016" t="str">
        <f>_xlfn.XLOOKUP(C4016, 'Códigos DANE Municipios'!$B$2:$B$1123, 'Códigos DANE Municipios'!$A$2:$A$1123, "No encontrado")</f>
        <v>13468</v>
      </c>
      <c r="B4016" t="str">
        <f>IFERROR(VLOOKUP(D4016,APOYO!K:L,2,FALSE),A4016)</f>
        <v>13468</v>
      </c>
      <c r="C4016" t="s">
        <v>351</v>
      </c>
      <c r="D4016" t="str">
        <f>IFERROR(VLOOKUP(C4016,APOYO!J:K,2,FALSE),C4016)</f>
        <v>MOMPÓS</v>
      </c>
      <c r="E4016">
        <v>2018</v>
      </c>
    </row>
    <row r="4017" spans="1:5" hidden="1" x14ac:dyDescent="0.25">
      <c r="A4017" t="str">
        <f>_xlfn.XLOOKUP(C4017, 'Códigos DANE Municipios'!$B$2:$B$1123, 'Códigos DANE Municipios'!$A$2:$A$1123, "No encontrado")</f>
        <v>15469</v>
      </c>
      <c r="B4017" t="str">
        <f>IFERROR(VLOOKUP(D4017,APOYO!K:L,2,FALSE),A4017)</f>
        <v>15469</v>
      </c>
      <c r="C4017" t="s">
        <v>510</v>
      </c>
      <c r="D4017" t="str">
        <f>IFERROR(VLOOKUP(C4017,APOYO!J:K,2,FALSE),C4017)</f>
        <v>MONIQUIRÁ</v>
      </c>
      <c r="E4017">
        <v>2018</v>
      </c>
    </row>
    <row r="4018" spans="1:5" hidden="1" x14ac:dyDescent="0.25">
      <c r="A4018" t="str">
        <f>_xlfn.XLOOKUP(C4018, 'Códigos DANE Municipios'!$B$2:$B$1123, 'Códigos DANE Municipios'!$A$2:$A$1123, "No encontrado")</f>
        <v>23500</v>
      </c>
      <c r="B4018" t="str">
        <f>IFERROR(VLOOKUP(D4018,APOYO!K:L,2,FALSE),A4018)</f>
        <v>23500</v>
      </c>
      <c r="C4018" t="s">
        <v>885</v>
      </c>
      <c r="D4018" t="str">
        <f>IFERROR(VLOOKUP(C4018,APOYO!J:K,2,FALSE),C4018)</f>
        <v>MOÑITOS</v>
      </c>
      <c r="E4018">
        <v>2018</v>
      </c>
    </row>
    <row r="4019" spans="1:5" hidden="1" x14ac:dyDescent="0.25">
      <c r="A4019" t="str">
        <f>_xlfn.XLOOKUP(C4019, 'Códigos DANE Municipios'!$B$2:$B$1123, 'Códigos DANE Municipios'!$A$2:$A$1123, "No encontrado")</f>
        <v>05467</v>
      </c>
      <c r="B4019" t="str">
        <f>IFERROR(VLOOKUP(D4019,APOYO!K:L,2,FALSE),A4019)</f>
        <v>05467</v>
      </c>
      <c r="C4019" t="s">
        <v>150</v>
      </c>
      <c r="D4019" t="str">
        <f>IFERROR(VLOOKUP(C4019,APOYO!J:K,2,FALSE),C4019)</f>
        <v>MONTEBELLO</v>
      </c>
      <c r="E4019">
        <v>2018</v>
      </c>
    </row>
    <row r="4020" spans="1:5" hidden="1" x14ac:dyDescent="0.25">
      <c r="A4020" t="str">
        <f>_xlfn.XLOOKUP(C4020, 'Códigos DANE Municipios'!$B$2:$B$1123, 'Códigos DANE Municipios'!$A$2:$A$1123, "No encontrado")</f>
        <v>23466</v>
      </c>
      <c r="B4020" t="str">
        <f>IFERROR(VLOOKUP(D4020,APOYO!K:L,2,FALSE),A4020)</f>
        <v>23466</v>
      </c>
      <c r="C4020" t="s">
        <v>883</v>
      </c>
      <c r="D4020" t="str">
        <f>IFERROR(VLOOKUP(C4020,APOYO!J:K,2,FALSE),C4020)</f>
        <v>MONTELÍBANO</v>
      </c>
      <c r="E4020">
        <v>2018</v>
      </c>
    </row>
    <row r="4021" spans="1:5" hidden="1" x14ac:dyDescent="0.25">
      <c r="A4021" t="str">
        <f>_xlfn.XLOOKUP(C4021, 'Códigos DANE Municipios'!$B$2:$B$1123, 'Códigos DANE Municipios'!$A$2:$A$1123, "No encontrado")</f>
        <v>63470</v>
      </c>
      <c r="B4021" t="str">
        <f>IFERROR(VLOOKUP(D4021,APOYO!K:L,2,FALSE),A4021)</f>
        <v>63470</v>
      </c>
      <c r="C4021" t="s">
        <v>1620</v>
      </c>
      <c r="D4021" t="str">
        <f>IFERROR(VLOOKUP(C4021,APOYO!J:K,2,FALSE),C4021)</f>
        <v>MONTENEGRO</v>
      </c>
      <c r="E4021">
        <v>2018</v>
      </c>
    </row>
    <row r="4022" spans="1:5" hidden="1" x14ac:dyDescent="0.25">
      <c r="A4022" t="str">
        <f>_xlfn.XLOOKUP(C4022, 'Códigos DANE Municipios'!$B$2:$B$1123, 'Códigos DANE Municipios'!$A$2:$A$1123, "No encontrado")</f>
        <v>23001</v>
      </c>
      <c r="B4022" t="str">
        <f>IFERROR(VLOOKUP(D4022,APOYO!K:L,2,FALSE),A4022)</f>
        <v>23001</v>
      </c>
      <c r="C4022" t="s">
        <v>858</v>
      </c>
      <c r="D4022" t="str">
        <f>IFERROR(VLOOKUP(C4022,APOYO!J:K,2,FALSE),C4022)</f>
        <v>MONTERÍA</v>
      </c>
      <c r="E4022">
        <v>2018</v>
      </c>
    </row>
    <row r="4023" spans="1:5" hidden="1" x14ac:dyDescent="0.25">
      <c r="A4023" t="str">
        <f>_xlfn.XLOOKUP(C4023, 'Códigos DANE Municipios'!$B$2:$B$1123, 'Códigos DANE Municipios'!$A$2:$A$1123, "No encontrado")</f>
        <v>85162</v>
      </c>
      <c r="B4023" t="str">
        <f>IFERROR(VLOOKUP(D4023,APOYO!K:L,2,FALSE),A4023)</f>
        <v>85162</v>
      </c>
      <c r="C4023" t="s">
        <v>2060</v>
      </c>
      <c r="D4023" t="str">
        <f>IFERROR(VLOOKUP(C4023,APOYO!J:K,2,FALSE),C4023)</f>
        <v>MONTERREY</v>
      </c>
      <c r="E4023">
        <v>2018</v>
      </c>
    </row>
    <row r="4024" spans="1:5" hidden="1" x14ac:dyDescent="0.25">
      <c r="A4024" t="str">
        <f>_xlfn.XLOOKUP(C4024, 'Códigos DANE Municipios'!$B$2:$B$1123, 'Códigos DANE Municipios'!$A$2:$A$1123, "No encontrado")</f>
        <v>13473</v>
      </c>
      <c r="B4024" t="str">
        <f>IFERROR(VLOOKUP(D4024,APOYO!K:L,2,FALSE),A4024)</f>
        <v>13473</v>
      </c>
      <c r="C4024" t="s">
        <v>353</v>
      </c>
      <c r="D4024" t="str">
        <f>IFERROR(VLOOKUP(C4024,APOYO!J:K,2,FALSE),C4024)</f>
        <v>MORALES</v>
      </c>
      <c r="E4024">
        <v>2018</v>
      </c>
    </row>
    <row r="4025" spans="1:5" hidden="1" x14ac:dyDescent="0.25">
      <c r="A4025" t="str">
        <f>_xlfn.XLOOKUP(C4025, 'Códigos DANE Municipios'!$B$2:$B$1123, 'Códigos DANE Municipios'!$A$2:$A$1123, "No encontrado")</f>
        <v>70473</v>
      </c>
      <c r="B4025" t="str">
        <f>IFERROR(VLOOKUP(D4025,APOYO!K:L,2,FALSE),A4025)</f>
        <v>70473</v>
      </c>
      <c r="C4025" t="s">
        <v>1840</v>
      </c>
      <c r="D4025" t="str">
        <f>IFERROR(VLOOKUP(C4025,APOYO!J:K,2,FALSE),C4025)</f>
        <v>MORROA</v>
      </c>
      <c r="E4025">
        <v>2018</v>
      </c>
    </row>
    <row r="4026" spans="1:5" hidden="1" x14ac:dyDescent="0.25">
      <c r="A4026" t="str">
        <f>_xlfn.XLOOKUP(C4026, 'Códigos DANE Municipios'!$B$2:$B$1123, 'Códigos DANE Municipios'!$A$2:$A$1123, "No encontrado")</f>
        <v>18479</v>
      </c>
      <c r="B4026" t="str">
        <f>IFERROR(VLOOKUP(D4026,APOYO!K:L,2,FALSE),A4026)</f>
        <v>18479</v>
      </c>
      <c r="C4026" t="s">
        <v>716</v>
      </c>
      <c r="D4026" t="str">
        <f>IFERROR(VLOOKUP(C4026,APOYO!J:K,2,FALSE),C4026)</f>
        <v>MORELIA</v>
      </c>
      <c r="E4026">
        <v>2018</v>
      </c>
    </row>
    <row r="4027" spans="1:5" hidden="1" x14ac:dyDescent="0.25">
      <c r="A4027" t="str">
        <f>_xlfn.XLOOKUP(C4027, 'Códigos DANE Municipios'!$B$2:$B$1123, 'Códigos DANE Municipios'!$A$2:$A$1123, "No encontrado")</f>
        <v>25473</v>
      </c>
      <c r="B4027" t="str">
        <f>IFERROR(VLOOKUP(D4027,APOYO!K:L,2,FALSE),A4027)</f>
        <v>25473</v>
      </c>
      <c r="C4027" t="s">
        <v>1027</v>
      </c>
      <c r="D4027" t="str">
        <f>IFERROR(VLOOKUP(C4027,APOYO!J:K,2,FALSE),C4027)</f>
        <v>MOSQUERA</v>
      </c>
      <c r="E4027">
        <v>2018</v>
      </c>
    </row>
    <row r="4028" spans="1:5" hidden="1" x14ac:dyDescent="0.25">
      <c r="A4028" t="str">
        <f>_xlfn.XLOOKUP(C4028, 'Códigos DANE Municipios'!$B$2:$B$1123, 'Códigos DANE Municipios'!$A$2:$A$1123, "No encontrado")</f>
        <v>73461</v>
      </c>
      <c r="B4028" t="str">
        <f>IFERROR(VLOOKUP(D4028,APOYO!K:L,2,FALSE),A4028)</f>
        <v>73461</v>
      </c>
      <c r="C4028" t="s">
        <v>1919</v>
      </c>
      <c r="D4028" t="str">
        <f>IFERROR(VLOOKUP(C4028,APOYO!J:K,2,FALSE),C4028)</f>
        <v>MURILLO</v>
      </c>
      <c r="E4028">
        <v>2018</v>
      </c>
    </row>
    <row r="4029" spans="1:5" hidden="1" x14ac:dyDescent="0.25">
      <c r="A4029" t="str">
        <f>_xlfn.XLOOKUP(C4029, 'Códigos DANE Municipios'!$B$2:$B$1123, 'Códigos DANE Municipios'!$A$2:$A$1123, "No encontrado")</f>
        <v>05480</v>
      </c>
      <c r="B4029" t="str">
        <f>IFERROR(VLOOKUP(D4029,APOYO!K:L,2,FALSE),A4029)</f>
        <v>05480</v>
      </c>
      <c r="C4029" t="s">
        <v>154</v>
      </c>
      <c r="D4029" t="str">
        <f>IFERROR(VLOOKUP(C4029,APOYO!J:K,2,FALSE),C4029)</f>
        <v>MUTATÁ</v>
      </c>
      <c r="E4029">
        <v>2018</v>
      </c>
    </row>
    <row r="4030" spans="1:5" hidden="1" x14ac:dyDescent="0.25">
      <c r="A4030" t="str">
        <f>_xlfn.XLOOKUP(C4030, 'Códigos DANE Municipios'!$B$2:$B$1123, 'Códigos DANE Municipios'!$A$2:$A$1123, "No encontrado")</f>
        <v>15480</v>
      </c>
      <c r="B4030" t="str">
        <f>IFERROR(VLOOKUP(D4030,APOYO!K:L,2,FALSE),A4030)</f>
        <v>15480</v>
      </c>
      <c r="C4030" t="s">
        <v>514</v>
      </c>
      <c r="D4030" t="str">
        <f>IFERROR(VLOOKUP(C4030,APOYO!J:K,2,FALSE),C4030)</f>
        <v>MUZO</v>
      </c>
      <c r="E4030">
        <v>2018</v>
      </c>
    </row>
    <row r="4031" spans="1:5" hidden="1" x14ac:dyDescent="0.25">
      <c r="A4031" t="str">
        <f>_xlfn.XLOOKUP(C4031, 'Códigos DANE Municipios'!$B$2:$B$1123, 'Códigos DANE Municipios'!$A$2:$A$1123, "No encontrado")</f>
        <v>05483</v>
      </c>
      <c r="B4031" t="str">
        <f>IFERROR(VLOOKUP(D4031,APOYO!K:L,2,FALSE),A4031)</f>
        <v>05483</v>
      </c>
      <c r="C4031" t="s">
        <v>156</v>
      </c>
      <c r="D4031" t="str">
        <f>IFERROR(VLOOKUP(C4031,APOYO!J:K,2,FALSE),C4031)</f>
        <v>NARIÑO</v>
      </c>
      <c r="E4031">
        <v>2018</v>
      </c>
    </row>
    <row r="4032" spans="1:5" hidden="1" x14ac:dyDescent="0.25">
      <c r="A4032" t="str">
        <f>_xlfn.XLOOKUP(C4032, 'Códigos DANE Municipios'!$B$2:$B$1123, 'Códigos DANE Municipios'!$A$2:$A$1123, "No encontrado")</f>
        <v>41483</v>
      </c>
      <c r="B4032" t="str">
        <f>IFERROR(VLOOKUP(D4032,APOYO!K:L,2,FALSE),A4032)</f>
        <v>41483</v>
      </c>
      <c r="C4032" t="s">
        <v>1236</v>
      </c>
      <c r="D4032" t="str">
        <f>IFERROR(VLOOKUP(C4032,APOYO!J:K,2,FALSE),C4032)</f>
        <v>NÁTAGA</v>
      </c>
      <c r="E4032">
        <v>2018</v>
      </c>
    </row>
    <row r="4033" spans="1:5" hidden="1" x14ac:dyDescent="0.25">
      <c r="A4033" t="str">
        <f>_xlfn.XLOOKUP(C4033, 'Códigos DANE Municipios'!$B$2:$B$1123, 'Códigos DANE Municipios'!$A$2:$A$1123, "No encontrado")</f>
        <v>73483</v>
      </c>
      <c r="B4033" t="str">
        <f>IFERROR(VLOOKUP(D4033,APOYO!K:L,2,FALSE),A4033)</f>
        <v>73483</v>
      </c>
      <c r="C4033" t="s">
        <v>1921</v>
      </c>
      <c r="D4033" t="str">
        <f>IFERROR(VLOOKUP(C4033,APOYO!J:K,2,FALSE),C4033)</f>
        <v>NATAGAIMA</v>
      </c>
      <c r="E4033">
        <v>2018</v>
      </c>
    </row>
    <row r="4034" spans="1:5" hidden="1" x14ac:dyDescent="0.25">
      <c r="A4034" t="str">
        <f>_xlfn.XLOOKUP(C4034, 'Códigos DANE Municipios'!$B$2:$B$1123, 'Códigos DANE Municipios'!$A$2:$A$1123, "No encontrado")</f>
        <v>05490</v>
      </c>
      <c r="B4034" t="str">
        <f>IFERROR(VLOOKUP(D4034,APOYO!K:L,2,FALSE),A4034)</f>
        <v>05490</v>
      </c>
      <c r="C4034" t="s">
        <v>158</v>
      </c>
      <c r="D4034" t="str">
        <f>IFERROR(VLOOKUP(C4034,APOYO!J:K,2,FALSE),C4034)</f>
        <v>NECOCLÍ</v>
      </c>
      <c r="E4034">
        <v>2018</v>
      </c>
    </row>
    <row r="4035" spans="1:5" hidden="1" x14ac:dyDescent="0.25">
      <c r="A4035" t="str">
        <f>_xlfn.XLOOKUP(C4035, 'Códigos DANE Municipios'!$B$2:$B$1123, 'Códigos DANE Municipios'!$A$2:$A$1123, "No encontrado")</f>
        <v>17486</v>
      </c>
      <c r="B4035" t="str">
        <f>IFERROR(VLOOKUP(D4035,APOYO!K:L,2,FALSE),A4035)</f>
        <v>17486</v>
      </c>
      <c r="C4035" t="s">
        <v>670</v>
      </c>
      <c r="D4035" t="str">
        <f>IFERROR(VLOOKUP(C4035,APOYO!J:K,2,FALSE),C4035)</f>
        <v>NEIRA</v>
      </c>
      <c r="E4035">
        <v>2018</v>
      </c>
    </row>
    <row r="4036" spans="1:5" hidden="1" x14ac:dyDescent="0.25">
      <c r="A4036" t="str">
        <f>_xlfn.XLOOKUP(C4036, 'Códigos DANE Municipios'!$B$2:$B$1123, 'Códigos DANE Municipios'!$A$2:$A$1123, "No encontrado")</f>
        <v>41001</v>
      </c>
      <c r="B4036" t="str">
        <f>IFERROR(VLOOKUP(D4036,APOYO!K:L,2,FALSE),A4036)</f>
        <v>41001</v>
      </c>
      <c r="C4036" t="s">
        <v>1201</v>
      </c>
      <c r="D4036" t="str">
        <f>IFERROR(VLOOKUP(C4036,APOYO!J:K,2,FALSE),C4036)</f>
        <v>NEIVA</v>
      </c>
      <c r="E4036">
        <v>2018</v>
      </c>
    </row>
    <row r="4037" spans="1:5" hidden="1" x14ac:dyDescent="0.25">
      <c r="A4037" t="str">
        <f>_xlfn.XLOOKUP(C4037, 'Códigos DANE Municipios'!$B$2:$B$1123, 'Códigos DANE Municipios'!$A$2:$A$1123, "No encontrado")</f>
        <v>25486</v>
      </c>
      <c r="B4037" t="str">
        <f>IFERROR(VLOOKUP(D4037,APOYO!K:L,2,FALSE),A4037)</f>
        <v>25486</v>
      </c>
      <c r="C4037" t="s">
        <v>1030</v>
      </c>
      <c r="D4037" t="str">
        <f>IFERROR(VLOOKUP(C4037,APOYO!J:K,2,FALSE),C4037)</f>
        <v>NEMOCÓN</v>
      </c>
      <c r="E4037">
        <v>2018</v>
      </c>
    </row>
    <row r="4038" spans="1:5" hidden="1" x14ac:dyDescent="0.25">
      <c r="A4038" t="str">
        <f>_xlfn.XLOOKUP(C4038, 'Códigos DANE Municipios'!$B$2:$B$1123, 'Códigos DANE Municipios'!$A$2:$A$1123, "No encontrado")</f>
        <v>25488</v>
      </c>
      <c r="B4038" t="str">
        <f>IFERROR(VLOOKUP(D4038,APOYO!K:L,2,FALSE),A4038)</f>
        <v>25488</v>
      </c>
      <c r="C4038" t="s">
        <v>1032</v>
      </c>
      <c r="D4038" t="str">
        <f>IFERROR(VLOOKUP(C4038,APOYO!J:K,2,FALSE),C4038)</f>
        <v>NILO</v>
      </c>
      <c r="E4038">
        <v>2018</v>
      </c>
    </row>
    <row r="4039" spans="1:5" hidden="1" x14ac:dyDescent="0.25">
      <c r="A4039" t="str">
        <f>_xlfn.XLOOKUP(C4039, 'Códigos DANE Municipios'!$B$2:$B$1123, 'Códigos DANE Municipios'!$A$2:$A$1123, "No encontrado")</f>
        <v>25489</v>
      </c>
      <c r="B4039" t="str">
        <f>IFERROR(VLOOKUP(D4039,APOYO!K:L,2,FALSE),A4039)</f>
        <v>25489</v>
      </c>
      <c r="C4039" t="s">
        <v>1034</v>
      </c>
      <c r="D4039" t="str">
        <f>IFERROR(VLOOKUP(C4039,APOYO!J:K,2,FALSE),C4039)</f>
        <v>NIMAIMA</v>
      </c>
      <c r="E4039">
        <v>2018</v>
      </c>
    </row>
    <row r="4040" spans="1:5" hidden="1" x14ac:dyDescent="0.25">
      <c r="A4040" t="str">
        <f>_xlfn.XLOOKUP(C4040, 'Códigos DANE Municipios'!$B$2:$B$1123, 'Códigos DANE Municipios'!$A$2:$A$1123, "No encontrado")</f>
        <v>15491</v>
      </c>
      <c r="B4040" t="str">
        <f>IFERROR(VLOOKUP(D4040,APOYO!K:L,2,FALSE),A4040)</f>
        <v>15491</v>
      </c>
      <c r="C4040" t="s">
        <v>516</v>
      </c>
      <c r="D4040" t="str">
        <f>IFERROR(VLOOKUP(C4040,APOYO!J:K,2,FALSE),C4040)</f>
        <v>NOBSA</v>
      </c>
      <c r="E4040">
        <v>2018</v>
      </c>
    </row>
    <row r="4041" spans="1:5" hidden="1" x14ac:dyDescent="0.25">
      <c r="A4041" t="str">
        <f>_xlfn.XLOOKUP(C4041, 'Códigos DANE Municipios'!$B$2:$B$1123, 'Códigos DANE Municipios'!$A$2:$A$1123, "No encontrado")</f>
        <v>25491</v>
      </c>
      <c r="B4041" t="str">
        <f>IFERROR(VLOOKUP(D4041,APOYO!K:L,2,FALSE),A4041)</f>
        <v>25491</v>
      </c>
      <c r="C4041" t="s">
        <v>1036</v>
      </c>
      <c r="D4041" t="str">
        <f>IFERROR(VLOOKUP(C4041,APOYO!J:K,2,FALSE),C4041)</f>
        <v>NOCAIMA</v>
      </c>
      <c r="E4041">
        <v>2018</v>
      </c>
    </row>
    <row r="4042" spans="1:5" hidden="1" x14ac:dyDescent="0.25">
      <c r="A4042" t="str">
        <f>_xlfn.XLOOKUP(C4042, 'Códigos DANE Municipios'!$B$2:$B$1123, 'Códigos DANE Municipios'!$A$2:$A$1123, "No encontrado")</f>
        <v>17495</v>
      </c>
      <c r="B4042" t="str">
        <f>IFERROR(VLOOKUP(D4042,APOYO!K:L,2,FALSE),A4042)</f>
        <v>17495</v>
      </c>
      <c r="C4042" t="s">
        <v>672</v>
      </c>
      <c r="D4042" t="str">
        <f>IFERROR(VLOOKUP(C4042,APOYO!J:K,2,FALSE),C4042)</f>
        <v>NORCASIA</v>
      </c>
      <c r="E4042">
        <v>2018</v>
      </c>
    </row>
    <row r="4043" spans="1:5" hidden="1" x14ac:dyDescent="0.25">
      <c r="A4043" t="str">
        <f>_xlfn.XLOOKUP(C4043, 'Códigos DANE Municipios'!$B$2:$B$1123, 'Códigos DANE Municipios'!$A$2:$A$1123, "No encontrado")</f>
        <v>15494</v>
      </c>
      <c r="B4043" t="str">
        <f>IFERROR(VLOOKUP(D4043,APOYO!K:L,2,FALSE),A4043)</f>
        <v>15494</v>
      </c>
      <c r="C4043" t="s">
        <v>518</v>
      </c>
      <c r="D4043" t="str">
        <f>IFERROR(VLOOKUP(C4043,APOYO!J:K,2,FALSE),C4043)</f>
        <v>NUEVO COLÓN</v>
      </c>
      <c r="E4043">
        <v>2018</v>
      </c>
    </row>
    <row r="4044" spans="1:5" hidden="1" x14ac:dyDescent="0.25">
      <c r="A4044" t="str">
        <f>_xlfn.XLOOKUP(C4044, 'Códigos DANE Municipios'!$B$2:$B$1123, 'Códigos DANE Municipios'!$A$2:$A$1123, "No encontrado")</f>
        <v>85225</v>
      </c>
      <c r="B4044" t="str">
        <f>IFERROR(VLOOKUP(D4044,APOYO!K:L,2,FALSE),A4044)</f>
        <v>85225</v>
      </c>
      <c r="C4044" t="s">
        <v>2062</v>
      </c>
      <c r="D4044" t="str">
        <f>IFERROR(VLOOKUP(C4044,APOYO!J:K,2,FALSE),C4044)</f>
        <v>NUNCHÍA</v>
      </c>
      <c r="E4044">
        <v>2018</v>
      </c>
    </row>
    <row r="4045" spans="1:5" hidden="1" x14ac:dyDescent="0.25">
      <c r="A4045" t="str">
        <f>_xlfn.XLOOKUP(C4045, 'Códigos DANE Municipios'!$B$2:$B$1123, 'Códigos DANE Municipios'!$A$2:$A$1123, "No encontrado")</f>
        <v>27495</v>
      </c>
      <c r="B4045" t="str">
        <f>IFERROR(VLOOKUP(D4045,APOYO!K:L,2,FALSE),A4045)</f>
        <v>27495</v>
      </c>
      <c r="C4045" t="s">
        <v>1184</v>
      </c>
      <c r="D4045" t="str">
        <f>IFERROR(VLOOKUP(C4045,APOYO!J:K,2,FALSE),C4045)</f>
        <v>NUQUÍ</v>
      </c>
      <c r="E4045">
        <v>2018</v>
      </c>
    </row>
    <row r="4046" spans="1:5" hidden="1" x14ac:dyDescent="0.25">
      <c r="A4046" t="str">
        <f>_xlfn.XLOOKUP(C4046, 'Códigos DANE Municipios'!$B$2:$B$1123, 'Códigos DANE Municipios'!$A$2:$A$1123, "No encontrado")</f>
        <v>76497</v>
      </c>
      <c r="B4046" t="str">
        <f>IFERROR(VLOOKUP(D4046,APOYO!K:L,2,FALSE),A4046)</f>
        <v>76497</v>
      </c>
      <c r="C4046" t="s">
        <v>2002</v>
      </c>
      <c r="D4046" t="str">
        <f>IFERROR(VLOOKUP(C4046,APOYO!J:K,2,FALSE),C4046)</f>
        <v>OBANDO</v>
      </c>
      <c r="E4046">
        <v>2018</v>
      </c>
    </row>
    <row r="4047" spans="1:5" hidden="1" x14ac:dyDescent="0.25">
      <c r="A4047" t="str">
        <f>_xlfn.XLOOKUP(C4047, 'Códigos DANE Municipios'!$B$2:$B$1123, 'Códigos DANE Municipios'!$A$2:$A$1123, "No encontrado")</f>
        <v>68498</v>
      </c>
      <c r="B4047" t="str">
        <f>IFERROR(VLOOKUP(D4047,APOYO!K:L,2,FALSE),A4047)</f>
        <v>68498</v>
      </c>
      <c r="C4047" t="s">
        <v>1754</v>
      </c>
      <c r="D4047" t="str">
        <f>IFERROR(VLOOKUP(C4047,APOYO!J:K,2,FALSE),C4047)</f>
        <v>OCAMONTE</v>
      </c>
      <c r="E4047">
        <v>2018</v>
      </c>
    </row>
    <row r="4048" spans="1:5" hidden="1" x14ac:dyDescent="0.25">
      <c r="A4048" t="str">
        <f>_xlfn.XLOOKUP(C4048, 'Códigos DANE Municipios'!$B$2:$B$1123, 'Códigos DANE Municipios'!$A$2:$A$1123, "No encontrado")</f>
        <v>54498</v>
      </c>
      <c r="B4048" t="str">
        <f>IFERROR(VLOOKUP(D4048,APOYO!K:L,2,FALSE),A4048)</f>
        <v>54498</v>
      </c>
      <c r="C4048" t="s">
        <v>1577</v>
      </c>
      <c r="D4048" t="str">
        <f>IFERROR(VLOOKUP(C4048,APOYO!J:K,2,FALSE),C4048)</f>
        <v>OCAÑA</v>
      </c>
      <c r="E4048">
        <v>2018</v>
      </c>
    </row>
    <row r="4049" spans="1:5" hidden="1" x14ac:dyDescent="0.25">
      <c r="A4049" t="str">
        <f>_xlfn.XLOOKUP(C4049, 'Códigos DANE Municipios'!$B$2:$B$1123, 'Códigos DANE Municipios'!$A$2:$A$1123, "No encontrado")</f>
        <v>68500</v>
      </c>
      <c r="B4049" t="str">
        <f>IFERROR(VLOOKUP(D4049,APOYO!K:L,2,FALSE),A4049)</f>
        <v>68500</v>
      </c>
      <c r="C4049" t="s">
        <v>1756</v>
      </c>
      <c r="D4049" t="str">
        <f>IFERROR(VLOOKUP(C4049,APOYO!J:K,2,FALSE),C4049)</f>
        <v>OIBA</v>
      </c>
      <c r="E4049">
        <v>2018</v>
      </c>
    </row>
    <row r="4050" spans="1:5" hidden="1" x14ac:dyDescent="0.25">
      <c r="A4050" t="str">
        <f>_xlfn.XLOOKUP(C4050, 'Códigos DANE Municipios'!$B$2:$B$1123, 'Códigos DANE Municipios'!$A$2:$A$1123, "No encontrado")</f>
        <v>05501</v>
      </c>
      <c r="B4050" t="str">
        <f>IFERROR(VLOOKUP(D4050,APOYO!K:L,2,FALSE),A4050)</f>
        <v>05501</v>
      </c>
      <c r="C4050" t="s">
        <v>162</v>
      </c>
      <c r="D4050" t="str">
        <f>IFERROR(VLOOKUP(C4050,APOYO!J:K,2,FALSE),C4050)</f>
        <v>OLAYA</v>
      </c>
      <c r="E4050">
        <v>2018</v>
      </c>
    </row>
    <row r="4051" spans="1:5" hidden="1" x14ac:dyDescent="0.25">
      <c r="A4051" t="str">
        <f>_xlfn.XLOOKUP(C4051, 'Códigos DANE Municipios'!$B$2:$B$1123, 'Códigos DANE Municipios'!$A$2:$A$1123, "No encontrado")</f>
        <v>68502</v>
      </c>
      <c r="B4051" t="str">
        <f>IFERROR(VLOOKUP(D4051,APOYO!K:L,2,FALSE),A4051)</f>
        <v>68502</v>
      </c>
      <c r="C4051" t="s">
        <v>1758</v>
      </c>
      <c r="D4051" t="str">
        <f>IFERROR(VLOOKUP(C4051,APOYO!J:K,2,FALSE),C4051)</f>
        <v>ONZAGA</v>
      </c>
      <c r="E4051">
        <v>2018</v>
      </c>
    </row>
    <row r="4052" spans="1:5" hidden="1" x14ac:dyDescent="0.25">
      <c r="A4052" t="str">
        <f>_xlfn.XLOOKUP(C4052, 'Códigos DANE Municipios'!$B$2:$B$1123, 'Códigos DANE Municipios'!$A$2:$A$1123, "No encontrado")</f>
        <v>41503</v>
      </c>
      <c r="B4052" t="str">
        <f>IFERROR(VLOOKUP(D4052,APOYO!K:L,2,FALSE),A4052)</f>
        <v>41503</v>
      </c>
      <c r="C4052" t="s">
        <v>1238</v>
      </c>
      <c r="D4052" t="str">
        <f>IFERROR(VLOOKUP(C4052,APOYO!J:K,2,FALSE),C4052)</f>
        <v>OPORAPA</v>
      </c>
      <c r="E4052">
        <v>2018</v>
      </c>
    </row>
    <row r="4053" spans="1:5" hidden="1" x14ac:dyDescent="0.25">
      <c r="A4053" t="str">
        <f>_xlfn.XLOOKUP(C4053, 'Códigos DANE Municipios'!$B$2:$B$1123, 'Códigos DANE Municipios'!$A$2:$A$1123, "No encontrado")</f>
        <v>86320</v>
      </c>
      <c r="B4053" t="str">
        <f>IFERROR(VLOOKUP(D4053,APOYO!K:L,2,FALSE),A4053)</f>
        <v>86320</v>
      </c>
      <c r="C4053" t="s">
        <v>2087</v>
      </c>
      <c r="D4053" t="str">
        <f>IFERROR(VLOOKUP(C4053,APOYO!J:K,2,FALSE),C4053)</f>
        <v>ORITO</v>
      </c>
      <c r="E4053">
        <v>2018</v>
      </c>
    </row>
    <row r="4054" spans="1:5" hidden="1" x14ac:dyDescent="0.25">
      <c r="A4054" t="str">
        <f>_xlfn.XLOOKUP(C4054, 'Códigos DANE Municipios'!$B$2:$B$1123, 'Códigos DANE Municipios'!$A$2:$A$1123, "No encontrado")</f>
        <v>85230</v>
      </c>
      <c r="B4054" t="str">
        <f>IFERROR(VLOOKUP(D4054,APOYO!K:L,2,FALSE),A4054)</f>
        <v>85230</v>
      </c>
      <c r="C4054" t="s">
        <v>2064</v>
      </c>
      <c r="D4054" t="str">
        <f>IFERROR(VLOOKUP(C4054,APOYO!J:K,2,FALSE),C4054)</f>
        <v>OROCUÉ</v>
      </c>
      <c r="E4054">
        <v>2018</v>
      </c>
    </row>
    <row r="4055" spans="1:5" hidden="1" x14ac:dyDescent="0.25">
      <c r="A4055" t="str">
        <f>_xlfn.XLOOKUP(C4055, 'Códigos DANE Municipios'!$B$2:$B$1123, 'Códigos DANE Municipios'!$A$2:$A$1123, "No encontrado")</f>
        <v>73504</v>
      </c>
      <c r="B4055" t="str">
        <f>IFERROR(VLOOKUP(D4055,APOYO!K:L,2,FALSE),A4055)</f>
        <v>73504</v>
      </c>
      <c r="C4055" t="s">
        <v>1923</v>
      </c>
      <c r="D4055" t="str">
        <f>IFERROR(VLOOKUP(C4055,APOYO!J:K,2,FALSE),C4055)</f>
        <v>ORTEGA</v>
      </c>
      <c r="E4055">
        <v>2018</v>
      </c>
    </row>
    <row r="4056" spans="1:5" hidden="1" x14ac:dyDescent="0.25">
      <c r="A4056" t="str">
        <f>_xlfn.XLOOKUP(C4056, 'Códigos DANE Municipios'!$B$2:$B$1123, 'Códigos DANE Municipios'!$A$2:$A$1123, "No encontrado")</f>
        <v>15507</v>
      </c>
      <c r="B4056" t="str">
        <f>IFERROR(VLOOKUP(D4056,APOYO!K:L,2,FALSE),A4056)</f>
        <v>15507</v>
      </c>
      <c r="C4056" t="s">
        <v>522</v>
      </c>
      <c r="D4056" t="str">
        <f>IFERROR(VLOOKUP(C4056,APOYO!J:K,2,FALSE),C4056)</f>
        <v>OTANCHE</v>
      </c>
      <c r="E4056">
        <v>2018</v>
      </c>
    </row>
    <row r="4057" spans="1:5" hidden="1" x14ac:dyDescent="0.25">
      <c r="A4057" t="str">
        <f>_xlfn.XLOOKUP(C4057, 'Códigos DANE Municipios'!$B$2:$B$1123, 'Códigos DANE Municipios'!$A$2:$A$1123, "No encontrado")</f>
        <v>70508</v>
      </c>
      <c r="B4057" t="str">
        <f>IFERROR(VLOOKUP(D4057,APOYO!K:L,2,FALSE),A4057)</f>
        <v>70508</v>
      </c>
      <c r="C4057" t="s">
        <v>1842</v>
      </c>
      <c r="D4057" t="str">
        <f>IFERROR(VLOOKUP(C4057,APOYO!J:K,2,FALSE),C4057)</f>
        <v>OVEJAS</v>
      </c>
      <c r="E4057">
        <v>2018</v>
      </c>
    </row>
    <row r="4058" spans="1:5" hidden="1" x14ac:dyDescent="0.25">
      <c r="A4058" t="str">
        <f>_xlfn.XLOOKUP(C4058, 'Códigos DANE Municipios'!$B$2:$B$1123, 'Códigos DANE Municipios'!$A$2:$A$1123, "No encontrado")</f>
        <v>25513</v>
      </c>
      <c r="B4058" t="str">
        <f>IFERROR(VLOOKUP(D4058,APOYO!K:L,2,FALSE),A4058)</f>
        <v>25513</v>
      </c>
      <c r="C4058" t="s">
        <v>1039</v>
      </c>
      <c r="D4058" t="str">
        <f>IFERROR(VLOOKUP(C4058,APOYO!J:K,2,FALSE),C4058)</f>
        <v>PACHO</v>
      </c>
      <c r="E4058">
        <v>2018</v>
      </c>
    </row>
    <row r="4059" spans="1:5" hidden="1" x14ac:dyDescent="0.25">
      <c r="A4059" t="str">
        <f>_xlfn.XLOOKUP(C4059, 'Códigos DANE Municipios'!$B$2:$B$1123, 'Códigos DANE Municipios'!$A$2:$A$1123, "No encontrado")</f>
        <v>17513</v>
      </c>
      <c r="B4059" t="str">
        <f>IFERROR(VLOOKUP(D4059,APOYO!K:L,2,FALSE),A4059)</f>
        <v>17513</v>
      </c>
      <c r="C4059" t="s">
        <v>674</v>
      </c>
      <c r="D4059" t="str">
        <f>IFERROR(VLOOKUP(C4059,APOYO!J:K,2,FALSE),C4059)</f>
        <v>PÁCORA</v>
      </c>
      <c r="E4059">
        <v>2018</v>
      </c>
    </row>
    <row r="4060" spans="1:5" hidden="1" x14ac:dyDescent="0.25">
      <c r="A4060" t="str">
        <f>_xlfn.XLOOKUP(C4060, 'Códigos DANE Municipios'!$B$2:$B$1123, 'Códigos DANE Municipios'!$A$2:$A$1123, "No encontrado")</f>
        <v>19513</v>
      </c>
      <c r="B4060" t="str">
        <f>IFERROR(VLOOKUP(D4060,APOYO!K:L,2,FALSE),A4060)</f>
        <v>19513</v>
      </c>
      <c r="C4060" t="s">
        <v>770</v>
      </c>
      <c r="D4060" t="str">
        <f>IFERROR(VLOOKUP(C4060,APOYO!J:K,2,FALSE),C4060)</f>
        <v>PADILLA</v>
      </c>
      <c r="E4060">
        <v>2018</v>
      </c>
    </row>
    <row r="4061" spans="1:5" hidden="1" x14ac:dyDescent="0.25">
      <c r="A4061" t="str">
        <f>_xlfn.XLOOKUP(C4061, 'Códigos DANE Municipios'!$B$2:$B$1123, 'Códigos DANE Municipios'!$A$2:$A$1123, "No encontrado")</f>
        <v>20517</v>
      </c>
      <c r="B4061" t="str">
        <f>IFERROR(VLOOKUP(D4061,APOYO!K:L,2,FALSE),A4061)</f>
        <v>20517</v>
      </c>
      <c r="C4061" t="s">
        <v>840</v>
      </c>
      <c r="D4061" t="str">
        <f>IFERROR(VLOOKUP(C4061,APOYO!J:K,2,FALSE),C4061)</f>
        <v>PAILITAS</v>
      </c>
      <c r="E4061">
        <v>2018</v>
      </c>
    </row>
    <row r="4062" spans="1:5" hidden="1" x14ac:dyDescent="0.25">
      <c r="A4062" t="str">
        <f>_xlfn.XLOOKUP(C4062, 'Códigos DANE Municipios'!$B$2:$B$1123, 'Códigos DANE Municipios'!$A$2:$A$1123, "No encontrado")</f>
        <v>15516</v>
      </c>
      <c r="B4062" t="str">
        <f>IFERROR(VLOOKUP(D4062,APOYO!K:L,2,FALSE),A4062)</f>
        <v>15516</v>
      </c>
      <c r="C4062" t="s">
        <v>528</v>
      </c>
      <c r="D4062" t="str">
        <f>IFERROR(VLOOKUP(C4062,APOYO!J:K,2,FALSE),C4062)</f>
        <v>PAIPA</v>
      </c>
      <c r="E4062">
        <v>2018</v>
      </c>
    </row>
    <row r="4063" spans="1:5" hidden="1" x14ac:dyDescent="0.25">
      <c r="A4063" t="str">
        <f>_xlfn.XLOOKUP(C4063, 'Códigos DANE Municipios'!$B$2:$B$1123, 'Códigos DANE Municipios'!$A$2:$A$1123, "No encontrado")</f>
        <v>41524</v>
      </c>
      <c r="B4063" t="str">
        <f>IFERROR(VLOOKUP(D4063,APOYO!K:L,2,FALSE),A4063)</f>
        <v>41524</v>
      </c>
      <c r="C4063" t="s">
        <v>1242</v>
      </c>
      <c r="D4063" t="str">
        <f>IFERROR(VLOOKUP(C4063,APOYO!J:K,2,FALSE),C4063)</f>
        <v>PALERMO</v>
      </c>
      <c r="E4063">
        <v>2018</v>
      </c>
    </row>
    <row r="4064" spans="1:5" hidden="1" x14ac:dyDescent="0.25">
      <c r="A4064" t="str">
        <f>_xlfn.XLOOKUP(C4064, 'Códigos DANE Municipios'!$B$2:$B$1123, 'Códigos DANE Municipios'!$A$2:$A$1123, "No encontrado")</f>
        <v>17524</v>
      </c>
      <c r="B4064" t="str">
        <f>IFERROR(VLOOKUP(D4064,APOYO!K:L,2,FALSE),A4064)</f>
        <v>17524</v>
      </c>
      <c r="C4064" t="s">
        <v>676</v>
      </c>
      <c r="D4064" t="str">
        <f>IFERROR(VLOOKUP(C4064,APOYO!J:K,2,FALSE),C4064)</f>
        <v>PALESTINA</v>
      </c>
      <c r="E4064">
        <v>2018</v>
      </c>
    </row>
    <row r="4065" spans="1:5" hidden="1" x14ac:dyDescent="0.25">
      <c r="A4065" t="str">
        <f>_xlfn.XLOOKUP(C4065, 'Códigos DANE Municipios'!$B$2:$B$1123, 'Códigos DANE Municipios'!$A$2:$A$1123, "No encontrado")</f>
        <v>08520</v>
      </c>
      <c r="B4065" t="str">
        <f>IFERROR(VLOOKUP(D4065,APOYO!K:L,2,FALSE),A4065)</f>
        <v>08520</v>
      </c>
      <c r="C4065" t="s">
        <v>280</v>
      </c>
      <c r="D4065" t="str">
        <f>IFERROR(VLOOKUP(C4065,APOYO!J:K,2,FALSE),C4065)</f>
        <v>PALMAR DE VARELA</v>
      </c>
      <c r="E4065">
        <v>2018</v>
      </c>
    </row>
    <row r="4066" spans="1:5" hidden="1" x14ac:dyDescent="0.25">
      <c r="A4066" t="str">
        <f>_xlfn.XLOOKUP(C4066, 'Códigos DANE Municipios'!$B$2:$B$1123, 'Códigos DANE Municipios'!$A$2:$A$1123, "No encontrado")</f>
        <v>68524</v>
      </c>
      <c r="B4066" t="str">
        <f>IFERROR(VLOOKUP(D4066,APOYO!K:L,2,FALSE),A4066)</f>
        <v>68524</v>
      </c>
      <c r="C4066" t="s">
        <v>1762</v>
      </c>
      <c r="D4066" t="str">
        <f>IFERROR(VLOOKUP(C4066,APOYO!J:K,2,FALSE),C4066)</f>
        <v>PALMAS DEL SOCORRO</v>
      </c>
      <c r="E4066">
        <v>2018</v>
      </c>
    </row>
    <row r="4067" spans="1:5" hidden="1" x14ac:dyDescent="0.25">
      <c r="A4067" t="str">
        <f>_xlfn.XLOOKUP(C4067, 'Códigos DANE Municipios'!$B$2:$B$1123, 'Códigos DANE Municipios'!$A$2:$A$1123, "No encontrado")</f>
        <v>76520</v>
      </c>
      <c r="B4067" t="str">
        <f>IFERROR(VLOOKUP(D4067,APOYO!K:L,2,FALSE),A4067)</f>
        <v>76520</v>
      </c>
      <c r="C4067" t="s">
        <v>2004</v>
      </c>
      <c r="D4067" t="str">
        <f>IFERROR(VLOOKUP(C4067,APOYO!J:K,2,FALSE),C4067)</f>
        <v>PALMIRA</v>
      </c>
      <c r="E4067">
        <v>2018</v>
      </c>
    </row>
    <row r="4068" spans="1:5" hidden="1" x14ac:dyDescent="0.25">
      <c r="A4068" t="str">
        <f>_xlfn.XLOOKUP(C4068, 'Códigos DANE Municipios'!$B$2:$B$1123, 'Códigos DANE Municipios'!$A$2:$A$1123, "No encontrado")</f>
        <v>73520</v>
      </c>
      <c r="B4068" t="str">
        <f>IFERROR(VLOOKUP(D4068,APOYO!K:L,2,FALSE),A4068)</f>
        <v>73520</v>
      </c>
      <c r="C4068" t="s">
        <v>1925</v>
      </c>
      <c r="D4068" t="str">
        <f>IFERROR(VLOOKUP(C4068,APOYO!J:K,2,FALSE),C4068)</f>
        <v>PALOCABILDO</v>
      </c>
      <c r="E4068">
        <v>2018</v>
      </c>
    </row>
    <row r="4069" spans="1:5" hidden="1" x14ac:dyDescent="0.25">
      <c r="A4069" t="str">
        <f>_xlfn.XLOOKUP(C4069, 'Códigos DANE Municipios'!$B$2:$B$1123, 'Códigos DANE Municipios'!$A$2:$A$1123, "No encontrado")</f>
        <v>54518</v>
      </c>
      <c r="B4069" t="str">
        <f>IFERROR(VLOOKUP(D4069,APOYO!K:L,2,FALSE),A4069)</f>
        <v>54518</v>
      </c>
      <c r="C4069" t="s">
        <v>1579</v>
      </c>
      <c r="D4069" t="str">
        <f>IFERROR(VLOOKUP(C4069,APOYO!J:K,2,FALSE),C4069)</f>
        <v>PAMPLONA</v>
      </c>
      <c r="E4069">
        <v>2018</v>
      </c>
    </row>
    <row r="4070" spans="1:5" hidden="1" x14ac:dyDescent="0.25">
      <c r="A4070" t="str">
        <f>_xlfn.XLOOKUP(C4070, 'Códigos DANE Municipios'!$B$2:$B$1123, 'Códigos DANE Municipios'!$A$2:$A$1123, "No encontrado")</f>
        <v>54520</v>
      </c>
      <c r="B4070" t="str">
        <f>IFERROR(VLOOKUP(D4070,APOYO!K:L,2,FALSE),A4070)</f>
        <v>54520</v>
      </c>
      <c r="C4070" t="s">
        <v>1581</v>
      </c>
      <c r="D4070" t="str">
        <f>IFERROR(VLOOKUP(C4070,APOYO!J:K,2,FALSE),C4070)</f>
        <v>PAMPLONITA</v>
      </c>
      <c r="E4070">
        <v>2018</v>
      </c>
    </row>
    <row r="4071" spans="1:5" hidden="1" x14ac:dyDescent="0.25">
      <c r="A4071" t="str">
        <f>_xlfn.XLOOKUP(C4071, 'Códigos DANE Municipios'!$B$2:$B$1123, 'Códigos DANE Municipios'!$A$2:$A$1123, "No encontrado")</f>
        <v>25524</v>
      </c>
      <c r="B4071" t="str">
        <f>IFERROR(VLOOKUP(D4071,APOYO!K:L,2,FALSE),A4071)</f>
        <v>25524</v>
      </c>
      <c r="C4071" t="s">
        <v>1043</v>
      </c>
      <c r="D4071" t="str">
        <f>IFERROR(VLOOKUP(C4071,APOYO!J:K,2,FALSE),C4071)</f>
        <v>PANDI</v>
      </c>
      <c r="E4071">
        <v>2018</v>
      </c>
    </row>
    <row r="4072" spans="1:5" hidden="1" x14ac:dyDescent="0.25">
      <c r="A4072" t="str">
        <f>_xlfn.XLOOKUP(C4072, 'Códigos DANE Municipios'!$B$2:$B$1123, 'Códigos DANE Municipios'!$A$2:$A$1123, "No encontrado")</f>
        <v>25530</v>
      </c>
      <c r="B4072" t="str">
        <f>IFERROR(VLOOKUP(D4072,APOYO!K:L,2,FALSE),A4072)</f>
        <v>25530</v>
      </c>
      <c r="C4072" t="s">
        <v>1045</v>
      </c>
      <c r="D4072" t="str">
        <f>IFERROR(VLOOKUP(C4072,APOYO!J:K,2,FALSE),C4072)</f>
        <v>PARATEBUENO</v>
      </c>
      <c r="E4072">
        <v>2018</v>
      </c>
    </row>
    <row r="4073" spans="1:5" hidden="1" x14ac:dyDescent="0.25">
      <c r="A4073" t="str">
        <f>_xlfn.XLOOKUP(C4073, 'Códigos DANE Municipios'!$B$2:$B$1123, 'Códigos DANE Municipios'!$A$2:$A$1123, "No encontrado")</f>
        <v>25535</v>
      </c>
      <c r="B4073" t="str">
        <f>IFERROR(VLOOKUP(D4073,APOYO!K:L,2,FALSE),A4073)</f>
        <v>25535</v>
      </c>
      <c r="C4073" t="s">
        <v>1047</v>
      </c>
      <c r="D4073" t="str">
        <f>IFERROR(VLOOKUP(C4073,APOYO!J:K,2,FALSE),C4073)</f>
        <v>PASCA</v>
      </c>
      <c r="E4073">
        <v>2018</v>
      </c>
    </row>
    <row r="4074" spans="1:5" hidden="1" x14ac:dyDescent="0.25">
      <c r="A4074" t="str">
        <f>_xlfn.XLOOKUP(C4074, 'Códigos DANE Municipios'!$B$2:$B$1123, 'Códigos DANE Municipios'!$A$2:$A$1123, "No encontrado")</f>
        <v>52001</v>
      </c>
      <c r="B4074" t="str">
        <f>IFERROR(VLOOKUP(D4074,APOYO!K:L,2,FALSE),A4074)</f>
        <v>52001</v>
      </c>
      <c r="C4074" t="s">
        <v>1412</v>
      </c>
      <c r="D4074" t="str">
        <f>IFERROR(VLOOKUP(C4074,APOYO!J:K,2,FALSE),C4074)</f>
        <v>PASTO</v>
      </c>
      <c r="E4074">
        <v>2018</v>
      </c>
    </row>
    <row r="4075" spans="1:5" hidden="1" x14ac:dyDescent="0.25">
      <c r="A4075" t="str">
        <f>_xlfn.XLOOKUP(C4075, 'Códigos DANE Municipios'!$B$2:$B$1123, 'Códigos DANE Municipios'!$A$2:$A$1123, "No encontrado")</f>
        <v>19532</v>
      </c>
      <c r="B4075" t="str">
        <f>IFERROR(VLOOKUP(D4075,APOYO!K:L,2,FALSE),A4075)</f>
        <v>19532</v>
      </c>
      <c r="C4075" t="s">
        <v>773</v>
      </c>
      <c r="D4075" t="str">
        <f>IFERROR(VLOOKUP(C4075,APOYO!J:K,2,FALSE),C4075)</f>
        <v>PATÍA</v>
      </c>
      <c r="E4075">
        <v>2018</v>
      </c>
    </row>
    <row r="4076" spans="1:5" hidden="1" x14ac:dyDescent="0.25">
      <c r="A4076" t="str">
        <f>_xlfn.XLOOKUP(C4076, 'Códigos DANE Municipios'!$B$2:$B$1123, 'Códigos DANE Municipios'!$A$2:$A$1123, "No encontrado")</f>
        <v>15531</v>
      </c>
      <c r="B4076" t="str">
        <f>IFERROR(VLOOKUP(D4076,APOYO!K:L,2,FALSE),A4076)</f>
        <v>15531</v>
      </c>
      <c r="C4076" t="s">
        <v>534</v>
      </c>
      <c r="D4076" t="str">
        <f>IFERROR(VLOOKUP(C4076,APOYO!J:K,2,FALSE),C4076)</f>
        <v>PAUNA</v>
      </c>
      <c r="E4076">
        <v>2018</v>
      </c>
    </row>
    <row r="4077" spans="1:5" hidden="1" x14ac:dyDescent="0.25">
      <c r="A4077" t="str">
        <f>_xlfn.XLOOKUP(C4077, 'Códigos DANE Municipios'!$B$2:$B$1123, 'Códigos DANE Municipios'!$A$2:$A$1123, "No encontrado")</f>
        <v>15533</v>
      </c>
      <c r="B4077" t="str">
        <f>IFERROR(VLOOKUP(D4077,APOYO!K:L,2,FALSE),A4077)</f>
        <v>15533</v>
      </c>
      <c r="C4077" t="s">
        <v>536</v>
      </c>
      <c r="D4077" t="str">
        <f>IFERROR(VLOOKUP(C4077,APOYO!J:K,2,FALSE),C4077)</f>
        <v>PAYA</v>
      </c>
      <c r="E4077">
        <v>2018</v>
      </c>
    </row>
    <row r="4078" spans="1:5" hidden="1" x14ac:dyDescent="0.25">
      <c r="A4078" t="str">
        <f>_xlfn.XLOOKUP(C4078, 'Códigos DANE Municipios'!$B$2:$B$1123, 'Códigos DANE Municipios'!$A$2:$A$1123, "No encontrado")</f>
        <v>85250</v>
      </c>
      <c r="B4078" t="str">
        <f>IFERROR(VLOOKUP(D4078,APOYO!K:L,2,FALSE),A4078)</f>
        <v>85250</v>
      </c>
      <c r="C4078" t="s">
        <v>2066</v>
      </c>
      <c r="D4078" t="str">
        <f>IFERROR(VLOOKUP(C4078,APOYO!J:K,2,FALSE),C4078)</f>
        <v>PAZ DE ARIPORO</v>
      </c>
      <c r="E4078">
        <v>2018</v>
      </c>
    </row>
    <row r="4079" spans="1:5" hidden="1" x14ac:dyDescent="0.25">
      <c r="A4079" t="str">
        <f>_xlfn.XLOOKUP(C4079, 'Códigos DANE Municipios'!$B$2:$B$1123, 'Códigos DANE Municipios'!$A$2:$A$1123, "No encontrado")</f>
        <v>15537</v>
      </c>
      <c r="B4079" t="str">
        <f>IFERROR(VLOOKUP(D4079,APOYO!K:L,2,FALSE),A4079)</f>
        <v>15537</v>
      </c>
      <c r="C4079" t="s">
        <v>538</v>
      </c>
      <c r="D4079" t="str">
        <f>IFERROR(VLOOKUP(C4079,APOYO!J:K,2,FALSE),C4079)</f>
        <v>PAZ DE RÍO</v>
      </c>
      <c r="E4079">
        <v>2018</v>
      </c>
    </row>
    <row r="4080" spans="1:5" hidden="1" x14ac:dyDescent="0.25">
      <c r="A4080" t="str">
        <f>_xlfn.XLOOKUP(C4080, 'Códigos DANE Municipios'!$B$2:$B$1123, 'Códigos DANE Municipios'!$A$2:$A$1123, "No encontrado")</f>
        <v>20550</v>
      </c>
      <c r="B4080" t="str">
        <f>IFERROR(VLOOKUP(D4080,APOYO!K:L,2,FALSE),A4080)</f>
        <v>20550</v>
      </c>
      <c r="C4080" t="s">
        <v>842</v>
      </c>
      <c r="D4080" t="str">
        <f>IFERROR(VLOOKUP(C4080,APOYO!J:K,2,FALSE),C4080)</f>
        <v>PELAYA</v>
      </c>
      <c r="E4080">
        <v>2018</v>
      </c>
    </row>
    <row r="4081" spans="1:5" hidden="1" x14ac:dyDescent="0.25">
      <c r="A4081" t="str">
        <f>_xlfn.XLOOKUP(C4081, 'Códigos DANE Municipios'!$B$2:$B$1123, 'Códigos DANE Municipios'!$A$2:$A$1123, "No encontrado")</f>
        <v>17541</v>
      </c>
      <c r="B4081" t="str">
        <f>IFERROR(VLOOKUP(D4081,APOYO!K:L,2,FALSE),A4081)</f>
        <v>17541</v>
      </c>
      <c r="C4081" t="s">
        <v>678</v>
      </c>
      <c r="D4081" t="str">
        <f>IFERROR(VLOOKUP(C4081,APOYO!J:K,2,FALSE),C4081)</f>
        <v>PENSILVANIA</v>
      </c>
      <c r="E4081">
        <v>2018</v>
      </c>
    </row>
    <row r="4082" spans="1:5" hidden="1" x14ac:dyDescent="0.25">
      <c r="A4082" t="str">
        <f>_xlfn.XLOOKUP(C4082, 'Códigos DANE Municipios'!$B$2:$B$1123, 'Códigos DANE Municipios'!$A$2:$A$1123, "No encontrado")</f>
        <v>05541</v>
      </c>
      <c r="B4082" t="str">
        <f>IFERROR(VLOOKUP(D4082,APOYO!K:L,2,FALSE),A4082)</f>
        <v>05541</v>
      </c>
      <c r="C4082" t="s">
        <v>164</v>
      </c>
      <c r="D4082" t="str">
        <f>IFERROR(VLOOKUP(C4082,APOYO!J:K,2,FALSE),C4082)</f>
        <v>PEÑOL</v>
      </c>
      <c r="E4082">
        <v>2018</v>
      </c>
    </row>
    <row r="4083" spans="1:5" hidden="1" x14ac:dyDescent="0.25">
      <c r="A4083" t="str">
        <f>_xlfn.XLOOKUP(C4083, 'Códigos DANE Municipios'!$B$2:$B$1123, 'Códigos DANE Municipios'!$A$2:$A$1123, "No encontrado")</f>
        <v>66001</v>
      </c>
      <c r="B4083" t="str">
        <f>IFERROR(VLOOKUP(D4083,APOYO!K:L,2,FALSE),A4083)</f>
        <v>66001</v>
      </c>
      <c r="C4083" t="s">
        <v>1628</v>
      </c>
      <c r="D4083" t="str">
        <f>IFERROR(VLOOKUP(C4083,APOYO!J:K,2,FALSE),C4083)</f>
        <v>PEREIRA</v>
      </c>
      <c r="E4083">
        <v>2018</v>
      </c>
    </row>
    <row r="4084" spans="1:5" hidden="1" x14ac:dyDescent="0.25">
      <c r="A4084" t="str">
        <f>_xlfn.XLOOKUP(C4084, 'Códigos DANE Municipios'!$B$2:$B$1123, 'Códigos DANE Municipios'!$A$2:$A$1123, "No encontrado")</f>
        <v>15542</v>
      </c>
      <c r="B4084" t="str">
        <f>IFERROR(VLOOKUP(D4084,APOYO!K:L,2,FALSE),A4084)</f>
        <v>15542</v>
      </c>
      <c r="C4084" t="s">
        <v>540</v>
      </c>
      <c r="D4084" t="str">
        <f>IFERROR(VLOOKUP(C4084,APOYO!J:K,2,FALSE),C4084)</f>
        <v>PESCA</v>
      </c>
      <c r="E4084">
        <v>2018</v>
      </c>
    </row>
    <row r="4085" spans="1:5" hidden="1" x14ac:dyDescent="0.25">
      <c r="A4085" t="str">
        <f>_xlfn.XLOOKUP(C4085, 'Códigos DANE Municipios'!$B$2:$B$1123, 'Códigos DANE Municipios'!$A$2:$A$1123, "No encontrado")</f>
        <v>68547</v>
      </c>
      <c r="B4085" t="str">
        <f>IFERROR(VLOOKUP(D4085,APOYO!K:L,2,FALSE),A4085)</f>
        <v>68547</v>
      </c>
      <c r="C4085" t="s">
        <v>1766</v>
      </c>
      <c r="D4085" t="str">
        <f>IFERROR(VLOOKUP(C4085,APOYO!J:K,2,FALSE),C4085)</f>
        <v>PIEDECUESTA</v>
      </c>
      <c r="E4085">
        <v>2018</v>
      </c>
    </row>
    <row r="4086" spans="1:5" hidden="1" x14ac:dyDescent="0.25">
      <c r="A4086" t="str">
        <f>_xlfn.XLOOKUP(C4086, 'Códigos DANE Municipios'!$B$2:$B$1123, 'Códigos DANE Municipios'!$A$2:$A$1123, "No encontrado")</f>
        <v>73547</v>
      </c>
      <c r="B4086" t="str">
        <f>IFERROR(VLOOKUP(D4086,APOYO!K:L,2,FALSE),A4086)</f>
        <v>73547</v>
      </c>
      <c r="C4086" t="s">
        <v>1927</v>
      </c>
      <c r="D4086" t="str">
        <f>IFERROR(VLOOKUP(C4086,APOYO!J:K,2,FALSE),C4086)</f>
        <v>PIEDRAS</v>
      </c>
      <c r="E4086">
        <v>2018</v>
      </c>
    </row>
    <row r="4087" spans="1:5" hidden="1" x14ac:dyDescent="0.25">
      <c r="A4087" t="str">
        <f>_xlfn.XLOOKUP(C4087, 'Códigos DANE Municipios'!$B$2:$B$1123, 'Códigos DANE Municipios'!$A$2:$A$1123, "No encontrado")</f>
        <v>19548</v>
      </c>
      <c r="B4087" t="str">
        <f>IFERROR(VLOOKUP(D4087,APOYO!K:L,2,FALSE),A4087)</f>
        <v>19548</v>
      </c>
      <c r="C4087" t="s">
        <v>777</v>
      </c>
      <c r="D4087" t="str">
        <f>IFERROR(VLOOKUP(C4087,APOYO!J:K,2,FALSE),C4087)</f>
        <v>PIENDAMÓ</v>
      </c>
      <c r="E4087">
        <v>2018</v>
      </c>
    </row>
    <row r="4088" spans="1:5" hidden="1" x14ac:dyDescent="0.25">
      <c r="A4088" t="str">
        <f>_xlfn.XLOOKUP(C4088, 'Códigos DANE Municipios'!$B$2:$B$1123, 'Códigos DANE Municipios'!$A$2:$A$1123, "No encontrado")</f>
        <v>63548</v>
      </c>
      <c r="B4088" t="str">
        <f>IFERROR(VLOOKUP(D4088,APOYO!K:L,2,FALSE),A4088)</f>
        <v>63548</v>
      </c>
      <c r="C4088" t="s">
        <v>1622</v>
      </c>
      <c r="D4088" t="str">
        <f>IFERROR(VLOOKUP(C4088,APOYO!J:K,2,FALSE),C4088)</f>
        <v>PIJAO</v>
      </c>
      <c r="E4088">
        <v>2018</v>
      </c>
    </row>
    <row r="4089" spans="1:5" hidden="1" x14ac:dyDescent="0.25">
      <c r="A4089" t="str">
        <f>_xlfn.XLOOKUP(C4089, 'Códigos DANE Municipios'!$B$2:$B$1123, 'Códigos DANE Municipios'!$A$2:$A$1123, "No encontrado")</f>
        <v>68549</v>
      </c>
      <c r="B4089" t="str">
        <f>IFERROR(VLOOKUP(D4089,APOYO!K:L,2,FALSE),A4089)</f>
        <v>68549</v>
      </c>
      <c r="C4089" t="s">
        <v>1768</v>
      </c>
      <c r="D4089" t="str">
        <f>IFERROR(VLOOKUP(C4089,APOYO!J:K,2,FALSE),C4089)</f>
        <v>PINCHOTE</v>
      </c>
      <c r="E4089">
        <v>2018</v>
      </c>
    </row>
    <row r="4090" spans="1:5" hidden="1" x14ac:dyDescent="0.25">
      <c r="A4090" t="str">
        <f>_xlfn.XLOOKUP(C4090, 'Códigos DANE Municipios'!$B$2:$B$1123, 'Códigos DANE Municipios'!$A$2:$A$1123, "No encontrado")</f>
        <v>08549</v>
      </c>
      <c r="B4090" t="str">
        <f>IFERROR(VLOOKUP(D4090,APOYO!K:L,2,FALSE),A4090)</f>
        <v>08549</v>
      </c>
      <c r="C4090" t="s">
        <v>282</v>
      </c>
      <c r="D4090" t="str">
        <f>IFERROR(VLOOKUP(C4090,APOYO!J:K,2,FALSE),C4090)</f>
        <v>PIOJÓ</v>
      </c>
      <c r="E4090">
        <v>2018</v>
      </c>
    </row>
    <row r="4091" spans="1:5" hidden="1" x14ac:dyDescent="0.25">
      <c r="A4091" t="str">
        <f>_xlfn.XLOOKUP(C4091, 'Códigos DANE Municipios'!$B$2:$B$1123, 'Códigos DANE Municipios'!$A$2:$A$1123, "No encontrado")</f>
        <v>41548</v>
      </c>
      <c r="B4091" t="str">
        <f>IFERROR(VLOOKUP(D4091,APOYO!K:L,2,FALSE),A4091)</f>
        <v>41548</v>
      </c>
      <c r="C4091" t="s">
        <v>1245</v>
      </c>
      <c r="D4091" t="str">
        <f>IFERROR(VLOOKUP(C4091,APOYO!J:K,2,FALSE),C4091)</f>
        <v>PITAL</v>
      </c>
      <c r="E4091">
        <v>2018</v>
      </c>
    </row>
    <row r="4092" spans="1:5" hidden="1" x14ac:dyDescent="0.25">
      <c r="A4092" t="str">
        <f>_xlfn.XLOOKUP(C4092, 'Códigos DANE Municipios'!$B$2:$B$1123, 'Códigos DANE Municipios'!$A$2:$A$1123, "No encontrado")</f>
        <v>41551</v>
      </c>
      <c r="B4092" t="str">
        <f>IFERROR(VLOOKUP(D4092,APOYO!K:L,2,FALSE),A4092)</f>
        <v>41551</v>
      </c>
      <c r="C4092" t="s">
        <v>1247</v>
      </c>
      <c r="D4092" t="str">
        <f>IFERROR(VLOOKUP(C4092,APOYO!J:K,2,FALSE),C4092)</f>
        <v>PITALITO</v>
      </c>
      <c r="E4092">
        <v>2018</v>
      </c>
    </row>
    <row r="4093" spans="1:5" hidden="1" x14ac:dyDescent="0.25">
      <c r="A4093" t="str">
        <f>_xlfn.XLOOKUP(C4093, 'Códigos DANE Municipios'!$B$2:$B$1123, 'Códigos DANE Municipios'!$A$2:$A$1123, "No encontrado")</f>
        <v>47551</v>
      </c>
      <c r="B4093" t="str">
        <f>IFERROR(VLOOKUP(D4093,APOYO!K:L,2,FALSE),A4093)</f>
        <v>47551</v>
      </c>
      <c r="C4093" t="s">
        <v>1331</v>
      </c>
      <c r="D4093" t="str">
        <f>IFERROR(VLOOKUP(C4093,APOYO!J:K,2,FALSE),C4093)</f>
        <v>PIVIJAY</v>
      </c>
      <c r="E4093">
        <v>2018</v>
      </c>
    </row>
    <row r="4094" spans="1:5" hidden="1" x14ac:dyDescent="0.25">
      <c r="A4094" t="str">
        <f>_xlfn.XLOOKUP(C4094, 'Códigos DANE Municipios'!$B$2:$B$1123, 'Códigos DANE Municipios'!$A$2:$A$1123, "No encontrado")</f>
        <v>73555</v>
      </c>
      <c r="B4094" t="str">
        <f>IFERROR(VLOOKUP(D4094,APOYO!K:L,2,FALSE),A4094)</f>
        <v>73555</v>
      </c>
      <c r="C4094" t="s">
        <v>1929</v>
      </c>
      <c r="D4094" t="str">
        <f>IFERROR(VLOOKUP(C4094,APOYO!J:K,2,FALSE),C4094)</f>
        <v>PLANADAS</v>
      </c>
      <c r="E4094">
        <v>2018</v>
      </c>
    </row>
    <row r="4095" spans="1:5" hidden="1" x14ac:dyDescent="0.25">
      <c r="A4095" t="str">
        <f>_xlfn.XLOOKUP(C4095, 'Códigos DANE Municipios'!$B$2:$B$1123, 'Códigos DANE Municipios'!$A$2:$A$1123, "No encontrado")</f>
        <v>23555</v>
      </c>
      <c r="B4095" t="str">
        <f>IFERROR(VLOOKUP(D4095,APOYO!K:L,2,FALSE),A4095)</f>
        <v>23555</v>
      </c>
      <c r="C4095" t="s">
        <v>887</v>
      </c>
      <c r="D4095" t="str">
        <f>IFERROR(VLOOKUP(C4095,APOYO!J:K,2,FALSE),C4095)</f>
        <v>PLANETA RICA</v>
      </c>
      <c r="E4095">
        <v>2018</v>
      </c>
    </row>
    <row r="4096" spans="1:5" hidden="1" x14ac:dyDescent="0.25">
      <c r="A4096" t="str">
        <f>_xlfn.XLOOKUP(C4096, 'Códigos DANE Municipios'!$B$2:$B$1123, 'Códigos DANE Municipios'!$A$2:$A$1123, "No encontrado")</f>
        <v>47555</v>
      </c>
      <c r="B4096" t="str">
        <f>IFERROR(VLOOKUP(D4096,APOYO!K:L,2,FALSE),A4096)</f>
        <v>47555</v>
      </c>
      <c r="C4096" t="s">
        <v>1333</v>
      </c>
      <c r="D4096" t="str">
        <f>IFERROR(VLOOKUP(C4096,APOYO!J:K,2,FALSE),C4096)</f>
        <v>PLATO</v>
      </c>
      <c r="E4096">
        <v>2018</v>
      </c>
    </row>
    <row r="4097" spans="1:5" hidden="1" x14ac:dyDescent="0.25">
      <c r="A4097" t="str">
        <f>_xlfn.XLOOKUP(C4097, 'Códigos DANE Municipios'!$B$2:$B$1123, 'Códigos DANE Municipios'!$A$2:$A$1123, "No encontrado")</f>
        <v>52540</v>
      </c>
      <c r="B4097" t="str">
        <f>IFERROR(VLOOKUP(D4097,APOYO!K:L,2,FALSE),A4097)</f>
        <v>52540</v>
      </c>
      <c r="C4097" t="s">
        <v>1491</v>
      </c>
      <c r="D4097" t="str">
        <f>IFERROR(VLOOKUP(C4097,APOYO!J:K,2,FALSE),C4097)</f>
        <v>POLICARPA</v>
      </c>
      <c r="E4097">
        <v>2018</v>
      </c>
    </row>
    <row r="4098" spans="1:5" hidden="1" x14ac:dyDescent="0.25">
      <c r="A4098" t="str">
        <f>_xlfn.XLOOKUP(C4098, 'Códigos DANE Municipios'!$B$2:$B$1123, 'Códigos DANE Municipios'!$A$2:$A$1123, "No encontrado")</f>
        <v>08558</v>
      </c>
      <c r="B4098" t="str">
        <f>IFERROR(VLOOKUP(D4098,APOYO!K:L,2,FALSE),A4098)</f>
        <v>08558</v>
      </c>
      <c r="C4098" t="s">
        <v>284</v>
      </c>
      <c r="D4098" t="str">
        <f>IFERROR(VLOOKUP(C4098,APOYO!J:K,2,FALSE),C4098)</f>
        <v>POLONUEVO</v>
      </c>
      <c r="E4098">
        <v>2018</v>
      </c>
    </row>
    <row r="4099" spans="1:5" hidden="1" x14ac:dyDescent="0.25">
      <c r="A4099" t="str">
        <f>_xlfn.XLOOKUP(C4099, 'Códigos DANE Municipios'!$B$2:$B$1123, 'Códigos DANE Municipios'!$A$2:$A$1123, "No encontrado")</f>
        <v>08560</v>
      </c>
      <c r="B4099" t="str">
        <f>IFERROR(VLOOKUP(D4099,APOYO!K:L,2,FALSE),A4099)</f>
        <v>08560</v>
      </c>
      <c r="C4099" t="s">
        <v>286</v>
      </c>
      <c r="D4099" t="str">
        <f>IFERROR(VLOOKUP(C4099,APOYO!J:K,2,FALSE),C4099)</f>
        <v>PONEDERA</v>
      </c>
      <c r="E4099">
        <v>2018</v>
      </c>
    </row>
    <row r="4100" spans="1:5" hidden="1" x14ac:dyDescent="0.25">
      <c r="A4100" t="str">
        <f>_xlfn.XLOOKUP(C4100, 'Códigos DANE Municipios'!$B$2:$B$1123, 'Códigos DANE Municipios'!$A$2:$A$1123, "No encontrado")</f>
        <v>19001</v>
      </c>
      <c r="B4100" t="str">
        <f>IFERROR(VLOOKUP(D4100,APOYO!K:L,2,FALSE),A4100)</f>
        <v>19001</v>
      </c>
      <c r="C4100" t="s">
        <v>729</v>
      </c>
      <c r="D4100" t="str">
        <f>IFERROR(VLOOKUP(C4100,APOYO!J:K,2,FALSE),C4100)</f>
        <v>POPAYÁN</v>
      </c>
      <c r="E4100">
        <v>2018</v>
      </c>
    </row>
    <row r="4101" spans="1:5" hidden="1" x14ac:dyDescent="0.25">
      <c r="A4101" t="str">
        <f>_xlfn.XLOOKUP(C4101, 'Códigos DANE Municipios'!$B$2:$B$1123, 'Códigos DANE Municipios'!$A$2:$A$1123, "No encontrado")</f>
        <v>85263</v>
      </c>
      <c r="B4101" t="str">
        <f>IFERROR(VLOOKUP(D4101,APOYO!K:L,2,FALSE),A4101)</f>
        <v>85263</v>
      </c>
      <c r="C4101" t="s">
        <v>2068</v>
      </c>
      <c r="D4101" t="str">
        <f>IFERROR(VLOOKUP(C4101,APOYO!J:K,2,FALSE),C4101)</f>
        <v>PORE</v>
      </c>
      <c r="E4101">
        <v>2018</v>
      </c>
    </row>
    <row r="4102" spans="1:5" hidden="1" x14ac:dyDescent="0.25">
      <c r="A4102" t="str">
        <f>_xlfn.XLOOKUP(C4102, 'Códigos DANE Municipios'!$B$2:$B$1123, 'Códigos DANE Municipios'!$A$2:$A$1123, "No encontrado")</f>
        <v>76563</v>
      </c>
      <c r="B4102" t="str">
        <f>IFERROR(VLOOKUP(D4102,APOYO!K:L,2,FALSE),A4102)</f>
        <v>76563</v>
      </c>
      <c r="C4102" t="s">
        <v>2006</v>
      </c>
      <c r="D4102" t="str">
        <f>IFERROR(VLOOKUP(C4102,APOYO!J:K,2,FALSE),C4102)</f>
        <v>PRADERA</v>
      </c>
      <c r="E4102">
        <v>2018</v>
      </c>
    </row>
    <row r="4103" spans="1:5" hidden="1" x14ac:dyDescent="0.25">
      <c r="A4103" t="str">
        <f>_xlfn.XLOOKUP(C4103, 'Códigos DANE Municipios'!$B$2:$B$1123, 'Códigos DANE Municipios'!$A$2:$A$1123, "No encontrado")</f>
        <v>73563</v>
      </c>
      <c r="B4103" t="str">
        <f>IFERROR(VLOOKUP(D4103,APOYO!K:L,2,FALSE),A4103)</f>
        <v>73563</v>
      </c>
      <c r="C4103" t="s">
        <v>1931</v>
      </c>
      <c r="D4103" t="str">
        <f>IFERROR(VLOOKUP(C4103,APOYO!J:K,2,FALSE),C4103)</f>
        <v>PRADO</v>
      </c>
      <c r="E4103">
        <v>2018</v>
      </c>
    </row>
    <row r="4104" spans="1:5" hidden="1" x14ac:dyDescent="0.25">
      <c r="A4104" t="str">
        <f>_xlfn.XLOOKUP(C4104, 'Códigos DANE Municipios'!$B$2:$B$1123, 'Códigos DANE Municipios'!$A$2:$A$1123, "No encontrado")</f>
        <v>52565</v>
      </c>
      <c r="B4104" t="str">
        <f>IFERROR(VLOOKUP(D4104,APOYO!K:L,2,FALSE),A4104)</f>
        <v>52565</v>
      </c>
      <c r="C4104" t="s">
        <v>1495</v>
      </c>
      <c r="D4104" t="str">
        <f>IFERROR(VLOOKUP(C4104,APOYO!J:K,2,FALSE),C4104)</f>
        <v>PROVIDENCIA</v>
      </c>
      <c r="E4104">
        <v>2018</v>
      </c>
    </row>
    <row r="4105" spans="1:5" hidden="1" x14ac:dyDescent="0.25">
      <c r="A4105" t="str">
        <f>_xlfn.XLOOKUP(C4105, 'Códigos DANE Municipios'!$B$2:$B$1123, 'Códigos DANE Municipios'!$A$2:$A$1123, "No encontrado")</f>
        <v>05585</v>
      </c>
      <c r="B4105" t="str">
        <f>IFERROR(VLOOKUP(D4105,APOYO!K:L,2,FALSE),A4105)</f>
        <v>05585</v>
      </c>
      <c r="C4105" t="s">
        <v>172</v>
      </c>
      <c r="D4105" t="str">
        <f>IFERROR(VLOOKUP(C4105,APOYO!J:K,2,FALSE),C4105)</f>
        <v>PUERTO NARE</v>
      </c>
      <c r="E4105">
        <v>2018</v>
      </c>
    </row>
    <row r="4106" spans="1:5" hidden="1" x14ac:dyDescent="0.25">
      <c r="A4106" t="str">
        <f>_xlfn.XLOOKUP(C4106, 'Códigos DANE Municipios'!$B$2:$B$1123, 'Códigos DANE Municipios'!$A$2:$A$1123, "No encontrado")</f>
        <v>66572</v>
      </c>
      <c r="B4106" t="str">
        <f>IFERROR(VLOOKUP(D4106,APOYO!K:L,2,FALSE),A4106)</f>
        <v>66572</v>
      </c>
      <c r="C4106" t="s">
        <v>1647</v>
      </c>
      <c r="D4106" t="str">
        <f>IFERROR(VLOOKUP(C4106,APOYO!J:K,2,FALSE),C4106)</f>
        <v>PUEBLO RICO</v>
      </c>
      <c r="E4106">
        <v>2018</v>
      </c>
    </row>
    <row r="4107" spans="1:5" hidden="1" x14ac:dyDescent="0.25">
      <c r="A4107" t="str">
        <f>_xlfn.XLOOKUP(C4107, 'Códigos DANE Municipios'!$B$2:$B$1123, 'Códigos DANE Municipios'!$A$2:$A$1123, "No encontrado")</f>
        <v>05576</v>
      </c>
      <c r="B4107" t="str">
        <f>IFERROR(VLOOKUP(D4107,APOYO!K:L,2,FALSE),A4107)</f>
        <v>05576</v>
      </c>
      <c r="C4107" t="s">
        <v>168</v>
      </c>
      <c r="D4107" t="str">
        <f>IFERROR(VLOOKUP(C4107,APOYO!J:K,2,FALSE),C4107)</f>
        <v>PUEBLORRICO</v>
      </c>
      <c r="E4107">
        <v>2018</v>
      </c>
    </row>
    <row r="4108" spans="1:5" hidden="1" x14ac:dyDescent="0.25">
      <c r="A4108" t="str">
        <f>_xlfn.XLOOKUP(C4108, 'Códigos DANE Municipios'!$B$2:$B$1123, 'Códigos DANE Municipios'!$A$2:$A$1123, "No encontrado")</f>
        <v>47570</v>
      </c>
      <c r="B4108" t="str">
        <f>IFERROR(VLOOKUP(D4108,APOYO!K:L,2,FALSE),A4108)</f>
        <v>47570</v>
      </c>
      <c r="C4108" t="s">
        <v>1335</v>
      </c>
      <c r="D4108" t="str">
        <f>IFERROR(VLOOKUP(C4108,APOYO!J:K,2,FALSE),C4108)</f>
        <v>PUEBLOVIEJO</v>
      </c>
      <c r="E4108">
        <v>2018</v>
      </c>
    </row>
    <row r="4109" spans="1:5" hidden="1" x14ac:dyDescent="0.25">
      <c r="A4109" t="str">
        <f>_xlfn.XLOOKUP(C4109, 'Códigos DANE Municipios'!$B$2:$B$1123, 'Códigos DANE Municipios'!$A$2:$A$1123, "No encontrado")</f>
        <v>68572</v>
      </c>
      <c r="B4109" t="str">
        <f>IFERROR(VLOOKUP(D4109,APOYO!K:L,2,FALSE),A4109)</f>
        <v>68572</v>
      </c>
      <c r="C4109" t="s">
        <v>1770</v>
      </c>
      <c r="D4109" t="str">
        <f>IFERROR(VLOOKUP(C4109,APOYO!J:K,2,FALSE),C4109)</f>
        <v>PUENTE NACIONAL</v>
      </c>
      <c r="E4109">
        <v>2018</v>
      </c>
    </row>
    <row r="4110" spans="1:5" hidden="1" x14ac:dyDescent="0.25">
      <c r="A4110" t="str">
        <f>_xlfn.XLOOKUP(C4110, 'Códigos DANE Municipios'!$B$2:$B$1123, 'Códigos DANE Municipios'!$A$2:$A$1123, "No encontrado")</f>
        <v>52573</v>
      </c>
      <c r="B4110" t="str">
        <f>IFERROR(VLOOKUP(D4110,APOYO!K:L,2,FALSE),A4110)</f>
        <v>52573</v>
      </c>
      <c r="C4110" t="s">
        <v>1497</v>
      </c>
      <c r="D4110" t="str">
        <f>IFERROR(VLOOKUP(C4110,APOYO!J:K,2,FALSE),C4110)</f>
        <v>PUERRES</v>
      </c>
      <c r="E4110">
        <v>2018</v>
      </c>
    </row>
    <row r="4111" spans="1:5" hidden="1" x14ac:dyDescent="0.25">
      <c r="A4111" t="str">
        <f>_xlfn.XLOOKUP(C4111, 'Códigos DANE Municipios'!$B$2:$B$1123, 'Códigos DANE Municipios'!$A$2:$A$1123, "No encontrado")</f>
        <v>86568</v>
      </c>
      <c r="B4111" t="str">
        <f>IFERROR(VLOOKUP(D4111,APOYO!K:L,2,FALSE),A4111)</f>
        <v>86568</v>
      </c>
      <c r="C4111" t="s">
        <v>2089</v>
      </c>
      <c r="D4111" t="str">
        <f>IFERROR(VLOOKUP(C4111,APOYO!J:K,2,FALSE),C4111)</f>
        <v>PUERTO ASÍS</v>
      </c>
      <c r="E4111">
        <v>2018</v>
      </c>
    </row>
    <row r="4112" spans="1:5" hidden="1" x14ac:dyDescent="0.25">
      <c r="A4112" t="str">
        <f>_xlfn.XLOOKUP(C4112, 'Códigos DANE Municipios'!$B$2:$B$1123, 'Códigos DANE Municipios'!$A$2:$A$1123, "No encontrado")</f>
        <v>05579</v>
      </c>
      <c r="B4112" t="str">
        <f>IFERROR(VLOOKUP(D4112,APOYO!K:L,2,FALSE),A4112)</f>
        <v>05579</v>
      </c>
      <c r="C4112" t="s">
        <v>170</v>
      </c>
      <c r="D4112" t="str">
        <f>IFERROR(VLOOKUP(C4112,APOYO!J:K,2,FALSE),C4112)</f>
        <v>PUERTO BERRÍO</v>
      </c>
      <c r="E4112">
        <v>2018</v>
      </c>
    </row>
    <row r="4113" spans="1:5" hidden="1" x14ac:dyDescent="0.25">
      <c r="A4113" t="str">
        <f>_xlfn.XLOOKUP(C4113, 'Códigos DANE Municipios'!$B$2:$B$1123, 'Códigos DANE Municipios'!$A$2:$A$1123, "No encontrado")</f>
        <v>15572</v>
      </c>
      <c r="B4113" t="str">
        <f>IFERROR(VLOOKUP(D4113,APOYO!K:L,2,FALSE),A4113)</f>
        <v>15572</v>
      </c>
      <c r="C4113" t="s">
        <v>544</v>
      </c>
      <c r="D4113" t="str">
        <f>IFERROR(VLOOKUP(C4113,APOYO!J:K,2,FALSE),C4113)</f>
        <v>PUERTO BOYACÁ</v>
      </c>
      <c r="E4113">
        <v>2018</v>
      </c>
    </row>
    <row r="4114" spans="1:5" hidden="1" x14ac:dyDescent="0.25">
      <c r="A4114" t="str">
        <f>_xlfn.XLOOKUP(C4114, 'Códigos DANE Municipios'!$B$2:$B$1123, 'Códigos DANE Municipios'!$A$2:$A$1123, "No encontrado")</f>
        <v>86569</v>
      </c>
      <c r="B4114" t="str">
        <f>IFERROR(VLOOKUP(D4114,APOYO!K:L,2,FALSE),A4114)</f>
        <v>86569</v>
      </c>
      <c r="C4114" t="s">
        <v>2091</v>
      </c>
      <c r="D4114" t="str">
        <f>IFERROR(VLOOKUP(C4114,APOYO!J:K,2,FALSE),C4114)</f>
        <v>PUERTO CAICEDO</v>
      </c>
      <c r="E4114">
        <v>2018</v>
      </c>
    </row>
    <row r="4115" spans="1:5" hidden="1" x14ac:dyDescent="0.25">
      <c r="A4115" t="str">
        <f>_xlfn.XLOOKUP(C4115, 'Códigos DANE Municipios'!$B$2:$B$1123, 'Códigos DANE Municipios'!$A$2:$A$1123, "No encontrado")</f>
        <v>99001</v>
      </c>
      <c r="B4115" t="str">
        <f>IFERROR(VLOOKUP(D4115,APOYO!K:L,2,FALSE),A4115)</f>
        <v>99001</v>
      </c>
      <c r="C4115" t="s">
        <v>2163</v>
      </c>
      <c r="D4115" t="str">
        <f>IFERROR(VLOOKUP(C4115,APOYO!J:K,2,FALSE),C4115)</f>
        <v>PUERTO CARREÑO</v>
      </c>
      <c r="E4115">
        <v>2018</v>
      </c>
    </row>
    <row r="4116" spans="1:5" hidden="1" x14ac:dyDescent="0.25">
      <c r="A4116" t="str">
        <f>_xlfn.XLOOKUP(C4116, 'Códigos DANE Municipios'!$B$2:$B$1123, 'Códigos DANE Municipios'!$A$2:$A$1123, "No encontrado")</f>
        <v>08573</v>
      </c>
      <c r="B4116" t="str">
        <f>IFERROR(VLOOKUP(D4116,APOYO!K:L,2,FALSE),A4116)</f>
        <v>08573</v>
      </c>
      <c r="C4116" t="s">
        <v>288</v>
      </c>
      <c r="D4116" t="str">
        <f>IFERROR(VLOOKUP(C4116,APOYO!J:K,2,FALSE),C4116)</f>
        <v>PUERTO COLOMBIA</v>
      </c>
      <c r="E4116">
        <v>2018</v>
      </c>
    </row>
    <row r="4117" spans="1:5" hidden="1" x14ac:dyDescent="0.25">
      <c r="A4117" t="str">
        <f>_xlfn.XLOOKUP(C4117, 'Códigos DANE Municipios'!$B$2:$B$1123, 'Códigos DANE Municipios'!$A$2:$A$1123, "No encontrado")</f>
        <v>50450</v>
      </c>
      <c r="B4117" t="str">
        <f>IFERROR(VLOOKUP(D4117,APOYO!K:L,2,FALSE),A4117)</f>
        <v>50450</v>
      </c>
      <c r="C4117" t="s">
        <v>1392</v>
      </c>
      <c r="D4117" t="str">
        <f>IFERROR(VLOOKUP(C4117,APOYO!J:K,2,FALSE),C4117)</f>
        <v>PUERTO CONCORDIA</v>
      </c>
      <c r="E4117">
        <v>2018</v>
      </c>
    </row>
    <row r="4118" spans="1:5" hidden="1" x14ac:dyDescent="0.25">
      <c r="A4118" t="str">
        <f>_xlfn.XLOOKUP(C4118, 'Códigos DANE Municipios'!$B$2:$B$1123, 'Códigos DANE Municipios'!$A$2:$A$1123, "No encontrado")</f>
        <v>50568</v>
      </c>
      <c r="B4118" t="str">
        <f>IFERROR(VLOOKUP(D4118,APOYO!K:L,2,FALSE),A4118)</f>
        <v>50568</v>
      </c>
      <c r="C4118" t="s">
        <v>1394</v>
      </c>
      <c r="D4118" t="str">
        <f>IFERROR(VLOOKUP(C4118,APOYO!J:K,2,FALSE),C4118)</f>
        <v>PUERTO GAITÁN</v>
      </c>
      <c r="E4118">
        <v>2018</v>
      </c>
    </row>
    <row r="4119" spans="1:5" hidden="1" x14ac:dyDescent="0.25">
      <c r="A4119" t="str">
        <f>_xlfn.XLOOKUP(C4119, 'Códigos DANE Municipios'!$B$2:$B$1123, 'Códigos DANE Municipios'!$A$2:$A$1123, "No encontrado")</f>
        <v>94001</v>
      </c>
      <c r="B4119" t="str">
        <f>IFERROR(VLOOKUP(D4119,APOYO!K:L,2,FALSE),A4119)</f>
        <v>94001</v>
      </c>
      <c r="C4119" t="s">
        <v>2128</v>
      </c>
      <c r="D4119" t="str">
        <f>IFERROR(VLOOKUP(C4119,APOYO!J:K,2,FALSE),C4119)</f>
        <v>INÍRIDA</v>
      </c>
      <c r="E4119">
        <v>2018</v>
      </c>
    </row>
    <row r="4120" spans="1:5" hidden="1" x14ac:dyDescent="0.25">
      <c r="A4120" t="str">
        <f>_xlfn.XLOOKUP(C4120, 'Códigos DANE Municipios'!$B$2:$B$1123, 'Códigos DANE Municipios'!$A$2:$A$1123, "No encontrado")</f>
        <v>86573</v>
      </c>
      <c r="B4120" t="str">
        <f>IFERROR(VLOOKUP(D4120,APOYO!K:L,2,FALSE),A4120)</f>
        <v>86573</v>
      </c>
      <c r="C4120" t="s">
        <v>2095</v>
      </c>
      <c r="D4120" t="str">
        <f>IFERROR(VLOOKUP(C4120,APOYO!J:K,2,FALSE),C4120)</f>
        <v>PUERTO LEGUÍZAMO</v>
      </c>
      <c r="E4120">
        <v>2018</v>
      </c>
    </row>
    <row r="4121" spans="1:5" hidden="1" x14ac:dyDescent="0.25">
      <c r="A4121" t="str">
        <f>_xlfn.XLOOKUP(C4121, 'Códigos DANE Municipios'!$B$2:$B$1123, 'Códigos DANE Municipios'!$A$2:$A$1123, "No encontrado")</f>
        <v>23580</v>
      </c>
      <c r="B4121" t="str">
        <f>IFERROR(VLOOKUP(D4121,APOYO!K:L,2,FALSE),A4121)</f>
        <v>23580</v>
      </c>
      <c r="C4121" t="s">
        <v>893</v>
      </c>
      <c r="D4121" t="str">
        <f>IFERROR(VLOOKUP(C4121,APOYO!J:K,2,FALSE),C4121)</f>
        <v>PUERTO LIBERTADOR</v>
      </c>
      <c r="E4121">
        <v>2018</v>
      </c>
    </row>
    <row r="4122" spans="1:5" hidden="1" x14ac:dyDescent="0.25">
      <c r="A4122" t="str">
        <f>_xlfn.XLOOKUP(C4122, 'Códigos DANE Municipios'!$B$2:$B$1123, 'Códigos DANE Municipios'!$A$2:$A$1123, "No encontrado")</f>
        <v>50577</v>
      </c>
      <c r="B4122" t="str">
        <f>IFERROR(VLOOKUP(D4122,APOYO!K:L,2,FALSE),A4122)</f>
        <v>50577</v>
      </c>
      <c r="C4122" t="s">
        <v>1398</v>
      </c>
      <c r="D4122" t="str">
        <f>IFERROR(VLOOKUP(C4122,APOYO!J:K,2,FALSE),C4122)</f>
        <v>PUERTO LLERAS</v>
      </c>
      <c r="E4122">
        <v>2018</v>
      </c>
    </row>
    <row r="4123" spans="1:5" hidden="1" x14ac:dyDescent="0.25">
      <c r="A4123" t="str">
        <f>_xlfn.XLOOKUP(C4123, 'Códigos DANE Municipios'!$B$2:$B$1123, 'Códigos DANE Municipios'!$A$2:$A$1123, "No encontrado")</f>
        <v>50573</v>
      </c>
      <c r="B4123" t="str">
        <f>IFERROR(VLOOKUP(D4123,APOYO!K:L,2,FALSE),A4123)</f>
        <v>50573</v>
      </c>
      <c r="C4123" t="s">
        <v>1396</v>
      </c>
      <c r="D4123" t="str">
        <f>IFERROR(VLOOKUP(C4123,APOYO!J:K,2,FALSE),C4123)</f>
        <v>PUERTO LÓPEZ</v>
      </c>
      <c r="E4123">
        <v>2018</v>
      </c>
    </row>
    <row r="4124" spans="1:5" hidden="1" x14ac:dyDescent="0.25">
      <c r="A4124" t="str">
        <f>_xlfn.XLOOKUP(C4124, 'Códigos DANE Municipios'!$B$2:$B$1123, 'Códigos DANE Municipios'!$A$2:$A$1123, "No encontrado")</f>
        <v>91540</v>
      </c>
      <c r="B4124" t="str">
        <f>IFERROR(VLOOKUP(D4124,APOYO!K:L,2,FALSE),A4124)</f>
        <v>91540</v>
      </c>
      <c r="C4124" t="s">
        <v>2123</v>
      </c>
      <c r="D4124" t="str">
        <f>IFERROR(VLOOKUP(C4124,APOYO!J:K,2,FALSE),C4124)</f>
        <v>PUERTO NARIÑO</v>
      </c>
      <c r="E4124">
        <v>2018</v>
      </c>
    </row>
    <row r="4125" spans="1:5" hidden="1" x14ac:dyDescent="0.25">
      <c r="A4125" t="str">
        <f>_xlfn.XLOOKUP(C4125, 'Códigos DANE Municipios'!$B$2:$B$1123, 'Códigos DANE Municipios'!$A$2:$A$1123, "No encontrado")</f>
        <v>18592</v>
      </c>
      <c r="B4125" t="str">
        <f>IFERROR(VLOOKUP(D4125,APOYO!K:L,2,FALSE),A4125)</f>
        <v>18592</v>
      </c>
      <c r="C4125" t="s">
        <v>718</v>
      </c>
      <c r="D4125" t="str">
        <f>IFERROR(VLOOKUP(C4125,APOYO!J:K,2,FALSE),C4125)</f>
        <v>PUERTO RICO</v>
      </c>
      <c r="E4125">
        <v>2018</v>
      </c>
    </row>
    <row r="4126" spans="1:5" hidden="1" x14ac:dyDescent="0.25">
      <c r="A4126" t="str">
        <f>_xlfn.XLOOKUP(C4126, 'Códigos DANE Municipios'!$B$2:$B$1123, 'Códigos DANE Municipios'!$A$2:$A$1123, "No encontrado")</f>
        <v>25572</v>
      </c>
      <c r="B4126" t="str">
        <f>IFERROR(VLOOKUP(D4126,APOYO!K:L,2,FALSE),A4126)</f>
        <v>25572</v>
      </c>
      <c r="C4126" t="s">
        <v>1049</v>
      </c>
      <c r="D4126" t="str">
        <f>IFERROR(VLOOKUP(C4126,APOYO!J:K,2,FALSE),C4126)</f>
        <v>PUERTO SALGAR</v>
      </c>
      <c r="E4126">
        <v>2018</v>
      </c>
    </row>
    <row r="4127" spans="1:5" hidden="1" x14ac:dyDescent="0.25">
      <c r="A4127" t="str">
        <f>_xlfn.XLOOKUP(C4127, 'Códigos DANE Municipios'!$B$2:$B$1123, 'Códigos DANE Municipios'!$A$2:$A$1123, "No encontrado")</f>
        <v>54553</v>
      </c>
      <c r="B4127" t="str">
        <f>IFERROR(VLOOKUP(D4127,APOYO!K:L,2,FALSE),A4127)</f>
        <v>54553</v>
      </c>
      <c r="C4127" t="s">
        <v>1583</v>
      </c>
      <c r="D4127" t="str">
        <f>IFERROR(VLOOKUP(C4127,APOYO!J:K,2,FALSE),C4127)</f>
        <v>PUERTO SANTANDER</v>
      </c>
      <c r="E4127">
        <v>2018</v>
      </c>
    </row>
    <row r="4128" spans="1:5" hidden="1" x14ac:dyDescent="0.25">
      <c r="A4128" t="str">
        <f>_xlfn.XLOOKUP(C4128, 'Códigos DANE Municipios'!$B$2:$B$1123, 'Códigos DANE Municipios'!$A$2:$A$1123, "No encontrado")</f>
        <v>19573</v>
      </c>
      <c r="B4128" t="str">
        <f>IFERROR(VLOOKUP(D4128,APOYO!K:L,2,FALSE),A4128)</f>
        <v>19573</v>
      </c>
      <c r="C4128" t="s">
        <v>779</v>
      </c>
      <c r="D4128" t="str">
        <f>IFERROR(VLOOKUP(C4128,APOYO!J:K,2,FALSE),C4128)</f>
        <v>PUERTO TEJADA</v>
      </c>
      <c r="E4128">
        <v>2018</v>
      </c>
    </row>
    <row r="4129" spans="1:5" hidden="1" x14ac:dyDescent="0.25">
      <c r="A4129" t="str">
        <f>_xlfn.XLOOKUP(C4129, 'Códigos DANE Municipios'!$B$2:$B$1123, 'Códigos DANE Municipios'!$A$2:$A$1123, "No encontrado")</f>
        <v>05591</v>
      </c>
      <c r="B4129" t="str">
        <f>IFERROR(VLOOKUP(D4129,APOYO!K:L,2,FALSE),A4129)</f>
        <v>05591</v>
      </c>
      <c r="C4129" t="s">
        <v>174</v>
      </c>
      <c r="D4129" t="str">
        <f>IFERROR(VLOOKUP(C4129,APOYO!J:K,2,FALSE),C4129)</f>
        <v>PUERTO TRIUNFO</v>
      </c>
      <c r="E4129">
        <v>2018</v>
      </c>
    </row>
    <row r="4130" spans="1:5" hidden="1" x14ac:dyDescent="0.25">
      <c r="A4130" t="str">
        <f>_xlfn.XLOOKUP(C4130, 'Códigos DANE Municipios'!$B$2:$B$1123, 'Códigos DANE Municipios'!$A$2:$A$1123, "No encontrado")</f>
        <v>68575</v>
      </c>
      <c r="B4130" t="str">
        <f>IFERROR(VLOOKUP(D4130,APOYO!K:L,2,FALSE),A4130)</f>
        <v>68575</v>
      </c>
      <c r="C4130" t="s">
        <v>1774</v>
      </c>
      <c r="D4130" t="str">
        <f>IFERROR(VLOOKUP(C4130,APOYO!J:K,2,FALSE),C4130)</f>
        <v>PUERTO WILCHES</v>
      </c>
      <c r="E4130">
        <v>2018</v>
      </c>
    </row>
    <row r="4131" spans="1:5" hidden="1" x14ac:dyDescent="0.25">
      <c r="A4131" t="str">
        <f>_xlfn.XLOOKUP(C4131, 'Códigos DANE Municipios'!$B$2:$B$1123, 'Códigos DANE Municipios'!$A$2:$A$1123, "No encontrado")</f>
        <v>52585</v>
      </c>
      <c r="B4131" t="str">
        <f>IFERROR(VLOOKUP(D4131,APOYO!K:L,2,FALSE),A4131)</f>
        <v>52585</v>
      </c>
      <c r="C4131" t="s">
        <v>1499</v>
      </c>
      <c r="D4131" t="str">
        <f>IFERROR(VLOOKUP(C4131,APOYO!J:K,2,FALSE),C4131)</f>
        <v>PUPIALES</v>
      </c>
      <c r="E4131">
        <v>2018</v>
      </c>
    </row>
    <row r="4132" spans="1:5" hidden="1" x14ac:dyDescent="0.25">
      <c r="A4132" t="str">
        <f>_xlfn.XLOOKUP(C4132, 'Códigos DANE Municipios'!$B$2:$B$1123, 'Códigos DANE Municipios'!$A$2:$A$1123, "No encontrado")</f>
        <v>19585</v>
      </c>
      <c r="B4132" t="str">
        <f>IFERROR(VLOOKUP(D4132,APOYO!K:L,2,FALSE),A4132)</f>
        <v>19585</v>
      </c>
      <c r="C4132" t="s">
        <v>781</v>
      </c>
      <c r="D4132" t="str">
        <f>IFERROR(VLOOKUP(C4132,APOYO!J:K,2,FALSE),C4132)</f>
        <v>PURACÉ</v>
      </c>
      <c r="E4132">
        <v>2018</v>
      </c>
    </row>
    <row r="4133" spans="1:5" hidden="1" x14ac:dyDescent="0.25">
      <c r="A4133" t="str">
        <f>_xlfn.XLOOKUP(C4133, 'Códigos DANE Municipios'!$B$2:$B$1123, 'Códigos DANE Municipios'!$A$2:$A$1123, "No encontrado")</f>
        <v>73585</v>
      </c>
      <c r="B4133" t="str">
        <f>IFERROR(VLOOKUP(D4133,APOYO!K:L,2,FALSE),A4133)</f>
        <v>73585</v>
      </c>
      <c r="C4133" t="s">
        <v>1933</v>
      </c>
      <c r="D4133" t="str">
        <f>IFERROR(VLOOKUP(C4133,APOYO!J:K,2,FALSE),C4133)</f>
        <v>PURIFICACIÓN</v>
      </c>
      <c r="E4133">
        <v>2018</v>
      </c>
    </row>
    <row r="4134" spans="1:5" hidden="1" x14ac:dyDescent="0.25">
      <c r="A4134" t="str">
        <f>_xlfn.XLOOKUP(C4134, 'Códigos DANE Municipios'!$B$2:$B$1123, 'Códigos DANE Municipios'!$A$2:$A$1123, "No encontrado")</f>
        <v>25592</v>
      </c>
      <c r="B4134" t="str">
        <f>IFERROR(VLOOKUP(D4134,APOYO!K:L,2,FALSE),A4134)</f>
        <v>25592</v>
      </c>
      <c r="C4134" t="s">
        <v>1053</v>
      </c>
      <c r="D4134" t="str">
        <f>IFERROR(VLOOKUP(C4134,APOYO!J:K,2,FALSE),C4134)</f>
        <v>QUEBRADANEGRA</v>
      </c>
      <c r="E4134">
        <v>2018</v>
      </c>
    </row>
    <row r="4135" spans="1:5" hidden="1" x14ac:dyDescent="0.25">
      <c r="A4135" t="str">
        <f>_xlfn.XLOOKUP(C4135, 'Códigos DANE Municipios'!$B$2:$B$1123, 'Códigos DANE Municipios'!$A$2:$A$1123, "No encontrado")</f>
        <v>25594</v>
      </c>
      <c r="B4135" t="str">
        <f>IFERROR(VLOOKUP(D4135,APOYO!K:L,2,FALSE),A4135)</f>
        <v>25594</v>
      </c>
      <c r="C4135" t="s">
        <v>1055</v>
      </c>
      <c r="D4135" t="str">
        <f>IFERROR(VLOOKUP(C4135,APOYO!J:K,2,FALSE),C4135)</f>
        <v>QUETAME</v>
      </c>
      <c r="E4135">
        <v>2018</v>
      </c>
    </row>
    <row r="4136" spans="1:5" hidden="1" x14ac:dyDescent="0.25">
      <c r="A4136" t="str">
        <f>_xlfn.XLOOKUP(C4136, 'Códigos DANE Municipios'!$B$2:$B$1123, 'Códigos DANE Municipios'!$A$2:$A$1123, "No encontrado")</f>
        <v>27001</v>
      </c>
      <c r="B4136" t="str">
        <f>IFERROR(VLOOKUP(D4136,APOYO!K:L,2,FALSE),A4136)</f>
        <v>27001</v>
      </c>
      <c r="C4136" t="s">
        <v>1142</v>
      </c>
      <c r="D4136" t="str">
        <f>IFERROR(VLOOKUP(C4136,APOYO!J:K,2,FALSE),C4136)</f>
        <v>QUIBDÓ</v>
      </c>
      <c r="E4136">
        <v>2018</v>
      </c>
    </row>
    <row r="4137" spans="1:5" hidden="1" x14ac:dyDescent="0.25">
      <c r="A4137" t="str">
        <f>_xlfn.XLOOKUP(C4137, 'Códigos DANE Municipios'!$B$2:$B$1123, 'Códigos DANE Municipios'!$A$2:$A$1123, "No encontrado")</f>
        <v>63594</v>
      </c>
      <c r="B4137" t="str">
        <f>IFERROR(VLOOKUP(D4137,APOYO!K:L,2,FALSE),A4137)</f>
        <v>63594</v>
      </c>
      <c r="C4137" t="s">
        <v>1624</v>
      </c>
      <c r="D4137" t="str">
        <f>IFERROR(VLOOKUP(C4137,APOYO!J:K,2,FALSE),C4137)</f>
        <v>QUIMBAYA</v>
      </c>
      <c r="E4137">
        <v>2018</v>
      </c>
    </row>
    <row r="4138" spans="1:5" hidden="1" x14ac:dyDescent="0.25">
      <c r="A4138" t="str">
        <f>_xlfn.XLOOKUP(C4138, 'Códigos DANE Municipios'!$B$2:$B$1123, 'Códigos DANE Municipios'!$A$2:$A$1123, "No encontrado")</f>
        <v>66594</v>
      </c>
      <c r="B4138" t="str">
        <f>IFERROR(VLOOKUP(D4138,APOYO!K:L,2,FALSE),A4138)</f>
        <v>66594</v>
      </c>
      <c r="C4138" t="s">
        <v>1649</v>
      </c>
      <c r="D4138" t="str">
        <f>IFERROR(VLOOKUP(C4138,APOYO!J:K,2,FALSE),C4138)</f>
        <v>QUINCHÍA</v>
      </c>
      <c r="E4138">
        <v>2018</v>
      </c>
    </row>
    <row r="4139" spans="1:5" hidden="1" x14ac:dyDescent="0.25">
      <c r="A4139" t="str">
        <f>_xlfn.XLOOKUP(C4139, 'Códigos DANE Municipios'!$B$2:$B$1123, 'Códigos DANE Municipios'!$A$2:$A$1123, "No encontrado")</f>
        <v>15580</v>
      </c>
      <c r="B4139" t="str">
        <f>IFERROR(VLOOKUP(D4139,APOYO!K:L,2,FALSE),A4139)</f>
        <v>15580</v>
      </c>
      <c r="C4139" t="s">
        <v>546</v>
      </c>
      <c r="D4139" t="str">
        <f>IFERROR(VLOOKUP(C4139,APOYO!J:K,2,FALSE),C4139)</f>
        <v>QUÍPAMA</v>
      </c>
      <c r="E4139">
        <v>2018</v>
      </c>
    </row>
    <row r="4140" spans="1:5" hidden="1" x14ac:dyDescent="0.25">
      <c r="A4140" t="str">
        <f>_xlfn.XLOOKUP(C4140, 'Códigos DANE Municipios'!$B$2:$B$1123, 'Códigos DANE Municipios'!$A$2:$A$1123, "No encontrado")</f>
        <v>25596</v>
      </c>
      <c r="B4140" t="str">
        <f>IFERROR(VLOOKUP(D4140,APOYO!K:L,2,FALSE),A4140)</f>
        <v>25596</v>
      </c>
      <c r="C4140" t="s">
        <v>1057</v>
      </c>
      <c r="D4140" t="str">
        <f>IFERROR(VLOOKUP(C4140,APOYO!J:K,2,FALSE),C4140)</f>
        <v>QUIPILE</v>
      </c>
      <c r="E4140">
        <v>2018</v>
      </c>
    </row>
    <row r="4141" spans="1:5" hidden="1" x14ac:dyDescent="0.25">
      <c r="A4141" t="str">
        <f>_xlfn.XLOOKUP(C4141, 'Códigos DANE Municipios'!$B$2:$B$1123, 'Códigos DANE Municipios'!$A$2:$A$1123, "No encontrado")</f>
        <v>81794</v>
      </c>
      <c r="B4141" t="str">
        <f>IFERROR(VLOOKUP(D4141,APOYO!K:L,2,FALSE),A4141)</f>
        <v>81794</v>
      </c>
      <c r="C4141" t="s">
        <v>2046</v>
      </c>
      <c r="D4141" t="str">
        <f>IFERROR(VLOOKUP(C4141,APOYO!J:K,2,FALSE),C4141)</f>
        <v>TAME</v>
      </c>
      <c r="E4141">
        <v>2018</v>
      </c>
    </row>
    <row r="4142" spans="1:5" hidden="1" x14ac:dyDescent="0.25">
      <c r="A4142" t="str">
        <f>_xlfn.XLOOKUP(C4142, 'Códigos DANE Municipios'!$B$2:$B$1123, 'Códigos DANE Municipios'!$A$2:$A$1123, "No encontrado")</f>
        <v>15599</v>
      </c>
      <c r="B4142" t="str">
        <f>IFERROR(VLOOKUP(D4142,APOYO!K:L,2,FALSE),A4142)</f>
        <v>15599</v>
      </c>
      <c r="C4142" t="s">
        <v>548</v>
      </c>
      <c r="D4142" t="str">
        <f>IFERROR(VLOOKUP(C4142,APOYO!J:K,2,FALSE),C4142)</f>
        <v>RAMIRIQUÍ</v>
      </c>
      <c r="E4142">
        <v>2018</v>
      </c>
    </row>
    <row r="4143" spans="1:5" hidden="1" x14ac:dyDescent="0.25">
      <c r="A4143" t="str">
        <f>_xlfn.XLOOKUP(C4143, 'Códigos DANE Municipios'!$B$2:$B$1123, 'Códigos DANE Municipios'!$A$2:$A$1123, "No encontrado")</f>
        <v>15600</v>
      </c>
      <c r="B4143" t="str">
        <f>IFERROR(VLOOKUP(D4143,APOYO!K:L,2,FALSE),A4143)</f>
        <v>15600</v>
      </c>
      <c r="C4143" t="s">
        <v>550</v>
      </c>
      <c r="D4143" t="str">
        <f>IFERROR(VLOOKUP(C4143,APOYO!J:K,2,FALSE),C4143)</f>
        <v>RÁQUIRA</v>
      </c>
      <c r="E4143">
        <v>2018</v>
      </c>
    </row>
    <row r="4144" spans="1:5" hidden="1" x14ac:dyDescent="0.25">
      <c r="A4144" t="str">
        <f>_xlfn.XLOOKUP(C4144, 'Códigos DANE Municipios'!$B$2:$B$1123, 'Códigos DANE Municipios'!$A$2:$A$1123, "No encontrado")</f>
        <v>05604</v>
      </c>
      <c r="B4144" t="str">
        <f>IFERROR(VLOOKUP(D4144,APOYO!K:L,2,FALSE),A4144)</f>
        <v>05604</v>
      </c>
      <c r="C4144" t="s">
        <v>176</v>
      </c>
      <c r="D4144" t="str">
        <f>IFERROR(VLOOKUP(C4144,APOYO!J:K,2,FALSE),C4144)</f>
        <v>REMEDIOS</v>
      </c>
      <c r="E4144">
        <v>2018</v>
      </c>
    </row>
    <row r="4145" spans="1:5" hidden="1" x14ac:dyDescent="0.25">
      <c r="A4145" t="str">
        <f>_xlfn.XLOOKUP(C4145, 'Códigos DANE Municipios'!$B$2:$B$1123, 'Códigos DANE Municipios'!$A$2:$A$1123, "No encontrado")</f>
        <v>50606</v>
      </c>
      <c r="B4145" t="str">
        <f>IFERROR(VLOOKUP(D4145,APOYO!K:L,2,FALSE),A4145)</f>
        <v>50606</v>
      </c>
      <c r="C4145" t="s">
        <v>1401</v>
      </c>
      <c r="D4145" t="str">
        <f>IFERROR(VLOOKUP(C4145,APOYO!J:K,2,FALSE),C4145)</f>
        <v>RESTREPO</v>
      </c>
      <c r="E4145">
        <v>2018</v>
      </c>
    </row>
    <row r="4146" spans="1:5" hidden="1" x14ac:dyDescent="0.25">
      <c r="A4146" t="str">
        <f>_xlfn.XLOOKUP(C4146, 'Códigos DANE Municipios'!$B$2:$B$1123, 'Códigos DANE Municipios'!$A$2:$A$1123, "No encontrado")</f>
        <v>05607</v>
      </c>
      <c r="B4146" t="str">
        <f>IFERROR(VLOOKUP(D4146,APOYO!K:L,2,FALSE),A4146)</f>
        <v>05607</v>
      </c>
      <c r="C4146" t="s">
        <v>178</v>
      </c>
      <c r="D4146" t="str">
        <f>IFERROR(VLOOKUP(C4146,APOYO!J:K,2,FALSE),C4146)</f>
        <v>RETIRO</v>
      </c>
      <c r="E4146">
        <v>2018</v>
      </c>
    </row>
    <row r="4147" spans="1:5" hidden="1" x14ac:dyDescent="0.25">
      <c r="A4147" t="str">
        <f>_xlfn.XLOOKUP(C4147, 'Códigos DANE Municipios'!$B$2:$B$1123, 'Códigos DANE Municipios'!$A$2:$A$1123, "No encontrado")</f>
        <v>25612</v>
      </c>
      <c r="B4147" t="str">
        <f>IFERROR(VLOOKUP(D4147,APOYO!K:L,2,FALSE),A4147)</f>
        <v>25612</v>
      </c>
      <c r="C4147" t="s">
        <v>1061</v>
      </c>
      <c r="D4147" t="str">
        <f>IFERROR(VLOOKUP(C4147,APOYO!J:K,2,FALSE),C4147)</f>
        <v>RICAURTE</v>
      </c>
      <c r="E4147">
        <v>2018</v>
      </c>
    </row>
    <row r="4148" spans="1:5" hidden="1" x14ac:dyDescent="0.25">
      <c r="A4148" t="str">
        <f>_xlfn.XLOOKUP(C4148, 'Códigos DANE Municipios'!$B$2:$B$1123, 'Códigos DANE Municipios'!$A$2:$A$1123, "No encontrado")</f>
        <v>20614</v>
      </c>
      <c r="B4148" t="str">
        <f>IFERROR(VLOOKUP(D4148,APOYO!K:L,2,FALSE),A4148)</f>
        <v>20614</v>
      </c>
      <c r="C4148" t="s">
        <v>846</v>
      </c>
      <c r="D4148" t="str">
        <f>IFERROR(VLOOKUP(C4148,APOYO!J:K,2,FALSE),C4148)</f>
        <v>RÍO DE ORO</v>
      </c>
      <c r="E4148">
        <v>2018</v>
      </c>
    </row>
    <row r="4149" spans="1:5" hidden="1" x14ac:dyDescent="0.25">
      <c r="A4149" t="str">
        <f>_xlfn.XLOOKUP(C4149, 'Códigos DANE Municipios'!$B$2:$B$1123, 'Códigos DANE Municipios'!$A$2:$A$1123, "No encontrado")</f>
        <v>76616</v>
      </c>
      <c r="B4149" t="str">
        <f>IFERROR(VLOOKUP(D4149,APOYO!K:L,2,FALSE),A4149)</f>
        <v>76616</v>
      </c>
      <c r="C4149" t="s">
        <v>2009</v>
      </c>
      <c r="D4149" t="str">
        <f>IFERROR(VLOOKUP(C4149,APOYO!J:K,2,FALSE),C4149)</f>
        <v>RIOFRÍO</v>
      </c>
      <c r="E4149">
        <v>2018</v>
      </c>
    </row>
    <row r="4150" spans="1:5" hidden="1" x14ac:dyDescent="0.25">
      <c r="A4150" t="str">
        <f>_xlfn.XLOOKUP(C4150, 'Códigos DANE Municipios'!$B$2:$B$1123, 'Códigos DANE Municipios'!$A$2:$A$1123, "No encontrado")</f>
        <v>44001</v>
      </c>
      <c r="B4150" t="str">
        <f>IFERROR(VLOOKUP(D4150,APOYO!K:L,2,FALSE),A4150)</f>
        <v>44001</v>
      </c>
      <c r="C4150" t="s">
        <v>1272</v>
      </c>
      <c r="D4150" t="str">
        <f>IFERROR(VLOOKUP(C4150,APOYO!J:K,2,FALSE),C4150)</f>
        <v>RIOHACHA</v>
      </c>
      <c r="E4150">
        <v>2018</v>
      </c>
    </row>
    <row r="4151" spans="1:5" hidden="1" x14ac:dyDescent="0.25">
      <c r="A4151" t="str">
        <f>_xlfn.XLOOKUP(C4151, 'Códigos DANE Municipios'!$B$2:$B$1123, 'Códigos DANE Municipios'!$A$2:$A$1123, "No encontrado")</f>
        <v>05615</v>
      </c>
      <c r="B4151" t="str">
        <f>IFERROR(VLOOKUP(D4151,APOYO!K:L,2,FALSE),A4151)</f>
        <v>05615</v>
      </c>
      <c r="C4151" t="s">
        <v>180</v>
      </c>
      <c r="D4151" t="str">
        <f>IFERROR(VLOOKUP(C4151,APOYO!J:K,2,FALSE),C4151)</f>
        <v>RIONEGRO</v>
      </c>
      <c r="E4151">
        <v>2018</v>
      </c>
    </row>
    <row r="4152" spans="1:5" hidden="1" x14ac:dyDescent="0.25">
      <c r="A4152" t="str">
        <f>_xlfn.XLOOKUP(C4152, 'Códigos DANE Municipios'!$B$2:$B$1123, 'Códigos DANE Municipios'!$A$2:$A$1123, "No encontrado")</f>
        <v>17614</v>
      </c>
      <c r="B4152" t="str">
        <f>IFERROR(VLOOKUP(D4152,APOYO!K:L,2,FALSE),A4152)</f>
        <v>17614</v>
      </c>
      <c r="C4152" t="s">
        <v>680</v>
      </c>
      <c r="D4152" t="str">
        <f>IFERROR(VLOOKUP(C4152,APOYO!J:K,2,FALSE),C4152)</f>
        <v>RIOSUCIO</v>
      </c>
      <c r="E4152">
        <v>2018</v>
      </c>
    </row>
    <row r="4153" spans="1:5" hidden="1" x14ac:dyDescent="0.25">
      <c r="A4153" t="str">
        <f>_xlfn.XLOOKUP(C4153, 'Códigos DANE Municipios'!$B$2:$B$1123, 'Códigos DANE Municipios'!$A$2:$A$1123, "No encontrado")</f>
        <v>17616</v>
      </c>
      <c r="B4153" t="str">
        <f>IFERROR(VLOOKUP(D4153,APOYO!K:L,2,FALSE),A4153)</f>
        <v>17616</v>
      </c>
      <c r="C4153" t="s">
        <v>682</v>
      </c>
      <c r="D4153" t="str">
        <f>IFERROR(VLOOKUP(C4153,APOYO!J:K,2,FALSE),C4153)</f>
        <v>RISARALDA</v>
      </c>
      <c r="E4153">
        <v>2018</v>
      </c>
    </row>
    <row r="4154" spans="1:5" hidden="1" x14ac:dyDescent="0.25">
      <c r="A4154" t="str">
        <f>_xlfn.XLOOKUP(C4154, 'Códigos DANE Municipios'!$B$2:$B$1123, 'Códigos DANE Municipios'!$A$2:$A$1123, "No encontrado")</f>
        <v>41615</v>
      </c>
      <c r="B4154" t="str">
        <f>IFERROR(VLOOKUP(D4154,APOYO!K:L,2,FALSE),A4154)</f>
        <v>41615</v>
      </c>
      <c r="C4154" t="s">
        <v>1249</v>
      </c>
      <c r="D4154" t="str">
        <f>IFERROR(VLOOKUP(C4154,APOYO!J:K,2,FALSE),C4154)</f>
        <v>RIVERA</v>
      </c>
      <c r="E4154">
        <v>2018</v>
      </c>
    </row>
    <row r="4155" spans="1:5" hidden="1" x14ac:dyDescent="0.25">
      <c r="A4155" t="str">
        <f>_xlfn.XLOOKUP(C4155, 'Códigos DANE Municipios'!$B$2:$B$1123, 'Códigos DANE Municipios'!$A$2:$A$1123, "No encontrado")</f>
        <v>20621</v>
      </c>
      <c r="B4155" t="str">
        <f>IFERROR(VLOOKUP(D4155,APOYO!K:L,2,FALSE),A4155)</f>
        <v>20621</v>
      </c>
      <c r="C4155" t="s">
        <v>848</v>
      </c>
      <c r="D4155" t="str">
        <f>IFERROR(VLOOKUP(C4155,APOYO!J:K,2,FALSE),C4155)</f>
        <v>LA PAZ</v>
      </c>
      <c r="E4155">
        <v>2018</v>
      </c>
    </row>
    <row r="4156" spans="1:5" hidden="1" x14ac:dyDescent="0.25">
      <c r="A4156" t="str">
        <f>_xlfn.XLOOKUP(C4156, 'Códigos DANE Municipios'!$B$2:$B$1123, 'Códigos DANE Municipios'!$A$2:$A$1123, "No encontrado")</f>
        <v>76622</v>
      </c>
      <c r="B4156" t="str">
        <f>IFERROR(VLOOKUP(D4156,APOYO!K:L,2,FALSE),A4156)</f>
        <v>76622</v>
      </c>
      <c r="C4156" t="s">
        <v>2011</v>
      </c>
      <c r="D4156" t="str">
        <f>IFERROR(VLOOKUP(C4156,APOYO!J:K,2,FALSE),C4156)</f>
        <v>ROLDANILLO</v>
      </c>
      <c r="E4156">
        <v>2018</v>
      </c>
    </row>
    <row r="4157" spans="1:5" hidden="1" x14ac:dyDescent="0.25">
      <c r="A4157" t="str">
        <f>_xlfn.XLOOKUP(C4157, 'Códigos DANE Municipios'!$B$2:$B$1123, 'Códigos DANE Municipios'!$A$2:$A$1123, "No encontrado")</f>
        <v>73622</v>
      </c>
      <c r="B4157" t="str">
        <f>IFERROR(VLOOKUP(D4157,APOYO!K:L,2,FALSE),A4157)</f>
        <v>73622</v>
      </c>
      <c r="C4157" t="s">
        <v>1937</v>
      </c>
      <c r="D4157" t="str">
        <f>IFERROR(VLOOKUP(C4157,APOYO!J:K,2,FALSE),C4157)</f>
        <v>RONCESVALLES</v>
      </c>
      <c r="E4157">
        <v>2018</v>
      </c>
    </row>
    <row r="4158" spans="1:5" hidden="1" x14ac:dyDescent="0.25">
      <c r="A4158" t="str">
        <f>_xlfn.XLOOKUP(C4158, 'Códigos DANE Municipios'!$B$2:$B$1123, 'Códigos DANE Municipios'!$A$2:$A$1123, "No encontrado")</f>
        <v>73624</v>
      </c>
      <c r="B4158" t="str">
        <f>IFERROR(VLOOKUP(D4158,APOYO!K:L,2,FALSE),A4158)</f>
        <v>73624</v>
      </c>
      <c r="C4158" t="s">
        <v>1939</v>
      </c>
      <c r="D4158" t="str">
        <f>IFERROR(VLOOKUP(C4158,APOYO!J:K,2,FALSE),C4158)</f>
        <v>ROVIRA</v>
      </c>
      <c r="E4158">
        <v>2018</v>
      </c>
    </row>
    <row r="4159" spans="1:5" hidden="1" x14ac:dyDescent="0.25">
      <c r="A4159" t="str">
        <f>_xlfn.XLOOKUP(C4159, 'Códigos DANE Municipios'!$B$2:$B$1123, 'Códigos DANE Municipios'!$A$2:$A$1123, "No encontrado")</f>
        <v>68655</v>
      </c>
      <c r="B4159" t="str">
        <f>IFERROR(VLOOKUP(D4159,APOYO!K:L,2,FALSE),A4159)</f>
        <v>68655</v>
      </c>
      <c r="C4159" t="s">
        <v>1777</v>
      </c>
      <c r="D4159" t="str">
        <f>IFERROR(VLOOKUP(C4159,APOYO!J:K,2,FALSE),C4159)</f>
        <v>SABANA DE TORRES</v>
      </c>
      <c r="E4159">
        <v>2018</v>
      </c>
    </row>
    <row r="4160" spans="1:5" hidden="1" x14ac:dyDescent="0.25">
      <c r="A4160" t="str">
        <f>_xlfn.XLOOKUP(C4160, 'Códigos DANE Municipios'!$B$2:$B$1123, 'Códigos DANE Municipios'!$A$2:$A$1123, "No encontrado")</f>
        <v>08634</v>
      </c>
      <c r="B4160" t="str">
        <f>IFERROR(VLOOKUP(D4160,APOYO!K:L,2,FALSE),A4160)</f>
        <v>08634</v>
      </c>
      <c r="C4160" t="s">
        <v>292</v>
      </c>
      <c r="D4160" t="str">
        <f>IFERROR(VLOOKUP(C4160,APOYO!J:K,2,FALSE),C4160)</f>
        <v>SABANAGRANDE</v>
      </c>
      <c r="E4160">
        <v>2018</v>
      </c>
    </row>
    <row r="4161" spans="1:5" hidden="1" x14ac:dyDescent="0.25">
      <c r="A4161" t="str">
        <f>_xlfn.XLOOKUP(C4161, 'Códigos DANE Municipios'!$B$2:$B$1123, 'Códigos DANE Municipios'!$A$2:$A$1123, "No encontrado")</f>
        <v>05628</v>
      </c>
      <c r="B4161" t="str">
        <f>IFERROR(VLOOKUP(D4161,APOYO!K:L,2,FALSE),A4161)</f>
        <v>05628</v>
      </c>
      <c r="C4161" t="s">
        <v>182</v>
      </c>
      <c r="D4161" t="str">
        <f>IFERROR(VLOOKUP(C4161,APOYO!J:K,2,FALSE),C4161)</f>
        <v>SABANALARGA</v>
      </c>
      <c r="E4161">
        <v>2018</v>
      </c>
    </row>
    <row r="4162" spans="1:5" hidden="1" x14ac:dyDescent="0.25">
      <c r="A4162" t="str">
        <f>_xlfn.XLOOKUP(C4162, 'Códigos DANE Municipios'!$B$2:$B$1123, 'Códigos DANE Municipios'!$A$2:$A$1123, "No encontrado")</f>
        <v>05631</v>
      </c>
      <c r="B4162" t="str">
        <f>IFERROR(VLOOKUP(D4162,APOYO!K:L,2,FALSE),A4162)</f>
        <v>05631</v>
      </c>
      <c r="C4162" t="s">
        <v>184</v>
      </c>
      <c r="D4162" t="str">
        <f>IFERROR(VLOOKUP(C4162,APOYO!J:K,2,FALSE),C4162)</f>
        <v>SABANETA</v>
      </c>
      <c r="E4162">
        <v>2018</v>
      </c>
    </row>
    <row r="4163" spans="1:5" hidden="1" x14ac:dyDescent="0.25">
      <c r="A4163" t="str">
        <f>_xlfn.XLOOKUP(C4163, 'Códigos DANE Municipios'!$B$2:$B$1123, 'Códigos DANE Municipios'!$A$2:$A$1123, "No encontrado")</f>
        <v>15632</v>
      </c>
      <c r="B4163" t="str">
        <f>IFERROR(VLOOKUP(D4163,APOYO!K:L,2,FALSE),A4163)</f>
        <v>15632</v>
      </c>
      <c r="C4163" t="s">
        <v>554</v>
      </c>
      <c r="D4163" t="str">
        <f>IFERROR(VLOOKUP(C4163,APOYO!J:K,2,FALSE),C4163)</f>
        <v>SABOYÁ</v>
      </c>
      <c r="E4163">
        <v>2018</v>
      </c>
    </row>
    <row r="4164" spans="1:5" hidden="1" x14ac:dyDescent="0.25">
      <c r="A4164" t="str">
        <f>_xlfn.XLOOKUP(C4164, 'Códigos DANE Municipios'!$B$2:$B$1123, 'Códigos DANE Municipios'!$A$2:$A$1123, "No encontrado")</f>
        <v>15638</v>
      </c>
      <c r="B4164" t="str">
        <f>IFERROR(VLOOKUP(D4164,APOYO!K:L,2,FALSE),A4164)</f>
        <v>15638</v>
      </c>
      <c r="C4164" t="s">
        <v>556</v>
      </c>
      <c r="D4164" t="str">
        <f>IFERROR(VLOOKUP(C4164,APOYO!J:K,2,FALSE),C4164)</f>
        <v>SÁCHICA</v>
      </c>
      <c r="E4164">
        <v>2018</v>
      </c>
    </row>
    <row r="4165" spans="1:5" hidden="1" x14ac:dyDescent="0.25">
      <c r="A4165" t="str">
        <f>_xlfn.XLOOKUP(C4165, 'Códigos DANE Municipios'!$B$2:$B$1123, 'Códigos DANE Municipios'!$A$2:$A$1123, "No encontrado")</f>
        <v>23660</v>
      </c>
      <c r="B4165" t="str">
        <f>IFERROR(VLOOKUP(D4165,APOYO!K:L,2,FALSE),A4165)</f>
        <v>23660</v>
      </c>
      <c r="C4165" t="s">
        <v>897</v>
      </c>
      <c r="D4165" t="str">
        <f>IFERROR(VLOOKUP(C4165,APOYO!J:K,2,FALSE),C4165)</f>
        <v>SAHAGÚN</v>
      </c>
      <c r="E4165">
        <v>2018</v>
      </c>
    </row>
    <row r="4166" spans="1:5" hidden="1" x14ac:dyDescent="0.25">
      <c r="A4166" t="str">
        <f>_xlfn.XLOOKUP(C4166, 'Códigos DANE Municipios'!$B$2:$B$1123, 'Códigos DANE Municipios'!$A$2:$A$1123, "No encontrado")</f>
        <v>41660</v>
      </c>
      <c r="B4166" t="str">
        <f>IFERROR(VLOOKUP(D4166,APOYO!K:L,2,FALSE),A4166)</f>
        <v>41660</v>
      </c>
      <c r="C4166" t="s">
        <v>1251</v>
      </c>
      <c r="D4166" t="str">
        <f>IFERROR(VLOOKUP(C4166,APOYO!J:K,2,FALSE),C4166)</f>
        <v>SALADOBLANCO</v>
      </c>
      <c r="E4166">
        <v>2018</v>
      </c>
    </row>
    <row r="4167" spans="1:5" hidden="1" x14ac:dyDescent="0.25">
      <c r="A4167" t="str">
        <f>_xlfn.XLOOKUP(C4167, 'Códigos DANE Municipios'!$B$2:$B$1123, 'Códigos DANE Municipios'!$A$2:$A$1123, "No encontrado")</f>
        <v>17653</v>
      </c>
      <c r="B4167" t="str">
        <f>IFERROR(VLOOKUP(D4167,APOYO!K:L,2,FALSE),A4167)</f>
        <v>17653</v>
      </c>
      <c r="C4167" t="s">
        <v>684</v>
      </c>
      <c r="D4167" t="str">
        <f>IFERROR(VLOOKUP(C4167,APOYO!J:K,2,FALSE),C4167)</f>
        <v>SALAMINA</v>
      </c>
      <c r="E4167">
        <v>2018</v>
      </c>
    </row>
    <row r="4168" spans="1:5" hidden="1" x14ac:dyDescent="0.25">
      <c r="A4168" t="str">
        <f>_xlfn.XLOOKUP(C4168, 'Códigos DANE Municipios'!$B$2:$B$1123, 'Códigos DANE Municipios'!$A$2:$A$1123, "No encontrado")</f>
        <v>54660</v>
      </c>
      <c r="B4168" t="str">
        <f>IFERROR(VLOOKUP(D4168,APOYO!K:L,2,FALSE),A4168)</f>
        <v>54660</v>
      </c>
      <c r="C4168" t="s">
        <v>1587</v>
      </c>
      <c r="D4168" t="str">
        <f>IFERROR(VLOOKUP(C4168,APOYO!J:K,2,FALSE),C4168)</f>
        <v>SALAZAR</v>
      </c>
      <c r="E4168">
        <v>2018</v>
      </c>
    </row>
    <row r="4169" spans="1:5" hidden="1" x14ac:dyDescent="0.25">
      <c r="A4169" t="str">
        <f>_xlfn.XLOOKUP(C4169, 'Códigos DANE Municipios'!$B$2:$B$1123, 'Códigos DANE Municipios'!$A$2:$A$1123, "No encontrado")</f>
        <v>73671</v>
      </c>
      <c r="B4169" t="str">
        <f>IFERROR(VLOOKUP(D4169,APOYO!K:L,2,FALSE),A4169)</f>
        <v>73671</v>
      </c>
      <c r="C4169" t="s">
        <v>1941</v>
      </c>
      <c r="D4169" t="str">
        <f>IFERROR(VLOOKUP(C4169,APOYO!J:K,2,FALSE),C4169)</f>
        <v>SALDAÑA</v>
      </c>
      <c r="E4169">
        <v>2018</v>
      </c>
    </row>
    <row r="4170" spans="1:5" hidden="1" x14ac:dyDescent="0.25">
      <c r="A4170" t="str">
        <f>_xlfn.XLOOKUP(C4170, 'Códigos DANE Municipios'!$B$2:$B$1123, 'Códigos DANE Municipios'!$A$2:$A$1123, "No encontrado")</f>
        <v>63690</v>
      </c>
      <c r="B4170" t="str">
        <f>IFERROR(VLOOKUP(D4170,APOYO!K:L,2,FALSE),A4170)</f>
        <v>63690</v>
      </c>
      <c r="C4170" t="s">
        <v>1626</v>
      </c>
      <c r="D4170" t="str">
        <f>IFERROR(VLOOKUP(C4170,APOYO!J:K,2,FALSE),C4170)</f>
        <v>SALENTO</v>
      </c>
      <c r="E4170">
        <v>2018</v>
      </c>
    </row>
    <row r="4171" spans="1:5" hidden="1" x14ac:dyDescent="0.25">
      <c r="A4171" t="str">
        <f>_xlfn.XLOOKUP(C4171, 'Códigos DANE Municipios'!$B$2:$B$1123, 'Códigos DANE Municipios'!$A$2:$A$1123, "No encontrado")</f>
        <v>05642</v>
      </c>
      <c r="B4171" t="str">
        <f>IFERROR(VLOOKUP(D4171,APOYO!K:L,2,FALSE),A4171)</f>
        <v>05642</v>
      </c>
      <c r="C4171" t="s">
        <v>186</v>
      </c>
      <c r="D4171" t="str">
        <f>IFERROR(VLOOKUP(C4171,APOYO!J:K,2,FALSE),C4171)</f>
        <v>SALGAR</v>
      </c>
      <c r="E4171">
        <v>2018</v>
      </c>
    </row>
    <row r="4172" spans="1:5" hidden="1" x14ac:dyDescent="0.25">
      <c r="A4172" t="str">
        <f>_xlfn.XLOOKUP(C4172, 'Códigos DANE Municipios'!$B$2:$B$1123, 'Códigos DANE Municipios'!$A$2:$A$1123, "No encontrado")</f>
        <v>15646</v>
      </c>
      <c r="B4172" t="str">
        <f>IFERROR(VLOOKUP(D4172,APOYO!K:L,2,FALSE),A4172)</f>
        <v>15646</v>
      </c>
      <c r="C4172" t="s">
        <v>558</v>
      </c>
      <c r="D4172" t="str">
        <f>IFERROR(VLOOKUP(C4172,APOYO!J:K,2,FALSE),C4172)</f>
        <v>SAMACÁ</v>
      </c>
      <c r="E4172">
        <v>2018</v>
      </c>
    </row>
    <row r="4173" spans="1:5" hidden="1" x14ac:dyDescent="0.25">
      <c r="A4173" t="str">
        <f>_xlfn.XLOOKUP(C4173, 'Códigos DANE Municipios'!$B$2:$B$1123, 'Códigos DANE Municipios'!$A$2:$A$1123, "No encontrado")</f>
        <v>17662</v>
      </c>
      <c r="B4173" t="str">
        <f>IFERROR(VLOOKUP(D4173,APOYO!K:L,2,FALSE),A4173)</f>
        <v>17662</v>
      </c>
      <c r="C4173" t="s">
        <v>686</v>
      </c>
      <c r="D4173" t="str">
        <f>IFERROR(VLOOKUP(C4173,APOYO!J:K,2,FALSE),C4173)</f>
        <v>SAMANÁ</v>
      </c>
      <c r="E4173">
        <v>2018</v>
      </c>
    </row>
    <row r="4174" spans="1:5" hidden="1" x14ac:dyDescent="0.25">
      <c r="A4174" t="str">
        <f>_xlfn.XLOOKUP(C4174, 'Códigos DANE Municipios'!$B$2:$B$1123, 'Códigos DANE Municipios'!$A$2:$A$1123, "No encontrado")</f>
        <v>52678</v>
      </c>
      <c r="B4174" t="str">
        <f>IFERROR(VLOOKUP(D4174,APOYO!K:L,2,FALSE),A4174)</f>
        <v>52678</v>
      </c>
      <c r="C4174" t="s">
        <v>1504</v>
      </c>
      <c r="D4174" t="str">
        <f>IFERROR(VLOOKUP(C4174,APOYO!J:K,2,FALSE),C4174)</f>
        <v>SAMANIEGO</v>
      </c>
      <c r="E4174">
        <v>2018</v>
      </c>
    </row>
    <row r="4175" spans="1:5" hidden="1" x14ac:dyDescent="0.25">
      <c r="A4175" t="str">
        <f>_xlfn.XLOOKUP(C4175, 'Códigos DANE Municipios'!$B$2:$B$1123, 'Códigos DANE Municipios'!$A$2:$A$1123, "No encontrado")</f>
        <v>70670</v>
      </c>
      <c r="B4175" t="str">
        <f>IFERROR(VLOOKUP(D4175,APOYO!K:L,2,FALSE),A4175)</f>
        <v>70670</v>
      </c>
      <c r="C4175" t="s">
        <v>1846</v>
      </c>
      <c r="D4175" t="str">
        <f>IFERROR(VLOOKUP(C4175,APOYO!J:K,2,FALSE),C4175)</f>
        <v>SAMPUÉS</v>
      </c>
      <c r="E4175">
        <v>2018</v>
      </c>
    </row>
    <row r="4176" spans="1:5" hidden="1" x14ac:dyDescent="0.25">
      <c r="A4176" t="str">
        <f>_xlfn.XLOOKUP(C4176, 'Códigos DANE Municipios'!$B$2:$B$1123, 'Códigos DANE Municipios'!$A$2:$A$1123, "No encontrado")</f>
        <v>41668</v>
      </c>
      <c r="B4176" t="str">
        <f>IFERROR(VLOOKUP(D4176,APOYO!K:L,2,FALSE),A4176)</f>
        <v>41668</v>
      </c>
      <c r="C4176" t="s">
        <v>1253</v>
      </c>
      <c r="D4176" t="str">
        <f>IFERROR(VLOOKUP(C4176,APOYO!J:K,2,FALSE),C4176)</f>
        <v>SAN AGUSTÍN</v>
      </c>
      <c r="E4176">
        <v>2018</v>
      </c>
    </row>
    <row r="4177" spans="1:5" hidden="1" x14ac:dyDescent="0.25">
      <c r="A4177" t="str">
        <f>_xlfn.XLOOKUP(C4177, 'Códigos DANE Municipios'!$B$2:$B$1123, 'Códigos DANE Municipios'!$A$2:$A$1123, "No encontrado")</f>
        <v>20710</v>
      </c>
      <c r="B4177" t="str">
        <f>IFERROR(VLOOKUP(D4177,APOYO!K:L,2,FALSE),A4177)</f>
        <v>20710</v>
      </c>
      <c r="C4177" t="s">
        <v>850</v>
      </c>
      <c r="D4177" t="str">
        <f>IFERROR(VLOOKUP(C4177,APOYO!J:K,2,FALSE),C4177)</f>
        <v>SAN ALBERTO</v>
      </c>
      <c r="E4177">
        <v>2018</v>
      </c>
    </row>
    <row r="4178" spans="1:5" hidden="1" x14ac:dyDescent="0.25">
      <c r="A4178" t="str">
        <f>_xlfn.XLOOKUP(C4178, 'Códigos DANE Municipios'!$B$2:$B$1123, 'Códigos DANE Municipios'!$A$2:$A$1123, "No encontrado")</f>
        <v>68669</v>
      </c>
      <c r="B4178" t="str">
        <f>IFERROR(VLOOKUP(D4178,APOYO!K:L,2,FALSE),A4178)</f>
        <v>68669</v>
      </c>
      <c r="C4178" t="s">
        <v>1779</v>
      </c>
      <c r="D4178" t="str">
        <f>IFERROR(VLOOKUP(C4178,APOYO!J:K,2,FALSE),C4178)</f>
        <v>SAN ANDRÉS</v>
      </c>
      <c r="E4178">
        <v>2018</v>
      </c>
    </row>
    <row r="4179" spans="1:5" hidden="1" x14ac:dyDescent="0.25">
      <c r="A4179" t="str">
        <f>_xlfn.XLOOKUP(C4179, 'Códigos DANE Municipios'!$B$2:$B$1123, 'Códigos DANE Municipios'!$A$2:$A$1123, "No encontrado")</f>
        <v>23670</v>
      </c>
      <c r="B4179" t="str">
        <f>IFERROR(VLOOKUP(D4179,APOYO!K:L,2,FALSE),A4179)</f>
        <v>23670</v>
      </c>
      <c r="C4179" t="s">
        <v>899</v>
      </c>
      <c r="D4179" t="str">
        <f>IFERROR(VLOOKUP(C4179,APOYO!J:K,2,FALSE),C4179)</f>
        <v>SAN ANDRÉS DE SOTAVENTO</v>
      </c>
      <c r="E4179">
        <v>2018</v>
      </c>
    </row>
    <row r="4180" spans="1:5" hidden="1" x14ac:dyDescent="0.25">
      <c r="A4180" t="str">
        <f>_xlfn.XLOOKUP(C4180, 'Códigos DANE Municipios'!$B$2:$B$1123, 'Códigos DANE Municipios'!$A$2:$A$1123, "No encontrado")</f>
        <v>23672</v>
      </c>
      <c r="B4180" t="str">
        <f>IFERROR(VLOOKUP(D4180,APOYO!K:L,2,FALSE),A4180)</f>
        <v>23672</v>
      </c>
      <c r="C4180" t="s">
        <v>901</v>
      </c>
      <c r="D4180" t="str">
        <f>IFERROR(VLOOKUP(C4180,APOYO!J:K,2,FALSE),C4180)</f>
        <v>SAN ANTERO</v>
      </c>
      <c r="E4180">
        <v>2018</v>
      </c>
    </row>
    <row r="4181" spans="1:5" hidden="1" x14ac:dyDescent="0.25">
      <c r="A4181" t="str">
        <f>_xlfn.XLOOKUP(C4181, 'Códigos DANE Municipios'!$B$2:$B$1123, 'Códigos DANE Municipios'!$A$2:$A$1123, "No encontrado")</f>
        <v>73675</v>
      </c>
      <c r="B4181" t="str">
        <f>IFERROR(VLOOKUP(D4181,APOYO!K:L,2,FALSE),A4181)</f>
        <v>73675</v>
      </c>
      <c r="C4181" t="s">
        <v>1943</v>
      </c>
      <c r="D4181" t="str">
        <f>IFERROR(VLOOKUP(C4181,APOYO!J:K,2,FALSE),C4181)</f>
        <v>SAN ANTONIO</v>
      </c>
      <c r="E4181">
        <v>2018</v>
      </c>
    </row>
    <row r="4182" spans="1:5" hidden="1" x14ac:dyDescent="0.25">
      <c r="A4182" t="str">
        <f>_xlfn.XLOOKUP(C4182, 'Códigos DANE Municipios'!$B$2:$B$1123, 'Códigos DANE Municipios'!$A$2:$A$1123, "No encontrado")</f>
        <v>25649</v>
      </c>
      <c r="B4182" t="str">
        <f>IFERROR(VLOOKUP(D4182,APOYO!K:L,2,FALSE),A4182)</f>
        <v>25649</v>
      </c>
      <c r="C4182" t="s">
        <v>1065</v>
      </c>
      <c r="D4182" t="str">
        <f>IFERROR(VLOOKUP(C4182,APOYO!J:K,2,FALSE),C4182)</f>
        <v>SAN BERNARDO</v>
      </c>
      <c r="E4182">
        <v>2018</v>
      </c>
    </row>
    <row r="4183" spans="1:5" hidden="1" x14ac:dyDescent="0.25">
      <c r="A4183" t="str">
        <f>_xlfn.XLOOKUP(C4183, 'Códigos DANE Municipios'!$B$2:$B$1123, 'Códigos DANE Municipios'!$A$2:$A$1123, "No encontrado")</f>
        <v>25649</v>
      </c>
      <c r="B4183" t="str">
        <f>IFERROR(VLOOKUP(D4183,APOYO!K:L,2,FALSE),A4183)</f>
        <v>25649</v>
      </c>
      <c r="C4183" t="s">
        <v>1065</v>
      </c>
      <c r="D4183" t="str">
        <f>IFERROR(VLOOKUP(C4183,APOYO!J:K,2,FALSE),C4183)</f>
        <v>SAN BERNARDO</v>
      </c>
      <c r="E4183">
        <v>2018</v>
      </c>
    </row>
    <row r="4184" spans="1:5" hidden="1" x14ac:dyDescent="0.25">
      <c r="A4184" t="str">
        <f>_xlfn.XLOOKUP(C4184, 'Códigos DANE Municipios'!$B$2:$B$1123, 'Códigos DANE Municipios'!$A$2:$A$1123, "No encontrado")</f>
        <v>05649</v>
      </c>
      <c r="B4184" t="str">
        <f>IFERROR(VLOOKUP(D4184,APOYO!K:L,2,FALSE),A4184)</f>
        <v>05649</v>
      </c>
      <c r="C4184" t="s">
        <v>190</v>
      </c>
      <c r="D4184" t="str">
        <f>IFERROR(VLOOKUP(C4184,APOYO!J:K,2,FALSE),C4184)</f>
        <v>SAN CARLOS</v>
      </c>
      <c r="E4184">
        <v>2018</v>
      </c>
    </row>
    <row r="4185" spans="1:5" hidden="1" x14ac:dyDescent="0.25">
      <c r="A4185" t="str">
        <f>_xlfn.XLOOKUP(C4185, 'Códigos DANE Municipios'!$B$2:$B$1123, 'Códigos DANE Municipios'!$A$2:$A$1123, "No encontrado")</f>
        <v>05649</v>
      </c>
      <c r="B4185" t="str">
        <f>IFERROR(VLOOKUP(D4185,APOYO!K:L,2,FALSE),A4185)</f>
        <v>05649</v>
      </c>
      <c r="C4185" t="s">
        <v>190</v>
      </c>
      <c r="D4185" t="str">
        <f>IFERROR(VLOOKUP(C4185,APOYO!J:K,2,FALSE),C4185)</f>
        <v>SAN CARLOS</v>
      </c>
      <c r="E4185">
        <v>2018</v>
      </c>
    </row>
    <row r="4186" spans="1:5" hidden="1" x14ac:dyDescent="0.25">
      <c r="A4186" t="str">
        <f>_xlfn.XLOOKUP(C4186, 'Códigos DANE Municipios'!$B$2:$B$1123, 'Códigos DANE Municipios'!$A$2:$A$1123, "No encontrado")</f>
        <v>20750</v>
      </c>
      <c r="B4186" t="str">
        <f>IFERROR(VLOOKUP(D4186,APOYO!K:L,2,FALSE),A4186)</f>
        <v>20750</v>
      </c>
      <c r="C4186" t="s">
        <v>852</v>
      </c>
      <c r="D4186" t="str">
        <f>IFERROR(VLOOKUP(C4186,APOYO!J:K,2,FALSE),C4186)</f>
        <v>SAN DIEGO</v>
      </c>
      <c r="E4186">
        <v>2018</v>
      </c>
    </row>
    <row r="4187" spans="1:5" hidden="1" x14ac:dyDescent="0.25">
      <c r="A4187" t="str">
        <f>_xlfn.XLOOKUP(C4187, 'Códigos DANE Municipios'!$B$2:$B$1123, 'Códigos DANE Municipios'!$A$2:$A$1123, "No encontrado")</f>
        <v>13647</v>
      </c>
      <c r="B4187" t="str">
        <f>IFERROR(VLOOKUP(D4187,APOYO!K:L,2,FALSE),A4187)</f>
        <v>13647</v>
      </c>
      <c r="C4187" t="s">
        <v>365</v>
      </c>
      <c r="D4187" t="str">
        <f>IFERROR(VLOOKUP(C4187,APOYO!J:K,2,FALSE),C4187)</f>
        <v>SAN ESTANISLAO</v>
      </c>
      <c r="E4187">
        <v>2018</v>
      </c>
    </row>
    <row r="4188" spans="1:5" hidden="1" x14ac:dyDescent="0.25">
      <c r="A4188" t="str">
        <f>_xlfn.XLOOKUP(C4188, 'Códigos DANE Municipios'!$B$2:$B$1123, 'Códigos DANE Municipios'!$A$2:$A$1123, "No encontrado")</f>
        <v>05652</v>
      </c>
      <c r="B4188" t="str">
        <f>IFERROR(VLOOKUP(D4188,APOYO!K:L,2,FALSE),A4188)</f>
        <v>05652</v>
      </c>
      <c r="C4188" t="s">
        <v>192</v>
      </c>
      <c r="D4188" t="str">
        <f>IFERROR(VLOOKUP(C4188,APOYO!J:K,2,FALSE),C4188)</f>
        <v>SAN FRANCISCO</v>
      </c>
      <c r="E4188">
        <v>2018</v>
      </c>
    </row>
    <row r="4189" spans="1:5" hidden="1" x14ac:dyDescent="0.25">
      <c r="A4189" t="str">
        <f>_xlfn.XLOOKUP(C4189, 'Códigos DANE Municipios'!$B$2:$B$1123, 'Códigos DANE Municipios'!$A$2:$A$1123, "No encontrado")</f>
        <v>68679</v>
      </c>
      <c r="B4189" t="str">
        <f>IFERROR(VLOOKUP(D4189,APOYO!K:L,2,FALSE),A4189)</f>
        <v>68679</v>
      </c>
      <c r="C4189" t="s">
        <v>1783</v>
      </c>
      <c r="D4189" t="str">
        <f>IFERROR(VLOOKUP(C4189,APOYO!J:K,2,FALSE),C4189)</f>
        <v>SAN GIL</v>
      </c>
      <c r="E4189">
        <v>2018</v>
      </c>
    </row>
    <row r="4190" spans="1:5" hidden="1" x14ac:dyDescent="0.25">
      <c r="A4190" t="str">
        <f>_xlfn.XLOOKUP(C4190, 'Códigos DANE Municipios'!$B$2:$B$1123, 'Códigos DANE Municipios'!$A$2:$A$1123, "No encontrado")</f>
        <v>13654</v>
      </c>
      <c r="B4190" t="str">
        <f>IFERROR(VLOOKUP(D4190,APOYO!K:L,2,FALSE),A4190)</f>
        <v>13654</v>
      </c>
      <c r="C4190" t="s">
        <v>369</v>
      </c>
      <c r="D4190" t="str">
        <f>IFERROR(VLOOKUP(C4190,APOYO!J:K,2,FALSE),C4190)</f>
        <v>SAN JACINTO</v>
      </c>
      <c r="E4190">
        <v>2018</v>
      </c>
    </row>
    <row r="4191" spans="1:5" hidden="1" x14ac:dyDescent="0.25">
      <c r="A4191" t="str">
        <f>_xlfn.XLOOKUP(C4191, 'Códigos DANE Municipios'!$B$2:$B$1123, 'Códigos DANE Municipios'!$A$2:$A$1123, "No encontrado")</f>
        <v>05656</v>
      </c>
      <c r="B4191" t="str">
        <f>IFERROR(VLOOKUP(D4191,APOYO!K:L,2,FALSE),A4191)</f>
        <v>05656</v>
      </c>
      <c r="C4191" t="s">
        <v>194</v>
      </c>
      <c r="D4191" t="str">
        <f>IFERROR(VLOOKUP(C4191,APOYO!J:K,2,FALSE),C4191)</f>
        <v>SAN JERÓNIMO</v>
      </c>
      <c r="E4191">
        <v>2018</v>
      </c>
    </row>
    <row r="4192" spans="1:5" hidden="1" x14ac:dyDescent="0.25">
      <c r="A4192" t="str">
        <f>_xlfn.XLOOKUP(C4192, 'Códigos DANE Municipios'!$B$2:$B$1123, 'Códigos DANE Municipios'!$A$2:$A$1123, "No encontrado")</f>
        <v>17665</v>
      </c>
      <c r="B4192" t="str">
        <f>IFERROR(VLOOKUP(D4192,APOYO!K:L,2,FALSE),A4192)</f>
        <v>17748</v>
      </c>
      <c r="C4192" t="s">
        <v>688</v>
      </c>
      <c r="D4192" t="str">
        <f>IFERROR(VLOOKUP(C4192,APOYO!J:K,2,FALSE),C4192)</f>
        <v>SAN JOSÉ</v>
      </c>
      <c r="E4192">
        <v>2018</v>
      </c>
    </row>
    <row r="4193" spans="1:5" hidden="1" x14ac:dyDescent="0.25">
      <c r="A4193" t="str">
        <f>_xlfn.XLOOKUP(C4193, 'Códigos DANE Municipios'!$B$2:$B$1123, 'Códigos DANE Municipios'!$A$2:$A$1123, "No encontrado")</f>
        <v>95001</v>
      </c>
      <c r="B4193" t="str">
        <f>IFERROR(VLOOKUP(D4193,APOYO!K:L,2,FALSE),A4193)</f>
        <v>95001</v>
      </c>
      <c r="C4193" t="s">
        <v>2145</v>
      </c>
      <c r="D4193" t="str">
        <f>IFERROR(VLOOKUP(C4193,APOYO!J:K,2,FALSE),C4193)</f>
        <v>SAN JOSÉ DEL GUAVIARE</v>
      </c>
      <c r="E4193">
        <v>2018</v>
      </c>
    </row>
    <row r="4194" spans="1:5" hidden="1" x14ac:dyDescent="0.25">
      <c r="A4194" t="str">
        <f>_xlfn.XLOOKUP(C4194, 'Códigos DANE Municipios'!$B$2:$B$1123, 'Códigos DANE Municipios'!$A$2:$A$1123, "No encontrado")</f>
        <v>23682</v>
      </c>
      <c r="B4194" t="str">
        <f>IFERROR(VLOOKUP(D4194,APOYO!K:L,2,FALSE),A4194)</f>
        <v>23682</v>
      </c>
      <c r="C4194" t="s">
        <v>906</v>
      </c>
      <c r="D4194" t="str">
        <f>IFERROR(VLOOKUP(C4194,APOYO!J:K,2,FALSE),C4194)</f>
        <v>SAN JOSÉ DE URÉ</v>
      </c>
      <c r="E4194">
        <v>2018</v>
      </c>
    </row>
    <row r="4195" spans="1:5" hidden="1" x14ac:dyDescent="0.25">
      <c r="A4195" t="str">
        <f>_xlfn.XLOOKUP(C4195, 'Códigos DANE Municipios'!$B$2:$B$1123, 'Códigos DANE Municipios'!$A$2:$A$1123, "No encontrado")</f>
        <v>44650</v>
      </c>
      <c r="B4195" t="str">
        <f>IFERROR(VLOOKUP(D4195,APOYO!K:L,2,FALSE),A4195)</f>
        <v>44650</v>
      </c>
      <c r="C4195" t="s">
        <v>1293</v>
      </c>
      <c r="D4195" t="str">
        <f>IFERROR(VLOOKUP(C4195,APOYO!J:K,2,FALSE),C4195)</f>
        <v>SAN JUAN DEL CESAR</v>
      </c>
      <c r="E4195">
        <v>2018</v>
      </c>
    </row>
    <row r="4196" spans="1:5" hidden="1" x14ac:dyDescent="0.25">
      <c r="A4196" t="str">
        <f>_xlfn.XLOOKUP(C4196, 'Códigos DANE Municipios'!$B$2:$B$1123, 'Códigos DANE Municipios'!$A$2:$A$1123, "No encontrado")</f>
        <v>13657</v>
      </c>
      <c r="B4196" t="str">
        <f>IFERROR(VLOOKUP(D4196,APOYO!K:L,2,FALSE),A4196)</f>
        <v>13657</v>
      </c>
      <c r="C4196" t="s">
        <v>373</v>
      </c>
      <c r="D4196" t="str">
        <f>IFERROR(VLOOKUP(C4196,APOYO!J:K,2,FALSE),C4196)</f>
        <v>SAN JUAN NEPOMUCENO</v>
      </c>
      <c r="E4196">
        <v>2018</v>
      </c>
    </row>
    <row r="4197" spans="1:5" hidden="1" x14ac:dyDescent="0.25">
      <c r="A4197" t="str">
        <f>_xlfn.XLOOKUP(C4197, 'Códigos DANE Municipios'!$B$2:$B$1123, 'Códigos DANE Municipios'!$A$2:$A$1123, "No encontrado")</f>
        <v>05660</v>
      </c>
      <c r="B4197" t="str">
        <f>IFERROR(VLOOKUP(D4197,APOYO!K:L,2,FALSE),A4197)</f>
        <v>05660</v>
      </c>
      <c r="C4197" t="s">
        <v>200</v>
      </c>
      <c r="D4197" t="str">
        <f>IFERROR(VLOOKUP(C4197,APOYO!J:K,2,FALSE),C4197)</f>
        <v>SAN LUIS</v>
      </c>
      <c r="E4197">
        <v>2018</v>
      </c>
    </row>
    <row r="4198" spans="1:5" hidden="1" x14ac:dyDescent="0.25">
      <c r="A4198" t="str">
        <f>_xlfn.XLOOKUP(C4198, 'Códigos DANE Municipios'!$B$2:$B$1123, 'Códigos DANE Municipios'!$A$2:$A$1123, "No encontrado")</f>
        <v>15667</v>
      </c>
      <c r="B4198" t="str">
        <f>IFERROR(VLOOKUP(D4198,APOYO!K:L,2,FALSE),A4198)</f>
        <v>15667</v>
      </c>
      <c r="C4198" t="s">
        <v>564</v>
      </c>
      <c r="D4198" t="str">
        <f>IFERROR(VLOOKUP(C4198,APOYO!J:K,2,FALSE),C4198)</f>
        <v>SAN LUIS DE GACENO</v>
      </c>
      <c r="E4198">
        <v>2018</v>
      </c>
    </row>
    <row r="4199" spans="1:5" hidden="1" x14ac:dyDescent="0.25">
      <c r="A4199" t="str">
        <f>_xlfn.XLOOKUP(C4199, 'Códigos DANE Municipios'!$B$2:$B$1123, 'Códigos DANE Municipios'!$A$2:$A$1123, "No encontrado")</f>
        <v>85325</v>
      </c>
      <c r="B4199" t="str">
        <f>IFERROR(VLOOKUP(D4199,APOYO!K:L,2,FALSE),A4199)</f>
        <v>85325</v>
      </c>
      <c r="C4199" t="s">
        <v>2075</v>
      </c>
      <c r="D4199" t="str">
        <f>IFERROR(VLOOKUP(C4199,APOYO!J:K,2,FALSE),C4199)</f>
        <v>SAN LUIS DE PALENQUE</v>
      </c>
      <c r="E4199">
        <v>2018</v>
      </c>
    </row>
    <row r="4200" spans="1:5" hidden="1" x14ac:dyDescent="0.25">
      <c r="A4200" t="str">
        <f>_xlfn.XLOOKUP(C4200, 'Códigos DANE Municipios'!$B$2:$B$1123, 'Códigos DANE Municipios'!$A$2:$A$1123, "No encontrado")</f>
        <v>70708</v>
      </c>
      <c r="B4200" t="str">
        <f>IFERROR(VLOOKUP(D4200,APOYO!K:L,2,FALSE),A4200)</f>
        <v>70708</v>
      </c>
      <c r="C4200" t="s">
        <v>1852</v>
      </c>
      <c r="D4200" t="str">
        <f>IFERROR(VLOOKUP(C4200,APOYO!J:K,2,FALSE),C4200)</f>
        <v>SAN MARCOS</v>
      </c>
      <c r="E4200">
        <v>2018</v>
      </c>
    </row>
    <row r="4201" spans="1:5" hidden="1" x14ac:dyDescent="0.25">
      <c r="A4201" t="str">
        <f>_xlfn.XLOOKUP(C4201, 'Códigos DANE Municipios'!$B$2:$B$1123, 'Códigos DANE Municipios'!$A$2:$A$1123, "No encontrado")</f>
        <v>20770</v>
      </c>
      <c r="B4201" t="str">
        <f>IFERROR(VLOOKUP(D4201,APOYO!K:L,2,FALSE),A4201)</f>
        <v>20770</v>
      </c>
      <c r="C4201" t="s">
        <v>854</v>
      </c>
      <c r="D4201" t="str">
        <f>IFERROR(VLOOKUP(C4201,APOYO!J:K,2,FALSE),C4201)</f>
        <v>SAN MARTÍN</v>
      </c>
      <c r="E4201">
        <v>2018</v>
      </c>
    </row>
    <row r="4202" spans="1:5" hidden="1" x14ac:dyDescent="0.25">
      <c r="A4202" t="str">
        <f>_xlfn.XLOOKUP(C4202, 'Códigos DANE Municipios'!$B$2:$B$1123, 'Códigos DANE Municipios'!$A$2:$A$1123, "No encontrado")</f>
        <v>68686</v>
      </c>
      <c r="B4202" t="str">
        <f>IFERROR(VLOOKUP(D4202,APOYO!K:L,2,FALSE),A4202)</f>
        <v>68686</v>
      </c>
      <c r="C4202" t="s">
        <v>1789</v>
      </c>
      <c r="D4202" t="str">
        <f>IFERROR(VLOOKUP(C4202,APOYO!J:K,2,FALSE),C4202)</f>
        <v>SAN MIGUEL</v>
      </c>
      <c r="E4202">
        <v>2018</v>
      </c>
    </row>
    <row r="4203" spans="1:5" hidden="1" x14ac:dyDescent="0.25">
      <c r="A4203" t="str">
        <f>_xlfn.XLOOKUP(C4203, 'Códigos DANE Municipios'!$B$2:$B$1123, 'Códigos DANE Municipios'!$A$2:$A$1123, "No encontrado")</f>
        <v>70713</v>
      </c>
      <c r="B4203" t="str">
        <f>IFERROR(VLOOKUP(D4203,APOYO!K:L,2,FALSE),A4203)</f>
        <v>70713</v>
      </c>
      <c r="C4203" t="s">
        <v>1854</v>
      </c>
      <c r="D4203" t="str">
        <f>IFERROR(VLOOKUP(C4203,APOYO!J:K,2,FALSE),C4203)</f>
        <v>SAN ONOFRE</v>
      </c>
      <c r="E4203">
        <v>2018</v>
      </c>
    </row>
    <row r="4204" spans="1:5" hidden="1" x14ac:dyDescent="0.25">
      <c r="A4204" t="str">
        <f>_xlfn.XLOOKUP(C4204, 'Códigos DANE Municipios'!$B$2:$B$1123, 'Códigos DANE Municipios'!$A$2:$A$1123, "No encontrado")</f>
        <v>13670</v>
      </c>
      <c r="B4204" t="str">
        <f>IFERROR(VLOOKUP(D4204,APOYO!K:L,2,FALSE),A4204)</f>
        <v>13670</v>
      </c>
      <c r="C4204" t="s">
        <v>377</v>
      </c>
      <c r="D4204" t="str">
        <f>IFERROR(VLOOKUP(C4204,APOYO!J:K,2,FALSE),C4204)</f>
        <v>SAN PABLO</v>
      </c>
      <c r="E4204">
        <v>2018</v>
      </c>
    </row>
    <row r="4205" spans="1:5" hidden="1" x14ac:dyDescent="0.25">
      <c r="A4205" t="str">
        <f>_xlfn.XLOOKUP(C4205, 'Códigos DANE Municipios'!$B$2:$B$1123, 'Códigos DANE Municipios'!$A$2:$A$1123, "No encontrado")</f>
        <v>70717</v>
      </c>
      <c r="B4205" t="str">
        <f>IFERROR(VLOOKUP(D4205,APOYO!K:L,2,FALSE),A4205)</f>
        <v>70717</v>
      </c>
      <c r="C4205" t="s">
        <v>1856</v>
      </c>
      <c r="D4205" t="str">
        <f>IFERROR(VLOOKUP(C4205,APOYO!J:K,2,FALSE),C4205)</f>
        <v>SAN PEDRO</v>
      </c>
      <c r="E4205">
        <v>2018</v>
      </c>
    </row>
    <row r="4206" spans="1:5" hidden="1" x14ac:dyDescent="0.25">
      <c r="A4206" t="str">
        <f>_xlfn.XLOOKUP(C4206, 'Códigos DANE Municipios'!$B$2:$B$1123, 'Códigos DANE Municipios'!$A$2:$A$1123, "No encontrado")</f>
        <v>05665</v>
      </c>
      <c r="B4206" t="str">
        <f>IFERROR(VLOOKUP(D4206,APOYO!K:L,2,FALSE),A4206)</f>
        <v>05665</v>
      </c>
      <c r="C4206" t="s">
        <v>204</v>
      </c>
      <c r="D4206" t="str">
        <f>IFERROR(VLOOKUP(C4206,APOYO!J:K,2,FALSE),C4206)</f>
        <v>SAN PEDRO DE URABÁ</v>
      </c>
      <c r="E4206">
        <v>2018</v>
      </c>
    </row>
    <row r="4207" spans="1:5" hidden="1" x14ac:dyDescent="0.25">
      <c r="A4207" t="str">
        <f>_xlfn.XLOOKUP(C4207, 'Códigos DANE Municipios'!$B$2:$B$1123, 'Códigos DANE Municipios'!$A$2:$A$1123, "No encontrado")</f>
        <v>05667</v>
      </c>
      <c r="B4207" t="str">
        <f>IFERROR(VLOOKUP(D4207,APOYO!K:L,2,FALSE),A4207)</f>
        <v>05667</v>
      </c>
      <c r="C4207" t="s">
        <v>206</v>
      </c>
      <c r="D4207" t="str">
        <f>IFERROR(VLOOKUP(C4207,APOYO!J:K,2,FALSE),C4207)</f>
        <v>SAN RAFAEL</v>
      </c>
      <c r="E4207">
        <v>2018</v>
      </c>
    </row>
    <row r="4208" spans="1:5" hidden="1" x14ac:dyDescent="0.25">
      <c r="A4208" t="str">
        <f>_xlfn.XLOOKUP(C4208, 'Códigos DANE Municipios'!$B$2:$B$1123, 'Códigos DANE Municipios'!$A$2:$A$1123, "No encontrado")</f>
        <v>05670</v>
      </c>
      <c r="B4208" t="str">
        <f>IFERROR(VLOOKUP(D4208,APOYO!K:L,2,FALSE),A4208)</f>
        <v>05670</v>
      </c>
      <c r="C4208" t="s">
        <v>208</v>
      </c>
      <c r="D4208" t="str">
        <f>IFERROR(VLOOKUP(C4208,APOYO!J:K,2,FALSE),C4208)</f>
        <v>SAN ROQUE</v>
      </c>
      <c r="E4208">
        <v>2018</v>
      </c>
    </row>
    <row r="4209" spans="1:5" hidden="1" x14ac:dyDescent="0.25">
      <c r="A4209" t="str">
        <f>_xlfn.XLOOKUP(C4209, 'Códigos DANE Municipios'!$B$2:$B$1123, 'Códigos DANE Municipios'!$A$2:$A$1123, "No encontrado")</f>
        <v>19693</v>
      </c>
      <c r="B4209" t="str">
        <f>IFERROR(VLOOKUP(D4209,APOYO!K:L,2,FALSE),A4209)</f>
        <v>19693</v>
      </c>
      <c r="C4209" t="s">
        <v>785</v>
      </c>
      <c r="D4209" t="str">
        <f>IFERROR(VLOOKUP(C4209,APOYO!J:K,2,FALSE),C4209)</f>
        <v>SAN SEBASTIÁN</v>
      </c>
      <c r="E4209">
        <v>2018</v>
      </c>
    </row>
    <row r="4210" spans="1:5" hidden="1" x14ac:dyDescent="0.25">
      <c r="A4210" t="str">
        <f>_xlfn.XLOOKUP(C4210, 'Códigos DANE Municipios'!$B$2:$B$1123, 'Códigos DANE Municipios'!$A$2:$A$1123, "No encontrado")</f>
        <v>47692</v>
      </c>
      <c r="B4210" t="str">
        <f>IFERROR(VLOOKUP(D4210,APOYO!K:L,2,FALSE),A4210)</f>
        <v>47692</v>
      </c>
      <c r="C4210" t="s">
        <v>1342</v>
      </c>
      <c r="D4210" t="str">
        <f>IFERROR(VLOOKUP(C4210,APOYO!J:K,2,FALSE),C4210)</f>
        <v>SAN SEBASTIÁN DE BUENAVISTA</v>
      </c>
      <c r="E4210">
        <v>2018</v>
      </c>
    </row>
    <row r="4211" spans="1:5" hidden="1" x14ac:dyDescent="0.25">
      <c r="A4211" t="str">
        <f>_xlfn.XLOOKUP(C4211, 'Códigos DANE Municipios'!$B$2:$B$1123, 'Códigos DANE Municipios'!$A$2:$A$1123, "No encontrado")</f>
        <v>05674</v>
      </c>
      <c r="B4211" t="str">
        <f>IFERROR(VLOOKUP(D4211,APOYO!K:L,2,FALSE),A4211)</f>
        <v>05674</v>
      </c>
      <c r="C4211" t="s">
        <v>210</v>
      </c>
      <c r="D4211" t="str">
        <f>IFERROR(VLOOKUP(C4211,APOYO!J:K,2,FALSE),C4211)</f>
        <v>SAN VICENTE FERRER</v>
      </c>
      <c r="E4211">
        <v>2018</v>
      </c>
    </row>
    <row r="4212" spans="1:5" hidden="1" x14ac:dyDescent="0.25">
      <c r="A4212" t="str">
        <f>_xlfn.XLOOKUP(C4212, 'Códigos DANE Municipios'!$B$2:$B$1123, 'Códigos DANE Municipios'!$A$2:$A$1123, "No encontrado")</f>
        <v>68689</v>
      </c>
      <c r="B4212" t="str">
        <f>IFERROR(VLOOKUP(D4212,APOYO!K:L,2,FALSE),A4212)</f>
        <v>68689</v>
      </c>
      <c r="C4212" t="s">
        <v>1791</v>
      </c>
      <c r="D4212" t="str">
        <f>IFERROR(VLOOKUP(C4212,APOYO!J:K,2,FALSE),C4212)</f>
        <v>SAN VICENTE DE CHUCURÍ</v>
      </c>
      <c r="E4212">
        <v>2018</v>
      </c>
    </row>
    <row r="4213" spans="1:5" hidden="1" x14ac:dyDescent="0.25">
      <c r="A4213" t="str">
        <f>_xlfn.XLOOKUP(C4213, 'Códigos DANE Municipios'!$B$2:$B$1123, 'Códigos DANE Municipios'!$A$2:$A$1123, "No encontrado")</f>
        <v>18753</v>
      </c>
      <c r="B4213" t="str">
        <f>IFERROR(VLOOKUP(D4213,APOYO!K:L,2,FALSE),A4213)</f>
        <v>18753</v>
      </c>
      <c r="C4213" t="s">
        <v>722</v>
      </c>
      <c r="D4213" t="str">
        <f>IFERROR(VLOOKUP(C4213,APOYO!J:K,2,FALSE),C4213)</f>
        <v>SAN VICENTE DEL CAGUÁN</v>
      </c>
      <c r="E4213">
        <v>2018</v>
      </c>
    </row>
    <row r="4214" spans="1:5" hidden="1" x14ac:dyDescent="0.25">
      <c r="A4214" t="str">
        <f>_xlfn.XLOOKUP(C4214, 'Códigos DANE Municipios'!$B$2:$B$1123, 'Códigos DANE Municipios'!$A$2:$A$1123, "No encontrado")</f>
        <v>52683</v>
      </c>
      <c r="B4214" t="str">
        <f>IFERROR(VLOOKUP(D4214,APOYO!K:L,2,FALSE),A4214)</f>
        <v>52683</v>
      </c>
      <c r="C4214" t="s">
        <v>1506</v>
      </c>
      <c r="D4214" t="str">
        <f>IFERROR(VLOOKUP(C4214,APOYO!J:K,2,FALSE),C4214)</f>
        <v>SANDONÁ</v>
      </c>
      <c r="E4214">
        <v>2018</v>
      </c>
    </row>
    <row r="4215" spans="1:5" hidden="1" x14ac:dyDescent="0.25">
      <c r="A4215" t="str">
        <f>_xlfn.XLOOKUP(C4215, 'Códigos DANE Municipios'!$B$2:$B$1123, 'Códigos DANE Municipios'!$A$2:$A$1123, "No encontrado")</f>
        <v>47707</v>
      </c>
      <c r="B4215" t="str">
        <f>IFERROR(VLOOKUP(D4215,APOYO!K:L,2,FALSE),A4215)</f>
        <v>47707</v>
      </c>
      <c r="C4215" t="s">
        <v>1346</v>
      </c>
      <c r="D4215" t="str">
        <f>IFERROR(VLOOKUP(C4215,APOYO!J:K,2,FALSE),C4215)</f>
        <v>SANTA ANA</v>
      </c>
      <c r="E4215">
        <v>2018</v>
      </c>
    </row>
    <row r="4216" spans="1:5" hidden="1" x14ac:dyDescent="0.25">
      <c r="A4216" t="str">
        <f>_xlfn.XLOOKUP(C4216, 'Códigos DANE Municipios'!$B$2:$B$1123, 'Códigos DANE Municipios'!$A$2:$A$1123, "No encontrado")</f>
        <v>05679</v>
      </c>
      <c r="B4216" t="str">
        <f>IFERROR(VLOOKUP(D4216,APOYO!K:L,2,FALSE),A4216)</f>
        <v>05679</v>
      </c>
      <c r="C4216" t="s">
        <v>212</v>
      </c>
      <c r="D4216" t="str">
        <f>IFERROR(VLOOKUP(C4216,APOYO!J:K,2,FALSE),C4216)</f>
        <v>SANTA BÁRBARA</v>
      </c>
      <c r="E4216">
        <v>2018</v>
      </c>
    </row>
    <row r="4217" spans="1:5" hidden="1" x14ac:dyDescent="0.25">
      <c r="A4217" t="str">
        <f>_xlfn.XLOOKUP(C4217, 'Códigos DANE Municipios'!$B$2:$B$1123, 'Códigos DANE Municipios'!$A$2:$A$1123, "No encontrado")</f>
        <v>13673</v>
      </c>
      <c r="B4217" t="str">
        <f>IFERROR(VLOOKUP(D4217,APOYO!K:L,2,FALSE),A4217)</f>
        <v>13673</v>
      </c>
      <c r="C4217" t="s">
        <v>379</v>
      </c>
      <c r="D4217" t="str">
        <f>IFERROR(VLOOKUP(C4217,APOYO!J:K,2,FALSE),C4217)</f>
        <v>SANTA CATALINA</v>
      </c>
      <c r="E4217">
        <v>2018</v>
      </c>
    </row>
    <row r="4218" spans="1:5" hidden="1" x14ac:dyDescent="0.25">
      <c r="A4218" t="str">
        <f>_xlfn.XLOOKUP(C4218, 'Códigos DANE Municipios'!$B$2:$B$1123, 'Códigos DANE Municipios'!$A$2:$A$1123, "No encontrado")</f>
        <v>73686</v>
      </c>
      <c r="B4218" t="str">
        <f>IFERROR(VLOOKUP(D4218,APOYO!K:L,2,FALSE),A4218)</f>
        <v>73686</v>
      </c>
      <c r="C4218" t="s">
        <v>1946</v>
      </c>
      <c r="D4218" t="str">
        <f>IFERROR(VLOOKUP(C4218,APOYO!J:K,2,FALSE),C4218)</f>
        <v>SANTA ISABEL</v>
      </c>
      <c r="E4218">
        <v>2018</v>
      </c>
    </row>
    <row r="4219" spans="1:5" hidden="1" x14ac:dyDescent="0.25">
      <c r="A4219" t="str">
        <f>_xlfn.XLOOKUP(C4219, 'Códigos DANE Municipios'!$B$2:$B$1123, 'Códigos DANE Municipios'!$A$2:$A$1123, "No encontrado")</f>
        <v>15690</v>
      </c>
      <c r="B4219" t="str">
        <f>IFERROR(VLOOKUP(D4219,APOYO!K:L,2,FALSE),A4219)</f>
        <v>15690</v>
      </c>
      <c r="C4219" t="s">
        <v>574</v>
      </c>
      <c r="D4219" t="str">
        <f>IFERROR(VLOOKUP(C4219,APOYO!J:K,2,FALSE),C4219)</f>
        <v>SANTA MARÍA</v>
      </c>
      <c r="E4219">
        <v>2018</v>
      </c>
    </row>
    <row r="4220" spans="1:5" hidden="1" x14ac:dyDescent="0.25">
      <c r="A4220" t="str">
        <f>_xlfn.XLOOKUP(C4220, 'Códigos DANE Municipios'!$B$2:$B$1123, 'Códigos DANE Municipios'!$A$2:$A$1123, "No encontrado")</f>
        <v>47001</v>
      </c>
      <c r="B4220" t="str">
        <f>IFERROR(VLOOKUP(D4220,APOYO!K:L,2,FALSE),A4220)</f>
        <v>47001</v>
      </c>
      <c r="C4220" t="s">
        <v>1300</v>
      </c>
      <c r="D4220" t="str">
        <f>IFERROR(VLOOKUP(C4220,APOYO!J:K,2,FALSE),C4220)</f>
        <v>SANTA MARTA</v>
      </c>
      <c r="E4220">
        <v>2018</v>
      </c>
    </row>
    <row r="4221" spans="1:5" hidden="1" x14ac:dyDescent="0.25">
      <c r="A4221" t="str">
        <f>_xlfn.XLOOKUP(C4221, 'Códigos DANE Municipios'!$B$2:$B$1123, 'Códigos DANE Municipios'!$A$2:$A$1123, "No encontrado")</f>
        <v>13683</v>
      </c>
      <c r="B4221" t="str">
        <f>IFERROR(VLOOKUP(D4221,APOYO!K:L,2,FALSE),A4221)</f>
        <v>13683</v>
      </c>
      <c r="C4221" t="s">
        <v>381</v>
      </c>
      <c r="D4221" t="str">
        <f>IFERROR(VLOOKUP(C4221,APOYO!J:K,2,FALSE),C4221)</f>
        <v>SANTA ROSA</v>
      </c>
      <c r="E4221">
        <v>2018</v>
      </c>
    </row>
    <row r="4222" spans="1:5" hidden="1" x14ac:dyDescent="0.25">
      <c r="A4222" t="str">
        <f>_xlfn.XLOOKUP(C4222, 'Códigos DANE Municipios'!$B$2:$B$1123, 'Códigos DANE Municipios'!$A$2:$A$1123, "No encontrado")</f>
        <v>66682</v>
      </c>
      <c r="B4222" t="str">
        <f>IFERROR(VLOOKUP(D4222,APOYO!K:L,2,FALSE),A4222)</f>
        <v>66682</v>
      </c>
      <c r="C4222" t="s">
        <v>1651</v>
      </c>
      <c r="D4222" t="str">
        <f>IFERROR(VLOOKUP(C4222,APOYO!J:K,2,FALSE),C4222)</f>
        <v>SANTA ROSA DE CABAL</v>
      </c>
      <c r="E4222">
        <v>2018</v>
      </c>
    </row>
    <row r="4223" spans="1:5" hidden="1" x14ac:dyDescent="0.25">
      <c r="A4223" t="str">
        <f>_xlfn.XLOOKUP(C4223, 'Códigos DANE Municipios'!$B$2:$B$1123, 'Códigos DANE Municipios'!$A$2:$A$1123, "No encontrado")</f>
        <v>15693</v>
      </c>
      <c r="B4223" t="str">
        <f>IFERROR(VLOOKUP(D4223,APOYO!K:L,2,FALSE),A4223)</f>
        <v>15693</v>
      </c>
      <c r="C4223" t="s">
        <v>576</v>
      </c>
      <c r="D4223" t="str">
        <f>IFERROR(VLOOKUP(C4223,APOYO!J:K,2,FALSE),C4223)</f>
        <v>SANTA ROSA DE VITERBO</v>
      </c>
      <c r="E4223">
        <v>2018</v>
      </c>
    </row>
    <row r="4224" spans="1:5" hidden="1" x14ac:dyDescent="0.25">
      <c r="A4224" t="str">
        <f>_xlfn.XLOOKUP(C4224, 'Códigos DANE Municipios'!$B$2:$B$1123, 'Códigos DANE Municipios'!$A$2:$A$1123, "No encontrado")</f>
        <v>13688</v>
      </c>
      <c r="B4224" t="str">
        <f>IFERROR(VLOOKUP(D4224,APOYO!K:L,2,FALSE),A4224)</f>
        <v>13688</v>
      </c>
      <c r="C4224" t="s">
        <v>383</v>
      </c>
      <c r="D4224" t="str">
        <f>IFERROR(VLOOKUP(C4224,APOYO!J:K,2,FALSE),C4224)</f>
        <v>SANTA ROSA DEL SUR</v>
      </c>
      <c r="E4224">
        <v>2018</v>
      </c>
    </row>
    <row r="4225" spans="1:5" hidden="1" x14ac:dyDescent="0.25">
      <c r="A4225" t="str">
        <f>_xlfn.XLOOKUP(C4225, 'Códigos DANE Municipios'!$B$2:$B$1123, 'Códigos DANE Municipios'!$A$2:$A$1123, "No encontrado")</f>
        <v>15686</v>
      </c>
      <c r="B4225" t="str">
        <f>IFERROR(VLOOKUP(D4225,APOYO!K:L,2,FALSE),A4225)</f>
        <v>15686</v>
      </c>
      <c r="C4225" t="s">
        <v>572</v>
      </c>
      <c r="D4225" t="str">
        <f>IFERROR(VLOOKUP(C4225,APOYO!J:K,2,FALSE),C4225)</f>
        <v>SANTANA</v>
      </c>
      <c r="E4225">
        <v>2018</v>
      </c>
    </row>
    <row r="4226" spans="1:5" hidden="1" x14ac:dyDescent="0.25">
      <c r="A4226" t="str">
        <f>_xlfn.XLOOKUP(C4226, 'Códigos DANE Municipios'!$B$2:$B$1123, 'Códigos DANE Municipios'!$A$2:$A$1123, "No encontrado")</f>
        <v>19698</v>
      </c>
      <c r="B4226" t="str">
        <f>IFERROR(VLOOKUP(D4226,APOYO!K:L,2,FALSE),A4226)</f>
        <v>19698</v>
      </c>
      <c r="C4226" t="s">
        <v>787</v>
      </c>
      <c r="D4226" t="str">
        <f>IFERROR(VLOOKUP(C4226,APOYO!J:K,2,FALSE),C4226)</f>
        <v>SANTANDER DE QUILICHAO</v>
      </c>
      <c r="E4226">
        <v>2018</v>
      </c>
    </row>
    <row r="4227" spans="1:5" hidden="1" x14ac:dyDescent="0.25">
      <c r="A4227" t="str">
        <f>_xlfn.XLOOKUP(C4227, 'Códigos DANE Municipios'!$B$2:$B$1123, 'Códigos DANE Municipios'!$A$2:$A$1123, "No encontrado")</f>
        <v>08685</v>
      </c>
      <c r="B4227" t="str">
        <f>IFERROR(VLOOKUP(D4227,APOYO!K:L,2,FALSE),A4227)</f>
        <v>08685</v>
      </c>
      <c r="C4227" t="s">
        <v>297</v>
      </c>
      <c r="D4227" t="str">
        <f>IFERROR(VLOOKUP(C4227,APOYO!J:K,2,FALSE),C4227)</f>
        <v>SANTO TOMÁS</v>
      </c>
      <c r="E4227">
        <v>2018</v>
      </c>
    </row>
    <row r="4228" spans="1:5" hidden="1" x14ac:dyDescent="0.25">
      <c r="A4228" t="str">
        <f>_xlfn.XLOOKUP(C4228, 'Códigos DANE Municipios'!$B$2:$B$1123, 'Códigos DANE Municipios'!$A$2:$A$1123, "No encontrado")</f>
        <v>66687</v>
      </c>
      <c r="B4228" t="str">
        <f>IFERROR(VLOOKUP(D4228,APOYO!K:L,2,FALSE),A4228)</f>
        <v>66687</v>
      </c>
      <c r="C4228" t="s">
        <v>1653</v>
      </c>
      <c r="D4228" t="str">
        <f>IFERROR(VLOOKUP(C4228,APOYO!J:K,2,FALSE),C4228)</f>
        <v>SANTUARIO</v>
      </c>
      <c r="E4228">
        <v>2018</v>
      </c>
    </row>
    <row r="4229" spans="1:5" hidden="1" x14ac:dyDescent="0.25">
      <c r="A4229" t="str">
        <f>_xlfn.XLOOKUP(C4229, 'Códigos DANE Municipios'!$B$2:$B$1123, 'Códigos DANE Municipios'!$A$2:$A$1123, "No encontrado")</f>
        <v>81736</v>
      </c>
      <c r="B4229" t="str">
        <f>IFERROR(VLOOKUP(D4229,APOYO!K:L,2,FALSE),A4229)</f>
        <v>81736</v>
      </c>
      <c r="C4229" t="s">
        <v>2044</v>
      </c>
      <c r="D4229" t="str">
        <f>IFERROR(VLOOKUP(C4229,APOYO!J:K,2,FALSE),C4229)</f>
        <v>SARAVENA</v>
      </c>
      <c r="E4229">
        <v>2018</v>
      </c>
    </row>
    <row r="4230" spans="1:5" hidden="1" x14ac:dyDescent="0.25">
      <c r="A4230" t="str">
        <f>_xlfn.XLOOKUP(C4230, 'Códigos DANE Municipios'!$B$2:$B$1123, 'Códigos DANE Municipios'!$A$2:$A$1123, "No encontrado")</f>
        <v>54720</v>
      </c>
      <c r="B4230" t="str">
        <f>IFERROR(VLOOKUP(D4230,APOYO!K:L,2,FALSE),A4230)</f>
        <v>54720</v>
      </c>
      <c r="C4230" t="s">
        <v>1594</v>
      </c>
      <c r="D4230" t="str">
        <f>IFERROR(VLOOKUP(C4230,APOYO!J:K,2,FALSE),C4230)</f>
        <v>SARDINATA</v>
      </c>
      <c r="E4230">
        <v>2018</v>
      </c>
    </row>
    <row r="4231" spans="1:5" hidden="1" x14ac:dyDescent="0.25">
      <c r="A4231" t="str">
        <f>_xlfn.XLOOKUP(C4231, 'Códigos DANE Municipios'!$B$2:$B$1123, 'Códigos DANE Municipios'!$A$2:$A$1123, "No encontrado")</f>
        <v>25718</v>
      </c>
      <c r="B4231" t="str">
        <f>IFERROR(VLOOKUP(D4231,APOYO!K:L,2,FALSE),A4231)</f>
        <v>25718</v>
      </c>
      <c r="C4231" t="s">
        <v>1072</v>
      </c>
      <c r="D4231" t="str">
        <f>IFERROR(VLOOKUP(C4231,APOYO!J:K,2,FALSE),C4231)</f>
        <v>SASAIMA</v>
      </c>
      <c r="E4231">
        <v>2018</v>
      </c>
    </row>
    <row r="4232" spans="1:5" hidden="1" x14ac:dyDescent="0.25">
      <c r="A4232" t="str">
        <f>_xlfn.XLOOKUP(C4232, 'Códigos DANE Municipios'!$B$2:$B$1123, 'Códigos DANE Municipios'!$A$2:$A$1123, "No encontrado")</f>
        <v>05736</v>
      </c>
      <c r="B4232" t="str">
        <f>IFERROR(VLOOKUP(D4232,APOYO!K:L,2,FALSE),A4232)</f>
        <v>05736</v>
      </c>
      <c r="C4232" t="s">
        <v>220</v>
      </c>
      <c r="D4232" t="str">
        <f>IFERROR(VLOOKUP(C4232,APOYO!J:K,2,FALSE),C4232)</f>
        <v>SEGOVIA</v>
      </c>
      <c r="E4232">
        <v>2018</v>
      </c>
    </row>
    <row r="4233" spans="1:5" hidden="1" x14ac:dyDescent="0.25">
      <c r="A4233" t="str">
        <f>_xlfn.XLOOKUP(C4233, 'Códigos DANE Municipios'!$B$2:$B$1123, 'Códigos DANE Municipios'!$A$2:$A$1123, "No encontrado")</f>
        <v>25736</v>
      </c>
      <c r="B4233" t="str">
        <f>IFERROR(VLOOKUP(D4233,APOYO!K:L,2,FALSE),A4233)</f>
        <v>25736</v>
      </c>
      <c r="C4233" t="s">
        <v>1074</v>
      </c>
      <c r="D4233" t="str">
        <f>IFERROR(VLOOKUP(C4233,APOYO!J:K,2,FALSE),C4233)</f>
        <v>SESQUILÉ</v>
      </c>
      <c r="E4233">
        <v>2018</v>
      </c>
    </row>
    <row r="4234" spans="1:5" hidden="1" x14ac:dyDescent="0.25">
      <c r="A4234" t="str">
        <f>_xlfn.XLOOKUP(C4234, 'Códigos DANE Municipios'!$B$2:$B$1123, 'Códigos DANE Municipios'!$A$2:$A$1123, "No encontrado")</f>
        <v>76736</v>
      </c>
      <c r="B4234" t="str">
        <f>IFERROR(VLOOKUP(D4234,APOYO!K:L,2,FALSE),A4234)</f>
        <v>76736</v>
      </c>
      <c r="C4234" t="s">
        <v>2014</v>
      </c>
      <c r="D4234" t="str">
        <f>IFERROR(VLOOKUP(C4234,APOYO!J:K,2,FALSE),C4234)</f>
        <v>SEVILLA</v>
      </c>
      <c r="E4234">
        <v>2018</v>
      </c>
    </row>
    <row r="4235" spans="1:5" hidden="1" x14ac:dyDescent="0.25">
      <c r="A4235" t="str">
        <f>_xlfn.XLOOKUP(C4235, 'Códigos DANE Municipios'!$B$2:$B$1123, 'Códigos DANE Municipios'!$A$2:$A$1123, "No encontrado")</f>
        <v>25740</v>
      </c>
      <c r="B4235" t="str">
        <f>IFERROR(VLOOKUP(D4235,APOYO!K:L,2,FALSE),A4235)</f>
        <v>25740</v>
      </c>
      <c r="C4235" t="s">
        <v>1076</v>
      </c>
      <c r="D4235" t="str">
        <f>IFERROR(VLOOKUP(C4235,APOYO!J:K,2,FALSE),C4235)</f>
        <v>SIBATÉ</v>
      </c>
      <c r="E4235">
        <v>2018</v>
      </c>
    </row>
    <row r="4236" spans="1:5" hidden="1" x14ac:dyDescent="0.25">
      <c r="A4236" t="str">
        <f>_xlfn.XLOOKUP(C4236, 'Códigos DANE Municipios'!$B$2:$B$1123, 'Códigos DANE Municipios'!$A$2:$A$1123, "No encontrado")</f>
        <v>86749</v>
      </c>
      <c r="B4236" t="str">
        <f>IFERROR(VLOOKUP(D4236,APOYO!K:L,2,FALSE),A4236)</f>
        <v>86749</v>
      </c>
      <c r="C4236" t="s">
        <v>2097</v>
      </c>
      <c r="D4236" t="str">
        <f>IFERROR(VLOOKUP(C4236,APOYO!J:K,2,FALSE),C4236)</f>
        <v>SIBUNDOY</v>
      </c>
      <c r="E4236">
        <v>2018</v>
      </c>
    </row>
    <row r="4237" spans="1:5" hidden="1" x14ac:dyDescent="0.25">
      <c r="A4237" t="str">
        <f>_xlfn.XLOOKUP(C4237, 'Códigos DANE Municipios'!$B$2:$B$1123, 'Códigos DANE Municipios'!$A$2:$A$1123, "No encontrado")</f>
        <v>25743</v>
      </c>
      <c r="B4237" t="str">
        <f>IFERROR(VLOOKUP(D4237,APOYO!K:L,2,FALSE),A4237)</f>
        <v>25743</v>
      </c>
      <c r="C4237" t="s">
        <v>1078</v>
      </c>
      <c r="D4237" t="str">
        <f>IFERROR(VLOOKUP(C4237,APOYO!J:K,2,FALSE),C4237)</f>
        <v>SILVANIA</v>
      </c>
      <c r="E4237">
        <v>2018</v>
      </c>
    </row>
    <row r="4238" spans="1:5" hidden="1" x14ac:dyDescent="0.25">
      <c r="A4238" t="str">
        <f>_xlfn.XLOOKUP(C4238, 'Códigos DANE Municipios'!$B$2:$B$1123, 'Códigos DANE Municipios'!$A$2:$A$1123, "No encontrado")</f>
        <v>19743</v>
      </c>
      <c r="B4238" t="str">
        <f>IFERROR(VLOOKUP(D4238,APOYO!K:L,2,FALSE),A4238)</f>
        <v>19743</v>
      </c>
      <c r="C4238" t="s">
        <v>790</v>
      </c>
      <c r="D4238" t="str">
        <f>IFERROR(VLOOKUP(C4238,APOYO!J:K,2,FALSE),C4238)</f>
        <v>SILVIA</v>
      </c>
      <c r="E4238">
        <v>2018</v>
      </c>
    </row>
    <row r="4239" spans="1:5" hidden="1" x14ac:dyDescent="0.25">
      <c r="A4239" t="str">
        <f>_xlfn.XLOOKUP(C4239, 'Códigos DANE Municipios'!$B$2:$B$1123, 'Códigos DANE Municipios'!$A$2:$A$1123, "No encontrado")</f>
        <v>25745</v>
      </c>
      <c r="B4239" t="str">
        <f>IFERROR(VLOOKUP(D4239,APOYO!K:L,2,FALSE),A4239)</f>
        <v>25745</v>
      </c>
      <c r="C4239" t="s">
        <v>1080</v>
      </c>
      <c r="D4239" t="str">
        <f>IFERROR(VLOOKUP(C4239,APOYO!J:K,2,FALSE),C4239)</f>
        <v>SIMIJACA</v>
      </c>
      <c r="E4239">
        <v>2018</v>
      </c>
    </row>
    <row r="4240" spans="1:5" hidden="1" x14ac:dyDescent="0.25">
      <c r="A4240" t="str">
        <f>_xlfn.XLOOKUP(C4240, 'Códigos DANE Municipios'!$B$2:$B$1123, 'Códigos DANE Municipios'!$A$2:$A$1123, "No encontrado")</f>
        <v>70742</v>
      </c>
      <c r="B4240" t="str">
        <f>IFERROR(VLOOKUP(D4240,APOYO!K:L,2,FALSE),A4240)</f>
        <v>70742</v>
      </c>
      <c r="C4240" t="s">
        <v>1858</v>
      </c>
      <c r="D4240" t="str">
        <f>IFERROR(VLOOKUP(C4240,APOYO!J:K,2,FALSE),C4240)</f>
        <v>SAN LUIS DE SINCÉ</v>
      </c>
      <c r="E4240">
        <v>2018</v>
      </c>
    </row>
    <row r="4241" spans="1:5" hidden="1" x14ac:dyDescent="0.25">
      <c r="A4241" t="str">
        <f>_xlfn.XLOOKUP(C4241, 'Códigos DANE Municipios'!$B$2:$B$1123, 'Códigos DANE Municipios'!$A$2:$A$1123, "No encontrado")</f>
        <v>70001</v>
      </c>
      <c r="B4241" t="str">
        <f>IFERROR(VLOOKUP(D4241,APOYO!K:L,2,FALSE),A4241)</f>
        <v>70001</v>
      </c>
      <c r="C4241" t="s">
        <v>1816</v>
      </c>
      <c r="D4241" t="str">
        <f>IFERROR(VLOOKUP(C4241,APOYO!J:K,2,FALSE),C4241)</f>
        <v>SINCELEJO</v>
      </c>
      <c r="E4241">
        <v>2018</v>
      </c>
    </row>
    <row r="4242" spans="1:5" hidden="1" x14ac:dyDescent="0.25">
      <c r="A4242" t="str">
        <f>_xlfn.XLOOKUP(C4242, 'Códigos DANE Municipios'!$B$2:$B$1123, 'Códigos DANE Municipios'!$A$2:$A$1123, "No encontrado")</f>
        <v>47745</v>
      </c>
      <c r="B4242" t="str">
        <f>IFERROR(VLOOKUP(D4242,APOYO!K:L,2,FALSE),A4242)</f>
        <v>47745</v>
      </c>
      <c r="C4242" t="s">
        <v>1350</v>
      </c>
      <c r="D4242" t="str">
        <f>IFERROR(VLOOKUP(C4242,APOYO!J:K,2,FALSE),C4242)</f>
        <v>SITIONUEVO</v>
      </c>
      <c r="E4242">
        <v>2018</v>
      </c>
    </row>
    <row r="4243" spans="1:5" hidden="1" x14ac:dyDescent="0.25">
      <c r="A4243" t="str">
        <f>_xlfn.XLOOKUP(C4243, 'Códigos DANE Municipios'!$B$2:$B$1123, 'Códigos DANE Municipios'!$A$2:$A$1123, "No encontrado")</f>
        <v>25754</v>
      </c>
      <c r="B4243" t="str">
        <f>IFERROR(VLOOKUP(D4243,APOYO!K:L,2,FALSE),A4243)</f>
        <v>25754</v>
      </c>
      <c r="C4243" t="s">
        <v>1082</v>
      </c>
      <c r="D4243" t="str">
        <f>IFERROR(VLOOKUP(C4243,APOYO!J:K,2,FALSE),C4243)</f>
        <v>SOACHA</v>
      </c>
      <c r="E4243">
        <v>2018</v>
      </c>
    </row>
    <row r="4244" spans="1:5" hidden="1" x14ac:dyDescent="0.25">
      <c r="A4244" t="str">
        <f>_xlfn.XLOOKUP(C4244, 'Códigos DANE Municipios'!$B$2:$B$1123, 'Códigos DANE Municipios'!$A$2:$A$1123, "No encontrado")</f>
        <v>15757</v>
      </c>
      <c r="B4244" t="str">
        <f>IFERROR(VLOOKUP(D4244,APOYO!K:L,2,FALSE),A4244)</f>
        <v>15757</v>
      </c>
      <c r="C4244" t="s">
        <v>590</v>
      </c>
      <c r="D4244" t="str">
        <f>IFERROR(VLOOKUP(C4244,APOYO!J:K,2,FALSE),C4244)</f>
        <v>SOCHA</v>
      </c>
      <c r="E4244">
        <v>2018</v>
      </c>
    </row>
    <row r="4245" spans="1:5" hidden="1" x14ac:dyDescent="0.25">
      <c r="A4245" t="str">
        <f>_xlfn.XLOOKUP(C4245, 'Códigos DANE Municipios'!$B$2:$B$1123, 'Códigos DANE Municipios'!$A$2:$A$1123, "No encontrado")</f>
        <v>68755</v>
      </c>
      <c r="B4245" t="str">
        <f>IFERROR(VLOOKUP(D4245,APOYO!K:L,2,FALSE),A4245)</f>
        <v>68755</v>
      </c>
      <c r="C4245" t="s">
        <v>1798</v>
      </c>
      <c r="D4245" t="str">
        <f>IFERROR(VLOOKUP(C4245,APOYO!J:K,2,FALSE),C4245)</f>
        <v>SOCORRO</v>
      </c>
      <c r="E4245">
        <v>2018</v>
      </c>
    </row>
    <row r="4246" spans="1:5" hidden="1" x14ac:dyDescent="0.25">
      <c r="A4246" t="str">
        <f>_xlfn.XLOOKUP(C4246, 'Códigos DANE Municipios'!$B$2:$B$1123, 'Códigos DANE Municipios'!$A$2:$A$1123, "No encontrado")</f>
        <v>15759</v>
      </c>
      <c r="B4246" t="str">
        <f>IFERROR(VLOOKUP(D4246,APOYO!K:L,2,FALSE),A4246)</f>
        <v>15759</v>
      </c>
      <c r="C4246" t="s">
        <v>592</v>
      </c>
      <c r="D4246" t="str">
        <f>IFERROR(VLOOKUP(C4246,APOYO!J:K,2,FALSE),C4246)</f>
        <v>SOGAMOSO</v>
      </c>
      <c r="E4246">
        <v>2018</v>
      </c>
    </row>
    <row r="4247" spans="1:5" hidden="1" x14ac:dyDescent="0.25">
      <c r="A4247" t="str">
        <f>_xlfn.XLOOKUP(C4247, 'Códigos DANE Municipios'!$B$2:$B$1123, 'Códigos DANE Municipios'!$A$2:$A$1123, "No encontrado")</f>
        <v>18756</v>
      </c>
      <c r="B4247" t="str">
        <f>IFERROR(VLOOKUP(D4247,APOYO!K:L,2,FALSE),A4247)</f>
        <v>18756</v>
      </c>
      <c r="C4247" t="s">
        <v>724</v>
      </c>
      <c r="D4247" t="str">
        <f>IFERROR(VLOOKUP(C4247,APOYO!J:K,2,FALSE),C4247)</f>
        <v>SOLANO</v>
      </c>
      <c r="E4247">
        <v>2018</v>
      </c>
    </row>
    <row r="4248" spans="1:5" hidden="1" x14ac:dyDescent="0.25">
      <c r="A4248" t="str">
        <f>_xlfn.XLOOKUP(C4248, 'Códigos DANE Municipios'!$B$2:$B$1123, 'Códigos DANE Municipios'!$A$2:$A$1123, "No encontrado")</f>
        <v>08758</v>
      </c>
      <c r="B4248" t="str">
        <f>IFERROR(VLOOKUP(D4248,APOYO!K:L,2,FALSE),A4248)</f>
        <v>08758</v>
      </c>
      <c r="C4248" t="s">
        <v>299</v>
      </c>
      <c r="D4248" t="str">
        <f>IFERROR(VLOOKUP(C4248,APOYO!J:K,2,FALSE),C4248)</f>
        <v>SOLEDAD</v>
      </c>
      <c r="E4248">
        <v>2018</v>
      </c>
    </row>
    <row r="4249" spans="1:5" hidden="1" x14ac:dyDescent="0.25">
      <c r="A4249" t="str">
        <f>_xlfn.XLOOKUP(C4249, 'Códigos DANE Municipios'!$B$2:$B$1123, 'Códigos DANE Municipios'!$A$2:$A$1123, "No encontrado")</f>
        <v>15761</v>
      </c>
      <c r="B4249" t="str">
        <f>IFERROR(VLOOKUP(D4249,APOYO!K:L,2,FALSE),A4249)</f>
        <v>15761</v>
      </c>
      <c r="C4249" t="s">
        <v>594</v>
      </c>
      <c r="D4249" t="str">
        <f>IFERROR(VLOOKUP(C4249,APOYO!J:K,2,FALSE),C4249)</f>
        <v>SOMONDOCO</v>
      </c>
      <c r="E4249">
        <v>2018</v>
      </c>
    </row>
    <row r="4250" spans="1:5" hidden="1" x14ac:dyDescent="0.25">
      <c r="A4250" t="str">
        <f>_xlfn.XLOOKUP(C4250, 'Códigos DANE Municipios'!$B$2:$B$1123, 'Códigos DANE Municipios'!$A$2:$A$1123, "No encontrado")</f>
        <v>05756</v>
      </c>
      <c r="B4250" t="str">
        <f>IFERROR(VLOOKUP(D4250,APOYO!K:L,2,FALSE),A4250)</f>
        <v>05756</v>
      </c>
      <c r="C4250" t="s">
        <v>222</v>
      </c>
      <c r="D4250" t="str">
        <f>IFERROR(VLOOKUP(C4250,APOYO!J:K,2,FALSE),C4250)</f>
        <v>SONSÓN</v>
      </c>
      <c r="E4250">
        <v>2018</v>
      </c>
    </row>
    <row r="4251" spans="1:5" hidden="1" x14ac:dyDescent="0.25">
      <c r="A4251" t="str">
        <f>_xlfn.XLOOKUP(C4251, 'Códigos DANE Municipios'!$B$2:$B$1123, 'Códigos DANE Municipios'!$A$2:$A$1123, "No encontrado")</f>
        <v>05761</v>
      </c>
      <c r="B4251" t="str">
        <f>IFERROR(VLOOKUP(D4251,APOYO!K:L,2,FALSE),A4251)</f>
        <v>05761</v>
      </c>
      <c r="C4251" t="s">
        <v>224</v>
      </c>
      <c r="D4251" t="str">
        <f>IFERROR(VLOOKUP(C4251,APOYO!J:K,2,FALSE),C4251)</f>
        <v>SOPETRÁN</v>
      </c>
      <c r="E4251">
        <v>2018</v>
      </c>
    </row>
    <row r="4252" spans="1:5" hidden="1" x14ac:dyDescent="0.25">
      <c r="A4252" t="str">
        <f>_xlfn.XLOOKUP(C4252, 'Códigos DANE Municipios'!$B$2:$B$1123, 'Códigos DANE Municipios'!$A$2:$A$1123, "No encontrado")</f>
        <v>25758</v>
      </c>
      <c r="B4252" t="str">
        <f>IFERROR(VLOOKUP(D4252,APOYO!K:L,2,FALSE),A4252)</f>
        <v>25758</v>
      </c>
      <c r="C4252" t="s">
        <v>1084</v>
      </c>
      <c r="D4252" t="str">
        <f>IFERROR(VLOOKUP(C4252,APOYO!J:K,2,FALSE),C4252)</f>
        <v>SOPÓ</v>
      </c>
      <c r="E4252">
        <v>2018</v>
      </c>
    </row>
    <row r="4253" spans="1:5" hidden="1" x14ac:dyDescent="0.25">
      <c r="A4253" t="str">
        <f>_xlfn.XLOOKUP(C4253, 'Códigos DANE Municipios'!$B$2:$B$1123, 'Códigos DANE Municipios'!$A$2:$A$1123, "No encontrado")</f>
        <v>15762</v>
      </c>
      <c r="B4253" t="str">
        <f>IFERROR(VLOOKUP(D4253,APOYO!K:L,2,FALSE),A4253)</f>
        <v>15762</v>
      </c>
      <c r="C4253" t="s">
        <v>596</v>
      </c>
      <c r="D4253" t="str">
        <f>IFERROR(VLOOKUP(C4253,APOYO!J:K,2,FALSE),C4253)</f>
        <v>SORA</v>
      </c>
      <c r="E4253">
        <v>2018</v>
      </c>
    </row>
    <row r="4254" spans="1:5" hidden="1" x14ac:dyDescent="0.25">
      <c r="A4254" t="str">
        <f>_xlfn.XLOOKUP(C4254, 'Códigos DANE Municipios'!$B$2:$B$1123, 'Códigos DANE Municipios'!$A$2:$A$1123, "No encontrado")</f>
        <v>15763</v>
      </c>
      <c r="B4254" t="str">
        <f>IFERROR(VLOOKUP(D4254,APOYO!K:L,2,FALSE),A4254)</f>
        <v>15763</v>
      </c>
      <c r="C4254" t="s">
        <v>598</v>
      </c>
      <c r="D4254" t="str">
        <f>IFERROR(VLOOKUP(C4254,APOYO!J:K,2,FALSE),C4254)</f>
        <v>SOTAQUIRÁ</v>
      </c>
      <c r="E4254">
        <v>2018</v>
      </c>
    </row>
    <row r="4255" spans="1:5" hidden="1" x14ac:dyDescent="0.25">
      <c r="A4255" t="str">
        <f>_xlfn.XLOOKUP(C4255, 'Códigos DANE Municipios'!$B$2:$B$1123, 'Códigos DANE Municipios'!$A$2:$A$1123, "No encontrado")</f>
        <v>05686</v>
      </c>
      <c r="B4255" t="str">
        <f>IFERROR(VLOOKUP(D4255,APOYO!K:L,2,FALSE),A4255)</f>
        <v>05686</v>
      </c>
      <c r="C4255" t="s">
        <v>214</v>
      </c>
      <c r="D4255" t="str">
        <f>IFERROR(VLOOKUP(C4255,APOYO!J:K,2,FALSE),C4255)</f>
        <v>SANTA ROSA DE OSOS</v>
      </c>
      <c r="E4255">
        <v>2018</v>
      </c>
    </row>
    <row r="4256" spans="1:5" hidden="1" x14ac:dyDescent="0.25">
      <c r="A4256" t="str">
        <f>_xlfn.XLOOKUP(C4256, 'Códigos DANE Municipios'!$B$2:$B$1123, 'Códigos DANE Municipios'!$A$2:$A$1123, "No encontrado")</f>
        <v>68770</v>
      </c>
      <c r="B4256" t="str">
        <f>IFERROR(VLOOKUP(D4256,APOYO!K:L,2,FALSE),A4256)</f>
        <v>68770</v>
      </c>
      <c r="C4256" t="s">
        <v>1800</v>
      </c>
      <c r="D4256" t="str">
        <f>IFERROR(VLOOKUP(C4256,APOYO!J:K,2,FALSE),C4256)</f>
        <v>SUAITA</v>
      </c>
      <c r="E4256">
        <v>2018</v>
      </c>
    </row>
    <row r="4257" spans="1:5" hidden="1" x14ac:dyDescent="0.25">
      <c r="A4257" t="str">
        <f>_xlfn.XLOOKUP(C4257, 'Códigos DANE Municipios'!$B$2:$B$1123, 'Códigos DANE Municipios'!$A$2:$A$1123, "No encontrado")</f>
        <v>08770</v>
      </c>
      <c r="B4257" t="str">
        <f>IFERROR(VLOOKUP(D4257,APOYO!K:L,2,FALSE),A4257)</f>
        <v>08770</v>
      </c>
      <c r="C4257" t="s">
        <v>301</v>
      </c>
      <c r="D4257" t="str">
        <f>IFERROR(VLOOKUP(C4257,APOYO!J:K,2,FALSE),C4257)</f>
        <v>SUAN</v>
      </c>
      <c r="E4257">
        <v>2018</v>
      </c>
    </row>
    <row r="4258" spans="1:5" hidden="1" x14ac:dyDescent="0.25">
      <c r="A4258" t="str">
        <f>_xlfn.XLOOKUP(C4258, 'Códigos DANE Municipios'!$B$2:$B$1123, 'Códigos DANE Municipios'!$A$2:$A$1123, "No encontrado")</f>
        <v>41770</v>
      </c>
      <c r="B4258" t="str">
        <f>IFERROR(VLOOKUP(D4258,APOYO!K:L,2,FALSE),A4258)</f>
        <v>41770</v>
      </c>
      <c r="C4258" t="s">
        <v>1256</v>
      </c>
      <c r="D4258" t="str">
        <f>IFERROR(VLOOKUP(C4258,APOYO!J:K,2,FALSE),C4258)</f>
        <v>SUAZA</v>
      </c>
      <c r="E4258">
        <v>2018</v>
      </c>
    </row>
    <row r="4259" spans="1:5" hidden="1" x14ac:dyDescent="0.25">
      <c r="A4259" t="str">
        <f>_xlfn.XLOOKUP(C4259, 'Códigos DANE Municipios'!$B$2:$B$1123, 'Códigos DANE Municipios'!$A$2:$A$1123, "No encontrado")</f>
        <v>25769</v>
      </c>
      <c r="B4259" t="str">
        <f>IFERROR(VLOOKUP(D4259,APOYO!K:L,2,FALSE),A4259)</f>
        <v>25769</v>
      </c>
      <c r="C4259" t="s">
        <v>1086</v>
      </c>
      <c r="D4259" t="str">
        <f>IFERROR(VLOOKUP(C4259,APOYO!J:K,2,FALSE),C4259)</f>
        <v>SUBACHOQUE</v>
      </c>
      <c r="E4259">
        <v>2018</v>
      </c>
    </row>
    <row r="4260" spans="1:5" hidden="1" x14ac:dyDescent="0.25">
      <c r="A4260" t="str">
        <f>_xlfn.XLOOKUP(C4260, 'Códigos DANE Municipios'!$B$2:$B$1123, 'Códigos DANE Municipios'!$A$2:$A$1123, "No encontrado")</f>
        <v>19785</v>
      </c>
      <c r="B4260" t="str">
        <f>IFERROR(VLOOKUP(D4260,APOYO!K:L,2,FALSE),A4260)</f>
        <v>19785</v>
      </c>
      <c r="C4260" t="s">
        <v>796</v>
      </c>
      <c r="D4260" t="str">
        <f>IFERROR(VLOOKUP(C4260,APOYO!J:K,2,FALSE),C4260)</f>
        <v>SUCRE</v>
      </c>
      <c r="E4260">
        <v>2018</v>
      </c>
    </row>
    <row r="4261" spans="1:5" hidden="1" x14ac:dyDescent="0.25">
      <c r="A4261" t="str">
        <f>_xlfn.XLOOKUP(C4261, 'Códigos DANE Municipios'!$B$2:$B$1123, 'Códigos DANE Municipios'!$A$2:$A$1123, "No encontrado")</f>
        <v>25772</v>
      </c>
      <c r="B4261" t="str">
        <f>IFERROR(VLOOKUP(D4261,APOYO!K:L,2,FALSE),A4261)</f>
        <v>25772</v>
      </c>
      <c r="C4261" t="s">
        <v>1088</v>
      </c>
      <c r="D4261" t="str">
        <f>IFERROR(VLOOKUP(C4261,APOYO!J:K,2,FALSE),C4261)</f>
        <v>SUESCA</v>
      </c>
      <c r="E4261">
        <v>2018</v>
      </c>
    </row>
    <row r="4262" spans="1:5" hidden="1" x14ac:dyDescent="0.25">
      <c r="A4262" t="str">
        <f>_xlfn.XLOOKUP(C4262, 'Códigos DANE Municipios'!$B$2:$B$1123, 'Códigos DANE Municipios'!$A$2:$A$1123, "No encontrado")</f>
        <v>17777</v>
      </c>
      <c r="B4262" t="str">
        <f>IFERROR(VLOOKUP(D4262,APOYO!K:L,2,FALSE),A4262)</f>
        <v>17777</v>
      </c>
      <c r="C4262" t="s">
        <v>690</v>
      </c>
      <c r="D4262" t="str">
        <f>IFERROR(VLOOKUP(C4262,APOYO!J:K,2,FALSE),C4262)</f>
        <v>SUPÍA</v>
      </c>
      <c r="E4262">
        <v>2018</v>
      </c>
    </row>
    <row r="4263" spans="1:5" hidden="1" x14ac:dyDescent="0.25">
      <c r="A4263" t="str">
        <f>_xlfn.XLOOKUP(C4263, 'Códigos DANE Municipios'!$B$2:$B$1123, 'Códigos DANE Municipios'!$A$2:$A$1123, "No encontrado")</f>
        <v>25779</v>
      </c>
      <c r="B4263" t="str">
        <f>IFERROR(VLOOKUP(D4263,APOYO!K:L,2,FALSE),A4263)</f>
        <v>25779</v>
      </c>
      <c r="C4263" t="s">
        <v>1092</v>
      </c>
      <c r="D4263" t="str">
        <f>IFERROR(VLOOKUP(C4263,APOYO!J:K,2,FALSE),C4263)</f>
        <v>SUSA</v>
      </c>
      <c r="E4263">
        <v>2018</v>
      </c>
    </row>
    <row r="4264" spans="1:5" hidden="1" x14ac:dyDescent="0.25">
      <c r="A4264" t="str">
        <f>_xlfn.XLOOKUP(C4264, 'Códigos DANE Municipios'!$B$2:$B$1123, 'Códigos DANE Municipios'!$A$2:$A$1123, "No encontrado")</f>
        <v>15776</v>
      </c>
      <c r="B4264" t="str">
        <f>IFERROR(VLOOKUP(D4264,APOYO!K:L,2,FALSE),A4264)</f>
        <v>15776</v>
      </c>
      <c r="C4264" t="s">
        <v>604</v>
      </c>
      <c r="D4264" t="str">
        <f>IFERROR(VLOOKUP(C4264,APOYO!J:K,2,FALSE),C4264)</f>
        <v>SUTAMARCHÁN</v>
      </c>
      <c r="E4264">
        <v>2018</v>
      </c>
    </row>
    <row r="4265" spans="1:5" hidden="1" x14ac:dyDescent="0.25">
      <c r="A4265" t="str">
        <f>_xlfn.XLOOKUP(C4265, 'Códigos DANE Municipios'!$B$2:$B$1123, 'Códigos DANE Municipios'!$A$2:$A$1123, "No encontrado")</f>
        <v>15778</v>
      </c>
      <c r="B4265" t="str">
        <f>IFERROR(VLOOKUP(D4265,APOYO!K:L,2,FALSE),A4265)</f>
        <v>15778</v>
      </c>
      <c r="C4265" t="s">
        <v>606</v>
      </c>
      <c r="D4265" t="str">
        <f>IFERROR(VLOOKUP(C4265,APOYO!J:K,2,FALSE),C4265)</f>
        <v>SUTATENZA</v>
      </c>
      <c r="E4265">
        <v>2018</v>
      </c>
    </row>
    <row r="4266" spans="1:5" hidden="1" x14ac:dyDescent="0.25">
      <c r="A4266" t="str">
        <f>_xlfn.XLOOKUP(C4266, 'Códigos DANE Municipios'!$B$2:$B$1123, 'Códigos DANE Municipios'!$A$2:$A$1123, "No encontrado")</f>
        <v>25785</v>
      </c>
      <c r="B4266" t="str">
        <f>IFERROR(VLOOKUP(D4266,APOYO!K:L,2,FALSE),A4266)</f>
        <v>25785</v>
      </c>
      <c r="C4266" t="s">
        <v>1096</v>
      </c>
      <c r="D4266" t="str">
        <f>IFERROR(VLOOKUP(C4266,APOYO!J:K,2,FALSE),C4266)</f>
        <v>TABIO</v>
      </c>
      <c r="E4266">
        <v>2018</v>
      </c>
    </row>
    <row r="4267" spans="1:5" hidden="1" x14ac:dyDescent="0.25">
      <c r="A4267" t="str">
        <f>_xlfn.XLOOKUP(C4267, 'Códigos DANE Municipios'!$B$2:$B$1123, 'Códigos DANE Municipios'!$A$2:$A$1123, "No encontrado")</f>
        <v>85400</v>
      </c>
      <c r="B4267" t="str">
        <f>IFERROR(VLOOKUP(D4267,APOYO!K:L,2,FALSE),A4267)</f>
        <v>85400</v>
      </c>
      <c r="C4267" t="s">
        <v>2077</v>
      </c>
      <c r="D4267" t="str">
        <f>IFERROR(VLOOKUP(C4267,APOYO!J:K,2,FALSE),C4267)</f>
        <v>TÁMARA</v>
      </c>
      <c r="E4267">
        <v>2018</v>
      </c>
    </row>
    <row r="4268" spans="1:5" hidden="1" x14ac:dyDescent="0.25">
      <c r="A4268" t="str">
        <f>_xlfn.XLOOKUP(C4268, 'Códigos DANE Municipios'!$B$2:$B$1123, 'Códigos DANE Municipios'!$A$2:$A$1123, "No encontrado")</f>
        <v>81794</v>
      </c>
      <c r="B4268" t="str">
        <f>IFERROR(VLOOKUP(D4268,APOYO!K:L,2,FALSE),A4268)</f>
        <v>81794</v>
      </c>
      <c r="C4268" t="s">
        <v>2046</v>
      </c>
      <c r="D4268" t="str">
        <f>IFERROR(VLOOKUP(C4268,APOYO!J:K,2,FALSE),C4268)</f>
        <v>TAME</v>
      </c>
      <c r="E4268">
        <v>2018</v>
      </c>
    </row>
    <row r="4269" spans="1:5" hidden="1" x14ac:dyDescent="0.25">
      <c r="A4269" t="str">
        <f>_xlfn.XLOOKUP(C4269, 'Códigos DANE Municipios'!$B$2:$B$1123, 'Códigos DANE Municipios'!$A$2:$A$1123, "No encontrado")</f>
        <v>52786</v>
      </c>
      <c r="B4269" t="str">
        <f>IFERROR(VLOOKUP(D4269,APOYO!K:L,2,FALSE),A4269)</f>
        <v>52786</v>
      </c>
      <c r="C4269" t="s">
        <v>1519</v>
      </c>
      <c r="D4269" t="str">
        <f>IFERROR(VLOOKUP(C4269,APOYO!J:K,2,FALSE),C4269)</f>
        <v>TAMINANGO</v>
      </c>
      <c r="E4269">
        <v>2018</v>
      </c>
    </row>
    <row r="4270" spans="1:5" hidden="1" x14ac:dyDescent="0.25">
      <c r="A4270" t="str">
        <f>_xlfn.XLOOKUP(C4270, 'Códigos DANE Municipios'!$B$2:$B$1123, 'Códigos DANE Municipios'!$A$2:$A$1123, "No encontrado")</f>
        <v>41791</v>
      </c>
      <c r="B4270" t="str">
        <f>IFERROR(VLOOKUP(D4270,APOYO!K:L,2,FALSE),A4270)</f>
        <v>41791</v>
      </c>
      <c r="C4270" t="s">
        <v>1258</v>
      </c>
      <c r="D4270" t="str">
        <f>IFERROR(VLOOKUP(C4270,APOYO!J:K,2,FALSE),C4270)</f>
        <v>TARQUI</v>
      </c>
      <c r="E4270">
        <v>2018</v>
      </c>
    </row>
    <row r="4271" spans="1:5" hidden="1" x14ac:dyDescent="0.25">
      <c r="A4271" t="str">
        <f>_xlfn.XLOOKUP(C4271, 'Códigos DANE Municipios'!$B$2:$B$1123, 'Códigos DANE Municipios'!$A$2:$A$1123, "No encontrado")</f>
        <v>85410</v>
      </c>
      <c r="B4271" t="str">
        <f>IFERROR(VLOOKUP(D4271,APOYO!K:L,2,FALSE),A4271)</f>
        <v>85410</v>
      </c>
      <c r="C4271" t="s">
        <v>2079</v>
      </c>
      <c r="D4271" t="str">
        <f>IFERROR(VLOOKUP(C4271,APOYO!J:K,2,FALSE),C4271)</f>
        <v>TAURAMENA</v>
      </c>
      <c r="E4271">
        <v>2018</v>
      </c>
    </row>
    <row r="4272" spans="1:5" hidden="1" x14ac:dyDescent="0.25">
      <c r="A4272" t="str">
        <f>_xlfn.XLOOKUP(C4272, 'Códigos DANE Municipios'!$B$2:$B$1123, 'Códigos DANE Municipios'!$A$2:$A$1123, "No encontrado")</f>
        <v>41799</v>
      </c>
      <c r="B4272" t="str">
        <f>IFERROR(VLOOKUP(D4272,APOYO!K:L,2,FALSE),A4272)</f>
        <v>41799</v>
      </c>
      <c r="C4272" t="s">
        <v>1262</v>
      </c>
      <c r="D4272" t="str">
        <f>IFERROR(VLOOKUP(C4272,APOYO!J:K,2,FALSE),C4272)</f>
        <v>TELLO</v>
      </c>
      <c r="E4272">
        <v>2018</v>
      </c>
    </row>
    <row r="4273" spans="1:5" hidden="1" x14ac:dyDescent="0.25">
      <c r="A4273" t="str">
        <f>_xlfn.XLOOKUP(C4273, 'Códigos DANE Municipios'!$B$2:$B$1123, 'Códigos DANE Municipios'!$A$2:$A$1123, "No encontrado")</f>
        <v>25797</v>
      </c>
      <c r="B4273" t="str">
        <f>IFERROR(VLOOKUP(D4273,APOYO!K:L,2,FALSE),A4273)</f>
        <v>25797</v>
      </c>
      <c r="C4273" t="s">
        <v>1100</v>
      </c>
      <c r="D4273" t="str">
        <f>IFERROR(VLOOKUP(C4273,APOYO!J:K,2,FALSE),C4273)</f>
        <v>TENA</v>
      </c>
      <c r="E4273">
        <v>2018</v>
      </c>
    </row>
    <row r="4274" spans="1:5" hidden="1" x14ac:dyDescent="0.25">
      <c r="A4274" t="str">
        <f>_xlfn.XLOOKUP(C4274, 'Códigos DANE Municipios'!$B$2:$B$1123, 'Códigos DANE Municipios'!$A$2:$A$1123, "No encontrado")</f>
        <v>25799</v>
      </c>
      <c r="B4274" t="str">
        <f>IFERROR(VLOOKUP(D4274,APOYO!K:L,2,FALSE),A4274)</f>
        <v>25799</v>
      </c>
      <c r="C4274" t="s">
        <v>1102</v>
      </c>
      <c r="D4274" t="str">
        <f>IFERROR(VLOOKUP(C4274,APOYO!J:K,2,FALSE),C4274)</f>
        <v>TENJO</v>
      </c>
      <c r="E4274">
        <v>2018</v>
      </c>
    </row>
    <row r="4275" spans="1:5" hidden="1" x14ac:dyDescent="0.25">
      <c r="A4275" t="str">
        <f>_xlfn.XLOOKUP(C4275, 'Códigos DANE Municipios'!$B$2:$B$1123, 'Códigos DANE Municipios'!$A$2:$A$1123, "No encontrado")</f>
        <v>15798</v>
      </c>
      <c r="B4275" t="str">
        <f>IFERROR(VLOOKUP(D4275,APOYO!K:L,2,FALSE),A4275)</f>
        <v>15798</v>
      </c>
      <c r="C4275" t="s">
        <v>610</v>
      </c>
      <c r="D4275" t="str">
        <f>IFERROR(VLOOKUP(C4275,APOYO!J:K,2,FALSE),C4275)</f>
        <v>TENZA</v>
      </c>
      <c r="E4275">
        <v>2018</v>
      </c>
    </row>
    <row r="4276" spans="1:5" hidden="1" x14ac:dyDescent="0.25">
      <c r="A4276" t="str">
        <f>_xlfn.XLOOKUP(C4276, 'Códigos DANE Municipios'!$B$2:$B$1123, 'Códigos DANE Municipios'!$A$2:$A$1123, "No encontrado")</f>
        <v>41801</v>
      </c>
      <c r="B4276" t="str">
        <f>IFERROR(VLOOKUP(D4276,APOYO!K:L,2,FALSE),A4276)</f>
        <v>41801</v>
      </c>
      <c r="C4276" t="s">
        <v>1264</v>
      </c>
      <c r="D4276" t="str">
        <f>IFERROR(VLOOKUP(C4276,APOYO!J:K,2,FALSE),C4276)</f>
        <v>TERUEL</v>
      </c>
      <c r="E4276">
        <v>2018</v>
      </c>
    </row>
    <row r="4277" spans="1:5" hidden="1" x14ac:dyDescent="0.25">
      <c r="A4277" t="str">
        <f>_xlfn.XLOOKUP(C4277, 'Códigos DANE Municipios'!$B$2:$B$1123, 'Códigos DANE Municipios'!$A$2:$A$1123, "No encontrado")</f>
        <v>41797</v>
      </c>
      <c r="B4277" t="str">
        <f>IFERROR(VLOOKUP(D4277,APOYO!K:L,2,FALSE),A4277)</f>
        <v>41797</v>
      </c>
      <c r="C4277" t="s">
        <v>1260</v>
      </c>
      <c r="D4277" t="str">
        <f>IFERROR(VLOOKUP(C4277,APOYO!J:K,2,FALSE),C4277)</f>
        <v>TESALIA</v>
      </c>
      <c r="E4277">
        <v>2018</v>
      </c>
    </row>
    <row r="4278" spans="1:5" hidden="1" x14ac:dyDescent="0.25">
      <c r="A4278" t="str">
        <f>_xlfn.XLOOKUP(C4278, 'Códigos DANE Municipios'!$B$2:$B$1123, 'Códigos DANE Municipios'!$A$2:$A$1123, "No encontrado")</f>
        <v>25805</v>
      </c>
      <c r="B4278" t="str">
        <f>IFERROR(VLOOKUP(D4278,APOYO!K:L,2,FALSE),A4278)</f>
        <v>25805</v>
      </c>
      <c r="C4278" t="s">
        <v>1104</v>
      </c>
      <c r="D4278" t="str">
        <f>IFERROR(VLOOKUP(C4278,APOYO!J:K,2,FALSE),C4278)</f>
        <v>TIBACUY</v>
      </c>
      <c r="E4278">
        <v>2018</v>
      </c>
    </row>
    <row r="4279" spans="1:5" hidden="1" x14ac:dyDescent="0.25">
      <c r="A4279" t="str">
        <f>_xlfn.XLOOKUP(C4279, 'Códigos DANE Municipios'!$B$2:$B$1123, 'Códigos DANE Municipios'!$A$2:$A$1123, "No encontrado")</f>
        <v>15804</v>
      </c>
      <c r="B4279" t="str">
        <f>IFERROR(VLOOKUP(D4279,APOYO!K:L,2,FALSE),A4279)</f>
        <v>15804</v>
      </c>
      <c r="C4279" t="s">
        <v>612</v>
      </c>
      <c r="D4279" t="str">
        <f>IFERROR(VLOOKUP(C4279,APOYO!J:K,2,FALSE),C4279)</f>
        <v>TIBANÁ</v>
      </c>
      <c r="E4279">
        <v>2018</v>
      </c>
    </row>
    <row r="4280" spans="1:5" hidden="1" x14ac:dyDescent="0.25">
      <c r="A4280" t="str">
        <f>_xlfn.XLOOKUP(C4280, 'Códigos DANE Municipios'!$B$2:$B$1123, 'Códigos DANE Municipios'!$A$2:$A$1123, "No encontrado")</f>
        <v>15806</v>
      </c>
      <c r="B4280" t="str">
        <f>IFERROR(VLOOKUP(D4280,APOYO!K:L,2,FALSE),A4280)</f>
        <v>15806</v>
      </c>
      <c r="C4280" t="s">
        <v>614</v>
      </c>
      <c r="D4280" t="str">
        <f>IFERROR(VLOOKUP(C4280,APOYO!J:K,2,FALSE),C4280)</f>
        <v>TIBASOSA</v>
      </c>
      <c r="E4280">
        <v>2018</v>
      </c>
    </row>
    <row r="4281" spans="1:5" hidden="1" x14ac:dyDescent="0.25">
      <c r="A4281" t="str">
        <f>_xlfn.XLOOKUP(C4281, 'Códigos DANE Municipios'!$B$2:$B$1123, 'Códigos DANE Municipios'!$A$2:$A$1123, "No encontrado")</f>
        <v>25807</v>
      </c>
      <c r="B4281" t="str">
        <f>IFERROR(VLOOKUP(D4281,APOYO!K:L,2,FALSE),A4281)</f>
        <v>25807</v>
      </c>
      <c r="C4281" t="s">
        <v>1106</v>
      </c>
      <c r="D4281" t="str">
        <f>IFERROR(VLOOKUP(C4281,APOYO!J:K,2,FALSE),C4281)</f>
        <v>TIBIRITA</v>
      </c>
      <c r="E4281">
        <v>2018</v>
      </c>
    </row>
    <row r="4282" spans="1:5" hidden="1" x14ac:dyDescent="0.25">
      <c r="A4282" t="str">
        <f>_xlfn.XLOOKUP(C4282, 'Códigos DANE Municipios'!$B$2:$B$1123, 'Códigos DANE Municipios'!$A$2:$A$1123, "No encontrado")</f>
        <v>54810</v>
      </c>
      <c r="B4282" t="str">
        <f>IFERROR(VLOOKUP(D4282,APOYO!K:L,2,FALSE),A4282)</f>
        <v>54810</v>
      </c>
      <c r="C4282" t="s">
        <v>1600</v>
      </c>
      <c r="D4282" t="str">
        <f>IFERROR(VLOOKUP(C4282,APOYO!J:K,2,FALSE),C4282)</f>
        <v>TIBÚ</v>
      </c>
      <c r="E4282">
        <v>2018</v>
      </c>
    </row>
    <row r="4283" spans="1:5" hidden="1" x14ac:dyDescent="0.25">
      <c r="A4283" t="str">
        <f>_xlfn.XLOOKUP(C4283, 'Códigos DANE Municipios'!$B$2:$B$1123, 'Códigos DANE Municipios'!$A$2:$A$1123, "No encontrado")</f>
        <v>23807</v>
      </c>
      <c r="B4283" t="str">
        <f>IFERROR(VLOOKUP(D4283,APOYO!K:L,2,FALSE),A4283)</f>
        <v>23807</v>
      </c>
      <c r="C4283" t="s">
        <v>910</v>
      </c>
      <c r="D4283" t="str">
        <f>IFERROR(VLOOKUP(C4283,APOYO!J:K,2,FALSE),C4283)</f>
        <v>TIERRALTA</v>
      </c>
      <c r="E4283">
        <v>2018</v>
      </c>
    </row>
    <row r="4284" spans="1:5" hidden="1" x14ac:dyDescent="0.25">
      <c r="A4284" t="str">
        <f>_xlfn.XLOOKUP(C4284, 'Códigos DANE Municipios'!$B$2:$B$1123, 'Códigos DANE Municipios'!$A$2:$A$1123, "No encontrado")</f>
        <v>41807</v>
      </c>
      <c r="B4284" t="str">
        <f>IFERROR(VLOOKUP(D4284,APOYO!K:L,2,FALSE),A4284)</f>
        <v>41807</v>
      </c>
      <c r="C4284" t="s">
        <v>1266</v>
      </c>
      <c r="D4284" t="str">
        <f>IFERROR(VLOOKUP(C4284,APOYO!J:K,2,FALSE),C4284)</f>
        <v>TIMANÁ</v>
      </c>
      <c r="E4284">
        <v>2018</v>
      </c>
    </row>
    <row r="4285" spans="1:5" hidden="1" x14ac:dyDescent="0.25">
      <c r="A4285" t="str">
        <f>_xlfn.XLOOKUP(C4285, 'Códigos DANE Municipios'!$B$2:$B$1123, 'Códigos DANE Municipios'!$A$2:$A$1123, "No encontrado")</f>
        <v>19807</v>
      </c>
      <c r="B4285" t="str">
        <f>IFERROR(VLOOKUP(D4285,APOYO!K:L,2,FALSE),A4285)</f>
        <v>19807</v>
      </c>
      <c r="C4285" t="s">
        <v>798</v>
      </c>
      <c r="D4285" t="str">
        <f>IFERROR(VLOOKUP(C4285,APOYO!J:K,2,FALSE),C4285)</f>
        <v>TIMBÍO</v>
      </c>
      <c r="E4285">
        <v>2018</v>
      </c>
    </row>
    <row r="4286" spans="1:5" hidden="1" x14ac:dyDescent="0.25">
      <c r="A4286" t="str">
        <f>_xlfn.XLOOKUP(C4286, 'Códigos DANE Municipios'!$B$2:$B$1123, 'Códigos DANE Municipios'!$A$2:$A$1123, "No encontrado")</f>
        <v>19809</v>
      </c>
      <c r="B4286" t="str">
        <f>IFERROR(VLOOKUP(D4286,APOYO!K:L,2,FALSE),A4286)</f>
        <v>19809</v>
      </c>
      <c r="C4286" t="s">
        <v>800</v>
      </c>
      <c r="D4286" t="str">
        <f>IFERROR(VLOOKUP(C4286,APOYO!J:K,2,FALSE),C4286)</f>
        <v>TIMBIQUÍ</v>
      </c>
      <c r="E4286">
        <v>2018</v>
      </c>
    </row>
    <row r="4287" spans="1:5" hidden="1" x14ac:dyDescent="0.25">
      <c r="A4287" t="str">
        <f>_xlfn.XLOOKUP(C4287, 'Códigos DANE Municipios'!$B$2:$B$1123, 'Códigos DANE Municipios'!$A$2:$A$1123, "No encontrado")</f>
        <v>15808</v>
      </c>
      <c r="B4287" t="str">
        <f>IFERROR(VLOOKUP(D4287,APOYO!K:L,2,FALSE),A4287)</f>
        <v>15808</v>
      </c>
      <c r="C4287" t="s">
        <v>616</v>
      </c>
      <c r="D4287" t="str">
        <f>IFERROR(VLOOKUP(C4287,APOYO!J:K,2,FALSE),C4287)</f>
        <v>TINJACÁ</v>
      </c>
      <c r="E4287">
        <v>2018</v>
      </c>
    </row>
    <row r="4288" spans="1:5" hidden="1" x14ac:dyDescent="0.25">
      <c r="A4288" t="str">
        <f>_xlfn.XLOOKUP(C4288, 'Códigos DANE Municipios'!$B$2:$B$1123, 'Códigos DANE Municipios'!$A$2:$A$1123, "No encontrado")</f>
        <v>05809</v>
      </c>
      <c r="B4288" t="str">
        <f>IFERROR(VLOOKUP(D4288,APOYO!K:L,2,FALSE),A4288)</f>
        <v>05809</v>
      </c>
      <c r="C4288" t="s">
        <v>232</v>
      </c>
      <c r="D4288" t="str">
        <f>IFERROR(VLOOKUP(C4288,APOYO!J:K,2,FALSE),C4288)</f>
        <v>TITIRIBÍ</v>
      </c>
      <c r="E4288">
        <v>2018</v>
      </c>
    </row>
    <row r="4289" spans="1:5" hidden="1" x14ac:dyDescent="0.25">
      <c r="A4289" t="str">
        <f>_xlfn.XLOOKUP(C4289, 'Códigos DANE Municipios'!$B$2:$B$1123, 'Códigos DANE Municipios'!$A$2:$A$1123, "No encontrado")</f>
        <v>15814</v>
      </c>
      <c r="B4289" t="str">
        <f>IFERROR(VLOOKUP(D4289,APOYO!K:L,2,FALSE),A4289)</f>
        <v>15814</v>
      </c>
      <c r="C4289" t="s">
        <v>620</v>
      </c>
      <c r="D4289" t="str">
        <f>IFERROR(VLOOKUP(C4289,APOYO!J:K,2,FALSE),C4289)</f>
        <v>TOCA</v>
      </c>
      <c r="E4289">
        <v>2018</v>
      </c>
    </row>
    <row r="4290" spans="1:5" hidden="1" x14ac:dyDescent="0.25">
      <c r="A4290" t="str">
        <f>_xlfn.XLOOKUP(C4290, 'Códigos DANE Municipios'!$B$2:$B$1123, 'Códigos DANE Municipios'!$A$2:$A$1123, "No encontrado")</f>
        <v>25815</v>
      </c>
      <c r="B4290" t="str">
        <f>IFERROR(VLOOKUP(D4290,APOYO!K:L,2,FALSE),A4290)</f>
        <v>25815</v>
      </c>
      <c r="C4290" t="s">
        <v>1108</v>
      </c>
      <c r="D4290" t="str">
        <f>IFERROR(VLOOKUP(C4290,APOYO!J:K,2,FALSE),C4290)</f>
        <v>TOCAIMA</v>
      </c>
      <c r="E4290">
        <v>2018</v>
      </c>
    </row>
    <row r="4291" spans="1:5" hidden="1" x14ac:dyDescent="0.25">
      <c r="A4291" t="str">
        <f>_xlfn.XLOOKUP(C4291, 'Códigos DANE Municipios'!$B$2:$B$1123, 'Códigos DANE Municipios'!$A$2:$A$1123, "No encontrado")</f>
        <v>25817</v>
      </c>
      <c r="B4291" t="str">
        <f>IFERROR(VLOOKUP(D4291,APOYO!K:L,2,FALSE),A4291)</f>
        <v>25817</v>
      </c>
      <c r="C4291" t="s">
        <v>1110</v>
      </c>
      <c r="D4291" t="str">
        <f>IFERROR(VLOOKUP(C4291,APOYO!J:K,2,FALSE),C4291)</f>
        <v>TOCANCIPÁ</v>
      </c>
      <c r="E4291">
        <v>2018</v>
      </c>
    </row>
    <row r="4292" spans="1:5" hidden="1" x14ac:dyDescent="0.25">
      <c r="A4292" t="str">
        <f>_xlfn.XLOOKUP(C4292, 'Códigos DANE Municipios'!$B$2:$B$1123, 'Códigos DANE Municipios'!$A$2:$A$1123, "No encontrado")</f>
        <v>05819</v>
      </c>
      <c r="B4292" t="str">
        <f>IFERROR(VLOOKUP(D4292,APOYO!K:L,2,FALSE),A4292)</f>
        <v>05819</v>
      </c>
      <c r="C4292" t="s">
        <v>234</v>
      </c>
      <c r="D4292" t="str">
        <f>IFERROR(VLOOKUP(C4292,APOYO!J:K,2,FALSE),C4292)</f>
        <v>TOLEDO</v>
      </c>
      <c r="E4292">
        <v>2018</v>
      </c>
    </row>
    <row r="4293" spans="1:5" hidden="1" x14ac:dyDescent="0.25">
      <c r="A4293" t="str">
        <f>_xlfn.XLOOKUP(C4293, 'Códigos DANE Municipios'!$B$2:$B$1123, 'Códigos DANE Municipios'!$A$2:$A$1123, "No encontrado")</f>
        <v>70820</v>
      </c>
      <c r="B4293" t="str">
        <f>IFERROR(VLOOKUP(D4293,APOYO!K:L,2,FALSE),A4293)</f>
        <v>70820</v>
      </c>
      <c r="C4293" t="s">
        <v>1861</v>
      </c>
      <c r="D4293" t="str">
        <f>IFERROR(VLOOKUP(C4293,APOYO!J:K,2,FALSE),C4293)</f>
        <v>SANTIAGO DE TOLÚ</v>
      </c>
      <c r="E4293">
        <v>2018</v>
      </c>
    </row>
    <row r="4294" spans="1:5" hidden="1" x14ac:dyDescent="0.25">
      <c r="A4294" t="str">
        <f>_xlfn.XLOOKUP(C4294, 'Códigos DANE Municipios'!$B$2:$B$1123, 'Códigos DANE Municipios'!$A$2:$A$1123, "No encontrado")</f>
        <v>70823</v>
      </c>
      <c r="B4294" t="str">
        <f>IFERROR(VLOOKUP(D4294,APOYO!K:L,2,FALSE),A4294)</f>
        <v>70823</v>
      </c>
      <c r="C4294" t="s">
        <v>1863</v>
      </c>
      <c r="D4294" t="str">
        <f>IFERROR(VLOOKUP(C4294,APOYO!J:K,2,FALSE),C4294)</f>
        <v>TOLÚ VIEJO</v>
      </c>
      <c r="E4294">
        <v>2018</v>
      </c>
    </row>
    <row r="4295" spans="1:5" hidden="1" x14ac:dyDescent="0.25">
      <c r="A4295" t="str">
        <f>_xlfn.XLOOKUP(C4295, 'Códigos DANE Municipios'!$B$2:$B$1123, 'Códigos DANE Municipios'!$A$2:$A$1123, "No encontrado")</f>
        <v>68820</v>
      </c>
      <c r="B4295" t="str">
        <f>IFERROR(VLOOKUP(D4295,APOYO!K:L,2,FALSE),A4295)</f>
        <v>68820</v>
      </c>
      <c r="C4295" t="s">
        <v>1805</v>
      </c>
      <c r="D4295" t="str">
        <f>IFERROR(VLOOKUP(C4295,APOYO!J:K,2,FALSE),C4295)</f>
        <v>TONA</v>
      </c>
      <c r="E4295">
        <v>2018</v>
      </c>
    </row>
    <row r="4296" spans="1:5" hidden="1" x14ac:dyDescent="0.25">
      <c r="A4296" t="str">
        <f>_xlfn.XLOOKUP(C4296, 'Códigos DANE Municipios'!$B$2:$B$1123, 'Códigos DANE Municipios'!$A$2:$A$1123, "No encontrado")</f>
        <v>76823</v>
      </c>
      <c r="B4296" t="str">
        <f>IFERROR(VLOOKUP(D4296,APOYO!K:L,2,FALSE),A4296)</f>
        <v>76823</v>
      </c>
      <c r="C4296" t="s">
        <v>2016</v>
      </c>
      <c r="D4296" t="str">
        <f>IFERROR(VLOOKUP(C4296,APOYO!J:K,2,FALSE),C4296)</f>
        <v>TORO</v>
      </c>
      <c r="E4296">
        <v>2018</v>
      </c>
    </row>
    <row r="4297" spans="1:5" hidden="1" x14ac:dyDescent="0.25">
      <c r="A4297" t="str">
        <f>_xlfn.XLOOKUP(C4297, 'Códigos DANE Municipios'!$B$2:$B$1123, 'Códigos DANE Municipios'!$A$2:$A$1123, "No encontrado")</f>
        <v>19824</v>
      </c>
      <c r="B4297" t="str">
        <f>IFERROR(VLOOKUP(D4297,APOYO!K:L,2,FALSE),A4297)</f>
        <v>19824</v>
      </c>
      <c r="C4297" t="s">
        <v>804</v>
      </c>
      <c r="D4297" t="str">
        <f>IFERROR(VLOOKUP(C4297,APOYO!J:K,2,FALSE),C4297)</f>
        <v>TOTORÓ</v>
      </c>
      <c r="E4297">
        <v>2018</v>
      </c>
    </row>
    <row r="4298" spans="1:5" hidden="1" x14ac:dyDescent="0.25">
      <c r="A4298" t="str">
        <f>_xlfn.XLOOKUP(C4298, 'Códigos DANE Municipios'!$B$2:$B$1123, 'Códigos DANE Municipios'!$A$2:$A$1123, "No encontrado")</f>
        <v>85430</v>
      </c>
      <c r="B4298" t="str">
        <f>IFERROR(VLOOKUP(D4298,APOYO!K:L,2,FALSE),A4298)</f>
        <v>85430</v>
      </c>
      <c r="C4298" t="s">
        <v>2081</v>
      </c>
      <c r="D4298" t="str">
        <f>IFERROR(VLOOKUP(C4298,APOYO!J:K,2,FALSE),C4298)</f>
        <v>TRINIDAD</v>
      </c>
      <c r="E4298">
        <v>2018</v>
      </c>
    </row>
    <row r="4299" spans="1:5" hidden="1" x14ac:dyDescent="0.25">
      <c r="A4299" t="str">
        <f>_xlfn.XLOOKUP(C4299, 'Códigos DANE Municipios'!$B$2:$B$1123, 'Códigos DANE Municipios'!$A$2:$A$1123, "No encontrado")</f>
        <v>76828</v>
      </c>
      <c r="B4299" t="str">
        <f>IFERROR(VLOOKUP(D4299,APOYO!K:L,2,FALSE),A4299)</f>
        <v>76828</v>
      </c>
      <c r="C4299" t="s">
        <v>2018</v>
      </c>
      <c r="D4299" t="str">
        <f>IFERROR(VLOOKUP(C4299,APOYO!J:K,2,FALSE),C4299)</f>
        <v>TRUJILLO</v>
      </c>
      <c r="E4299">
        <v>2018</v>
      </c>
    </row>
    <row r="4300" spans="1:5" hidden="1" x14ac:dyDescent="0.25">
      <c r="A4300" t="str">
        <f>_xlfn.XLOOKUP(C4300, 'Códigos DANE Municipios'!$B$2:$B$1123, 'Códigos DANE Municipios'!$A$2:$A$1123, "No encontrado")</f>
        <v>08832</v>
      </c>
      <c r="B4300" t="str">
        <f>IFERROR(VLOOKUP(D4300,APOYO!K:L,2,FALSE),A4300)</f>
        <v>08832</v>
      </c>
      <c r="C4300" t="s">
        <v>303</v>
      </c>
      <c r="D4300" t="str">
        <f>IFERROR(VLOOKUP(C4300,APOYO!J:K,2,FALSE),C4300)</f>
        <v>TUBARÁ</v>
      </c>
      <c r="E4300">
        <v>2018</v>
      </c>
    </row>
    <row r="4301" spans="1:5" hidden="1" x14ac:dyDescent="0.25">
      <c r="A4301" t="str">
        <f>_xlfn.XLOOKUP(C4301, 'Códigos DANE Municipios'!$B$2:$B$1123, 'Códigos DANE Municipios'!$A$2:$A$1123, "No encontrado")</f>
        <v>76834</v>
      </c>
      <c r="B4301" t="str">
        <f>IFERROR(VLOOKUP(D4301,APOYO!K:L,2,FALSE),A4301)</f>
        <v>76834</v>
      </c>
      <c r="C4301" t="s">
        <v>2020</v>
      </c>
      <c r="D4301" t="str">
        <f>IFERROR(VLOOKUP(C4301,APOYO!J:K,2,FALSE),C4301)</f>
        <v>TULUÁ</v>
      </c>
      <c r="E4301">
        <v>2018</v>
      </c>
    </row>
    <row r="4302" spans="1:5" hidden="1" x14ac:dyDescent="0.25">
      <c r="A4302" t="str">
        <f>_xlfn.XLOOKUP(C4302, 'Códigos DANE Municipios'!$B$2:$B$1123, 'Códigos DANE Municipios'!$A$2:$A$1123, "No encontrado")</f>
        <v>52835</v>
      </c>
      <c r="B4302" t="str">
        <f>IFERROR(VLOOKUP(D4302,APOYO!K:L,2,FALSE),A4302)</f>
        <v>52835</v>
      </c>
      <c r="C4302" t="s">
        <v>1523</v>
      </c>
      <c r="D4302" t="str">
        <f>IFERROR(VLOOKUP(C4302,APOYO!J:K,2,FALSE),C4302)</f>
        <v>SAN ANDRÉS DE TUMACO</v>
      </c>
      <c r="E4302">
        <v>2018</v>
      </c>
    </row>
    <row r="4303" spans="1:5" hidden="1" x14ac:dyDescent="0.25">
      <c r="A4303" t="str">
        <f>_xlfn.XLOOKUP(C4303, 'Códigos DANE Municipios'!$B$2:$B$1123, 'Códigos DANE Municipios'!$A$2:$A$1123, "No encontrado")</f>
        <v>15001</v>
      </c>
      <c r="B4303" t="str">
        <f>IFERROR(VLOOKUP(D4303,APOYO!K:L,2,FALSE),A4303)</f>
        <v>15001</v>
      </c>
      <c r="C4303" t="s">
        <v>401</v>
      </c>
      <c r="D4303" t="str">
        <f>IFERROR(VLOOKUP(C4303,APOYO!J:K,2,FALSE),C4303)</f>
        <v>TUNJA</v>
      </c>
      <c r="E4303">
        <v>2018</v>
      </c>
    </row>
    <row r="4304" spans="1:5" hidden="1" x14ac:dyDescent="0.25">
      <c r="A4304" t="str">
        <f>_xlfn.XLOOKUP(C4304, 'Códigos DANE Municipios'!$B$2:$B$1123, 'Códigos DANE Municipios'!$A$2:$A$1123, "No encontrado")</f>
        <v>52838</v>
      </c>
      <c r="B4304" t="str">
        <f>IFERROR(VLOOKUP(D4304,APOYO!K:L,2,FALSE),A4304)</f>
        <v>52838</v>
      </c>
      <c r="C4304" t="s">
        <v>1525</v>
      </c>
      <c r="D4304" t="str">
        <f>IFERROR(VLOOKUP(C4304,APOYO!J:K,2,FALSE),C4304)</f>
        <v>TÚQUERRES</v>
      </c>
      <c r="E4304">
        <v>2018</v>
      </c>
    </row>
    <row r="4305" spans="1:5" hidden="1" x14ac:dyDescent="0.25">
      <c r="A4305" t="str">
        <f>_xlfn.XLOOKUP(C4305, 'Códigos DANE Municipios'!$B$2:$B$1123, 'Códigos DANE Municipios'!$A$2:$A$1123, "No encontrado")</f>
        <v>13836</v>
      </c>
      <c r="B4305" t="str">
        <f>IFERROR(VLOOKUP(D4305,APOYO!K:L,2,FALSE),A4305)</f>
        <v>13836</v>
      </c>
      <c r="C4305" t="s">
        <v>393</v>
      </c>
      <c r="D4305" t="str">
        <f>IFERROR(VLOOKUP(C4305,APOYO!J:K,2,FALSE),C4305)</f>
        <v>TURBACO</v>
      </c>
      <c r="E4305">
        <v>2018</v>
      </c>
    </row>
    <row r="4306" spans="1:5" hidden="1" x14ac:dyDescent="0.25">
      <c r="A4306" t="str">
        <f>_xlfn.XLOOKUP(C4306, 'Códigos DANE Municipios'!$B$2:$B$1123, 'Códigos DANE Municipios'!$A$2:$A$1123, "No encontrado")</f>
        <v>13838</v>
      </c>
      <c r="B4306" t="str">
        <f>IFERROR(VLOOKUP(D4306,APOYO!K:L,2,FALSE),A4306)</f>
        <v>13838</v>
      </c>
      <c r="C4306" t="s">
        <v>395</v>
      </c>
      <c r="D4306" t="str">
        <f>IFERROR(VLOOKUP(C4306,APOYO!J:K,2,FALSE),C4306)</f>
        <v>TURBANÁ</v>
      </c>
      <c r="E4306">
        <v>2018</v>
      </c>
    </row>
    <row r="4307" spans="1:5" hidden="1" x14ac:dyDescent="0.25">
      <c r="A4307" t="str">
        <f>_xlfn.XLOOKUP(C4307, 'Códigos DANE Municipios'!$B$2:$B$1123, 'Códigos DANE Municipios'!$A$2:$A$1123, "No encontrado")</f>
        <v>05837</v>
      </c>
      <c r="B4307" t="str">
        <f>IFERROR(VLOOKUP(D4307,APOYO!K:L,2,FALSE),A4307)</f>
        <v>05837</v>
      </c>
      <c r="C4307" t="s">
        <v>236</v>
      </c>
      <c r="D4307" t="str">
        <f>IFERROR(VLOOKUP(C4307,APOYO!J:K,2,FALSE),C4307)</f>
        <v>TURBO</v>
      </c>
      <c r="E4307">
        <v>2018</v>
      </c>
    </row>
    <row r="4308" spans="1:5" hidden="1" x14ac:dyDescent="0.25">
      <c r="A4308" t="str">
        <f>_xlfn.XLOOKUP(C4308, 'Códigos DANE Municipios'!$B$2:$B$1123, 'Códigos DANE Municipios'!$A$2:$A$1123, "No encontrado")</f>
        <v>15835</v>
      </c>
      <c r="B4308" t="str">
        <f>IFERROR(VLOOKUP(D4308,APOYO!K:L,2,FALSE),A4308)</f>
        <v>15835</v>
      </c>
      <c r="C4308" t="s">
        <v>630</v>
      </c>
      <c r="D4308" t="str">
        <f>IFERROR(VLOOKUP(C4308,APOYO!J:K,2,FALSE),C4308)</f>
        <v>TURMEQUÉ</v>
      </c>
      <c r="E4308">
        <v>2018</v>
      </c>
    </row>
    <row r="4309" spans="1:5" hidden="1" x14ac:dyDescent="0.25">
      <c r="A4309" t="str">
        <f>_xlfn.XLOOKUP(C4309, 'Códigos DANE Municipios'!$B$2:$B$1123, 'Códigos DANE Municipios'!$A$2:$A$1123, "No encontrado")</f>
        <v>15837</v>
      </c>
      <c r="B4309" t="str">
        <f>IFERROR(VLOOKUP(D4309,APOYO!K:L,2,FALSE),A4309)</f>
        <v>15837</v>
      </c>
      <c r="C4309" t="s">
        <v>632</v>
      </c>
      <c r="D4309" t="str">
        <f>IFERROR(VLOOKUP(C4309,APOYO!J:K,2,FALSE),C4309)</f>
        <v>TUTA</v>
      </c>
      <c r="E4309">
        <v>2018</v>
      </c>
    </row>
    <row r="4310" spans="1:5" hidden="1" x14ac:dyDescent="0.25">
      <c r="A4310" t="str">
        <f>_xlfn.XLOOKUP(C4310, 'Códigos DANE Municipios'!$B$2:$B$1123, 'Códigos DANE Municipios'!$A$2:$A$1123, "No encontrado")</f>
        <v>25839</v>
      </c>
      <c r="B4310" t="str">
        <f>IFERROR(VLOOKUP(D4310,APOYO!K:L,2,FALSE),A4310)</f>
        <v>25839</v>
      </c>
      <c r="C4310" t="s">
        <v>1114</v>
      </c>
      <c r="D4310" t="str">
        <f>IFERROR(VLOOKUP(C4310,APOYO!J:K,2,FALSE),C4310)</f>
        <v>UBALÁ</v>
      </c>
      <c r="E4310">
        <v>2018</v>
      </c>
    </row>
    <row r="4311" spans="1:5" hidden="1" x14ac:dyDescent="0.25">
      <c r="A4311" t="str">
        <f>_xlfn.XLOOKUP(C4311, 'Códigos DANE Municipios'!$B$2:$B$1123, 'Códigos DANE Municipios'!$A$2:$A$1123, "No encontrado")</f>
        <v>25841</v>
      </c>
      <c r="B4311" t="str">
        <f>IFERROR(VLOOKUP(D4311,APOYO!K:L,2,FALSE),A4311)</f>
        <v>25841</v>
      </c>
      <c r="C4311" t="s">
        <v>1116</v>
      </c>
      <c r="D4311" t="str">
        <f>IFERROR(VLOOKUP(C4311,APOYO!J:K,2,FALSE),C4311)</f>
        <v>UBAQUE</v>
      </c>
      <c r="E4311">
        <v>2018</v>
      </c>
    </row>
    <row r="4312" spans="1:5" hidden="1" x14ac:dyDescent="0.25">
      <c r="A4312" t="str">
        <f>_xlfn.XLOOKUP(C4312, 'Códigos DANE Municipios'!$B$2:$B$1123, 'Códigos DANE Municipios'!$A$2:$A$1123, "No encontrado")</f>
        <v>25843</v>
      </c>
      <c r="B4312" t="str">
        <f>IFERROR(VLOOKUP(D4312,APOYO!K:L,2,FALSE),A4312)</f>
        <v>25843</v>
      </c>
      <c r="C4312" t="s">
        <v>1118</v>
      </c>
      <c r="D4312" t="str">
        <f>IFERROR(VLOOKUP(C4312,APOYO!J:K,2,FALSE),C4312)</f>
        <v>VILLA DE SAN DIEGO DE UBATÉ</v>
      </c>
      <c r="E4312">
        <v>2018</v>
      </c>
    </row>
    <row r="4313" spans="1:5" hidden="1" x14ac:dyDescent="0.25">
      <c r="A4313" t="str">
        <f>_xlfn.XLOOKUP(C4313, 'Códigos DANE Municipios'!$B$2:$B$1123, 'Códigos DANE Municipios'!$A$2:$A$1123, "No encontrado")</f>
        <v>76845</v>
      </c>
      <c r="B4313" t="str">
        <f>IFERROR(VLOOKUP(D4313,APOYO!K:L,2,FALSE),A4313)</f>
        <v>76845</v>
      </c>
      <c r="C4313" t="s">
        <v>2022</v>
      </c>
      <c r="D4313" t="str">
        <f>IFERROR(VLOOKUP(C4313,APOYO!J:K,2,FALSE),C4313)</f>
        <v>ULLOA</v>
      </c>
      <c r="E4313">
        <v>2018</v>
      </c>
    </row>
    <row r="4314" spans="1:5" hidden="1" x14ac:dyDescent="0.25">
      <c r="A4314" t="str">
        <f>_xlfn.XLOOKUP(C4314, 'Códigos DANE Municipios'!$B$2:$B$1123, 'Códigos DANE Municipios'!$A$2:$A$1123, "No encontrado")</f>
        <v>15842</v>
      </c>
      <c r="B4314" t="str">
        <f>IFERROR(VLOOKUP(D4314,APOYO!K:L,2,FALSE),A4314)</f>
        <v>15842</v>
      </c>
      <c r="C4314" t="s">
        <v>636</v>
      </c>
      <c r="D4314" t="str">
        <f>IFERROR(VLOOKUP(C4314,APOYO!J:K,2,FALSE),C4314)</f>
        <v>ÚMBITA</v>
      </c>
      <c r="E4314">
        <v>2018</v>
      </c>
    </row>
    <row r="4315" spans="1:5" hidden="1" x14ac:dyDescent="0.25">
      <c r="A4315" t="str">
        <f>_xlfn.XLOOKUP(C4315, 'Códigos DANE Municipios'!$B$2:$B$1123, 'Códigos DANE Municipios'!$A$2:$A$1123, "No encontrado")</f>
        <v>25845</v>
      </c>
      <c r="B4315" t="str">
        <f>IFERROR(VLOOKUP(D4315,APOYO!K:L,2,FALSE),A4315)</f>
        <v>25845</v>
      </c>
      <c r="C4315" t="s">
        <v>1120</v>
      </c>
      <c r="D4315" t="str">
        <f>IFERROR(VLOOKUP(C4315,APOYO!J:K,2,FALSE),C4315)</f>
        <v>UNE</v>
      </c>
      <c r="E4315">
        <v>2018</v>
      </c>
    </row>
    <row r="4316" spans="1:5" hidden="1" x14ac:dyDescent="0.25">
      <c r="A4316" t="str">
        <f>_xlfn.XLOOKUP(C4316, 'Códigos DANE Municipios'!$B$2:$B$1123, 'Códigos DANE Municipios'!$A$2:$A$1123, "No encontrado")</f>
        <v>27800</v>
      </c>
      <c r="B4316" t="str">
        <f>IFERROR(VLOOKUP(D4316,APOYO!K:L,2,FALSE),A4316)</f>
        <v>27800</v>
      </c>
      <c r="C4316" t="s">
        <v>1197</v>
      </c>
      <c r="D4316" t="str">
        <f>IFERROR(VLOOKUP(C4316,APOYO!J:K,2,FALSE),C4316)</f>
        <v>UNGUÍA</v>
      </c>
      <c r="E4316">
        <v>2018</v>
      </c>
    </row>
    <row r="4317" spans="1:5" hidden="1" x14ac:dyDescent="0.25">
      <c r="A4317" t="str">
        <f>_xlfn.XLOOKUP(C4317, 'Códigos DANE Municipios'!$B$2:$B$1123, 'Códigos DANE Municipios'!$A$2:$A$1123, "No encontrado")</f>
        <v>44847</v>
      </c>
      <c r="B4317" t="str">
        <f>IFERROR(VLOOKUP(D4317,APOYO!K:L,2,FALSE),A4317)</f>
        <v>44847</v>
      </c>
      <c r="C4317" t="s">
        <v>1295</v>
      </c>
      <c r="D4317" t="str">
        <f>IFERROR(VLOOKUP(C4317,APOYO!J:K,2,FALSE),C4317)</f>
        <v>URIBIA</v>
      </c>
      <c r="E4317">
        <v>2018</v>
      </c>
    </row>
    <row r="4318" spans="1:5" hidden="1" x14ac:dyDescent="0.25">
      <c r="A4318" t="str">
        <f>_xlfn.XLOOKUP(C4318, 'Códigos DANE Municipios'!$B$2:$B$1123, 'Códigos DANE Municipios'!$A$2:$A$1123, "No encontrado")</f>
        <v>05847</v>
      </c>
      <c r="B4318" t="str">
        <f>IFERROR(VLOOKUP(D4318,APOYO!K:L,2,FALSE),A4318)</f>
        <v>05847</v>
      </c>
      <c r="C4318" t="s">
        <v>240</v>
      </c>
      <c r="D4318" t="str">
        <f>IFERROR(VLOOKUP(C4318,APOYO!J:K,2,FALSE),C4318)</f>
        <v>URRAO</v>
      </c>
      <c r="E4318">
        <v>2018</v>
      </c>
    </row>
    <row r="4319" spans="1:5" hidden="1" x14ac:dyDescent="0.25">
      <c r="A4319" t="str">
        <f>_xlfn.XLOOKUP(C4319, 'Códigos DANE Municipios'!$B$2:$B$1123, 'Códigos DANE Municipios'!$A$2:$A$1123, "No encontrado")</f>
        <v>44855</v>
      </c>
      <c r="B4319" t="str">
        <f>IFERROR(VLOOKUP(D4319,APOYO!K:L,2,FALSE),A4319)</f>
        <v>44855</v>
      </c>
      <c r="C4319" t="s">
        <v>1297</v>
      </c>
      <c r="D4319" t="str">
        <f>IFERROR(VLOOKUP(C4319,APOYO!J:K,2,FALSE),C4319)</f>
        <v>URUMITA</v>
      </c>
      <c r="E4319">
        <v>2018</v>
      </c>
    </row>
    <row r="4320" spans="1:5" hidden="1" x14ac:dyDescent="0.25">
      <c r="A4320" t="str">
        <f>_xlfn.XLOOKUP(C4320, 'Códigos DANE Municipios'!$B$2:$B$1123, 'Códigos DANE Municipios'!$A$2:$A$1123, "No encontrado")</f>
        <v>08849</v>
      </c>
      <c r="B4320" t="str">
        <f>IFERROR(VLOOKUP(D4320,APOYO!K:L,2,FALSE),A4320)</f>
        <v>08849</v>
      </c>
      <c r="C4320" t="s">
        <v>305</v>
      </c>
      <c r="D4320" t="str">
        <f>IFERROR(VLOOKUP(C4320,APOYO!J:K,2,FALSE),C4320)</f>
        <v>USIACURÍ</v>
      </c>
      <c r="E4320">
        <v>2018</v>
      </c>
    </row>
    <row r="4321" spans="1:5" hidden="1" x14ac:dyDescent="0.25">
      <c r="A4321" t="str">
        <f>_xlfn.XLOOKUP(C4321, 'Códigos DANE Municipios'!$B$2:$B$1123, 'Códigos DANE Municipios'!$A$2:$A$1123, "No encontrado")</f>
        <v>25851</v>
      </c>
      <c r="B4321" t="str">
        <f>IFERROR(VLOOKUP(D4321,APOYO!K:L,2,FALSE),A4321)</f>
        <v>25851</v>
      </c>
      <c r="C4321" t="s">
        <v>1122</v>
      </c>
      <c r="D4321" t="str">
        <f>IFERROR(VLOOKUP(C4321,APOYO!J:K,2,FALSE),C4321)</f>
        <v>ÚTICA</v>
      </c>
      <c r="E4321">
        <v>2018</v>
      </c>
    </row>
    <row r="4322" spans="1:5" hidden="1" x14ac:dyDescent="0.25">
      <c r="A4322" t="str">
        <f>_xlfn.XLOOKUP(C4322, 'Códigos DANE Municipios'!$B$2:$B$1123, 'Códigos DANE Municipios'!$A$2:$A$1123, "No encontrado")</f>
        <v>23855</v>
      </c>
      <c r="B4322" t="str">
        <f>IFERROR(VLOOKUP(D4322,APOYO!K:L,2,FALSE),A4322)</f>
        <v>23855</v>
      </c>
      <c r="C4322" t="s">
        <v>914</v>
      </c>
      <c r="D4322" t="str">
        <f>IFERROR(VLOOKUP(C4322,APOYO!J:K,2,FALSE),C4322)</f>
        <v>VALENCIA</v>
      </c>
      <c r="E4322">
        <v>2018</v>
      </c>
    </row>
    <row r="4323" spans="1:5" hidden="1" x14ac:dyDescent="0.25">
      <c r="A4323" t="str">
        <f>_xlfn.XLOOKUP(C4323, 'Códigos DANE Municipios'!$B$2:$B$1123, 'Códigos DANE Municipios'!$A$2:$A$1123, "No encontrado")</f>
        <v>68855</v>
      </c>
      <c r="B4323" t="str">
        <f>IFERROR(VLOOKUP(D4323,APOYO!K:L,2,FALSE),A4323)</f>
        <v>68855</v>
      </c>
      <c r="C4323" t="s">
        <v>1807</v>
      </c>
      <c r="D4323" t="str">
        <f>IFERROR(VLOOKUP(C4323,APOYO!J:K,2,FALSE),C4323)</f>
        <v>VALLE DE SAN JOSÉ</v>
      </c>
      <c r="E4323">
        <v>2018</v>
      </c>
    </row>
    <row r="4324" spans="1:5" hidden="1" x14ac:dyDescent="0.25">
      <c r="A4324" t="str">
        <f>_xlfn.XLOOKUP(C4324, 'Códigos DANE Municipios'!$B$2:$B$1123, 'Códigos DANE Municipios'!$A$2:$A$1123, "No encontrado")</f>
        <v>20001</v>
      </c>
      <c r="B4324" t="str">
        <f>IFERROR(VLOOKUP(D4324,APOYO!K:L,2,FALSE),A4324)</f>
        <v>20001</v>
      </c>
      <c r="C4324" t="s">
        <v>808</v>
      </c>
      <c r="D4324" t="str">
        <f>IFERROR(VLOOKUP(C4324,APOYO!J:K,2,FALSE),C4324)</f>
        <v>VALLEDUPAR</v>
      </c>
      <c r="E4324">
        <v>2018</v>
      </c>
    </row>
    <row r="4325" spans="1:5" hidden="1" x14ac:dyDescent="0.25">
      <c r="A4325" t="str">
        <f>_xlfn.XLOOKUP(C4325, 'Códigos DANE Municipios'!$B$2:$B$1123, 'Códigos DANE Municipios'!$A$2:$A$1123, "No encontrado")</f>
        <v>68861</v>
      </c>
      <c r="B4325" t="str">
        <f>IFERROR(VLOOKUP(D4325,APOYO!K:L,2,FALSE),A4325)</f>
        <v>68861</v>
      </c>
      <c r="C4325" t="s">
        <v>1809</v>
      </c>
      <c r="D4325" t="str">
        <f>IFERROR(VLOOKUP(C4325,APOYO!J:K,2,FALSE),C4325)</f>
        <v>VÉLEZ</v>
      </c>
      <c r="E4325">
        <v>2018</v>
      </c>
    </row>
    <row r="4326" spans="1:5" hidden="1" x14ac:dyDescent="0.25">
      <c r="A4326" t="str">
        <f>_xlfn.XLOOKUP(C4326, 'Códigos DANE Municipios'!$B$2:$B$1123, 'Códigos DANE Municipios'!$A$2:$A$1123, "No encontrado")</f>
        <v>73861</v>
      </c>
      <c r="B4326" t="str">
        <f>IFERROR(VLOOKUP(D4326,APOYO!K:L,2,FALSE),A4326)</f>
        <v>73861</v>
      </c>
      <c r="C4326" t="s">
        <v>1951</v>
      </c>
      <c r="D4326" t="str">
        <f>IFERROR(VLOOKUP(C4326,APOYO!J:K,2,FALSE),C4326)</f>
        <v>VENADILLO</v>
      </c>
      <c r="E4326">
        <v>2018</v>
      </c>
    </row>
    <row r="4327" spans="1:5" hidden="1" x14ac:dyDescent="0.25">
      <c r="A4327" t="str">
        <f>_xlfn.XLOOKUP(C4327, 'Códigos DANE Municipios'!$B$2:$B$1123, 'Códigos DANE Municipios'!$A$2:$A$1123, "No encontrado")</f>
        <v>05861</v>
      </c>
      <c r="B4327" t="str">
        <f>IFERROR(VLOOKUP(D4327,APOYO!K:L,2,FALSE),A4327)</f>
        <v>05861</v>
      </c>
      <c r="C4327" t="s">
        <v>248</v>
      </c>
      <c r="D4327" t="str">
        <f>IFERROR(VLOOKUP(C4327,APOYO!J:K,2,FALSE),C4327)</f>
        <v>VENECIA</v>
      </c>
      <c r="E4327">
        <v>2018</v>
      </c>
    </row>
    <row r="4328" spans="1:5" hidden="1" x14ac:dyDescent="0.25">
      <c r="A4328" t="str">
        <f>_xlfn.XLOOKUP(C4328, 'Códigos DANE Municipios'!$B$2:$B$1123, 'Códigos DANE Municipios'!$A$2:$A$1123, "No encontrado")</f>
        <v>15861</v>
      </c>
      <c r="B4328" t="str">
        <f>IFERROR(VLOOKUP(D4328,APOYO!K:L,2,FALSE),A4328)</f>
        <v>15861</v>
      </c>
      <c r="C4328" t="s">
        <v>638</v>
      </c>
      <c r="D4328" t="str">
        <f>IFERROR(VLOOKUP(C4328,APOYO!J:K,2,FALSE),C4328)</f>
        <v>VENTAQUEMADA</v>
      </c>
      <c r="E4328">
        <v>2018</v>
      </c>
    </row>
    <row r="4329" spans="1:5" hidden="1" x14ac:dyDescent="0.25">
      <c r="A4329" t="str">
        <f>_xlfn.XLOOKUP(C4329, 'Códigos DANE Municipios'!$B$2:$B$1123, 'Códigos DANE Municipios'!$A$2:$A$1123, "No encontrado")</f>
        <v>76863</v>
      </c>
      <c r="B4329" t="str">
        <f>IFERROR(VLOOKUP(D4329,APOYO!K:L,2,FALSE),A4329)</f>
        <v>76863</v>
      </c>
      <c r="C4329" t="s">
        <v>2024</v>
      </c>
      <c r="D4329" t="str">
        <f>IFERROR(VLOOKUP(C4329,APOYO!J:K,2,FALSE),C4329)</f>
        <v>VERSALLES</v>
      </c>
      <c r="E4329">
        <v>2018</v>
      </c>
    </row>
    <row r="4330" spans="1:5" hidden="1" x14ac:dyDescent="0.25">
      <c r="A4330" t="str">
        <f>_xlfn.XLOOKUP(C4330, 'Códigos DANE Municipios'!$B$2:$B$1123, 'Códigos DANE Municipios'!$A$2:$A$1123, "No encontrado")</f>
        <v>25867</v>
      </c>
      <c r="B4330" t="str">
        <f>IFERROR(VLOOKUP(D4330,APOYO!K:L,2,FALSE),A4330)</f>
        <v>25867</v>
      </c>
      <c r="C4330" t="s">
        <v>1126</v>
      </c>
      <c r="D4330" t="str">
        <f>IFERROR(VLOOKUP(C4330,APOYO!J:K,2,FALSE),C4330)</f>
        <v>VIANÍ</v>
      </c>
      <c r="E4330">
        <v>2018</v>
      </c>
    </row>
    <row r="4331" spans="1:5" hidden="1" x14ac:dyDescent="0.25">
      <c r="A4331" t="str">
        <f>_xlfn.XLOOKUP(C4331, 'Códigos DANE Municipios'!$B$2:$B$1123, 'Códigos DANE Municipios'!$A$2:$A$1123, "No encontrado")</f>
        <v>17867</v>
      </c>
      <c r="B4331" t="str">
        <f>IFERROR(VLOOKUP(D4331,APOYO!K:L,2,FALSE),A4331)</f>
        <v>17867</v>
      </c>
      <c r="C4331" t="s">
        <v>692</v>
      </c>
      <c r="D4331" t="str">
        <f>IFERROR(VLOOKUP(C4331,APOYO!J:K,2,FALSE),C4331)</f>
        <v>VICTORIA</v>
      </c>
      <c r="E4331">
        <v>2018</v>
      </c>
    </row>
    <row r="4332" spans="1:5" hidden="1" x14ac:dyDescent="0.25">
      <c r="A4332" t="str">
        <f>_xlfn.XLOOKUP(C4332, 'Códigos DANE Municipios'!$B$2:$B$1123, 'Códigos DANE Municipios'!$A$2:$A$1123, "No encontrado")</f>
        <v>76869</v>
      </c>
      <c r="B4332" t="str">
        <f>IFERROR(VLOOKUP(D4332,APOYO!K:L,2,FALSE),A4332)</f>
        <v>76869</v>
      </c>
      <c r="C4332" t="s">
        <v>2026</v>
      </c>
      <c r="D4332" t="str">
        <f>IFERROR(VLOOKUP(C4332,APOYO!J:K,2,FALSE),C4332)</f>
        <v>VIJES</v>
      </c>
      <c r="E4332">
        <v>2018</v>
      </c>
    </row>
    <row r="4333" spans="1:5" hidden="1" x14ac:dyDescent="0.25">
      <c r="A4333" t="str">
        <f>_xlfn.XLOOKUP(C4333, 'Códigos DANE Municipios'!$B$2:$B$1123, 'Códigos DANE Municipios'!$A$2:$A$1123, "No encontrado")</f>
        <v>15407</v>
      </c>
      <c r="B4333" t="str">
        <f>IFERROR(VLOOKUP(D4333,APOYO!K:L,2,FALSE),A4333)</f>
        <v>15407</v>
      </c>
      <c r="C4333" t="s">
        <v>498</v>
      </c>
      <c r="D4333" t="str">
        <f>IFERROR(VLOOKUP(C4333,APOYO!J:K,2,FALSE),C4333)</f>
        <v>VILLA DE LEYVA</v>
      </c>
      <c r="E4333">
        <v>2018</v>
      </c>
    </row>
    <row r="4334" spans="1:5" hidden="1" x14ac:dyDescent="0.25">
      <c r="A4334" t="str">
        <f>_xlfn.XLOOKUP(C4334, 'Códigos DANE Municipios'!$B$2:$B$1123, 'Códigos DANE Municipios'!$A$2:$A$1123, "No encontrado")</f>
        <v>19845</v>
      </c>
      <c r="B4334" t="str">
        <f>IFERROR(VLOOKUP(D4334,APOYO!K:L,2,FALSE),A4334)</f>
        <v>19845</v>
      </c>
      <c r="C4334" t="s">
        <v>806</v>
      </c>
      <c r="D4334" t="str">
        <f>IFERROR(VLOOKUP(C4334,APOYO!J:K,2,FALSE),C4334)</f>
        <v>VILLA RICA</v>
      </c>
      <c r="E4334">
        <v>2018</v>
      </c>
    </row>
    <row r="4335" spans="1:5" hidden="1" x14ac:dyDescent="0.25">
      <c r="A4335" t="str">
        <f>_xlfn.XLOOKUP(C4335, 'Códigos DANE Municipios'!$B$2:$B$1123, 'Códigos DANE Municipios'!$A$2:$A$1123, "No encontrado")</f>
        <v>54874</v>
      </c>
      <c r="B4335" t="str">
        <f>IFERROR(VLOOKUP(D4335,APOYO!K:L,2,FALSE),A4335)</f>
        <v>54874</v>
      </c>
      <c r="C4335" t="s">
        <v>1605</v>
      </c>
      <c r="D4335" t="str">
        <f>IFERROR(VLOOKUP(C4335,APOYO!J:K,2,FALSE),C4335)</f>
        <v>VILLA DEL ROSARIO</v>
      </c>
      <c r="E4335">
        <v>2018</v>
      </c>
    </row>
    <row r="4336" spans="1:5" hidden="1" x14ac:dyDescent="0.25">
      <c r="A4336" t="str">
        <f>_xlfn.XLOOKUP(C4336, 'Códigos DANE Municipios'!$B$2:$B$1123, 'Códigos DANE Municipios'!$A$2:$A$1123, "No encontrado")</f>
        <v>86885</v>
      </c>
      <c r="B4336" t="str">
        <f>IFERROR(VLOOKUP(D4336,APOYO!K:L,2,FALSE),A4336)</f>
        <v>86885</v>
      </c>
      <c r="C4336" t="s">
        <v>2104</v>
      </c>
      <c r="D4336" t="str">
        <f>IFERROR(VLOOKUP(C4336,APOYO!J:K,2,FALSE),C4336)</f>
        <v>VILLAGARZÓN</v>
      </c>
      <c r="E4336">
        <v>2018</v>
      </c>
    </row>
    <row r="4337" spans="1:5" hidden="1" x14ac:dyDescent="0.25">
      <c r="A4337" t="str">
        <f>_xlfn.XLOOKUP(C4337, 'Códigos DANE Municipios'!$B$2:$B$1123, 'Códigos DANE Municipios'!$A$2:$A$1123, "No encontrado")</f>
        <v>17873</v>
      </c>
      <c r="B4337" t="str">
        <f>IFERROR(VLOOKUP(D4337,APOYO!K:L,2,FALSE),A4337)</f>
        <v>17873</v>
      </c>
      <c r="C4337" t="s">
        <v>694</v>
      </c>
      <c r="D4337" t="str">
        <f>IFERROR(VLOOKUP(C4337,APOYO!J:K,2,FALSE),C4337)</f>
        <v>VILLAMARÍA</v>
      </c>
      <c r="E4337">
        <v>2018</v>
      </c>
    </row>
    <row r="4338" spans="1:5" hidden="1" x14ac:dyDescent="0.25">
      <c r="A4338" t="str">
        <f>_xlfn.XLOOKUP(C4338, 'Códigos DANE Municipios'!$B$2:$B$1123, 'Códigos DANE Municipios'!$A$2:$A$1123, "No encontrado")</f>
        <v>13873</v>
      </c>
      <c r="B4338" t="str">
        <f>IFERROR(VLOOKUP(D4338,APOYO!K:L,2,FALSE),A4338)</f>
        <v>13873</v>
      </c>
      <c r="C4338" t="s">
        <v>397</v>
      </c>
      <c r="D4338" t="str">
        <f>IFERROR(VLOOKUP(C4338,APOYO!J:K,2,FALSE),C4338)</f>
        <v>VILLANUEVA</v>
      </c>
      <c r="E4338">
        <v>2018</v>
      </c>
    </row>
    <row r="4339" spans="1:5" hidden="1" x14ac:dyDescent="0.25">
      <c r="A4339" t="str">
        <f>_xlfn.XLOOKUP(C4339, 'Códigos DANE Municipios'!$B$2:$B$1123, 'Códigos DANE Municipios'!$A$2:$A$1123, "No encontrado")</f>
        <v>25873</v>
      </c>
      <c r="B4339" t="str">
        <f>IFERROR(VLOOKUP(D4339,APOYO!K:L,2,FALSE),A4339)</f>
        <v>25873</v>
      </c>
      <c r="C4339" t="s">
        <v>1130</v>
      </c>
      <c r="D4339" t="str">
        <f>IFERROR(VLOOKUP(C4339,APOYO!J:K,2,FALSE),C4339)</f>
        <v>VILLAPINZÓN</v>
      </c>
      <c r="E4339">
        <v>2018</v>
      </c>
    </row>
    <row r="4340" spans="1:5" hidden="1" x14ac:dyDescent="0.25">
      <c r="A4340" t="str">
        <f>_xlfn.XLOOKUP(C4340, 'Códigos DANE Municipios'!$B$2:$B$1123, 'Códigos DANE Municipios'!$A$2:$A$1123, "No encontrado")</f>
        <v>50001</v>
      </c>
      <c r="B4340" t="str">
        <f>IFERROR(VLOOKUP(D4340,APOYO!K:L,2,FALSE),A4340)</f>
        <v>50001</v>
      </c>
      <c r="C4340" t="s">
        <v>1358</v>
      </c>
      <c r="D4340" t="str">
        <f>IFERROR(VLOOKUP(C4340,APOYO!J:K,2,FALSE),C4340)</f>
        <v>VILLAVICENCIO</v>
      </c>
      <c r="E4340">
        <v>2018</v>
      </c>
    </row>
    <row r="4341" spans="1:5" hidden="1" x14ac:dyDescent="0.25">
      <c r="A4341" t="str">
        <f>_xlfn.XLOOKUP(C4341, 'Códigos DANE Municipios'!$B$2:$B$1123, 'Códigos DANE Municipios'!$A$2:$A$1123, "No encontrado")</f>
        <v>41872</v>
      </c>
      <c r="B4341" t="str">
        <f>IFERROR(VLOOKUP(D4341,APOYO!K:L,2,FALSE),A4341)</f>
        <v>41872</v>
      </c>
      <c r="C4341" t="s">
        <v>1268</v>
      </c>
      <c r="D4341" t="str">
        <f>IFERROR(VLOOKUP(C4341,APOYO!J:K,2,FALSE),C4341)</f>
        <v>VILLAVIEJA</v>
      </c>
      <c r="E4341">
        <v>2018</v>
      </c>
    </row>
    <row r="4342" spans="1:5" hidden="1" x14ac:dyDescent="0.25">
      <c r="A4342" t="str">
        <f>_xlfn.XLOOKUP(C4342, 'Códigos DANE Municipios'!$B$2:$B$1123, 'Códigos DANE Municipios'!$A$2:$A$1123, "No encontrado")</f>
        <v>25875</v>
      </c>
      <c r="B4342" t="str">
        <f>IFERROR(VLOOKUP(D4342,APOYO!K:L,2,FALSE),A4342)</f>
        <v>25875</v>
      </c>
      <c r="C4342" t="s">
        <v>1132</v>
      </c>
      <c r="D4342" t="str">
        <f>IFERROR(VLOOKUP(C4342,APOYO!J:K,2,FALSE),C4342)</f>
        <v>VILLETA</v>
      </c>
      <c r="E4342">
        <v>2018</v>
      </c>
    </row>
    <row r="4343" spans="1:5" hidden="1" x14ac:dyDescent="0.25">
      <c r="A4343" t="str">
        <f>_xlfn.XLOOKUP(C4343, 'Códigos DANE Municipios'!$B$2:$B$1123, 'Códigos DANE Municipios'!$A$2:$A$1123, "No encontrado")</f>
        <v>25878</v>
      </c>
      <c r="B4343" t="str">
        <f>IFERROR(VLOOKUP(D4343,APOYO!K:L,2,FALSE),A4343)</f>
        <v>25878</v>
      </c>
      <c r="C4343" t="s">
        <v>1134</v>
      </c>
      <c r="D4343" t="str">
        <f>IFERROR(VLOOKUP(C4343,APOYO!J:K,2,FALSE),C4343)</f>
        <v>VIOTÁ</v>
      </c>
      <c r="E4343">
        <v>2018</v>
      </c>
    </row>
    <row r="4344" spans="1:5" hidden="1" x14ac:dyDescent="0.25">
      <c r="A4344" t="str">
        <f>_xlfn.XLOOKUP(C4344, 'Códigos DANE Municipios'!$B$2:$B$1123, 'Códigos DANE Municipios'!$A$2:$A$1123, "No encontrado")</f>
        <v>15879</v>
      </c>
      <c r="B4344" t="str">
        <f>IFERROR(VLOOKUP(D4344,APOYO!K:L,2,FALSE),A4344)</f>
        <v>15879</v>
      </c>
      <c r="C4344" t="s">
        <v>640</v>
      </c>
      <c r="D4344" t="str">
        <f>IFERROR(VLOOKUP(C4344,APOYO!J:K,2,FALSE),C4344)</f>
        <v>VIRACACHÁ</v>
      </c>
      <c r="E4344">
        <v>2018</v>
      </c>
    </row>
    <row r="4345" spans="1:5" hidden="1" x14ac:dyDescent="0.25">
      <c r="A4345" t="str">
        <f>_xlfn.XLOOKUP(C4345, 'Códigos DANE Municipios'!$B$2:$B$1123, 'Códigos DANE Municipios'!$A$2:$A$1123, "No encontrado")</f>
        <v>50711</v>
      </c>
      <c r="B4345" t="str">
        <f>IFERROR(VLOOKUP(D4345,APOYO!K:L,2,FALSE),A4345)</f>
        <v>50711</v>
      </c>
      <c r="C4345" t="s">
        <v>1410</v>
      </c>
      <c r="D4345" t="str">
        <f>IFERROR(VLOOKUP(C4345,APOYO!J:K,2,FALSE),C4345)</f>
        <v>VISTAHERMOSA</v>
      </c>
      <c r="E4345">
        <v>2018</v>
      </c>
    </row>
    <row r="4346" spans="1:5" hidden="1" x14ac:dyDescent="0.25">
      <c r="A4346" t="str">
        <f>_xlfn.XLOOKUP(C4346, 'Códigos DANE Municipios'!$B$2:$B$1123, 'Códigos DANE Municipios'!$A$2:$A$1123, "No encontrado")</f>
        <v>17877</v>
      </c>
      <c r="B4346" t="str">
        <f>IFERROR(VLOOKUP(D4346,APOYO!K:L,2,FALSE),A4346)</f>
        <v>17877</v>
      </c>
      <c r="C4346" t="s">
        <v>696</v>
      </c>
      <c r="D4346" t="str">
        <f>IFERROR(VLOOKUP(C4346,APOYO!J:K,2,FALSE),C4346)</f>
        <v>VITERBO</v>
      </c>
      <c r="E4346">
        <v>2018</v>
      </c>
    </row>
    <row r="4347" spans="1:5" hidden="1" x14ac:dyDescent="0.25">
      <c r="A4347" t="str">
        <f>_xlfn.XLOOKUP(C4347, 'Códigos DANE Municipios'!$B$2:$B$1123, 'Códigos DANE Municipios'!$A$2:$A$1123, "No encontrado")</f>
        <v>41885</v>
      </c>
      <c r="B4347" t="str">
        <f>IFERROR(VLOOKUP(D4347,APOYO!K:L,2,FALSE),A4347)</f>
        <v>41885</v>
      </c>
      <c r="C4347" t="s">
        <v>1270</v>
      </c>
      <c r="D4347" t="str">
        <f>IFERROR(VLOOKUP(C4347,APOYO!J:K,2,FALSE),C4347)</f>
        <v>YAGUARÁ</v>
      </c>
      <c r="E4347">
        <v>2018</v>
      </c>
    </row>
    <row r="4348" spans="1:5" hidden="1" x14ac:dyDescent="0.25">
      <c r="A4348" t="str">
        <f>_xlfn.XLOOKUP(C4348, 'Códigos DANE Municipios'!$B$2:$B$1123, 'Códigos DANE Municipios'!$A$2:$A$1123, "No encontrado")</f>
        <v>05887</v>
      </c>
      <c r="B4348" t="str">
        <f>IFERROR(VLOOKUP(D4348,APOYO!K:L,2,FALSE),A4348)</f>
        <v>05887</v>
      </c>
      <c r="C4348" t="s">
        <v>254</v>
      </c>
      <c r="D4348" t="str">
        <f>IFERROR(VLOOKUP(C4348,APOYO!J:K,2,FALSE),C4348)</f>
        <v>YARUMAL</v>
      </c>
      <c r="E4348">
        <v>2018</v>
      </c>
    </row>
    <row r="4349" spans="1:5" hidden="1" x14ac:dyDescent="0.25">
      <c r="A4349" t="str">
        <f>_xlfn.XLOOKUP(C4349, 'Códigos DANE Municipios'!$B$2:$B$1123, 'Códigos DANE Municipios'!$A$2:$A$1123, "No encontrado")</f>
        <v>05890</v>
      </c>
      <c r="B4349" t="str">
        <f>IFERROR(VLOOKUP(D4349,APOYO!K:L,2,FALSE),A4349)</f>
        <v>05890</v>
      </c>
      <c r="C4349" t="s">
        <v>256</v>
      </c>
      <c r="D4349" t="str">
        <f>IFERROR(VLOOKUP(C4349,APOYO!J:K,2,FALSE),C4349)</f>
        <v>YOLOMBÓ</v>
      </c>
      <c r="E4349">
        <v>2018</v>
      </c>
    </row>
    <row r="4350" spans="1:5" hidden="1" x14ac:dyDescent="0.25">
      <c r="A4350" t="str">
        <f>_xlfn.XLOOKUP(C4350, 'Códigos DANE Municipios'!$B$2:$B$1123, 'Códigos DANE Municipios'!$A$2:$A$1123, "No encontrado")</f>
        <v>05893</v>
      </c>
      <c r="B4350" t="str">
        <f>IFERROR(VLOOKUP(D4350,APOYO!K:L,2,FALSE),A4350)</f>
        <v>05893</v>
      </c>
      <c r="C4350" t="s">
        <v>258</v>
      </c>
      <c r="D4350" t="str">
        <f>IFERROR(VLOOKUP(C4350,APOYO!J:K,2,FALSE),C4350)</f>
        <v>YONDÓ</v>
      </c>
      <c r="E4350">
        <v>2018</v>
      </c>
    </row>
    <row r="4351" spans="1:5" hidden="1" x14ac:dyDescent="0.25">
      <c r="A4351" t="str">
        <f>_xlfn.XLOOKUP(C4351, 'Códigos DANE Municipios'!$B$2:$B$1123, 'Códigos DANE Municipios'!$A$2:$A$1123, "No encontrado")</f>
        <v>85001</v>
      </c>
      <c r="B4351" t="str">
        <f>IFERROR(VLOOKUP(D4351,APOYO!K:L,2,FALSE),A4351)</f>
        <v>85001</v>
      </c>
      <c r="C4351" t="s">
        <v>2048</v>
      </c>
      <c r="D4351" t="str">
        <f>IFERROR(VLOOKUP(C4351,APOYO!J:K,2,FALSE),C4351)</f>
        <v>YOPAL</v>
      </c>
      <c r="E4351">
        <v>2018</v>
      </c>
    </row>
    <row r="4352" spans="1:5" hidden="1" x14ac:dyDescent="0.25">
      <c r="A4352" t="str">
        <f>_xlfn.XLOOKUP(C4352, 'Códigos DANE Municipios'!$B$2:$B$1123, 'Códigos DANE Municipios'!$A$2:$A$1123, "No encontrado")</f>
        <v>76890</v>
      </c>
      <c r="B4352" t="str">
        <f>IFERROR(VLOOKUP(D4352,APOYO!K:L,2,FALSE),A4352)</f>
        <v>76890</v>
      </c>
      <c r="C4352" t="s">
        <v>2028</v>
      </c>
      <c r="D4352" t="str">
        <f>IFERROR(VLOOKUP(C4352,APOYO!J:K,2,FALSE),C4352)</f>
        <v>YOTOCO</v>
      </c>
      <c r="E4352">
        <v>2018</v>
      </c>
    </row>
    <row r="4353" spans="1:11" hidden="1" x14ac:dyDescent="0.25">
      <c r="A4353" t="str">
        <f>_xlfn.XLOOKUP(C4353, 'Códigos DANE Municipios'!$B$2:$B$1123, 'Códigos DANE Municipios'!$A$2:$A$1123, "No encontrado")</f>
        <v>76892</v>
      </c>
      <c r="B4353" t="str">
        <f>IFERROR(VLOOKUP(D4353,APOYO!K:L,2,FALSE),A4353)</f>
        <v>76892</v>
      </c>
      <c r="C4353" t="s">
        <v>2030</v>
      </c>
      <c r="D4353" t="str">
        <f>IFERROR(VLOOKUP(C4353,APOYO!J:K,2,FALSE),C4353)</f>
        <v>YUMBO</v>
      </c>
      <c r="E4353">
        <v>2018</v>
      </c>
    </row>
    <row r="4354" spans="1:11" hidden="1" x14ac:dyDescent="0.25">
      <c r="A4354" t="str">
        <f>_xlfn.XLOOKUP(C4354, 'Códigos DANE Municipios'!$B$2:$B$1123, 'Códigos DANE Municipios'!$A$2:$A$1123, "No encontrado")</f>
        <v>68895</v>
      </c>
      <c r="B4354" t="str">
        <f>IFERROR(VLOOKUP(D4354,APOYO!K:L,2,FALSE),A4354)</f>
        <v>68895</v>
      </c>
      <c r="C4354" t="s">
        <v>1814</v>
      </c>
      <c r="D4354" t="str">
        <f>IFERROR(VLOOKUP(C4354,APOYO!J:K,2,FALSE),C4354)</f>
        <v>ZAPATOCA</v>
      </c>
      <c r="E4354">
        <v>2018</v>
      </c>
    </row>
    <row r="4355" spans="1:11" hidden="1" x14ac:dyDescent="0.25">
      <c r="A4355" t="str">
        <f>_xlfn.XLOOKUP(C4355, 'Códigos DANE Municipios'!$B$2:$B$1123, 'Códigos DANE Municipios'!$A$2:$A$1123, "No encontrado")</f>
        <v>05895</v>
      </c>
      <c r="B4355" t="str">
        <f>IFERROR(VLOOKUP(D4355,APOYO!K:L,2,FALSE),A4355)</f>
        <v>05895</v>
      </c>
      <c r="C4355" t="s">
        <v>260</v>
      </c>
      <c r="D4355" t="str">
        <f>IFERROR(VLOOKUP(C4355,APOYO!J:K,2,FALSE),C4355)</f>
        <v>ZARAGOZA</v>
      </c>
      <c r="E4355">
        <v>2018</v>
      </c>
    </row>
    <row r="4356" spans="1:11" hidden="1" x14ac:dyDescent="0.25">
      <c r="A4356" t="str">
        <f>_xlfn.XLOOKUP(C4356, 'Códigos DANE Municipios'!$B$2:$B$1123, 'Códigos DANE Municipios'!$A$2:$A$1123, "No encontrado")</f>
        <v>76895</v>
      </c>
      <c r="B4356" t="str">
        <f>IFERROR(VLOOKUP(D4356,APOYO!K:L,2,FALSE),A4356)</f>
        <v>76895</v>
      </c>
      <c r="C4356" t="s">
        <v>2032</v>
      </c>
      <c r="D4356" t="str">
        <f>IFERROR(VLOOKUP(C4356,APOYO!J:K,2,FALSE),C4356)</f>
        <v>ZARZAL</v>
      </c>
      <c r="E4356">
        <v>2018</v>
      </c>
    </row>
    <row r="4357" spans="1:11" hidden="1" x14ac:dyDescent="0.25">
      <c r="A4357" t="str">
        <f>_xlfn.XLOOKUP(C4357, 'Códigos DANE Municipios'!$B$2:$B$1123, 'Códigos DANE Municipios'!$A$2:$A$1123, "No encontrado")</f>
        <v>15897</v>
      </c>
      <c r="B4357" t="str">
        <f>IFERROR(VLOOKUP(D4357,APOYO!K:L,2,FALSE),A4357)</f>
        <v>15897</v>
      </c>
      <c r="C4357" t="s">
        <v>642</v>
      </c>
      <c r="D4357" t="str">
        <f>IFERROR(VLOOKUP(C4357,APOYO!J:K,2,FALSE),C4357)</f>
        <v>ZETAQUIRA</v>
      </c>
      <c r="E4357">
        <v>2018</v>
      </c>
    </row>
    <row r="4358" spans="1:11" hidden="1" x14ac:dyDescent="0.25">
      <c r="A4358" t="str">
        <f>_xlfn.XLOOKUP(C4358, 'Códigos DANE Municipios'!$B$2:$B$1123, 'Códigos DANE Municipios'!$A$2:$A$1123, "No encontrado")</f>
        <v>25898</v>
      </c>
      <c r="B4358" t="str">
        <f>IFERROR(VLOOKUP(D4358,APOYO!K:L,2,FALSE),A4358)</f>
        <v>25898</v>
      </c>
      <c r="C4358" t="s">
        <v>1138</v>
      </c>
      <c r="D4358" t="str">
        <f>IFERROR(VLOOKUP(C4358,APOYO!J:K,2,FALSE),C4358)</f>
        <v>ZIPACÓN</v>
      </c>
      <c r="E4358">
        <v>2018</v>
      </c>
    </row>
    <row r="4359" spans="1:11" hidden="1" x14ac:dyDescent="0.25">
      <c r="A4359" t="str">
        <f>_xlfn.XLOOKUP(C4359, 'Códigos DANE Municipios'!$B$2:$B$1123, 'Códigos DANE Municipios'!$A$2:$A$1123, "No encontrado")</f>
        <v>25899</v>
      </c>
      <c r="B4359" t="str">
        <f>IFERROR(VLOOKUP(D4359,APOYO!K:L,2,FALSE),A4359)</f>
        <v>25899</v>
      </c>
      <c r="C4359" t="s">
        <v>1140</v>
      </c>
      <c r="D4359" t="str">
        <f>IFERROR(VLOOKUP(C4359,APOYO!J:K,2,FALSE),C4359)</f>
        <v>ZIPAQUIRÁ</v>
      </c>
      <c r="E4359">
        <v>2018</v>
      </c>
    </row>
    <row r="4360" spans="1:11" hidden="1" x14ac:dyDescent="0.25">
      <c r="A4360" t="str">
        <f>_xlfn.XLOOKUP(C4360, 'Códigos DANE Municipios'!$B$2:$B$1123, 'Códigos DANE Municipios'!$A$2:$A$1123, "No encontrado")</f>
        <v>20570</v>
      </c>
      <c r="B4360" t="str">
        <f>IFERROR(VLOOKUP(D4360,APOYO!K:L,2,FALSE),A4360)</f>
        <v>20570</v>
      </c>
      <c r="C4360" s="8" t="s">
        <v>844</v>
      </c>
      <c r="D4360" t="str">
        <f>IFERROR(VLOOKUP(C4360,APOYO!J:K,2,FALSE),C4360)</f>
        <v>PUEBLO BELLO</v>
      </c>
      <c r="E4360" s="8">
        <v>2019</v>
      </c>
      <c r="F4360" s="8"/>
      <c r="G4360" s="8"/>
      <c r="H4360" s="8">
        <v>5</v>
      </c>
      <c r="I4360" s="8"/>
      <c r="J4360" s="8"/>
      <c r="K4360" s="8"/>
    </row>
    <row r="4361" spans="1:11" hidden="1" x14ac:dyDescent="0.25">
      <c r="A4361" t="str">
        <f>_xlfn.XLOOKUP(C4361, 'Códigos DANE Municipios'!$B$2:$B$1123, 'Códigos DANE Municipios'!$A$2:$A$1123, "No encontrado")</f>
        <v>44378</v>
      </c>
      <c r="B4361" t="str">
        <f>IFERROR(VLOOKUP(D4361,APOYO!K:L,2,FALSE),A4361)</f>
        <v>44378</v>
      </c>
      <c r="C4361" s="8" t="s">
        <v>1285</v>
      </c>
      <c r="D4361" t="str">
        <f>IFERROR(VLOOKUP(C4361,APOYO!J:K,2,FALSE),C4361)</f>
        <v>HATONUEVO</v>
      </c>
      <c r="E4361" s="8">
        <v>2019</v>
      </c>
      <c r="F4361" s="8"/>
      <c r="G4361" s="8"/>
      <c r="H4361" s="8">
        <v>10</v>
      </c>
      <c r="I4361" s="8"/>
      <c r="J4361" s="8"/>
      <c r="K4361" s="8"/>
    </row>
    <row r="4362" spans="1:11" hidden="1" x14ac:dyDescent="0.25">
      <c r="A4362" t="str">
        <f>_xlfn.XLOOKUP(C4362, 'Códigos DANE Municipios'!$B$2:$B$1123, 'Códigos DANE Municipios'!$A$2:$A$1123, "No encontrado")</f>
        <v>99624</v>
      </c>
      <c r="B4362" t="str">
        <f>IFERROR(VLOOKUP(D4362,APOYO!K:L,2,FALSE),A4362)</f>
        <v>99624</v>
      </c>
      <c r="C4362" t="s">
        <v>2167</v>
      </c>
      <c r="D4362" t="str">
        <f>IFERROR(VLOOKUP(C4362,APOYO!J:K,2,FALSE),C4362)</f>
        <v>SANTA ROSALÍA</v>
      </c>
      <c r="E4362">
        <v>2019</v>
      </c>
      <c r="F4362">
        <v>1378</v>
      </c>
    </row>
    <row r="4363" spans="1:11" hidden="1" x14ac:dyDescent="0.25">
      <c r="A4363" t="str">
        <f>_xlfn.XLOOKUP(C4363, 'Códigos DANE Municipios'!$B$2:$B$1123, 'Códigos DANE Municipios'!$A$2:$A$1123, "No encontrado")</f>
        <v>05002</v>
      </c>
      <c r="B4363" t="str">
        <f>IFERROR(VLOOKUP(D4363,APOYO!K:L,2,FALSE),A4363)</f>
        <v>05002</v>
      </c>
      <c r="C4363" s="8" t="s">
        <v>14</v>
      </c>
      <c r="D4363" t="str">
        <f>IFERROR(VLOOKUP(C4363,APOYO!J:K,2,FALSE),C4363)</f>
        <v>ABEJORRAL</v>
      </c>
      <c r="E4363" s="8">
        <v>2019</v>
      </c>
      <c r="F4363" s="8"/>
      <c r="G4363" s="8"/>
      <c r="H4363" s="8">
        <v>1522</v>
      </c>
      <c r="I4363" s="8"/>
      <c r="J4363" s="8"/>
      <c r="K4363" s="8"/>
    </row>
    <row r="4364" spans="1:11" hidden="1" x14ac:dyDescent="0.25">
      <c r="A4364" t="str">
        <f>_xlfn.XLOOKUP(C4364, 'Códigos DANE Municipios'!$B$2:$B$1123, 'Códigos DANE Municipios'!$A$2:$A$1123, "No encontrado")</f>
        <v>54003</v>
      </c>
      <c r="B4364" t="str">
        <f>IFERROR(VLOOKUP(D4364,APOYO!K:L,2,FALSE),A4364)</f>
        <v>54003</v>
      </c>
      <c r="C4364" t="s">
        <v>1531</v>
      </c>
      <c r="D4364" t="str">
        <f>IFERROR(VLOOKUP(C4364,APOYO!J:K,2,FALSE),C4364)</f>
        <v>ÁBREGO</v>
      </c>
      <c r="E4364">
        <v>2019</v>
      </c>
      <c r="H4364">
        <v>103</v>
      </c>
    </row>
    <row r="4365" spans="1:11" hidden="1" x14ac:dyDescent="0.25">
      <c r="A4365" t="str">
        <f>_xlfn.XLOOKUP(C4365, 'Códigos DANE Municipios'!$B$2:$B$1123, 'Códigos DANE Municipios'!$A$2:$A$1123, "No encontrado")</f>
        <v>05004</v>
      </c>
      <c r="B4365" t="str">
        <f>IFERROR(VLOOKUP(D4365,APOYO!K:L,2,FALSE),A4365)</f>
        <v>05004</v>
      </c>
      <c r="C4365" t="s">
        <v>16</v>
      </c>
      <c r="D4365" t="str">
        <f>IFERROR(VLOOKUP(C4365,APOYO!J:K,2,FALSE),C4365)</f>
        <v>ABRIAQUÍ</v>
      </c>
      <c r="E4365">
        <v>2019</v>
      </c>
      <c r="H4365">
        <v>30</v>
      </c>
    </row>
    <row r="4366" spans="1:11" hidden="1" x14ac:dyDescent="0.25">
      <c r="A4366" t="str">
        <f>_xlfn.XLOOKUP(C4366, 'Códigos DANE Municipios'!$B$2:$B$1123, 'Códigos DANE Municipios'!$A$2:$A$1123, "No encontrado")</f>
        <v>50006</v>
      </c>
      <c r="B4366" t="str">
        <f>IFERROR(VLOOKUP(D4366,APOYO!K:L,2,FALSE),A4366)</f>
        <v>50006</v>
      </c>
      <c r="C4366" t="s">
        <v>1360</v>
      </c>
      <c r="D4366" t="str">
        <f>IFERROR(VLOOKUP(C4366,APOYO!J:K,2,FALSE),C4366)</f>
        <v>ACACÍAS</v>
      </c>
      <c r="E4366">
        <v>2019</v>
      </c>
      <c r="H4366">
        <v>188</v>
      </c>
    </row>
    <row r="4367" spans="1:11" hidden="1" x14ac:dyDescent="0.25">
      <c r="A4367" t="str">
        <f>_xlfn.XLOOKUP(C4367, 'Códigos DANE Municipios'!$B$2:$B$1123, 'Códigos DANE Municipios'!$A$2:$A$1123, "No encontrado")</f>
        <v>27006</v>
      </c>
      <c r="B4367" t="str">
        <f>IFERROR(VLOOKUP(D4367,APOYO!K:L,2,FALSE),A4367)</f>
        <v>27006</v>
      </c>
      <c r="C4367" t="s">
        <v>1144</v>
      </c>
      <c r="D4367" t="str">
        <f>IFERROR(VLOOKUP(C4367,APOYO!J:K,2,FALSE),C4367)</f>
        <v>ACANDÍ</v>
      </c>
      <c r="E4367">
        <v>2019</v>
      </c>
      <c r="F4367">
        <v>6722</v>
      </c>
      <c r="H4367">
        <v>2233</v>
      </c>
    </row>
    <row r="4368" spans="1:11" hidden="1" x14ac:dyDescent="0.25">
      <c r="A4368" t="str">
        <f>_xlfn.XLOOKUP(C4368, 'Códigos DANE Municipios'!$B$2:$B$1123, 'Códigos DANE Municipios'!$A$2:$A$1123, "No encontrado")</f>
        <v>41006</v>
      </c>
      <c r="B4368" t="str">
        <f>IFERROR(VLOOKUP(D4368,APOYO!K:L,2,FALSE),A4368)</f>
        <v>41006</v>
      </c>
      <c r="C4368" s="8" t="s">
        <v>1203</v>
      </c>
      <c r="D4368" t="str">
        <f>IFERROR(VLOOKUP(C4368,APOYO!J:K,2,FALSE),C4368)</f>
        <v>ACEVEDO</v>
      </c>
      <c r="E4368" s="8">
        <v>2019</v>
      </c>
      <c r="F4368" s="8"/>
      <c r="G4368" s="8"/>
      <c r="H4368" s="8">
        <v>22</v>
      </c>
      <c r="I4368" s="8">
        <v>309</v>
      </c>
      <c r="J4368" s="8"/>
      <c r="K4368" s="8"/>
    </row>
    <row r="4369" spans="1:11" hidden="1" x14ac:dyDescent="0.25">
      <c r="A4369" t="str">
        <f>_xlfn.XLOOKUP(C4369, 'Códigos DANE Municipios'!$B$2:$B$1123, 'Códigos DANE Municipios'!$A$2:$A$1123, "No encontrado")</f>
        <v>13006</v>
      </c>
      <c r="B4369" t="str">
        <f>IFERROR(VLOOKUP(D4369,APOYO!K:L,2,FALSE),A4369)</f>
        <v>13006</v>
      </c>
      <c r="C4369" t="s">
        <v>311</v>
      </c>
      <c r="D4369" t="str">
        <f>IFERROR(VLOOKUP(C4369,APOYO!J:K,2,FALSE),C4369)</f>
        <v>ACHÍ</v>
      </c>
      <c r="E4369">
        <v>2019</v>
      </c>
      <c r="H4369">
        <v>852</v>
      </c>
    </row>
    <row r="4370" spans="1:11" hidden="1" x14ac:dyDescent="0.25">
      <c r="A4370" t="str">
        <f>_xlfn.XLOOKUP(C4370, 'Códigos DANE Municipios'!$B$2:$B$1123, 'Códigos DANE Municipios'!$A$2:$A$1123, "No encontrado")</f>
        <v>41013</v>
      </c>
      <c r="B4370" t="str">
        <f>IFERROR(VLOOKUP(D4370,APOYO!K:L,2,FALSE),A4370)</f>
        <v>41013</v>
      </c>
      <c r="C4370" s="8" t="s">
        <v>1205</v>
      </c>
      <c r="D4370" t="str">
        <f>IFERROR(VLOOKUP(C4370,APOYO!J:K,2,FALSE),C4370)</f>
        <v>AGRADO</v>
      </c>
      <c r="E4370" s="8">
        <v>2019</v>
      </c>
      <c r="F4370" s="8"/>
      <c r="G4370" s="8"/>
      <c r="H4370" s="8">
        <v>3</v>
      </c>
      <c r="I4370" s="8"/>
      <c r="J4370" s="8"/>
      <c r="K4370" s="8"/>
    </row>
    <row r="4371" spans="1:11" hidden="1" x14ac:dyDescent="0.25">
      <c r="A4371" t="str">
        <f>_xlfn.XLOOKUP(C4371, 'Códigos DANE Municipios'!$B$2:$B$1123, 'Códigos DANE Municipios'!$A$2:$A$1123, "No encontrado")</f>
        <v>25001</v>
      </c>
      <c r="B4371" t="str">
        <f>IFERROR(VLOOKUP(D4371,APOYO!K:L,2,FALSE),A4371)</f>
        <v>25001</v>
      </c>
      <c r="C4371" s="8" t="s">
        <v>916</v>
      </c>
      <c r="D4371" t="str">
        <f>IFERROR(VLOOKUP(C4371,APOYO!J:K,2,FALSE),C4371)</f>
        <v>AGUA DE DIOS</v>
      </c>
      <c r="E4371" s="8">
        <v>2019</v>
      </c>
      <c r="F4371" s="8"/>
      <c r="G4371" s="8"/>
      <c r="H4371" s="8">
        <v>155</v>
      </c>
      <c r="I4371" s="8"/>
      <c r="J4371" s="8"/>
      <c r="K4371" s="8"/>
    </row>
    <row r="4372" spans="1:11" hidden="1" x14ac:dyDescent="0.25">
      <c r="A4372" t="str">
        <f>_xlfn.XLOOKUP(C4372, 'Códigos DANE Municipios'!$B$2:$B$1123, 'Códigos DANE Municipios'!$A$2:$A$1123, "No encontrado")</f>
        <v>20011</v>
      </c>
      <c r="B4372" t="str">
        <f>IFERROR(VLOOKUP(D4372,APOYO!K:L,2,FALSE),A4372)</f>
        <v>20011</v>
      </c>
      <c r="C4372" s="8" t="s">
        <v>810</v>
      </c>
      <c r="D4372" t="str">
        <f>IFERROR(VLOOKUP(C4372,APOYO!J:K,2,FALSE),C4372)</f>
        <v>AGUACHICA</v>
      </c>
      <c r="E4372" s="8">
        <v>2019</v>
      </c>
      <c r="F4372" s="8">
        <v>1090</v>
      </c>
      <c r="G4372" s="8"/>
      <c r="H4372" s="8">
        <v>133</v>
      </c>
      <c r="I4372" s="8"/>
      <c r="J4372" s="8"/>
      <c r="K4372" s="8"/>
    </row>
    <row r="4373" spans="1:11" hidden="1" x14ac:dyDescent="0.25">
      <c r="A4373" t="str">
        <f>_xlfn.XLOOKUP(C4373, 'Códigos DANE Municipios'!$B$2:$B$1123, 'Códigos DANE Municipios'!$A$2:$A$1123, "No encontrado")</f>
        <v>68013</v>
      </c>
      <c r="B4373" t="str">
        <f>IFERROR(VLOOKUP(D4373,APOYO!K:L,2,FALSE),A4373)</f>
        <v>68013</v>
      </c>
      <c r="C4373" s="8" t="s">
        <v>1657</v>
      </c>
      <c r="D4373" t="str">
        <f>IFERROR(VLOOKUP(C4373,APOYO!J:K,2,FALSE),C4373)</f>
        <v>AGUADA</v>
      </c>
      <c r="E4373" s="8">
        <v>2019</v>
      </c>
      <c r="F4373" s="8"/>
      <c r="G4373" s="8"/>
      <c r="H4373" s="8">
        <v>80</v>
      </c>
      <c r="I4373" s="8"/>
      <c r="J4373" s="8"/>
      <c r="K4373" s="8"/>
    </row>
    <row r="4374" spans="1:11" hidden="1" x14ac:dyDescent="0.25">
      <c r="A4374" t="str">
        <f>_xlfn.XLOOKUP(C4374, 'Códigos DANE Municipios'!$B$2:$B$1123, 'Códigos DANE Municipios'!$A$2:$A$1123, "No encontrado")</f>
        <v>17013</v>
      </c>
      <c r="B4374" t="str">
        <f>IFERROR(VLOOKUP(D4374,APOYO!K:L,2,FALSE),A4374)</f>
        <v>17013</v>
      </c>
      <c r="C4374" s="8" t="s">
        <v>646</v>
      </c>
      <c r="D4374" t="str">
        <f>IFERROR(VLOOKUP(C4374,APOYO!J:K,2,FALSE),C4374)</f>
        <v>AGUADAS</v>
      </c>
      <c r="E4374" s="8">
        <v>2019</v>
      </c>
      <c r="F4374" s="8"/>
      <c r="G4374" s="8"/>
      <c r="H4374" s="8">
        <v>68</v>
      </c>
      <c r="I4374" s="8"/>
      <c r="J4374" s="8"/>
      <c r="K4374" s="8"/>
    </row>
    <row r="4375" spans="1:11" hidden="1" x14ac:dyDescent="0.25">
      <c r="A4375" t="str">
        <f>_xlfn.XLOOKUP(C4375, 'Códigos DANE Municipios'!$B$2:$B$1123, 'Códigos DANE Municipios'!$A$2:$A$1123, "No encontrado")</f>
        <v>85010</v>
      </c>
      <c r="B4375" t="str">
        <f>IFERROR(VLOOKUP(D4375,APOYO!K:L,2,FALSE),A4375)</f>
        <v>85010</v>
      </c>
      <c r="C4375" s="8" t="s">
        <v>2050</v>
      </c>
      <c r="D4375" t="str">
        <f>IFERROR(VLOOKUP(C4375,APOYO!J:K,2,FALSE),C4375)</f>
        <v>AGUAZUL</v>
      </c>
      <c r="E4375" s="8">
        <v>2019</v>
      </c>
      <c r="F4375" s="8"/>
      <c r="G4375" s="8"/>
      <c r="H4375" s="8">
        <v>69</v>
      </c>
      <c r="I4375" s="8"/>
      <c r="J4375" s="8"/>
      <c r="K4375" s="8"/>
    </row>
    <row r="4376" spans="1:11" hidden="1" x14ac:dyDescent="0.25">
      <c r="A4376" t="str">
        <f>_xlfn.XLOOKUP(C4376, 'Códigos DANE Municipios'!$B$2:$B$1123, 'Códigos DANE Municipios'!$A$2:$A$1123, "No encontrado")</f>
        <v>20013</v>
      </c>
      <c r="B4376" t="str">
        <f>IFERROR(VLOOKUP(D4376,APOYO!K:L,2,FALSE),A4376)</f>
        <v>20013</v>
      </c>
      <c r="C4376" t="s">
        <v>812</v>
      </c>
      <c r="D4376" t="str">
        <f>IFERROR(VLOOKUP(C4376,APOYO!J:K,2,FALSE),C4376)</f>
        <v>AGUSTÍN CODAZZI</v>
      </c>
      <c r="E4376">
        <v>2019</v>
      </c>
      <c r="F4376">
        <v>92</v>
      </c>
      <c r="H4376">
        <v>31</v>
      </c>
    </row>
    <row r="4377" spans="1:11" hidden="1" x14ac:dyDescent="0.25">
      <c r="A4377" t="str">
        <f>_xlfn.XLOOKUP(C4377, 'Códigos DANE Municipios'!$B$2:$B$1123, 'Códigos DANE Municipios'!$A$2:$A$1123, "No encontrado")</f>
        <v>41016</v>
      </c>
      <c r="B4377" t="str">
        <f>IFERROR(VLOOKUP(D4377,APOYO!K:L,2,FALSE),A4377)</f>
        <v>41016</v>
      </c>
      <c r="C4377" s="8" t="s">
        <v>1207</v>
      </c>
      <c r="D4377" t="str">
        <f>IFERROR(VLOOKUP(C4377,APOYO!J:K,2,FALSE),C4377)</f>
        <v>AIPE</v>
      </c>
      <c r="E4377" s="8">
        <v>2019</v>
      </c>
      <c r="F4377" s="8"/>
      <c r="G4377" s="8"/>
      <c r="H4377" s="8">
        <v>13</v>
      </c>
      <c r="I4377" s="8"/>
      <c r="J4377" s="8"/>
      <c r="K4377" s="8"/>
    </row>
    <row r="4378" spans="1:11" hidden="1" x14ac:dyDescent="0.25">
      <c r="A4378" t="str">
        <f>_xlfn.XLOOKUP(C4378, 'Códigos DANE Municipios'!$B$2:$B$1123, 'Códigos DANE Municipios'!$A$2:$A$1123, "No encontrado")</f>
        <v>25019</v>
      </c>
      <c r="B4378" t="str">
        <f>IFERROR(VLOOKUP(D4378,APOYO!K:L,2,FALSE),A4378)</f>
        <v>25019</v>
      </c>
      <c r="C4378" t="s">
        <v>918</v>
      </c>
      <c r="D4378" t="str">
        <f>IFERROR(VLOOKUP(C4378,APOYO!J:K,2,FALSE),C4378)</f>
        <v>ALBÁN</v>
      </c>
      <c r="E4378">
        <v>2019</v>
      </c>
      <c r="H4378">
        <v>8</v>
      </c>
    </row>
    <row r="4379" spans="1:11" hidden="1" x14ac:dyDescent="0.25">
      <c r="A4379" t="str">
        <f>_xlfn.XLOOKUP(C4379, 'Códigos DANE Municipios'!$B$2:$B$1123, 'Códigos DANE Municipios'!$A$2:$A$1123, "No encontrado")</f>
        <v>18029</v>
      </c>
      <c r="B4379" t="str">
        <f>IFERROR(VLOOKUP(D4379,APOYO!K:L,2,FALSE),A4379)</f>
        <v>18029</v>
      </c>
      <c r="C4379" s="8" t="s">
        <v>700</v>
      </c>
      <c r="D4379" t="str">
        <f>IFERROR(VLOOKUP(C4379,APOYO!J:K,2,FALSE),C4379)</f>
        <v>ALBANIA</v>
      </c>
      <c r="E4379" s="8">
        <v>2019</v>
      </c>
      <c r="F4379" s="8"/>
      <c r="G4379" s="8"/>
      <c r="H4379" s="8">
        <v>149</v>
      </c>
      <c r="I4379" s="8"/>
      <c r="J4379" s="8"/>
      <c r="K4379" s="8"/>
    </row>
    <row r="4380" spans="1:11" hidden="1" x14ac:dyDescent="0.25">
      <c r="A4380" t="str">
        <f>_xlfn.XLOOKUP(C4380, 'Códigos DANE Municipios'!$B$2:$B$1123, 'Códigos DANE Municipios'!$A$2:$A$1123, "No encontrado")</f>
        <v>76020</v>
      </c>
      <c r="B4380" t="str">
        <f>IFERROR(VLOOKUP(D4380,APOYO!K:L,2,FALSE),A4380)</f>
        <v>76020</v>
      </c>
      <c r="C4380" t="s">
        <v>1959</v>
      </c>
      <c r="D4380" t="str">
        <f>IFERROR(VLOOKUP(C4380,APOYO!J:K,2,FALSE),C4380)</f>
        <v>ALCALÁ</v>
      </c>
      <c r="E4380">
        <v>2019</v>
      </c>
      <c r="H4380">
        <v>771</v>
      </c>
    </row>
    <row r="4381" spans="1:11" hidden="1" x14ac:dyDescent="0.25">
      <c r="A4381" t="str">
        <f>_xlfn.XLOOKUP(C4381, 'Códigos DANE Municipios'!$B$2:$B$1123, 'Códigos DANE Municipios'!$A$2:$A$1123, "No encontrado")</f>
        <v>05021</v>
      </c>
      <c r="B4381" t="str">
        <f>IFERROR(VLOOKUP(D4381,APOYO!K:L,2,FALSE),A4381)</f>
        <v>05021</v>
      </c>
      <c r="C4381" t="s">
        <v>18</v>
      </c>
      <c r="D4381" t="str">
        <f>IFERROR(VLOOKUP(C4381,APOYO!J:K,2,FALSE),C4381)</f>
        <v>ALEJANDRÍA</v>
      </c>
      <c r="E4381">
        <v>2019</v>
      </c>
      <c r="H4381">
        <v>2</v>
      </c>
    </row>
    <row r="4382" spans="1:11" hidden="1" x14ac:dyDescent="0.25">
      <c r="A4382" t="str">
        <f>_xlfn.XLOOKUP(C4382, 'Códigos DANE Municipios'!$B$2:$B$1123, 'Códigos DANE Municipios'!$A$2:$A$1123, "No encontrado")</f>
        <v>41020</v>
      </c>
      <c r="B4382" t="str">
        <f>IFERROR(VLOOKUP(D4382,APOYO!K:L,2,FALSE),A4382)</f>
        <v>41020</v>
      </c>
      <c r="C4382" s="8" t="s">
        <v>1209</v>
      </c>
      <c r="D4382" t="str">
        <f>IFERROR(VLOOKUP(C4382,APOYO!J:K,2,FALSE),C4382)</f>
        <v>ALGECIRAS</v>
      </c>
      <c r="E4382" s="8">
        <v>2019</v>
      </c>
      <c r="F4382" s="8"/>
      <c r="G4382" s="8"/>
      <c r="H4382" s="8">
        <v>4</v>
      </c>
      <c r="I4382" s="8"/>
      <c r="J4382" s="8"/>
      <c r="K4382" s="8"/>
    </row>
    <row r="4383" spans="1:11" hidden="1" x14ac:dyDescent="0.25">
      <c r="A4383" t="str">
        <f>_xlfn.XLOOKUP(C4383, 'Códigos DANE Municipios'!$B$2:$B$1123, 'Códigos DANE Municipios'!$A$2:$A$1123, "No encontrado")</f>
        <v>73024</v>
      </c>
      <c r="B4383" t="str">
        <f>IFERROR(VLOOKUP(D4383,APOYO!K:L,2,FALSE),A4383)</f>
        <v>73024</v>
      </c>
      <c r="C4383" s="8" t="s">
        <v>1867</v>
      </c>
      <c r="D4383" t="str">
        <f>IFERROR(VLOOKUP(C4383,APOYO!J:K,2,FALSE),C4383)</f>
        <v>ALPUJARRA</v>
      </c>
      <c r="E4383" s="8">
        <v>2019</v>
      </c>
      <c r="F4383" s="8"/>
      <c r="G4383" s="8"/>
      <c r="H4383" s="8">
        <v>19</v>
      </c>
      <c r="I4383" s="8"/>
      <c r="J4383" s="8"/>
      <c r="K4383" s="8"/>
    </row>
    <row r="4384" spans="1:11" hidden="1" x14ac:dyDescent="0.25">
      <c r="A4384" t="str">
        <f>_xlfn.XLOOKUP(C4384, 'Códigos DANE Municipios'!$B$2:$B$1123, 'Códigos DANE Municipios'!$A$2:$A$1123, "No encontrado")</f>
        <v>41026</v>
      </c>
      <c r="B4384" t="str">
        <f>IFERROR(VLOOKUP(D4384,APOYO!K:L,2,FALSE),A4384)</f>
        <v>41026</v>
      </c>
      <c r="C4384" s="8" t="s">
        <v>1211</v>
      </c>
      <c r="D4384" t="str">
        <f>IFERROR(VLOOKUP(C4384,APOYO!J:K,2,FALSE),C4384)</f>
        <v>ALTAMIRA</v>
      </c>
      <c r="E4384" s="8">
        <v>2019</v>
      </c>
      <c r="F4384" s="8"/>
      <c r="G4384" s="8"/>
      <c r="H4384" s="8">
        <v>4</v>
      </c>
      <c r="I4384" s="8"/>
      <c r="J4384" s="8"/>
      <c r="K4384" s="8"/>
    </row>
    <row r="4385" spans="1:11" hidden="1" x14ac:dyDescent="0.25">
      <c r="A4385" t="str">
        <f>_xlfn.XLOOKUP(C4385, 'Códigos DANE Municipios'!$B$2:$B$1123, 'Códigos DANE Municipios'!$A$2:$A$1123, "No encontrado")</f>
        <v>73026</v>
      </c>
      <c r="B4385" t="str">
        <f>IFERROR(VLOOKUP(D4385,APOYO!K:L,2,FALSE),A4385)</f>
        <v>73026</v>
      </c>
      <c r="C4385" s="8" t="s">
        <v>1869</v>
      </c>
      <c r="D4385" t="str">
        <f>IFERROR(VLOOKUP(C4385,APOYO!J:K,2,FALSE),C4385)</f>
        <v>ALVARADO</v>
      </c>
      <c r="E4385" s="8">
        <v>2019</v>
      </c>
      <c r="F4385" s="8"/>
      <c r="G4385" s="8"/>
      <c r="H4385" s="8"/>
      <c r="I4385" s="8"/>
      <c r="J4385" s="8"/>
      <c r="K4385" s="8"/>
    </row>
    <row r="4386" spans="1:11" hidden="1" x14ac:dyDescent="0.25">
      <c r="A4386" t="str">
        <f>_xlfn.XLOOKUP(C4386, 'Códigos DANE Municipios'!$B$2:$B$1123, 'Códigos DANE Municipios'!$A$2:$A$1123, "No encontrado")</f>
        <v>05030</v>
      </c>
      <c r="B4386" t="str">
        <f>IFERROR(VLOOKUP(D4386,APOYO!K:L,2,FALSE),A4386)</f>
        <v>05030</v>
      </c>
      <c r="C4386" t="s">
        <v>20</v>
      </c>
      <c r="D4386" t="str">
        <f>IFERROR(VLOOKUP(C4386,APOYO!J:K,2,FALSE),C4386)</f>
        <v>AMAGÁ</v>
      </c>
      <c r="E4386">
        <v>2019</v>
      </c>
      <c r="H4386">
        <v>28</v>
      </c>
    </row>
    <row r="4387" spans="1:11" hidden="1" x14ac:dyDescent="0.25">
      <c r="A4387" t="str">
        <f>_xlfn.XLOOKUP(C4387, 'Códigos DANE Municipios'!$B$2:$B$1123, 'Códigos DANE Municipios'!$A$2:$A$1123, "No encontrado")</f>
        <v>05031</v>
      </c>
      <c r="B4387" t="str">
        <f>IFERROR(VLOOKUP(D4387,APOYO!K:L,2,FALSE),A4387)</f>
        <v>05031</v>
      </c>
      <c r="C4387" s="8" t="s">
        <v>22</v>
      </c>
      <c r="D4387" t="str">
        <f>IFERROR(VLOOKUP(C4387,APOYO!J:K,2,FALSE),C4387)</f>
        <v>AMALFI</v>
      </c>
      <c r="E4387" s="8">
        <v>2019</v>
      </c>
      <c r="F4387" s="8">
        <v>12</v>
      </c>
      <c r="G4387" s="8"/>
      <c r="H4387" s="8">
        <v>13</v>
      </c>
      <c r="I4387" s="8"/>
      <c r="J4387" s="8"/>
      <c r="K4387" s="8"/>
    </row>
    <row r="4388" spans="1:11" hidden="1" x14ac:dyDescent="0.25">
      <c r="A4388" t="str">
        <f>_xlfn.XLOOKUP(C4388, 'Códigos DANE Municipios'!$B$2:$B$1123, 'Códigos DANE Municipios'!$A$2:$A$1123, "No encontrado")</f>
        <v>73030</v>
      </c>
      <c r="B4388" t="str">
        <f>IFERROR(VLOOKUP(D4388,APOYO!K:L,2,FALSE),A4388)</f>
        <v>73030</v>
      </c>
      <c r="C4388" s="8" t="s">
        <v>1871</v>
      </c>
      <c r="D4388" t="str">
        <f>IFERROR(VLOOKUP(C4388,APOYO!J:K,2,FALSE),C4388)</f>
        <v>AMBALEMA</v>
      </c>
      <c r="E4388" s="8">
        <v>2019</v>
      </c>
      <c r="F4388" s="8">
        <v>20</v>
      </c>
      <c r="G4388" s="8"/>
      <c r="H4388" s="8">
        <v>3</v>
      </c>
      <c r="I4388" s="8"/>
      <c r="J4388" s="8"/>
      <c r="K4388" s="8"/>
    </row>
    <row r="4389" spans="1:11" hidden="1" x14ac:dyDescent="0.25">
      <c r="A4389" t="str">
        <f>_xlfn.XLOOKUP(C4389, 'Códigos DANE Municipios'!$B$2:$B$1123, 'Códigos DANE Municipios'!$A$2:$A$1123, "No encontrado")</f>
        <v>25035</v>
      </c>
      <c r="B4389" t="str">
        <f>IFERROR(VLOOKUP(D4389,APOYO!K:L,2,FALSE),A4389)</f>
        <v>25035</v>
      </c>
      <c r="C4389" s="8" t="s">
        <v>920</v>
      </c>
      <c r="D4389" t="str">
        <f>IFERROR(VLOOKUP(C4389,APOYO!J:K,2,FALSE),C4389)</f>
        <v>ANAPOIMA</v>
      </c>
      <c r="E4389" s="8">
        <v>2019</v>
      </c>
      <c r="F4389" s="8"/>
      <c r="G4389" s="8"/>
      <c r="H4389" s="8">
        <v>213</v>
      </c>
      <c r="I4389" s="8"/>
      <c r="J4389" s="8"/>
      <c r="K4389" s="8"/>
    </row>
    <row r="4390" spans="1:11" hidden="1" x14ac:dyDescent="0.25">
      <c r="A4390" t="str">
        <f>_xlfn.XLOOKUP(C4390, 'Códigos DANE Municipios'!$B$2:$B$1123, 'Códigos DANE Municipios'!$A$2:$A$1123, "No encontrado")</f>
        <v>76036</v>
      </c>
      <c r="B4390" t="str">
        <f>IFERROR(VLOOKUP(D4390,APOYO!K:L,2,FALSE),A4390)</f>
        <v>76036</v>
      </c>
      <c r="C4390" t="s">
        <v>1961</v>
      </c>
      <c r="D4390" t="str">
        <f>IFERROR(VLOOKUP(C4390,APOYO!J:K,2,FALSE),C4390)</f>
        <v>ANDALUCÍA</v>
      </c>
      <c r="E4390">
        <v>2019</v>
      </c>
      <c r="H4390">
        <v>176</v>
      </c>
    </row>
    <row r="4391" spans="1:11" hidden="1" x14ac:dyDescent="0.25">
      <c r="A4391" t="str">
        <f>_xlfn.XLOOKUP(C4391, 'Códigos DANE Municipios'!$B$2:$B$1123, 'Códigos DANE Municipios'!$A$2:$A$1123, "No encontrado")</f>
        <v>05034</v>
      </c>
      <c r="B4391" t="str">
        <f>IFERROR(VLOOKUP(D4391,APOYO!K:L,2,FALSE),A4391)</f>
        <v>05034</v>
      </c>
      <c r="C4391" s="8" t="s">
        <v>24</v>
      </c>
      <c r="D4391" t="str">
        <f>IFERROR(VLOOKUP(C4391,APOYO!J:K,2,FALSE),C4391)</f>
        <v>ANDES</v>
      </c>
      <c r="E4391" s="8">
        <v>2019</v>
      </c>
      <c r="F4391" s="8"/>
      <c r="G4391" s="8"/>
      <c r="H4391" s="8">
        <v>26</v>
      </c>
      <c r="I4391" s="8"/>
      <c r="J4391" s="8"/>
      <c r="K4391" s="8"/>
    </row>
    <row r="4392" spans="1:11" hidden="1" x14ac:dyDescent="0.25">
      <c r="A4392" t="str">
        <f>_xlfn.XLOOKUP(C4392, 'Códigos DANE Municipios'!$B$2:$B$1123, 'Códigos DANE Municipios'!$A$2:$A$1123, "No encontrado")</f>
        <v>05036</v>
      </c>
      <c r="B4392" t="str">
        <f>IFERROR(VLOOKUP(D4392,APOYO!K:L,2,FALSE),A4392)</f>
        <v>05036</v>
      </c>
      <c r="C4392" t="s">
        <v>26</v>
      </c>
      <c r="D4392" t="str">
        <f>IFERROR(VLOOKUP(C4392,APOYO!J:K,2,FALSE),C4392)</f>
        <v>ANGELÓPOLIS</v>
      </c>
      <c r="E4392">
        <v>2019</v>
      </c>
      <c r="H4392">
        <v>4</v>
      </c>
    </row>
    <row r="4393" spans="1:11" hidden="1" x14ac:dyDescent="0.25">
      <c r="A4393" t="str">
        <f>_xlfn.XLOOKUP(C4393, 'Códigos DANE Municipios'!$B$2:$B$1123, 'Códigos DANE Municipios'!$A$2:$A$1123, "No encontrado")</f>
        <v>05038</v>
      </c>
      <c r="B4393" t="str">
        <f>IFERROR(VLOOKUP(D4393,APOYO!K:L,2,FALSE),A4393)</f>
        <v>05038</v>
      </c>
      <c r="C4393" s="8" t="s">
        <v>28</v>
      </c>
      <c r="D4393" t="str">
        <f>IFERROR(VLOOKUP(C4393,APOYO!J:K,2,FALSE),C4393)</f>
        <v>ANGOSTURA</v>
      </c>
      <c r="E4393" s="8">
        <v>2019</v>
      </c>
      <c r="F4393" s="8"/>
      <c r="G4393" s="8"/>
      <c r="H4393" s="8"/>
      <c r="I4393" s="8"/>
      <c r="J4393" s="8"/>
      <c r="K4393" s="8"/>
    </row>
    <row r="4394" spans="1:11" hidden="1" x14ac:dyDescent="0.25">
      <c r="A4394" t="str">
        <f>_xlfn.XLOOKUP(C4394, 'Códigos DANE Municipios'!$B$2:$B$1123, 'Códigos DANE Municipios'!$A$2:$A$1123, "No encontrado")</f>
        <v>25040</v>
      </c>
      <c r="B4394" t="str">
        <f>IFERROR(VLOOKUP(D4394,APOYO!K:L,2,FALSE),A4394)</f>
        <v>25040</v>
      </c>
      <c r="C4394" s="8" t="s">
        <v>922</v>
      </c>
      <c r="D4394" t="str">
        <f>IFERROR(VLOOKUP(C4394,APOYO!J:K,2,FALSE),C4394)</f>
        <v>ANOLAIMA</v>
      </c>
      <c r="E4394" s="8">
        <v>2019</v>
      </c>
      <c r="F4394" s="8"/>
      <c r="G4394" s="8"/>
      <c r="H4394" s="8">
        <v>53</v>
      </c>
      <c r="I4394" s="8"/>
      <c r="J4394" s="8"/>
      <c r="K4394" s="8"/>
    </row>
    <row r="4395" spans="1:11" hidden="1" x14ac:dyDescent="0.25">
      <c r="A4395" t="str">
        <f>_xlfn.XLOOKUP(C4395, 'Códigos DANE Municipios'!$B$2:$B$1123, 'Códigos DANE Municipios'!$A$2:$A$1123, "No encontrado")</f>
        <v>05040</v>
      </c>
      <c r="B4395" t="str">
        <f>IFERROR(VLOOKUP(D4395,APOYO!K:L,2,FALSE),A4395)</f>
        <v>05040</v>
      </c>
      <c r="C4395" t="s">
        <v>30</v>
      </c>
      <c r="D4395" t="str">
        <f>IFERROR(VLOOKUP(C4395,APOYO!J:K,2,FALSE),C4395)</f>
        <v>ANORÍ</v>
      </c>
      <c r="E4395">
        <v>2019</v>
      </c>
      <c r="H4395">
        <v>1</v>
      </c>
    </row>
    <row r="4396" spans="1:11" hidden="1" x14ac:dyDescent="0.25">
      <c r="A4396" t="str">
        <f>_xlfn.XLOOKUP(C4396, 'Códigos DANE Municipios'!$B$2:$B$1123, 'Códigos DANE Municipios'!$A$2:$A$1123, "No encontrado")</f>
        <v>17042</v>
      </c>
      <c r="B4396" t="str">
        <f>IFERROR(VLOOKUP(D4396,APOYO!K:L,2,FALSE),A4396)</f>
        <v>17042</v>
      </c>
      <c r="C4396" s="8" t="s">
        <v>648</v>
      </c>
      <c r="D4396" t="str">
        <f>IFERROR(VLOOKUP(C4396,APOYO!J:K,2,FALSE),C4396)</f>
        <v>ANSERMA</v>
      </c>
      <c r="E4396" s="8">
        <v>2019</v>
      </c>
      <c r="F4396" s="8"/>
      <c r="G4396" s="8"/>
      <c r="H4396" s="8">
        <v>152</v>
      </c>
      <c r="I4396" s="8"/>
      <c r="J4396" s="8"/>
      <c r="K4396" s="8"/>
    </row>
    <row r="4397" spans="1:11" hidden="1" x14ac:dyDescent="0.25">
      <c r="A4397" t="str">
        <f>_xlfn.XLOOKUP(C4397, 'Códigos DANE Municipios'!$B$2:$B$1123, 'Códigos DANE Municipios'!$A$2:$A$1123, "No encontrado")</f>
        <v>76041</v>
      </c>
      <c r="B4397" t="str">
        <f>IFERROR(VLOOKUP(D4397,APOYO!K:L,2,FALSE),A4397)</f>
        <v>76041</v>
      </c>
      <c r="C4397" s="8" t="s">
        <v>1963</v>
      </c>
      <c r="D4397" t="str">
        <f>IFERROR(VLOOKUP(C4397,APOYO!J:K,2,FALSE),C4397)</f>
        <v>ANSERMANUEVO</v>
      </c>
      <c r="E4397" s="8">
        <v>2019</v>
      </c>
      <c r="F4397" s="8"/>
      <c r="G4397" s="8"/>
      <c r="H4397" s="8">
        <v>64</v>
      </c>
      <c r="I4397" s="8"/>
      <c r="J4397" s="8"/>
      <c r="K4397" s="8"/>
    </row>
    <row r="4398" spans="1:11" hidden="1" x14ac:dyDescent="0.25">
      <c r="A4398" t="str">
        <f>_xlfn.XLOOKUP(C4398, 'Códigos DANE Municipios'!$B$2:$B$1123, 'Códigos DANE Municipios'!$A$2:$A$1123, "No encontrado")</f>
        <v>05042</v>
      </c>
      <c r="B4398" t="str">
        <f>IFERROR(VLOOKUP(D4398,APOYO!K:L,2,FALSE),A4398)</f>
        <v>05042</v>
      </c>
      <c r="C4398" t="s">
        <v>32</v>
      </c>
      <c r="D4398" t="str">
        <f>IFERROR(VLOOKUP(C4398,APOYO!J:K,2,FALSE),C4398)</f>
        <v>SANTA FÉ DE ANTIOQUIA</v>
      </c>
      <c r="E4398">
        <v>2019</v>
      </c>
      <c r="H4398">
        <v>134</v>
      </c>
    </row>
    <row r="4399" spans="1:11" hidden="1" x14ac:dyDescent="0.25">
      <c r="A4399" t="str">
        <f>_xlfn.XLOOKUP(C4399, 'Códigos DANE Municipios'!$B$2:$B$1123, 'Códigos DANE Municipios'!$A$2:$A$1123, "No encontrado")</f>
        <v>05044</v>
      </c>
      <c r="B4399" t="str">
        <f>IFERROR(VLOOKUP(D4399,APOYO!K:L,2,FALSE),A4399)</f>
        <v>05044</v>
      </c>
      <c r="C4399" t="s">
        <v>34</v>
      </c>
      <c r="D4399" t="str">
        <f>IFERROR(VLOOKUP(C4399,APOYO!J:K,2,FALSE),C4399)</f>
        <v>ANZÁ</v>
      </c>
      <c r="E4399">
        <v>2019</v>
      </c>
      <c r="H4399">
        <v>1</v>
      </c>
    </row>
    <row r="4400" spans="1:11" hidden="1" x14ac:dyDescent="0.25">
      <c r="A4400" t="str">
        <f>_xlfn.XLOOKUP(C4400, 'Códigos DANE Municipios'!$B$2:$B$1123, 'Códigos DANE Municipios'!$A$2:$A$1123, "No encontrado")</f>
        <v>73043</v>
      </c>
      <c r="B4400" t="str">
        <f>IFERROR(VLOOKUP(D4400,APOYO!K:L,2,FALSE),A4400)</f>
        <v>73043</v>
      </c>
      <c r="C4400" t="s">
        <v>1873</v>
      </c>
      <c r="D4400" t="str">
        <f>IFERROR(VLOOKUP(C4400,APOYO!J:K,2,FALSE),C4400)</f>
        <v>ANZOÁTEGUI</v>
      </c>
      <c r="E4400">
        <v>2019</v>
      </c>
      <c r="H4400">
        <v>1</v>
      </c>
    </row>
    <row r="4401" spans="1:11" hidden="1" x14ac:dyDescent="0.25">
      <c r="A4401" t="str">
        <f>_xlfn.XLOOKUP(C4401, 'Códigos DANE Municipios'!$B$2:$B$1123, 'Códigos DANE Municipios'!$A$2:$A$1123, "No encontrado")</f>
        <v>05045</v>
      </c>
      <c r="B4401" t="str">
        <f>IFERROR(VLOOKUP(D4401,APOYO!K:L,2,FALSE),A4401)</f>
        <v>05045</v>
      </c>
      <c r="C4401" t="s">
        <v>36</v>
      </c>
      <c r="D4401" t="str">
        <f>IFERROR(VLOOKUP(C4401,APOYO!J:K,2,FALSE),C4401)</f>
        <v>APARTADÓ</v>
      </c>
      <c r="E4401">
        <v>2019</v>
      </c>
      <c r="H4401">
        <v>172</v>
      </c>
    </row>
    <row r="4402" spans="1:11" hidden="1" x14ac:dyDescent="0.25">
      <c r="A4402" t="str">
        <f>_xlfn.XLOOKUP(C4402, 'Códigos DANE Municipios'!$B$2:$B$1123, 'Códigos DANE Municipios'!$A$2:$A$1123, "No encontrado")</f>
        <v>66045</v>
      </c>
      <c r="B4402" t="str">
        <f>IFERROR(VLOOKUP(D4402,APOYO!K:L,2,FALSE),A4402)</f>
        <v>66045</v>
      </c>
      <c r="C4402" t="s">
        <v>1630</v>
      </c>
      <c r="D4402" t="str">
        <f>IFERROR(VLOOKUP(C4402,APOYO!J:K,2,FALSE),C4402)</f>
        <v>APÍA</v>
      </c>
      <c r="E4402">
        <v>2019</v>
      </c>
      <c r="H4402">
        <v>86</v>
      </c>
    </row>
    <row r="4403" spans="1:11" hidden="1" x14ac:dyDescent="0.25">
      <c r="A4403" t="str">
        <f>_xlfn.XLOOKUP(C4403, 'Códigos DANE Municipios'!$B$2:$B$1123, 'Códigos DANE Municipios'!$A$2:$A$1123, "No encontrado")</f>
        <v>15047</v>
      </c>
      <c r="B4403" t="str">
        <f>IFERROR(VLOOKUP(D4403,APOYO!K:L,2,FALSE),A4403)</f>
        <v>15047</v>
      </c>
      <c r="C4403" s="8" t="s">
        <v>405</v>
      </c>
      <c r="D4403" t="str">
        <f>IFERROR(VLOOKUP(C4403,APOYO!J:K,2,FALSE),C4403)</f>
        <v>AQUITANIA</v>
      </c>
      <c r="E4403" s="8">
        <v>2019</v>
      </c>
      <c r="F4403" s="8"/>
      <c r="G4403" s="8"/>
      <c r="H4403" s="8">
        <v>6</v>
      </c>
      <c r="I4403" s="8"/>
      <c r="J4403" s="8"/>
      <c r="K4403" s="8"/>
    </row>
    <row r="4404" spans="1:11" hidden="1" x14ac:dyDescent="0.25">
      <c r="A4404" t="str">
        <f>_xlfn.XLOOKUP(C4404, 'Códigos DANE Municipios'!$B$2:$B$1123, 'Códigos DANE Municipios'!$A$2:$A$1123, "No encontrado")</f>
        <v>47053</v>
      </c>
      <c r="B4404" t="str">
        <f>IFERROR(VLOOKUP(D4404,APOYO!K:L,2,FALSE),A4404)</f>
        <v>47053</v>
      </c>
      <c r="C4404" s="8" t="s">
        <v>1304</v>
      </c>
      <c r="D4404" t="str">
        <f>IFERROR(VLOOKUP(C4404,APOYO!J:K,2,FALSE),C4404)</f>
        <v>ARACATACA</v>
      </c>
      <c r="E4404" s="8">
        <v>2019</v>
      </c>
      <c r="F4404" s="8"/>
      <c r="G4404" s="8"/>
      <c r="H4404" s="8">
        <v>15</v>
      </c>
      <c r="I4404" s="8"/>
      <c r="J4404" s="8"/>
      <c r="K4404" s="8"/>
    </row>
    <row r="4405" spans="1:11" hidden="1" x14ac:dyDescent="0.25">
      <c r="A4405" t="str">
        <f>_xlfn.XLOOKUP(C4405, 'Códigos DANE Municipios'!$B$2:$B$1123, 'Códigos DANE Municipios'!$A$2:$A$1123, "No encontrado")</f>
        <v>17050</v>
      </c>
      <c r="B4405" t="str">
        <f>IFERROR(VLOOKUP(D4405,APOYO!K:L,2,FALSE),A4405)</f>
        <v>17050</v>
      </c>
      <c r="C4405" s="8" t="s">
        <v>650</v>
      </c>
      <c r="D4405" t="str">
        <f>IFERROR(VLOOKUP(C4405,APOYO!J:K,2,FALSE),C4405)</f>
        <v>ARANZAZU</v>
      </c>
      <c r="E4405" s="8">
        <v>2019</v>
      </c>
      <c r="F4405" s="8"/>
      <c r="G4405" s="8"/>
      <c r="H4405" s="8">
        <v>43</v>
      </c>
      <c r="I4405" s="8"/>
      <c r="J4405" s="8"/>
      <c r="K4405" s="8"/>
    </row>
    <row r="4406" spans="1:11" hidden="1" x14ac:dyDescent="0.25">
      <c r="A4406" t="str">
        <f>_xlfn.XLOOKUP(C4406, 'Códigos DANE Municipios'!$B$2:$B$1123, 'Códigos DANE Municipios'!$A$2:$A$1123, "No encontrado")</f>
        <v>68051</v>
      </c>
      <c r="B4406" t="str">
        <f>IFERROR(VLOOKUP(D4406,APOYO!K:L,2,FALSE),A4406)</f>
        <v>68051</v>
      </c>
      <c r="C4406" s="8" t="s">
        <v>1660</v>
      </c>
      <c r="D4406" t="str">
        <f>IFERROR(VLOOKUP(C4406,APOYO!J:K,2,FALSE),C4406)</f>
        <v>ARATOCA</v>
      </c>
      <c r="E4406" s="8">
        <v>2019</v>
      </c>
      <c r="F4406" s="8"/>
      <c r="G4406" s="8"/>
      <c r="H4406" s="8">
        <v>4</v>
      </c>
      <c r="I4406" s="8"/>
      <c r="J4406" s="8"/>
      <c r="K4406" s="8"/>
    </row>
    <row r="4407" spans="1:11" hidden="1" x14ac:dyDescent="0.25">
      <c r="A4407" t="str">
        <f>_xlfn.XLOOKUP(C4407, 'Códigos DANE Municipios'!$B$2:$B$1123, 'Códigos DANE Municipios'!$A$2:$A$1123, "No encontrado")</f>
        <v>81001</v>
      </c>
      <c r="B4407" t="str">
        <f>IFERROR(VLOOKUP(D4407,APOYO!K:L,2,FALSE),A4407)</f>
        <v>81001</v>
      </c>
      <c r="C4407" s="8" t="s">
        <v>2034</v>
      </c>
      <c r="D4407" t="str">
        <f>IFERROR(VLOOKUP(C4407,APOYO!J:K,2,FALSE),C4407)</f>
        <v>ARAUCA</v>
      </c>
      <c r="E4407" s="8">
        <v>2019</v>
      </c>
      <c r="F4407" s="8">
        <v>69574</v>
      </c>
      <c r="G4407" s="8"/>
      <c r="H4407" s="8">
        <v>287</v>
      </c>
      <c r="I4407" s="8"/>
      <c r="J4407" s="8"/>
      <c r="K4407" s="8"/>
    </row>
    <row r="4408" spans="1:11" hidden="1" x14ac:dyDescent="0.25">
      <c r="A4408" t="str">
        <f>_xlfn.XLOOKUP(C4408, 'Códigos DANE Municipios'!$B$2:$B$1123, 'Códigos DANE Municipios'!$A$2:$A$1123, "No encontrado")</f>
        <v>81065</v>
      </c>
      <c r="B4408" t="str">
        <f>IFERROR(VLOOKUP(D4408,APOYO!K:L,2,FALSE),A4408)</f>
        <v>81065</v>
      </c>
      <c r="C4408" s="8" t="s">
        <v>2036</v>
      </c>
      <c r="D4408" t="str">
        <f>IFERROR(VLOOKUP(C4408,APOYO!J:K,2,FALSE),C4408)</f>
        <v>ARAUQUITA</v>
      </c>
      <c r="E4408" s="8">
        <v>2019</v>
      </c>
      <c r="F4408" s="8">
        <v>3</v>
      </c>
      <c r="G4408" s="8"/>
      <c r="H4408" s="8">
        <v>19</v>
      </c>
      <c r="I4408" s="8"/>
      <c r="J4408" s="8"/>
      <c r="K4408" s="8"/>
    </row>
    <row r="4409" spans="1:11" hidden="1" x14ac:dyDescent="0.25">
      <c r="A4409" t="str">
        <f>_xlfn.XLOOKUP(C4409, 'Códigos DANE Municipios'!$B$2:$B$1123, 'Códigos DANE Municipios'!$A$2:$A$1123, "No encontrado")</f>
        <v>25053</v>
      </c>
      <c r="B4409" t="str">
        <f>IFERROR(VLOOKUP(D4409,APOYO!K:L,2,FALSE),A4409)</f>
        <v>25053</v>
      </c>
      <c r="C4409" t="s">
        <v>924</v>
      </c>
      <c r="D4409" t="str">
        <f>IFERROR(VLOOKUP(C4409,APOYO!J:K,2,FALSE),C4409)</f>
        <v>ARBELÁEZ</v>
      </c>
      <c r="E4409">
        <v>2019</v>
      </c>
      <c r="H4409">
        <v>35</v>
      </c>
    </row>
    <row r="4410" spans="1:11" hidden="1" x14ac:dyDescent="0.25">
      <c r="A4410" t="str">
        <f>_xlfn.XLOOKUP(C4410, 'Códigos DANE Municipios'!$B$2:$B$1123, 'Códigos DANE Municipios'!$A$2:$A$1123, "No encontrado")</f>
        <v>54051</v>
      </c>
      <c r="B4410" t="str">
        <f>IFERROR(VLOOKUP(D4410,APOYO!K:L,2,FALSE),A4410)</f>
        <v>54051</v>
      </c>
      <c r="C4410" s="8" t="s">
        <v>1533</v>
      </c>
      <c r="D4410" t="str">
        <f>IFERROR(VLOOKUP(C4410,APOYO!J:K,2,FALSE),C4410)</f>
        <v>ARBOLEDAS</v>
      </c>
      <c r="E4410" s="8">
        <v>2019</v>
      </c>
      <c r="F4410" s="8"/>
      <c r="G4410" s="8"/>
      <c r="H4410" s="8">
        <v>3</v>
      </c>
      <c r="I4410" s="8"/>
      <c r="J4410" s="8"/>
      <c r="K4410" s="8"/>
    </row>
    <row r="4411" spans="1:11" hidden="1" x14ac:dyDescent="0.25">
      <c r="A4411" t="str">
        <f>_xlfn.XLOOKUP(C4411, 'Códigos DANE Municipios'!$B$2:$B$1123, 'Códigos DANE Municipios'!$A$2:$A$1123, "No encontrado")</f>
        <v>05051</v>
      </c>
      <c r="B4411" t="str">
        <f>IFERROR(VLOOKUP(D4411,APOYO!K:L,2,FALSE),A4411)</f>
        <v>05051</v>
      </c>
      <c r="C4411" s="8" t="s">
        <v>38</v>
      </c>
      <c r="D4411" t="str">
        <f>IFERROR(VLOOKUP(C4411,APOYO!J:K,2,FALSE),C4411)</f>
        <v>ARBOLETES</v>
      </c>
      <c r="E4411" s="8">
        <v>2019</v>
      </c>
      <c r="F4411" s="8"/>
      <c r="G4411" s="8"/>
      <c r="H4411" s="8">
        <v>18</v>
      </c>
      <c r="I4411" s="8"/>
      <c r="J4411" s="8"/>
      <c r="K4411" s="8"/>
    </row>
    <row r="4412" spans="1:11" hidden="1" x14ac:dyDescent="0.25">
      <c r="A4412" t="str">
        <f>_xlfn.XLOOKUP(C4412, 'Códigos DANE Municipios'!$B$2:$B$1123, 'Códigos DANE Municipios'!$A$2:$A$1123, "No encontrado")</f>
        <v>15051</v>
      </c>
      <c r="B4412" t="str">
        <f>IFERROR(VLOOKUP(D4412,APOYO!K:L,2,FALSE),A4412)</f>
        <v>15051</v>
      </c>
      <c r="C4412" s="8" t="s">
        <v>407</v>
      </c>
      <c r="D4412" t="str">
        <f>IFERROR(VLOOKUP(C4412,APOYO!J:K,2,FALSE),C4412)</f>
        <v>ARCABUCO</v>
      </c>
      <c r="E4412" s="8">
        <v>2019</v>
      </c>
      <c r="F4412" s="8"/>
      <c r="G4412" s="8"/>
      <c r="H4412" s="8">
        <v>4</v>
      </c>
      <c r="I4412" s="8"/>
      <c r="J4412" s="8"/>
      <c r="K4412" s="8"/>
    </row>
    <row r="4413" spans="1:11" hidden="1" x14ac:dyDescent="0.25">
      <c r="A4413" t="str">
        <f>_xlfn.XLOOKUP(C4413, 'Códigos DANE Municipios'!$B$2:$B$1123, 'Códigos DANE Municipios'!$A$2:$A$1123, "No encontrado")</f>
        <v>05055</v>
      </c>
      <c r="B4413" t="str">
        <f>IFERROR(VLOOKUP(D4413,APOYO!K:L,2,FALSE),A4413)</f>
        <v>05055</v>
      </c>
      <c r="C4413" s="8" t="s">
        <v>40</v>
      </c>
      <c r="D4413" t="str">
        <f>IFERROR(VLOOKUP(C4413,APOYO!J:K,2,FALSE),C4413)</f>
        <v>ARGELIA</v>
      </c>
      <c r="E4413" s="8">
        <v>2019</v>
      </c>
      <c r="F4413" s="8"/>
      <c r="G4413" s="8"/>
      <c r="H4413" s="8">
        <v>22</v>
      </c>
      <c r="I4413" s="8"/>
      <c r="J4413" s="8"/>
      <c r="K4413" s="8"/>
    </row>
    <row r="4414" spans="1:11" hidden="1" x14ac:dyDescent="0.25">
      <c r="A4414" t="str">
        <f>_xlfn.XLOOKUP(C4414, 'Códigos DANE Municipios'!$B$2:$B$1123, 'Códigos DANE Municipios'!$A$2:$A$1123, "No encontrado")</f>
        <v>47058</v>
      </c>
      <c r="B4414" t="str">
        <f>IFERROR(VLOOKUP(D4414,APOYO!K:L,2,FALSE),A4414)</f>
        <v>47058</v>
      </c>
      <c r="C4414" t="s">
        <v>1306</v>
      </c>
      <c r="D4414" t="str">
        <f>IFERROR(VLOOKUP(C4414,APOYO!J:K,2,FALSE),C4414)</f>
        <v>ARIGUANÍ</v>
      </c>
      <c r="E4414">
        <v>2019</v>
      </c>
      <c r="H4414">
        <v>4</v>
      </c>
    </row>
    <row r="4415" spans="1:11" hidden="1" x14ac:dyDescent="0.25">
      <c r="A4415" t="str">
        <f>_xlfn.XLOOKUP(C4415, 'Códigos DANE Municipios'!$B$2:$B$1123, 'Códigos DANE Municipios'!$A$2:$A$1123, "No encontrado")</f>
        <v>13052</v>
      </c>
      <c r="B4415" t="str">
        <f>IFERROR(VLOOKUP(D4415,APOYO!K:L,2,FALSE),A4415)</f>
        <v>13052</v>
      </c>
      <c r="C4415" t="s">
        <v>317</v>
      </c>
      <c r="D4415" t="str">
        <f>IFERROR(VLOOKUP(C4415,APOYO!J:K,2,FALSE),C4415)</f>
        <v>ARJONA</v>
      </c>
      <c r="E4415">
        <v>2019</v>
      </c>
      <c r="H4415">
        <v>56</v>
      </c>
    </row>
    <row r="4416" spans="1:11" hidden="1" x14ac:dyDescent="0.25">
      <c r="A4416" t="str">
        <f>_xlfn.XLOOKUP(C4416, 'Códigos DANE Municipios'!$B$2:$B$1123, 'Códigos DANE Municipios'!$A$2:$A$1123, "No encontrado")</f>
        <v>05059</v>
      </c>
      <c r="B4416" t="str">
        <f>IFERROR(VLOOKUP(D4416,APOYO!K:L,2,FALSE),A4416)</f>
        <v>05059</v>
      </c>
      <c r="C4416" s="8" t="s">
        <v>42</v>
      </c>
      <c r="D4416" t="str">
        <f>IFERROR(VLOOKUP(C4416,APOYO!J:K,2,FALSE),C4416)</f>
        <v>ARMENIA</v>
      </c>
      <c r="E4416" s="8">
        <v>2019</v>
      </c>
      <c r="F4416" s="8">
        <v>189276</v>
      </c>
      <c r="G4416" s="8">
        <v>40221</v>
      </c>
      <c r="H4416" s="8">
        <v>11949</v>
      </c>
      <c r="I4416" s="8"/>
      <c r="J4416" s="8"/>
      <c r="K4416" s="8"/>
    </row>
    <row r="4417" spans="1:11" hidden="1" x14ac:dyDescent="0.25">
      <c r="A4417" t="str">
        <f>_xlfn.XLOOKUP(C4417, 'Códigos DANE Municipios'!$B$2:$B$1123, 'Códigos DANE Municipios'!$A$2:$A$1123, "No encontrado")</f>
        <v>73055</v>
      </c>
      <c r="B4417" t="str">
        <f>IFERROR(VLOOKUP(D4417,APOYO!K:L,2,FALSE),A4417)</f>
        <v>73055</v>
      </c>
      <c r="C4417" t="s">
        <v>1875</v>
      </c>
      <c r="D4417" t="str">
        <f>IFERROR(VLOOKUP(C4417,APOYO!J:K,2,FALSE),C4417)</f>
        <v>ARMERO GUAYABAL</v>
      </c>
      <c r="E4417">
        <v>2019</v>
      </c>
      <c r="H4417">
        <v>11</v>
      </c>
    </row>
    <row r="4418" spans="1:11" hidden="1" x14ac:dyDescent="0.25">
      <c r="A4418" t="str">
        <f>_xlfn.XLOOKUP(C4418, 'Códigos DANE Municipios'!$B$2:$B$1123, 'Códigos DANE Municipios'!$A$2:$A$1123, "No encontrado")</f>
        <v>20032</v>
      </c>
      <c r="B4418" t="str">
        <f>IFERROR(VLOOKUP(D4418,APOYO!K:L,2,FALSE),A4418)</f>
        <v>20032</v>
      </c>
      <c r="C4418" s="8" t="s">
        <v>814</v>
      </c>
      <c r="D4418" t="str">
        <f>IFERROR(VLOOKUP(C4418,APOYO!J:K,2,FALSE),C4418)</f>
        <v>ASTREA</v>
      </c>
      <c r="E4418" s="8">
        <v>2019</v>
      </c>
      <c r="F4418" s="8"/>
      <c r="G4418" s="8"/>
      <c r="H4418" s="8">
        <v>2</v>
      </c>
      <c r="I4418" s="8"/>
      <c r="J4418" s="8"/>
      <c r="K4418" s="8"/>
    </row>
    <row r="4419" spans="1:11" hidden="1" x14ac:dyDescent="0.25">
      <c r="A4419" t="str">
        <f>_xlfn.XLOOKUP(C4419, 'Códigos DANE Municipios'!$B$2:$B$1123, 'Códigos DANE Municipios'!$A$2:$A$1123, "No encontrado")</f>
        <v>23068</v>
      </c>
      <c r="B4419" t="str">
        <f>IFERROR(VLOOKUP(D4419,APOYO!K:L,2,FALSE),A4419)</f>
        <v>23068</v>
      </c>
      <c r="C4419" s="8" t="s">
        <v>860</v>
      </c>
      <c r="D4419" t="str">
        <f>IFERROR(VLOOKUP(C4419,APOYO!J:K,2,FALSE),C4419)</f>
        <v>AYAPEL</v>
      </c>
      <c r="E4419" s="8">
        <v>2019</v>
      </c>
      <c r="F4419" s="8">
        <v>40</v>
      </c>
      <c r="G4419" s="8"/>
      <c r="H4419" s="8">
        <v>15</v>
      </c>
      <c r="I4419" s="8"/>
      <c r="J4419" s="8"/>
      <c r="K4419" s="8"/>
    </row>
    <row r="4420" spans="1:11" hidden="1" x14ac:dyDescent="0.25">
      <c r="A4420" t="str">
        <f>_xlfn.XLOOKUP(C4420, 'Códigos DANE Municipios'!$B$2:$B$1123, 'Códigos DANE Municipios'!$A$2:$A$1123, "No encontrado")</f>
        <v>27073</v>
      </c>
      <c r="B4420" t="str">
        <f>IFERROR(VLOOKUP(D4420,APOYO!K:L,2,FALSE),A4420)</f>
        <v>27073</v>
      </c>
      <c r="C4420" t="s">
        <v>1150</v>
      </c>
      <c r="D4420" t="str">
        <f>IFERROR(VLOOKUP(C4420,APOYO!J:K,2,FALSE),C4420)</f>
        <v>BAGADÓ</v>
      </c>
      <c r="E4420">
        <v>2019</v>
      </c>
    </row>
    <row r="4421" spans="1:11" hidden="1" x14ac:dyDescent="0.25">
      <c r="A4421" t="str">
        <f>_xlfn.XLOOKUP(C4421, 'Códigos DANE Municipios'!$B$2:$B$1123, 'Códigos DANE Municipios'!$A$2:$A$1123, "No encontrado")</f>
        <v>27075</v>
      </c>
      <c r="B4421" t="str">
        <f>IFERROR(VLOOKUP(D4421,APOYO!K:L,2,FALSE),A4421)</f>
        <v>27075</v>
      </c>
      <c r="C4421" t="s">
        <v>1152</v>
      </c>
      <c r="D4421" t="str">
        <f>IFERROR(VLOOKUP(C4421,APOYO!J:K,2,FALSE),C4421)</f>
        <v>BAHÍA SOLANO</v>
      </c>
      <c r="E4421">
        <v>2019</v>
      </c>
      <c r="F4421">
        <v>36319</v>
      </c>
      <c r="G4421">
        <v>15</v>
      </c>
      <c r="H4421">
        <v>155</v>
      </c>
    </row>
    <row r="4422" spans="1:11" hidden="1" x14ac:dyDescent="0.25">
      <c r="A4422" t="str">
        <f>_xlfn.XLOOKUP(C4422, 'Códigos DANE Municipios'!$B$2:$B$1123, 'Códigos DANE Municipios'!$A$2:$A$1123, "No encontrado")</f>
        <v>27077</v>
      </c>
      <c r="B4422" t="str">
        <f>IFERROR(VLOOKUP(D4422,APOYO!K:L,2,FALSE),A4422)</f>
        <v>27077</v>
      </c>
      <c r="C4422" t="s">
        <v>1154</v>
      </c>
      <c r="D4422" t="str">
        <f>IFERROR(VLOOKUP(C4422,APOYO!J:K,2,FALSE),C4422)</f>
        <v>BAJO BAUDÓ</v>
      </c>
      <c r="E4422">
        <v>2019</v>
      </c>
      <c r="F4422">
        <v>2278</v>
      </c>
      <c r="H4422">
        <v>2</v>
      </c>
    </row>
    <row r="4423" spans="1:11" hidden="1" x14ac:dyDescent="0.25">
      <c r="A4423" t="str">
        <f>_xlfn.XLOOKUP(C4423, 'Códigos DANE Municipios'!$B$2:$B$1123, 'Códigos DANE Municipios'!$A$2:$A$1123, "No encontrado")</f>
        <v>19075</v>
      </c>
      <c r="B4423" t="str">
        <f>IFERROR(VLOOKUP(D4423,APOYO!K:L,2,FALSE),A4423)</f>
        <v>19075</v>
      </c>
      <c r="C4423" s="8" t="s">
        <v>734</v>
      </c>
      <c r="D4423" t="str">
        <f>IFERROR(VLOOKUP(C4423,APOYO!J:K,2,FALSE),C4423)</f>
        <v>BALBOA</v>
      </c>
      <c r="E4423" s="8">
        <v>2019</v>
      </c>
      <c r="F4423" s="8"/>
      <c r="G4423" s="8"/>
      <c r="H4423" s="8">
        <v>14</v>
      </c>
      <c r="I4423" s="8"/>
      <c r="J4423" s="8"/>
      <c r="K4423" s="8"/>
    </row>
    <row r="4424" spans="1:11" hidden="1" x14ac:dyDescent="0.25">
      <c r="A4424" t="str">
        <f>_xlfn.XLOOKUP(C4424, 'Códigos DANE Municipios'!$B$2:$B$1123, 'Códigos DANE Municipios'!$A$2:$A$1123, "No encontrado")</f>
        <v>08078</v>
      </c>
      <c r="B4424" t="str">
        <f>IFERROR(VLOOKUP(D4424,APOYO!K:L,2,FALSE),A4424)</f>
        <v>08078</v>
      </c>
      <c r="C4424" s="8" t="s">
        <v>264</v>
      </c>
      <c r="D4424" t="str">
        <f>IFERROR(VLOOKUP(C4424,APOYO!J:K,2,FALSE),C4424)</f>
        <v>BARANOA</v>
      </c>
      <c r="E4424" s="8">
        <v>2019</v>
      </c>
      <c r="F4424" s="8"/>
      <c r="G4424" s="8"/>
      <c r="H4424" s="8">
        <v>330</v>
      </c>
      <c r="I4424" s="8"/>
      <c r="J4424" s="8"/>
      <c r="K4424" s="8"/>
    </row>
    <row r="4425" spans="1:11" hidden="1" x14ac:dyDescent="0.25">
      <c r="A4425" t="str">
        <f>_xlfn.XLOOKUP(C4425, 'Códigos DANE Municipios'!$B$2:$B$1123, 'Códigos DANE Municipios'!$A$2:$A$1123, "No encontrado")</f>
        <v>41078</v>
      </c>
      <c r="B4425" t="str">
        <f>IFERROR(VLOOKUP(D4425,APOYO!K:L,2,FALSE),A4425)</f>
        <v>41078</v>
      </c>
      <c r="C4425" s="8" t="s">
        <v>1213</v>
      </c>
      <c r="D4425" t="str">
        <f>IFERROR(VLOOKUP(C4425,APOYO!J:K,2,FALSE),C4425)</f>
        <v>BARAYA</v>
      </c>
      <c r="E4425" s="8">
        <v>2019</v>
      </c>
      <c r="F4425" s="8"/>
      <c r="G4425" s="8"/>
      <c r="H4425" s="8"/>
      <c r="I4425" s="8"/>
      <c r="J4425" s="8"/>
      <c r="K4425" s="8"/>
    </row>
    <row r="4426" spans="1:11" hidden="1" x14ac:dyDescent="0.25">
      <c r="A4426" t="str">
        <f>_xlfn.XLOOKUP(C4426, 'Códigos DANE Municipios'!$B$2:$B$1123, 'Códigos DANE Municipios'!$A$2:$A$1123, "No encontrado")</f>
        <v>52079</v>
      </c>
      <c r="B4426" t="str">
        <f>IFERROR(VLOOKUP(D4426,APOYO!K:L,2,FALSE),A4426)</f>
        <v>52079</v>
      </c>
      <c r="C4426" s="8" t="s">
        <v>1421</v>
      </c>
      <c r="D4426" t="str">
        <f>IFERROR(VLOOKUP(C4426,APOYO!J:K,2,FALSE),C4426)</f>
        <v>BARBACOAS</v>
      </c>
      <c r="E4426" s="8">
        <v>2019</v>
      </c>
      <c r="F4426" s="8"/>
      <c r="G4426" s="8"/>
      <c r="H4426" s="8">
        <v>19</v>
      </c>
      <c r="I4426" s="8"/>
      <c r="J4426" s="8"/>
      <c r="K4426" s="8"/>
    </row>
    <row r="4427" spans="1:11" hidden="1" x14ac:dyDescent="0.25">
      <c r="A4427" t="str">
        <f>_xlfn.XLOOKUP(C4427, 'Códigos DANE Municipios'!$B$2:$B$1123, 'Códigos DANE Municipios'!$A$2:$A$1123, "No encontrado")</f>
        <v>05079</v>
      </c>
      <c r="B4427" t="str">
        <f>IFERROR(VLOOKUP(D4427,APOYO!K:L,2,FALSE),A4427)</f>
        <v>05079</v>
      </c>
      <c r="C4427" s="8" t="s">
        <v>44</v>
      </c>
      <c r="D4427" t="str">
        <f>IFERROR(VLOOKUP(C4427,APOYO!J:K,2,FALSE),C4427)</f>
        <v>BARBOSA</v>
      </c>
      <c r="E4427" s="8">
        <v>2019</v>
      </c>
      <c r="F4427" s="8">
        <v>23</v>
      </c>
      <c r="G4427" s="8"/>
      <c r="H4427" s="8">
        <v>292</v>
      </c>
      <c r="I4427" s="8"/>
      <c r="J4427" s="8"/>
      <c r="K4427" s="8"/>
    </row>
    <row r="4428" spans="1:11" hidden="1" x14ac:dyDescent="0.25">
      <c r="A4428" t="str">
        <f>_xlfn.XLOOKUP(C4428, 'Códigos DANE Municipios'!$B$2:$B$1123, 'Códigos DANE Municipios'!$A$2:$A$1123, "No encontrado")</f>
        <v>68079</v>
      </c>
      <c r="B4428" t="str">
        <f>IFERROR(VLOOKUP(D4428,APOYO!K:L,2,FALSE),A4428)</f>
        <v>68079</v>
      </c>
      <c r="C4428" s="8" t="s">
        <v>1663</v>
      </c>
      <c r="D4428" t="str">
        <f>IFERROR(VLOOKUP(C4428,APOYO!J:K,2,FALSE),C4428)</f>
        <v>BARICHARA</v>
      </c>
      <c r="E4428" s="8">
        <v>2019</v>
      </c>
      <c r="F4428" s="8"/>
      <c r="G4428" s="8"/>
      <c r="H4428" s="8">
        <v>219</v>
      </c>
      <c r="I4428" s="8"/>
      <c r="J4428" s="8"/>
      <c r="K4428" s="8"/>
    </row>
    <row r="4429" spans="1:11" hidden="1" x14ac:dyDescent="0.25">
      <c r="A4429" t="str">
        <f>_xlfn.XLOOKUP(C4429, 'Códigos DANE Municipios'!$B$2:$B$1123, 'Códigos DANE Municipios'!$A$2:$A$1123, "No encontrado")</f>
        <v>50110</v>
      </c>
      <c r="B4429" t="str">
        <f>IFERROR(VLOOKUP(D4429,APOYO!K:L,2,FALSE),A4429)</f>
        <v>50110</v>
      </c>
      <c r="C4429" t="s">
        <v>1362</v>
      </c>
      <c r="D4429" t="str">
        <f>IFERROR(VLOOKUP(C4429,APOYO!J:K,2,FALSE),C4429)</f>
        <v>BARRANCA DE UPÍA</v>
      </c>
      <c r="E4429">
        <v>2019</v>
      </c>
      <c r="H4429">
        <v>1</v>
      </c>
    </row>
    <row r="4430" spans="1:11" hidden="1" x14ac:dyDescent="0.25">
      <c r="A4430" t="str">
        <f>_xlfn.XLOOKUP(C4430, 'Códigos DANE Municipios'!$B$2:$B$1123, 'Códigos DANE Municipios'!$A$2:$A$1123, "No encontrado")</f>
        <v>68081</v>
      </c>
      <c r="B4430" t="str">
        <f>IFERROR(VLOOKUP(D4430,APOYO!K:L,2,FALSE),A4430)</f>
        <v>68081</v>
      </c>
      <c r="C4430" s="8" t="s">
        <v>1665</v>
      </c>
      <c r="D4430" t="str">
        <f>IFERROR(VLOOKUP(C4430,APOYO!J:K,2,FALSE),C4430)</f>
        <v>BARRANCABERMEJA</v>
      </c>
      <c r="E4430" s="8">
        <v>2019</v>
      </c>
      <c r="F4430" s="8">
        <v>73381</v>
      </c>
      <c r="G4430" s="8">
        <v>835</v>
      </c>
      <c r="H4430" s="8">
        <v>708</v>
      </c>
      <c r="I4430" s="8"/>
      <c r="J4430" s="8"/>
      <c r="K4430" s="8"/>
    </row>
    <row r="4431" spans="1:11" hidden="1" x14ac:dyDescent="0.25">
      <c r="A4431" t="str">
        <f>_xlfn.XLOOKUP(C4431, 'Códigos DANE Municipios'!$B$2:$B$1123, 'Códigos DANE Municipios'!$A$2:$A$1123, "No encontrado")</f>
        <v>44078</v>
      </c>
      <c r="B4431" t="str">
        <f>IFERROR(VLOOKUP(D4431,APOYO!K:L,2,FALSE),A4431)</f>
        <v>44078</v>
      </c>
      <c r="C4431" s="8" t="s">
        <v>1275</v>
      </c>
      <c r="D4431" t="str">
        <f>IFERROR(VLOOKUP(C4431,APOYO!J:K,2,FALSE),C4431)</f>
        <v>BARRANCAS</v>
      </c>
      <c r="E4431" s="8">
        <v>2019</v>
      </c>
      <c r="F4431" s="8"/>
      <c r="G4431" s="8"/>
      <c r="H4431" s="8">
        <v>20</v>
      </c>
      <c r="I4431" s="8"/>
      <c r="J4431" s="8"/>
      <c r="K4431" s="8"/>
    </row>
    <row r="4432" spans="1:11" hidden="1" x14ac:dyDescent="0.25">
      <c r="A4432" t="str">
        <f>_xlfn.XLOOKUP(C4432, 'Códigos DANE Municipios'!$B$2:$B$1123, 'Códigos DANE Municipios'!$A$2:$A$1123, "No encontrado")</f>
        <v>08001</v>
      </c>
      <c r="B4432" t="str">
        <f>IFERROR(VLOOKUP(D4432,APOYO!K:L,2,FALSE),A4432)</f>
        <v>08001</v>
      </c>
      <c r="C4432" s="8" t="s">
        <v>262</v>
      </c>
      <c r="D4432" t="str">
        <f>IFERROR(VLOOKUP(C4432,APOYO!J:K,2,FALSE),C4432)</f>
        <v>BARRANQUILLA</v>
      </c>
      <c r="E4432" s="8">
        <v>2019</v>
      </c>
      <c r="F4432" s="8">
        <v>1206166</v>
      </c>
      <c r="G4432" s="8">
        <v>166031</v>
      </c>
      <c r="H4432" s="8">
        <v>60721</v>
      </c>
      <c r="I4432" s="8"/>
      <c r="J4432" s="8"/>
      <c r="K4432" s="8"/>
    </row>
    <row r="4433" spans="1:11" hidden="1" x14ac:dyDescent="0.25">
      <c r="A4433" t="str">
        <f>_xlfn.XLOOKUP(C4433, 'Códigos DANE Municipios'!$B$2:$B$1123, 'Códigos DANE Municipios'!$A$2:$A$1123, "No encontrado")</f>
        <v>17088</v>
      </c>
      <c r="B4433" t="str">
        <f>IFERROR(VLOOKUP(D4433,APOYO!K:L,2,FALSE),A4433)</f>
        <v>17088</v>
      </c>
      <c r="C4433" t="s">
        <v>652</v>
      </c>
      <c r="D4433" t="str">
        <f>IFERROR(VLOOKUP(C4433,APOYO!J:K,2,FALSE),C4433)</f>
        <v>BELALCÁZAR</v>
      </c>
      <c r="E4433">
        <v>2019</v>
      </c>
      <c r="H4433">
        <v>5</v>
      </c>
    </row>
    <row r="4434" spans="1:11" hidden="1" x14ac:dyDescent="0.25">
      <c r="A4434" t="str">
        <f>_xlfn.XLOOKUP(C4434, 'Códigos DANE Municipios'!$B$2:$B$1123, 'Códigos DANE Municipios'!$A$2:$A$1123, "No encontrado")</f>
        <v>15087</v>
      </c>
      <c r="B4434" t="str">
        <f>IFERROR(VLOOKUP(D4434,APOYO!K:L,2,FALSE),A4434)</f>
        <v>15087</v>
      </c>
      <c r="C4434" t="s">
        <v>409</v>
      </c>
      <c r="D4434" t="str">
        <f>IFERROR(VLOOKUP(C4434,APOYO!J:K,2,FALSE),C4434)</f>
        <v>BELÉN</v>
      </c>
      <c r="E4434">
        <v>2019</v>
      </c>
      <c r="H4434">
        <v>7</v>
      </c>
    </row>
    <row r="4435" spans="1:11" hidden="1" x14ac:dyDescent="0.25">
      <c r="A4435" t="str">
        <f>_xlfn.XLOOKUP(C4435, 'Códigos DANE Municipios'!$B$2:$B$1123, 'Códigos DANE Municipios'!$A$2:$A$1123, "No encontrado")</f>
        <v>66088</v>
      </c>
      <c r="B4435" t="str">
        <f>IFERROR(VLOOKUP(D4435,APOYO!K:L,2,FALSE),A4435)</f>
        <v>66088</v>
      </c>
      <c r="C4435" t="s">
        <v>1633</v>
      </c>
      <c r="D4435" t="str">
        <f>IFERROR(VLOOKUP(C4435,APOYO!J:K,2,FALSE),C4435)</f>
        <v>BELÉN DE UMBRÍA</v>
      </c>
      <c r="E4435">
        <v>2019</v>
      </c>
      <c r="H4435">
        <v>109</v>
      </c>
    </row>
    <row r="4436" spans="1:11" hidden="1" x14ac:dyDescent="0.25">
      <c r="A4436" t="str">
        <f>_xlfn.XLOOKUP(C4436, 'Códigos DANE Municipios'!$B$2:$B$1123, 'Códigos DANE Municipios'!$A$2:$A$1123, "No encontrado")</f>
        <v>05088</v>
      </c>
      <c r="B4436" t="str">
        <f>IFERROR(VLOOKUP(D4436,APOYO!K:L,2,FALSE),A4436)</f>
        <v>05088</v>
      </c>
      <c r="C4436" s="8" t="s">
        <v>48</v>
      </c>
      <c r="D4436" t="str">
        <f>IFERROR(VLOOKUP(C4436,APOYO!J:K,2,FALSE),C4436)</f>
        <v>BELLO</v>
      </c>
      <c r="E4436" s="8">
        <v>2019</v>
      </c>
      <c r="F4436" s="8"/>
      <c r="G4436" s="8"/>
      <c r="H4436" s="8">
        <v>1612</v>
      </c>
      <c r="I4436" s="8"/>
      <c r="J4436" s="8"/>
      <c r="K4436" s="8"/>
    </row>
    <row r="4437" spans="1:11" hidden="1" x14ac:dyDescent="0.25">
      <c r="A4437" t="str">
        <f>_xlfn.XLOOKUP(C4437, 'Códigos DANE Municipios'!$B$2:$B$1123, 'Códigos DANE Municipios'!$A$2:$A$1123, "No encontrado")</f>
        <v>05086</v>
      </c>
      <c r="B4437" t="str">
        <f>IFERROR(VLOOKUP(D4437,APOYO!K:L,2,FALSE),A4437)</f>
        <v>05086</v>
      </c>
      <c r="C4437" s="8" t="s">
        <v>46</v>
      </c>
      <c r="D4437" t="str">
        <f>IFERROR(VLOOKUP(C4437,APOYO!J:K,2,FALSE),C4437)</f>
        <v>BELMIRA</v>
      </c>
      <c r="E4437" s="8">
        <v>2019</v>
      </c>
      <c r="F4437" s="8"/>
      <c r="G4437" s="8"/>
      <c r="H4437" s="8"/>
      <c r="I4437" s="8"/>
      <c r="J4437" s="8"/>
      <c r="K4437" s="8"/>
    </row>
    <row r="4438" spans="1:11" hidden="1" x14ac:dyDescent="0.25">
      <c r="A4438" t="str">
        <f>_xlfn.XLOOKUP(C4438, 'Códigos DANE Municipios'!$B$2:$B$1123, 'Códigos DANE Municipios'!$A$2:$A$1123, "No encontrado")</f>
        <v>25086</v>
      </c>
      <c r="B4438" t="str">
        <f>IFERROR(VLOOKUP(D4438,APOYO!K:L,2,FALSE),A4438)</f>
        <v>25086</v>
      </c>
      <c r="C4438" t="s">
        <v>926</v>
      </c>
      <c r="D4438" t="str">
        <f>IFERROR(VLOOKUP(C4438,APOYO!J:K,2,FALSE),C4438)</f>
        <v>BELTRÁN</v>
      </c>
      <c r="E4438">
        <v>2019</v>
      </c>
      <c r="H4438">
        <v>3</v>
      </c>
    </row>
    <row r="4439" spans="1:11" hidden="1" x14ac:dyDescent="0.25">
      <c r="A4439" t="str">
        <f>_xlfn.XLOOKUP(C4439, 'Códigos DANE Municipios'!$B$2:$B$1123, 'Códigos DANE Municipios'!$A$2:$A$1123, "No encontrado")</f>
        <v>05091</v>
      </c>
      <c r="B4439" t="str">
        <f>IFERROR(VLOOKUP(D4439,APOYO!K:L,2,FALSE),A4439)</f>
        <v>05091</v>
      </c>
      <c r="C4439" s="8" t="s">
        <v>50</v>
      </c>
      <c r="D4439" t="str">
        <f>IFERROR(VLOOKUP(C4439,APOYO!J:K,2,FALSE),C4439)</f>
        <v>BETANIA</v>
      </c>
      <c r="E4439" s="8">
        <v>2019</v>
      </c>
      <c r="F4439" s="8"/>
      <c r="G4439" s="8"/>
      <c r="H4439" s="8">
        <v>3</v>
      </c>
      <c r="I4439" s="8"/>
      <c r="J4439" s="8"/>
      <c r="K4439" s="8"/>
    </row>
    <row r="4440" spans="1:11" hidden="1" x14ac:dyDescent="0.25">
      <c r="A4440" t="str">
        <f>_xlfn.XLOOKUP(C4440, 'Códigos DANE Municipios'!$B$2:$B$1123, 'Códigos DANE Municipios'!$A$2:$A$1123, "No encontrado")</f>
        <v>05093</v>
      </c>
      <c r="B4440" t="str">
        <f>IFERROR(VLOOKUP(D4440,APOYO!K:L,2,FALSE),A4440)</f>
        <v>05093</v>
      </c>
      <c r="C4440" s="8" t="s">
        <v>52</v>
      </c>
      <c r="D4440" t="str">
        <f>IFERROR(VLOOKUP(C4440,APOYO!J:K,2,FALSE),C4440)</f>
        <v>BETULIA</v>
      </c>
      <c r="E4440" s="8">
        <v>2019</v>
      </c>
      <c r="F4440" s="8"/>
      <c r="G4440" s="8"/>
      <c r="H4440" s="8">
        <v>4</v>
      </c>
      <c r="I4440" s="8"/>
      <c r="J4440" s="8"/>
      <c r="K4440" s="8"/>
    </row>
    <row r="4441" spans="1:11" hidden="1" x14ac:dyDescent="0.25">
      <c r="A4441" t="str">
        <f>_xlfn.XLOOKUP(C4441, 'Códigos DANE Municipios'!$B$2:$B$1123, 'Códigos DANE Municipios'!$A$2:$A$1123, "No encontrado")</f>
        <v>25095</v>
      </c>
      <c r="B4441" t="str">
        <f>IFERROR(VLOOKUP(D4441,APOYO!K:L,2,FALSE),A4441)</f>
        <v>25095</v>
      </c>
      <c r="C4441" s="8" t="s">
        <v>928</v>
      </c>
      <c r="D4441" t="str">
        <f>IFERROR(VLOOKUP(C4441,APOYO!J:K,2,FALSE),C4441)</f>
        <v>BITUIMA</v>
      </c>
      <c r="E4441" s="8">
        <v>2019</v>
      </c>
      <c r="F4441" s="8"/>
      <c r="G4441" s="8"/>
      <c r="H4441" s="8">
        <v>1</v>
      </c>
      <c r="I4441" s="8"/>
      <c r="J4441" s="8"/>
      <c r="K4441" s="8"/>
    </row>
    <row r="4442" spans="1:11" hidden="1" x14ac:dyDescent="0.25">
      <c r="A4442" t="str">
        <f>_xlfn.XLOOKUP(C4442, 'Códigos DANE Municipios'!$B$2:$B$1123, 'Códigos DANE Municipios'!$A$2:$A$1123, "No encontrado")</f>
        <v>15097</v>
      </c>
      <c r="B4442" t="str">
        <f>IFERROR(VLOOKUP(D4442,APOYO!K:L,2,FALSE),A4442)</f>
        <v>15097</v>
      </c>
      <c r="C4442" s="8" t="s">
        <v>415</v>
      </c>
      <c r="D4442" t="str">
        <f>IFERROR(VLOOKUP(C4442,APOYO!J:K,2,FALSE),C4442)</f>
        <v>BOAVITA</v>
      </c>
      <c r="E4442" s="8">
        <v>2019</v>
      </c>
      <c r="F4442" s="8"/>
      <c r="G4442" s="8"/>
      <c r="H4442" s="8">
        <v>2</v>
      </c>
      <c r="I4442" s="8"/>
      <c r="J4442" s="8"/>
      <c r="K4442" s="8"/>
    </row>
    <row r="4443" spans="1:11" hidden="1" x14ac:dyDescent="0.25">
      <c r="A4443" t="str">
        <f>_xlfn.XLOOKUP(C4443, 'Códigos DANE Municipios'!$B$2:$B$1123, 'Códigos DANE Municipios'!$A$2:$A$1123, "No encontrado")</f>
        <v>54099</v>
      </c>
      <c r="B4443" t="str">
        <f>IFERROR(VLOOKUP(D4443,APOYO!K:L,2,FALSE),A4443)</f>
        <v>54099</v>
      </c>
      <c r="C4443" s="8" t="s">
        <v>1535</v>
      </c>
      <c r="D4443" t="str">
        <f>IFERROR(VLOOKUP(C4443,APOYO!J:K,2,FALSE),C4443)</f>
        <v>BOCHALEMA</v>
      </c>
      <c r="E4443" s="8">
        <v>2019</v>
      </c>
      <c r="F4443" s="8"/>
      <c r="G4443" s="8"/>
      <c r="H4443" s="8">
        <v>9</v>
      </c>
      <c r="I4443" s="8"/>
      <c r="J4443" s="8"/>
      <c r="K4443" s="8"/>
    </row>
    <row r="4444" spans="1:11" hidden="1" x14ac:dyDescent="0.25">
      <c r="A4444" t="str">
        <f>_xlfn.XLOOKUP(C4444, 'Códigos DANE Municipios'!$B$2:$B$1123, 'Códigos DANE Municipios'!$A$2:$A$1123, "No encontrado")</f>
        <v>11001</v>
      </c>
      <c r="B4444" t="str">
        <f>IFERROR(VLOOKUP(D4444,APOYO!K:L,2,FALSE),A4444)</f>
        <v>11001</v>
      </c>
      <c r="C4444" t="s">
        <v>307</v>
      </c>
      <c r="D4444" t="str">
        <f>IFERROR(VLOOKUP(C4444,APOYO!J:K,2,FALSE),C4444)</f>
        <v>BOGOTÁ, D.C.</v>
      </c>
      <c r="E4444">
        <v>2019</v>
      </c>
      <c r="F4444">
        <v>9743079</v>
      </c>
      <c r="G4444">
        <v>4516383</v>
      </c>
      <c r="H4444">
        <v>1259394</v>
      </c>
      <c r="I4444">
        <v>25971</v>
      </c>
    </row>
    <row r="4445" spans="1:11" hidden="1" x14ac:dyDescent="0.25">
      <c r="A4445" t="str">
        <f>_xlfn.XLOOKUP(C4445, 'Códigos DANE Municipios'!$B$2:$B$1123, 'Códigos DANE Municipios'!$A$2:$A$1123, "No encontrado")</f>
        <v>25099</v>
      </c>
      <c r="B4445" t="str">
        <f>IFERROR(VLOOKUP(D4445,APOYO!K:L,2,FALSE),A4445)</f>
        <v>25099</v>
      </c>
      <c r="C4445" t="s">
        <v>930</v>
      </c>
      <c r="D4445" t="str">
        <f>IFERROR(VLOOKUP(C4445,APOYO!J:K,2,FALSE),C4445)</f>
        <v>BOJACÁ</v>
      </c>
      <c r="E4445">
        <v>2019</v>
      </c>
      <c r="H4445">
        <v>16</v>
      </c>
    </row>
    <row r="4446" spans="1:11" hidden="1" x14ac:dyDescent="0.25">
      <c r="A4446" t="str">
        <f>_xlfn.XLOOKUP(C4446, 'Códigos DANE Municipios'!$B$2:$B$1123, 'Códigos DANE Municipios'!$A$2:$A$1123, "No encontrado")</f>
        <v>19100</v>
      </c>
      <c r="B4446" t="str">
        <f>IFERROR(VLOOKUP(D4446,APOYO!K:L,2,FALSE),A4446)</f>
        <v>19100</v>
      </c>
      <c r="C4446" t="s">
        <v>736</v>
      </c>
      <c r="D4446" t="str">
        <f>IFERROR(VLOOKUP(C4446,APOYO!J:K,2,FALSE),C4446)</f>
        <v>BOLÍVAR</v>
      </c>
      <c r="E4446">
        <v>2019</v>
      </c>
      <c r="H4446">
        <v>78</v>
      </c>
    </row>
    <row r="4447" spans="1:11" hidden="1" x14ac:dyDescent="0.25">
      <c r="A4447" t="str">
        <f>_xlfn.XLOOKUP(C4447, 'Códigos DANE Municipios'!$B$2:$B$1123, 'Códigos DANE Municipios'!$A$2:$A$1123, "No encontrado")</f>
        <v>20060</v>
      </c>
      <c r="B4447" t="str">
        <f>IFERROR(VLOOKUP(D4447,APOYO!K:L,2,FALSE),A4447)</f>
        <v>20060</v>
      </c>
      <c r="C4447" s="8" t="s">
        <v>818</v>
      </c>
      <c r="D4447" t="str">
        <f>IFERROR(VLOOKUP(C4447,APOYO!J:K,2,FALSE),C4447)</f>
        <v>BOSCONIA</v>
      </c>
      <c r="E4447" s="8">
        <v>2019</v>
      </c>
      <c r="F4447" s="8">
        <v>732</v>
      </c>
      <c r="G4447" s="8"/>
      <c r="H4447" s="8">
        <v>84</v>
      </c>
      <c r="I4447" s="8"/>
      <c r="J4447" s="8"/>
      <c r="K4447" s="8"/>
    </row>
    <row r="4448" spans="1:11" hidden="1" x14ac:dyDescent="0.25">
      <c r="A4448" t="str">
        <f>_xlfn.XLOOKUP(C4448, 'Códigos DANE Municipios'!$B$2:$B$1123, 'Códigos DANE Municipios'!$A$2:$A$1123, "No encontrado")</f>
        <v>15104</v>
      </c>
      <c r="B4448" t="str">
        <f>IFERROR(VLOOKUP(D4448,APOYO!K:L,2,FALSE),A4448)</f>
        <v>15104</v>
      </c>
      <c r="C4448" t="s">
        <v>417</v>
      </c>
      <c r="D4448" t="str">
        <f>IFERROR(VLOOKUP(C4448,APOYO!J:K,2,FALSE),C4448)</f>
        <v>BOYACÁ</v>
      </c>
      <c r="E4448">
        <v>2019</v>
      </c>
      <c r="H4448">
        <v>25</v>
      </c>
    </row>
    <row r="4449" spans="1:11" hidden="1" x14ac:dyDescent="0.25">
      <c r="A4449" t="str">
        <f>_xlfn.XLOOKUP(C4449, 'Códigos DANE Municipios'!$B$2:$B$1123, 'Códigos DANE Municipios'!$A$2:$A$1123, "No encontrado")</f>
        <v>05107</v>
      </c>
      <c r="B4449" t="str">
        <f>IFERROR(VLOOKUP(D4449,APOYO!K:L,2,FALSE),A4449)</f>
        <v>05107</v>
      </c>
      <c r="C4449" t="s">
        <v>56</v>
      </c>
      <c r="D4449" t="str">
        <f>IFERROR(VLOOKUP(C4449,APOYO!J:K,2,FALSE),C4449)</f>
        <v>BRICEÑO</v>
      </c>
      <c r="E4449">
        <v>2019</v>
      </c>
      <c r="H4449">
        <v>2</v>
      </c>
    </row>
    <row r="4450" spans="1:11" hidden="1" x14ac:dyDescent="0.25">
      <c r="A4450" t="str">
        <f>_xlfn.XLOOKUP(C4450, 'Códigos DANE Municipios'!$B$2:$B$1123, 'Códigos DANE Municipios'!$A$2:$A$1123, "No encontrado")</f>
        <v>05107</v>
      </c>
      <c r="B4450" t="str">
        <f>IFERROR(VLOOKUP(D4450,APOYO!K:L,2,FALSE),A4450)</f>
        <v>05107</v>
      </c>
      <c r="C4450" s="8" t="s">
        <v>56</v>
      </c>
      <c r="D4450" t="str">
        <f>IFERROR(VLOOKUP(C4450,APOYO!J:K,2,FALSE),C4450)</f>
        <v>BRICEÑO</v>
      </c>
      <c r="E4450" s="8">
        <v>2019</v>
      </c>
      <c r="F4450" s="8"/>
      <c r="G4450" s="8"/>
      <c r="H4450" s="8">
        <v>2</v>
      </c>
      <c r="I4450" s="8"/>
      <c r="J4450" s="8"/>
      <c r="K4450" s="8"/>
    </row>
    <row r="4451" spans="1:11" hidden="1" x14ac:dyDescent="0.25">
      <c r="A4451" t="str">
        <f>_xlfn.XLOOKUP(C4451, 'Códigos DANE Municipios'!$B$2:$B$1123, 'Códigos DANE Municipios'!$A$2:$A$1123, "No encontrado")</f>
        <v>68001</v>
      </c>
      <c r="B4451" t="str">
        <f>IFERROR(VLOOKUP(D4451,APOYO!K:L,2,FALSE),A4451)</f>
        <v>68001</v>
      </c>
      <c r="C4451" s="8" t="s">
        <v>1655</v>
      </c>
      <c r="D4451" t="str">
        <f>IFERROR(VLOOKUP(C4451,APOYO!J:K,2,FALSE),C4451)</f>
        <v>BUCARAMANGA</v>
      </c>
      <c r="E4451" s="8">
        <v>2019</v>
      </c>
      <c r="F4451" s="8">
        <v>874764</v>
      </c>
      <c r="G4451" s="8">
        <v>48617</v>
      </c>
      <c r="H4451" s="8">
        <v>17847</v>
      </c>
      <c r="I4451" s="8"/>
      <c r="J4451" s="8"/>
      <c r="K4451" s="8"/>
    </row>
    <row r="4452" spans="1:11" hidden="1" x14ac:dyDescent="0.25">
      <c r="A4452" t="str">
        <f>_xlfn.XLOOKUP(C4452, 'Códigos DANE Municipios'!$B$2:$B$1123, 'Códigos DANE Municipios'!$A$2:$A$1123, "No encontrado")</f>
        <v>76109</v>
      </c>
      <c r="B4452" t="str">
        <f>IFERROR(VLOOKUP(D4452,APOYO!K:L,2,FALSE),A4452)</f>
        <v>76109</v>
      </c>
      <c r="C4452" s="8" t="s">
        <v>1967</v>
      </c>
      <c r="D4452" t="str">
        <f>IFERROR(VLOOKUP(C4452,APOYO!J:K,2,FALSE),C4452)</f>
        <v>BUENAVENTURA</v>
      </c>
      <c r="E4452" s="8">
        <v>2019</v>
      </c>
      <c r="F4452" s="8">
        <v>8405</v>
      </c>
      <c r="G4452" s="8"/>
      <c r="H4452" s="8">
        <v>1283</v>
      </c>
      <c r="I4452" s="8">
        <v>291</v>
      </c>
      <c r="J4452" s="8"/>
      <c r="K4452" s="8"/>
    </row>
    <row r="4453" spans="1:11" hidden="1" x14ac:dyDescent="0.25">
      <c r="A4453" t="str">
        <f>_xlfn.XLOOKUP(C4453, 'Códigos DANE Municipios'!$B$2:$B$1123, 'Códigos DANE Municipios'!$A$2:$A$1123, "No encontrado")</f>
        <v>15109</v>
      </c>
      <c r="B4453" t="str">
        <f>IFERROR(VLOOKUP(D4453,APOYO!K:L,2,FALSE),A4453)</f>
        <v>15109</v>
      </c>
      <c r="C4453" s="8" t="s">
        <v>420</v>
      </c>
      <c r="D4453" t="str">
        <f>IFERROR(VLOOKUP(C4453,APOYO!J:K,2,FALSE),C4453)</f>
        <v>BUENAVISTA</v>
      </c>
      <c r="E4453" s="8">
        <v>2019</v>
      </c>
      <c r="F4453" s="8"/>
      <c r="G4453" s="8"/>
      <c r="H4453" s="8">
        <v>28</v>
      </c>
      <c r="I4453" s="8"/>
      <c r="J4453" s="8"/>
      <c r="K4453" s="8"/>
    </row>
    <row r="4454" spans="1:11" hidden="1" x14ac:dyDescent="0.25">
      <c r="A4454" t="str">
        <f>_xlfn.XLOOKUP(C4454, 'Códigos DANE Municipios'!$B$2:$B$1123, 'Códigos DANE Municipios'!$A$2:$A$1123, "No encontrado")</f>
        <v>19110</v>
      </c>
      <c r="B4454" t="str">
        <f>IFERROR(VLOOKUP(D4454,APOYO!K:L,2,FALSE),A4454)</f>
        <v>19110</v>
      </c>
      <c r="C4454" s="8" t="s">
        <v>738</v>
      </c>
      <c r="D4454" t="str">
        <f>IFERROR(VLOOKUP(C4454,APOYO!J:K,2,FALSE),C4454)</f>
        <v>BUENOS AIRES</v>
      </c>
      <c r="E4454" s="8">
        <v>2019</v>
      </c>
      <c r="F4454" s="8"/>
      <c r="G4454" s="8"/>
      <c r="H4454" s="8">
        <v>10</v>
      </c>
      <c r="I4454" s="8"/>
      <c r="J4454" s="8"/>
      <c r="K4454" s="8"/>
    </row>
    <row r="4455" spans="1:11" hidden="1" x14ac:dyDescent="0.25">
      <c r="A4455" t="str">
        <f>_xlfn.XLOOKUP(C4455, 'Códigos DANE Municipios'!$B$2:$B$1123, 'Códigos DANE Municipios'!$A$2:$A$1123, "No encontrado")</f>
        <v>52110</v>
      </c>
      <c r="B4455" t="str">
        <f>IFERROR(VLOOKUP(D4455,APOYO!K:L,2,FALSE),A4455)</f>
        <v>52110</v>
      </c>
      <c r="C4455" s="8" t="s">
        <v>1424</v>
      </c>
      <c r="D4455" t="str">
        <f>IFERROR(VLOOKUP(C4455,APOYO!J:K,2,FALSE),C4455)</f>
        <v>BUESACO</v>
      </c>
      <c r="E4455" s="8">
        <v>2019</v>
      </c>
      <c r="F4455" s="8"/>
      <c r="G4455" s="8"/>
      <c r="H4455" s="8">
        <v>6</v>
      </c>
      <c r="I4455" s="8"/>
      <c r="J4455" s="8"/>
      <c r="K4455" s="8"/>
    </row>
    <row r="4456" spans="1:11" hidden="1" x14ac:dyDescent="0.25">
      <c r="A4456" t="str">
        <f>_xlfn.XLOOKUP(C4456, 'Códigos DANE Municipios'!$B$2:$B$1123, 'Códigos DANE Municipios'!$A$2:$A$1123, "No encontrado")</f>
        <v>76111</v>
      </c>
      <c r="B4456" t="str">
        <f>IFERROR(VLOOKUP(D4456,APOYO!K:L,2,FALSE),A4456)</f>
        <v>76111</v>
      </c>
      <c r="C4456" t="s">
        <v>1969</v>
      </c>
      <c r="D4456" t="str">
        <f>IFERROR(VLOOKUP(C4456,APOYO!J:K,2,FALSE),C4456)</f>
        <v>GUADALAJARA DE BUGA</v>
      </c>
      <c r="E4456">
        <v>2019</v>
      </c>
      <c r="H4456">
        <v>770</v>
      </c>
    </row>
    <row r="4457" spans="1:11" hidden="1" x14ac:dyDescent="0.25">
      <c r="A4457" t="str">
        <f>_xlfn.XLOOKUP(C4457, 'Códigos DANE Municipios'!$B$2:$B$1123, 'Códigos DANE Municipios'!$A$2:$A$1123, "No encontrado")</f>
        <v>76113</v>
      </c>
      <c r="B4457" t="str">
        <f>IFERROR(VLOOKUP(D4457,APOYO!K:L,2,FALSE),A4457)</f>
        <v>76113</v>
      </c>
      <c r="C4457" s="8" t="s">
        <v>1971</v>
      </c>
      <c r="D4457" t="str">
        <f>IFERROR(VLOOKUP(C4457,APOYO!J:K,2,FALSE),C4457)</f>
        <v>BUGALAGRANDE</v>
      </c>
      <c r="E4457" s="8">
        <v>2019</v>
      </c>
      <c r="F4457" s="8"/>
      <c r="G4457" s="8"/>
      <c r="H4457" s="8">
        <v>1014</v>
      </c>
      <c r="I4457" s="8"/>
      <c r="J4457" s="8"/>
      <c r="K4457" s="8"/>
    </row>
    <row r="4458" spans="1:11" hidden="1" x14ac:dyDescent="0.25">
      <c r="A4458" t="str">
        <f>_xlfn.XLOOKUP(C4458, 'Códigos DANE Municipios'!$B$2:$B$1123, 'Códigos DANE Municipios'!$A$2:$A$1123, "No encontrado")</f>
        <v>05113</v>
      </c>
      <c r="B4458" t="str">
        <f>IFERROR(VLOOKUP(D4458,APOYO!K:L,2,FALSE),A4458)</f>
        <v>05113</v>
      </c>
      <c r="C4458" s="8" t="s">
        <v>58</v>
      </c>
      <c r="D4458" t="str">
        <f>IFERROR(VLOOKUP(C4458,APOYO!J:K,2,FALSE),C4458)</f>
        <v>BURITICÁ</v>
      </c>
      <c r="E4458" s="8">
        <v>2019</v>
      </c>
      <c r="F4458" s="8"/>
      <c r="G4458" s="8"/>
      <c r="H4458" s="8">
        <v>79</v>
      </c>
      <c r="I4458" s="8"/>
      <c r="J4458" s="8"/>
      <c r="K4458" s="8"/>
    </row>
    <row r="4459" spans="1:11" hidden="1" x14ac:dyDescent="0.25">
      <c r="A4459" t="str">
        <f>_xlfn.XLOOKUP(C4459, 'Códigos DANE Municipios'!$B$2:$B$1123, 'Códigos DANE Municipios'!$A$2:$A$1123, "No encontrado")</f>
        <v>25120</v>
      </c>
      <c r="B4459" t="str">
        <f>IFERROR(VLOOKUP(D4459,APOYO!K:L,2,FALSE),A4459)</f>
        <v>25120</v>
      </c>
      <c r="C4459" s="8" t="s">
        <v>932</v>
      </c>
      <c r="D4459" t="str">
        <f>IFERROR(VLOOKUP(C4459,APOYO!J:K,2,FALSE),C4459)</f>
        <v>CABRERA</v>
      </c>
      <c r="E4459" s="8">
        <v>2019</v>
      </c>
      <c r="F4459" s="8"/>
      <c r="G4459" s="8"/>
      <c r="H4459" s="8">
        <v>1</v>
      </c>
      <c r="I4459" s="8"/>
      <c r="J4459" s="8"/>
      <c r="K4459" s="8"/>
    </row>
    <row r="4460" spans="1:11" hidden="1" x14ac:dyDescent="0.25">
      <c r="A4460" t="str">
        <f>_xlfn.XLOOKUP(C4460, 'Códigos DANE Municipios'!$B$2:$B$1123, 'Códigos DANE Municipios'!$A$2:$A$1123, "No encontrado")</f>
        <v>50124</v>
      </c>
      <c r="B4460" t="str">
        <f>IFERROR(VLOOKUP(D4460,APOYO!K:L,2,FALSE),A4460)</f>
        <v>50124</v>
      </c>
      <c r="C4460" s="8" t="s">
        <v>1364</v>
      </c>
      <c r="D4460" t="str">
        <f>IFERROR(VLOOKUP(C4460,APOYO!J:K,2,FALSE),C4460)</f>
        <v>CABUYARO</v>
      </c>
      <c r="E4460" s="8">
        <v>2019</v>
      </c>
      <c r="F4460" s="8"/>
      <c r="G4460" s="8"/>
      <c r="H4460" s="8"/>
      <c r="I4460" s="8"/>
      <c r="J4460" s="8"/>
      <c r="K4460" s="8"/>
    </row>
    <row r="4461" spans="1:11" hidden="1" x14ac:dyDescent="0.25">
      <c r="A4461" t="str">
        <f>_xlfn.XLOOKUP(C4461, 'Códigos DANE Municipios'!$B$2:$B$1123, 'Códigos DANE Municipios'!$A$2:$A$1123, "No encontrado")</f>
        <v>05120</v>
      </c>
      <c r="B4461" t="str">
        <f>IFERROR(VLOOKUP(D4461,APOYO!K:L,2,FALSE),A4461)</f>
        <v>05120</v>
      </c>
      <c r="C4461" s="8" t="s">
        <v>60</v>
      </c>
      <c r="D4461" t="str">
        <f>IFERROR(VLOOKUP(C4461,APOYO!J:K,2,FALSE),C4461)</f>
        <v>CÁCERES</v>
      </c>
      <c r="E4461" s="8">
        <v>2019</v>
      </c>
      <c r="F4461" s="8"/>
      <c r="G4461" s="8"/>
      <c r="H4461" s="8">
        <v>1</v>
      </c>
      <c r="I4461" s="8"/>
      <c r="J4461" s="8"/>
      <c r="K4461" s="8"/>
    </row>
    <row r="4462" spans="1:11" hidden="1" x14ac:dyDescent="0.25">
      <c r="A4462" t="str">
        <f>_xlfn.XLOOKUP(C4462, 'Códigos DANE Municipios'!$B$2:$B$1123, 'Códigos DANE Municipios'!$A$2:$A$1123, "No encontrado")</f>
        <v>25123</v>
      </c>
      <c r="B4462" t="str">
        <f>IFERROR(VLOOKUP(D4462,APOYO!K:L,2,FALSE),A4462)</f>
        <v>25123</v>
      </c>
      <c r="C4462" s="8" t="s">
        <v>934</v>
      </c>
      <c r="D4462" t="str">
        <f>IFERROR(VLOOKUP(C4462,APOYO!J:K,2,FALSE),C4462)</f>
        <v>CACHIPAY</v>
      </c>
      <c r="E4462" s="8">
        <v>2019</v>
      </c>
      <c r="F4462" s="8"/>
      <c r="G4462" s="8"/>
      <c r="H4462" s="8">
        <v>55</v>
      </c>
      <c r="I4462" s="8"/>
      <c r="J4462" s="8"/>
      <c r="K4462" s="8"/>
    </row>
    <row r="4463" spans="1:11" hidden="1" x14ac:dyDescent="0.25">
      <c r="A4463" t="str">
        <f>_xlfn.XLOOKUP(C4463, 'Códigos DANE Municipios'!$B$2:$B$1123, 'Códigos DANE Municipios'!$A$2:$A$1123, "No encontrado")</f>
        <v>54128</v>
      </c>
      <c r="B4463" t="str">
        <f>IFERROR(VLOOKUP(D4463,APOYO!K:L,2,FALSE),A4463)</f>
        <v>54128</v>
      </c>
      <c r="C4463" t="s">
        <v>1541</v>
      </c>
      <c r="D4463" t="str">
        <f>IFERROR(VLOOKUP(C4463,APOYO!J:K,2,FALSE),C4463)</f>
        <v>CÁCHIRA</v>
      </c>
      <c r="E4463">
        <v>2019</v>
      </c>
      <c r="H4463">
        <v>2</v>
      </c>
    </row>
    <row r="4464" spans="1:11" hidden="1" x14ac:dyDescent="0.25">
      <c r="A4464" t="str">
        <f>_xlfn.XLOOKUP(C4464, 'Códigos DANE Municipios'!$B$2:$B$1123, 'Códigos DANE Municipios'!$A$2:$A$1123, "No encontrado")</f>
        <v>54125</v>
      </c>
      <c r="B4464" t="str">
        <f>IFERROR(VLOOKUP(D4464,APOYO!K:L,2,FALSE),A4464)</f>
        <v>54125</v>
      </c>
      <c r="C4464" s="8" t="s">
        <v>1539</v>
      </c>
      <c r="D4464" t="str">
        <f>IFERROR(VLOOKUP(C4464,APOYO!J:K,2,FALSE),C4464)</f>
        <v>CÁCOTA</v>
      </c>
      <c r="E4464" s="8">
        <v>2019</v>
      </c>
      <c r="F4464" s="8"/>
      <c r="G4464" s="8"/>
      <c r="H4464" s="8">
        <v>52</v>
      </c>
      <c r="I4464" s="8"/>
      <c r="J4464" s="8"/>
      <c r="K4464" s="8"/>
    </row>
    <row r="4465" spans="1:11" hidden="1" x14ac:dyDescent="0.25">
      <c r="A4465" t="str">
        <f>_xlfn.XLOOKUP(C4465, 'Códigos DANE Municipios'!$B$2:$B$1123, 'Códigos DANE Municipios'!$A$2:$A$1123, "No encontrado")</f>
        <v>05125</v>
      </c>
      <c r="B4465" t="str">
        <f>IFERROR(VLOOKUP(D4465,APOYO!K:L,2,FALSE),A4465)</f>
        <v>05125</v>
      </c>
      <c r="C4465" s="8" t="s">
        <v>62</v>
      </c>
      <c r="D4465" t="str">
        <f>IFERROR(VLOOKUP(C4465,APOYO!J:K,2,FALSE),C4465)</f>
        <v>CAICEDO</v>
      </c>
      <c r="E4465" s="8">
        <v>2019</v>
      </c>
      <c r="F4465" s="8"/>
      <c r="G4465" s="8"/>
      <c r="H4465" s="8">
        <v>2</v>
      </c>
      <c r="I4465" s="8"/>
      <c r="J4465" s="8"/>
      <c r="K4465" s="8"/>
    </row>
    <row r="4466" spans="1:11" hidden="1" x14ac:dyDescent="0.25">
      <c r="A4466" t="str">
        <f>_xlfn.XLOOKUP(C4466, 'Códigos DANE Municipios'!$B$2:$B$1123, 'Códigos DANE Municipios'!$A$2:$A$1123, "No encontrado")</f>
        <v>76122</v>
      </c>
      <c r="B4466" t="str">
        <f>IFERROR(VLOOKUP(D4466,APOYO!K:L,2,FALSE),A4466)</f>
        <v>76122</v>
      </c>
      <c r="C4466" s="8" t="s">
        <v>1973</v>
      </c>
      <c r="D4466" t="str">
        <f>IFERROR(VLOOKUP(C4466,APOYO!J:K,2,FALSE),C4466)</f>
        <v>CAICEDONIA</v>
      </c>
      <c r="E4466" s="8">
        <v>2019</v>
      </c>
      <c r="F4466" s="8"/>
      <c r="G4466" s="8"/>
      <c r="H4466" s="8">
        <v>472</v>
      </c>
      <c r="I4466" s="8"/>
      <c r="J4466" s="8"/>
      <c r="K4466" s="8"/>
    </row>
    <row r="4467" spans="1:11" hidden="1" x14ac:dyDescent="0.25">
      <c r="A4467" t="str">
        <f>_xlfn.XLOOKUP(C4467, 'Códigos DANE Municipios'!$B$2:$B$1123, 'Códigos DANE Municipios'!$A$2:$A$1123, "No encontrado")</f>
        <v>73124</v>
      </c>
      <c r="B4467" t="str">
        <f>IFERROR(VLOOKUP(D4467,APOYO!K:L,2,FALSE),A4467)</f>
        <v>73124</v>
      </c>
      <c r="C4467" s="8" t="s">
        <v>1879</v>
      </c>
      <c r="D4467" t="str">
        <f>IFERROR(VLOOKUP(C4467,APOYO!J:K,2,FALSE),C4467)</f>
        <v>CAJAMARCA</v>
      </c>
      <c r="E4467" s="8">
        <v>2019</v>
      </c>
      <c r="F4467" s="8"/>
      <c r="G4467" s="8"/>
      <c r="H4467" s="8">
        <v>24</v>
      </c>
      <c r="I4467" s="8"/>
      <c r="J4467" s="8"/>
      <c r="K4467" s="8"/>
    </row>
    <row r="4468" spans="1:11" hidden="1" x14ac:dyDescent="0.25">
      <c r="A4468" t="str">
        <f>_xlfn.XLOOKUP(C4468, 'Códigos DANE Municipios'!$B$2:$B$1123, 'Códigos DANE Municipios'!$A$2:$A$1123, "No encontrado")</f>
        <v>19130</v>
      </c>
      <c r="B4468" t="str">
        <f>IFERROR(VLOOKUP(D4468,APOYO!K:L,2,FALSE),A4468)</f>
        <v>19130</v>
      </c>
      <c r="C4468" s="8" t="s">
        <v>740</v>
      </c>
      <c r="D4468" t="str">
        <f>IFERROR(VLOOKUP(C4468,APOYO!J:K,2,FALSE),C4468)</f>
        <v>CAJIBÍO</v>
      </c>
      <c r="E4468" s="8">
        <v>2019</v>
      </c>
      <c r="F4468" s="8"/>
      <c r="G4468" s="8"/>
      <c r="H4468" s="8">
        <v>20</v>
      </c>
      <c r="I4468" s="8"/>
      <c r="J4468" s="8"/>
      <c r="K4468" s="8"/>
    </row>
    <row r="4469" spans="1:11" hidden="1" x14ac:dyDescent="0.25">
      <c r="A4469" t="str">
        <f>_xlfn.XLOOKUP(C4469, 'Códigos DANE Municipios'!$B$2:$B$1123, 'Códigos DANE Municipios'!$A$2:$A$1123, "No encontrado")</f>
        <v>25126</v>
      </c>
      <c r="B4469" t="str">
        <f>IFERROR(VLOOKUP(D4469,APOYO!K:L,2,FALSE),A4469)</f>
        <v>25126</v>
      </c>
      <c r="C4469" s="8" t="s">
        <v>936</v>
      </c>
      <c r="D4469" t="str">
        <f>IFERROR(VLOOKUP(C4469,APOYO!J:K,2,FALSE),C4469)</f>
        <v>CAJICÁ</v>
      </c>
      <c r="E4469" s="8">
        <v>2019</v>
      </c>
      <c r="F4469" s="8"/>
      <c r="G4469" s="8"/>
      <c r="H4469" s="8">
        <v>1382</v>
      </c>
      <c r="I4469" s="8"/>
      <c r="J4469" s="8"/>
      <c r="K4469" s="8"/>
    </row>
    <row r="4470" spans="1:11" hidden="1" x14ac:dyDescent="0.25">
      <c r="A4470" t="str">
        <f>_xlfn.XLOOKUP(C4470, 'Códigos DANE Municipios'!$B$2:$B$1123, 'Códigos DANE Municipios'!$A$2:$A$1123, "No encontrado")</f>
        <v>13140</v>
      </c>
      <c r="B4470" t="str">
        <f>IFERROR(VLOOKUP(D4470,APOYO!K:L,2,FALSE),A4470)</f>
        <v>13140</v>
      </c>
      <c r="C4470" s="8" t="s">
        <v>323</v>
      </c>
      <c r="D4470" t="str">
        <f>IFERROR(VLOOKUP(C4470,APOYO!J:K,2,FALSE),C4470)</f>
        <v>CALAMAR</v>
      </c>
      <c r="E4470" s="8">
        <v>2019</v>
      </c>
      <c r="F4470" s="8"/>
      <c r="G4470" s="8"/>
      <c r="H4470" s="8">
        <v>3</v>
      </c>
      <c r="I4470" s="8"/>
      <c r="J4470" s="8"/>
      <c r="K4470" s="8"/>
    </row>
    <row r="4471" spans="1:11" hidden="1" x14ac:dyDescent="0.25">
      <c r="A4471" t="str">
        <f>_xlfn.XLOOKUP(C4471, 'Códigos DANE Municipios'!$B$2:$B$1123, 'Códigos DANE Municipios'!$A$2:$A$1123, "No encontrado")</f>
        <v>63130</v>
      </c>
      <c r="B4471" t="str">
        <f>IFERROR(VLOOKUP(D4471,APOYO!K:L,2,FALSE),A4471)</f>
        <v>63130</v>
      </c>
      <c r="C4471" s="8" t="s">
        <v>1609</v>
      </c>
      <c r="D4471" t="str">
        <f>IFERROR(VLOOKUP(C4471,APOYO!J:K,2,FALSE),C4471)</f>
        <v>CALARCÁ</v>
      </c>
      <c r="E4471" s="8">
        <v>2019</v>
      </c>
      <c r="F4471" s="8"/>
      <c r="G4471" s="8"/>
      <c r="H4471" s="8">
        <v>601</v>
      </c>
      <c r="I4471" s="8"/>
      <c r="J4471" s="8"/>
      <c r="K4471" s="8"/>
    </row>
    <row r="4472" spans="1:11" hidden="1" x14ac:dyDescent="0.25">
      <c r="A4472" t="str">
        <f>_xlfn.XLOOKUP(C4472, 'Códigos DANE Municipios'!$B$2:$B$1123, 'Códigos DANE Municipios'!$A$2:$A$1123, "No encontrado")</f>
        <v>05129</v>
      </c>
      <c r="B4472" t="str">
        <f>IFERROR(VLOOKUP(D4472,APOYO!K:L,2,FALSE),A4472)</f>
        <v>05129</v>
      </c>
      <c r="C4472" s="8" t="s">
        <v>64</v>
      </c>
      <c r="D4472" t="str">
        <f>IFERROR(VLOOKUP(C4472,APOYO!J:K,2,FALSE),C4472)</f>
        <v>CALDAS</v>
      </c>
      <c r="E4472" s="8">
        <v>2019</v>
      </c>
      <c r="F4472" s="8"/>
      <c r="G4472" s="8"/>
      <c r="H4472" s="8">
        <v>198</v>
      </c>
      <c r="I4472" s="8"/>
      <c r="J4472" s="8"/>
      <c r="K4472" s="8"/>
    </row>
    <row r="4473" spans="1:11" hidden="1" x14ac:dyDescent="0.25">
      <c r="A4473" t="str">
        <f>_xlfn.XLOOKUP(C4473, 'Códigos DANE Municipios'!$B$2:$B$1123, 'Códigos DANE Municipios'!$A$2:$A$1123, "No encontrado")</f>
        <v>19137</v>
      </c>
      <c r="B4473" t="str">
        <f>IFERROR(VLOOKUP(D4473,APOYO!K:L,2,FALSE),A4473)</f>
        <v>19137</v>
      </c>
      <c r="C4473" s="8" t="s">
        <v>742</v>
      </c>
      <c r="D4473" t="str">
        <f>IFERROR(VLOOKUP(C4473,APOYO!J:K,2,FALSE),C4473)</f>
        <v>CALDONO</v>
      </c>
      <c r="E4473" s="8">
        <v>2019</v>
      </c>
      <c r="F4473" s="8"/>
      <c r="G4473" s="8"/>
      <c r="H4473" s="8">
        <v>3</v>
      </c>
      <c r="I4473" s="8"/>
      <c r="J4473" s="8"/>
      <c r="K4473" s="8"/>
    </row>
    <row r="4474" spans="1:11" hidden="1" x14ac:dyDescent="0.25">
      <c r="A4474" t="str">
        <f>_xlfn.XLOOKUP(C4474, 'Códigos DANE Municipios'!$B$2:$B$1123, 'Códigos DANE Municipios'!$A$2:$A$1123, "No encontrado")</f>
        <v>76001</v>
      </c>
      <c r="B4474" t="str">
        <f>IFERROR(VLOOKUP(D4474,APOYO!K:L,2,FALSE),A4474)</f>
        <v>76001</v>
      </c>
      <c r="C4474" s="8" t="s">
        <v>1957</v>
      </c>
      <c r="D4474" t="str">
        <f>IFERROR(VLOOKUP(C4474,APOYO!J:K,2,FALSE),C4474)</f>
        <v>CALI</v>
      </c>
      <c r="E4474" s="8">
        <v>2019</v>
      </c>
      <c r="F4474" s="8">
        <v>2096298</v>
      </c>
      <c r="G4474" s="8">
        <v>558462</v>
      </c>
      <c r="H4474" s="8">
        <v>179293</v>
      </c>
      <c r="I4474" s="8"/>
      <c r="J4474" s="8"/>
      <c r="K4474" s="8"/>
    </row>
    <row r="4475" spans="1:11" hidden="1" x14ac:dyDescent="0.25">
      <c r="A4475" t="str">
        <f>_xlfn.XLOOKUP(C4475, 'Códigos DANE Municipios'!$B$2:$B$1123, 'Códigos DANE Municipios'!$A$2:$A$1123, "No encontrado")</f>
        <v>68132</v>
      </c>
      <c r="B4475" t="str">
        <f>IFERROR(VLOOKUP(D4475,APOYO!K:L,2,FALSE),A4475)</f>
        <v>68132</v>
      </c>
      <c r="C4475" s="8" t="s">
        <v>1670</v>
      </c>
      <c r="D4475" t="str">
        <f>IFERROR(VLOOKUP(C4475,APOYO!J:K,2,FALSE),C4475)</f>
        <v>CALIFORNIA</v>
      </c>
      <c r="E4475" s="8">
        <v>2019</v>
      </c>
      <c r="F4475" s="8"/>
      <c r="G4475" s="8"/>
      <c r="H4475" s="8"/>
      <c r="I4475" s="8"/>
      <c r="J4475" s="8"/>
      <c r="K4475" s="8"/>
    </row>
    <row r="4476" spans="1:11" hidden="1" x14ac:dyDescent="0.25">
      <c r="A4476" t="str">
        <f>_xlfn.XLOOKUP(C4476, 'Códigos DANE Municipios'!$B$2:$B$1123, 'Códigos DANE Municipios'!$A$2:$A$1123, "No encontrado")</f>
        <v>76126</v>
      </c>
      <c r="B4476" t="str">
        <f>IFERROR(VLOOKUP(D4476,APOYO!K:L,2,FALSE),A4476)</f>
        <v>76126</v>
      </c>
      <c r="C4476" t="s">
        <v>1975</v>
      </c>
      <c r="D4476" t="str">
        <f>IFERROR(VLOOKUP(C4476,APOYO!J:K,2,FALSE),C4476)</f>
        <v>CALIMA</v>
      </c>
      <c r="E4476">
        <v>2019</v>
      </c>
      <c r="F4476">
        <v>2</v>
      </c>
      <c r="H4476">
        <v>152</v>
      </c>
    </row>
    <row r="4477" spans="1:11" hidden="1" x14ac:dyDescent="0.25">
      <c r="A4477" t="str">
        <f>_xlfn.XLOOKUP(C4477, 'Códigos DANE Municipios'!$B$2:$B$1123, 'Códigos DANE Municipios'!$A$2:$A$1123, "No encontrado")</f>
        <v>19142</v>
      </c>
      <c r="B4477" t="str">
        <f>IFERROR(VLOOKUP(D4477,APOYO!K:L,2,FALSE),A4477)</f>
        <v>19142</v>
      </c>
      <c r="C4477" s="8" t="s">
        <v>744</v>
      </c>
      <c r="D4477" t="str">
        <f>IFERROR(VLOOKUP(C4477,APOYO!J:K,2,FALSE),C4477)</f>
        <v>CALOTO</v>
      </c>
      <c r="E4477" s="8">
        <v>2019</v>
      </c>
      <c r="F4477" s="8"/>
      <c r="G4477" s="8"/>
      <c r="H4477" s="8">
        <v>30</v>
      </c>
      <c r="I4477" s="8"/>
      <c r="J4477" s="8"/>
      <c r="K4477" s="8"/>
    </row>
    <row r="4478" spans="1:11" hidden="1" x14ac:dyDescent="0.25">
      <c r="A4478" t="str">
        <f>_xlfn.XLOOKUP(C4478, 'Códigos DANE Municipios'!$B$2:$B$1123, 'Códigos DANE Municipios'!$A$2:$A$1123, "No encontrado")</f>
        <v>41132</v>
      </c>
      <c r="B4478" t="str">
        <f>IFERROR(VLOOKUP(D4478,APOYO!K:L,2,FALSE),A4478)</f>
        <v>41132</v>
      </c>
      <c r="C4478" s="8" t="s">
        <v>1215</v>
      </c>
      <c r="D4478" t="str">
        <f>IFERROR(VLOOKUP(C4478,APOYO!J:K,2,FALSE),C4478)</f>
        <v>CAMPOALEGRE</v>
      </c>
      <c r="E4478" s="8">
        <v>2019</v>
      </c>
      <c r="F4478" s="8"/>
      <c r="G4478" s="8"/>
      <c r="H4478" s="8">
        <v>24</v>
      </c>
      <c r="I4478" s="8"/>
      <c r="J4478" s="8"/>
      <c r="K4478" s="8"/>
    </row>
    <row r="4479" spans="1:11" hidden="1" x14ac:dyDescent="0.25">
      <c r="A4479" t="str">
        <f>_xlfn.XLOOKUP(C4479, 'Códigos DANE Municipios'!$B$2:$B$1123, 'Códigos DANE Municipios'!$A$2:$A$1123, "No encontrado")</f>
        <v>15135</v>
      </c>
      <c r="B4479" t="str">
        <f>IFERROR(VLOOKUP(D4479,APOYO!K:L,2,FALSE),A4479)</f>
        <v>15135</v>
      </c>
      <c r="C4479" s="8" t="s">
        <v>425</v>
      </c>
      <c r="D4479" t="str">
        <f>IFERROR(VLOOKUP(C4479,APOYO!J:K,2,FALSE),C4479)</f>
        <v>CAMPOHERMOSO</v>
      </c>
      <c r="E4479" s="8">
        <v>2019</v>
      </c>
      <c r="F4479" s="8"/>
      <c r="G4479" s="8"/>
      <c r="H4479" s="8">
        <v>1</v>
      </c>
      <c r="I4479" s="8"/>
      <c r="J4479" s="8"/>
      <c r="K4479" s="8"/>
    </row>
    <row r="4480" spans="1:11" hidden="1" x14ac:dyDescent="0.25">
      <c r="A4480" t="str">
        <f>_xlfn.XLOOKUP(C4480, 'Códigos DANE Municipios'!$B$2:$B$1123, 'Códigos DANE Municipios'!$A$2:$A$1123, "No encontrado")</f>
        <v>08141</v>
      </c>
      <c r="B4480" t="str">
        <f>IFERROR(VLOOKUP(D4480,APOYO!K:L,2,FALSE),A4480)</f>
        <v>08141</v>
      </c>
      <c r="C4480" s="8" t="s">
        <v>268</v>
      </c>
      <c r="D4480" t="str">
        <f>IFERROR(VLOOKUP(C4480,APOYO!J:K,2,FALSE),C4480)</f>
        <v>CANDELARIA</v>
      </c>
      <c r="E4480" s="8">
        <v>2019</v>
      </c>
      <c r="F4480" s="8"/>
      <c r="G4480" s="8"/>
      <c r="H4480" s="8">
        <v>230</v>
      </c>
      <c r="I4480" s="8"/>
      <c r="J4480" s="8"/>
      <c r="K4480" s="8"/>
    </row>
    <row r="4481" spans="1:11" hidden="1" x14ac:dyDescent="0.25">
      <c r="A4481" t="str">
        <f>_xlfn.XLOOKUP(C4481, 'Códigos DANE Municipios'!$B$2:$B$1123, 'Códigos DANE Municipios'!$A$2:$A$1123, "No encontrado")</f>
        <v>13160</v>
      </c>
      <c r="B4481" t="str">
        <f>IFERROR(VLOOKUP(D4481,APOYO!K:L,2,FALSE),A4481)</f>
        <v>13160</v>
      </c>
      <c r="C4481" s="8" t="s">
        <v>325</v>
      </c>
      <c r="D4481" t="str">
        <f>IFERROR(VLOOKUP(C4481,APOYO!J:K,2,FALSE),C4481)</f>
        <v>CANTAGALLO</v>
      </c>
      <c r="E4481" s="8">
        <v>2019</v>
      </c>
      <c r="F4481" s="8"/>
      <c r="G4481" s="8"/>
      <c r="H4481" s="8">
        <v>43</v>
      </c>
      <c r="I4481" s="8"/>
      <c r="J4481" s="8"/>
      <c r="K4481" s="8"/>
    </row>
    <row r="4482" spans="1:11" hidden="1" x14ac:dyDescent="0.25">
      <c r="A4482" t="str">
        <f>_xlfn.XLOOKUP(C4482, 'Códigos DANE Municipios'!$B$2:$B$1123, 'Códigos DANE Municipios'!$A$2:$A$1123, "No encontrado")</f>
        <v>05138</v>
      </c>
      <c r="B4482" t="str">
        <f>IFERROR(VLOOKUP(D4482,APOYO!K:L,2,FALSE),A4482)</f>
        <v>05138</v>
      </c>
      <c r="C4482" s="8" t="s">
        <v>68</v>
      </c>
      <c r="D4482" t="str">
        <f>IFERROR(VLOOKUP(C4482,APOYO!J:K,2,FALSE),C4482)</f>
        <v>CAÑASGORDAS</v>
      </c>
      <c r="E4482" s="8">
        <v>2019</v>
      </c>
      <c r="F4482" s="8"/>
      <c r="G4482" s="8"/>
      <c r="H4482" s="8">
        <v>1</v>
      </c>
      <c r="I4482" s="8"/>
      <c r="J4482" s="8"/>
      <c r="K4482" s="8"/>
    </row>
    <row r="4483" spans="1:11" hidden="1" x14ac:dyDescent="0.25">
      <c r="A4483" t="str">
        <f>_xlfn.XLOOKUP(C4483, 'Códigos DANE Municipios'!$B$2:$B$1123, 'Códigos DANE Municipios'!$A$2:$A$1123, "No encontrado")</f>
        <v>25148</v>
      </c>
      <c r="B4483" t="str">
        <f>IFERROR(VLOOKUP(D4483,APOYO!K:L,2,FALSE),A4483)</f>
        <v>25148</v>
      </c>
      <c r="C4483" s="8" t="s">
        <v>938</v>
      </c>
      <c r="D4483" t="str">
        <f>IFERROR(VLOOKUP(C4483,APOYO!J:K,2,FALSE),C4483)</f>
        <v>CAPARRAPÍ</v>
      </c>
      <c r="E4483" s="8">
        <v>2019</v>
      </c>
      <c r="F4483" s="8"/>
      <c r="G4483" s="8"/>
      <c r="H4483" s="8">
        <v>5</v>
      </c>
      <c r="I4483" s="8"/>
      <c r="J4483" s="8"/>
      <c r="K4483" s="8"/>
    </row>
    <row r="4484" spans="1:11" hidden="1" x14ac:dyDescent="0.25">
      <c r="A4484" t="str">
        <f>_xlfn.XLOOKUP(C4484, 'Códigos DANE Municipios'!$B$2:$B$1123, 'Códigos DANE Municipios'!$A$2:$A$1123, "No encontrado")</f>
        <v>68147</v>
      </c>
      <c r="B4484" t="str">
        <f>IFERROR(VLOOKUP(D4484,APOYO!K:L,2,FALSE),A4484)</f>
        <v>68147</v>
      </c>
      <c r="C4484" s="8" t="s">
        <v>1672</v>
      </c>
      <c r="D4484" t="str">
        <f>IFERROR(VLOOKUP(C4484,APOYO!J:K,2,FALSE),C4484)</f>
        <v>CAPITANEJO</v>
      </c>
      <c r="E4484" s="8">
        <v>2019</v>
      </c>
      <c r="F4484" s="8"/>
      <c r="G4484" s="8"/>
      <c r="H4484" s="8">
        <v>1</v>
      </c>
      <c r="I4484" s="8"/>
      <c r="J4484" s="8"/>
      <c r="K4484" s="8"/>
    </row>
    <row r="4485" spans="1:11" hidden="1" x14ac:dyDescent="0.25">
      <c r="A4485" t="str">
        <f>_xlfn.XLOOKUP(C4485, 'Códigos DANE Municipios'!$B$2:$B$1123, 'Códigos DANE Municipios'!$A$2:$A$1123, "No encontrado")</f>
        <v>25151</v>
      </c>
      <c r="B4485" t="str">
        <f>IFERROR(VLOOKUP(D4485,APOYO!K:L,2,FALSE),A4485)</f>
        <v>25151</v>
      </c>
      <c r="C4485" s="8" t="s">
        <v>940</v>
      </c>
      <c r="D4485" t="str">
        <f>IFERROR(VLOOKUP(C4485,APOYO!J:K,2,FALSE),C4485)</f>
        <v>CÁQUEZA</v>
      </c>
      <c r="E4485" s="8">
        <v>2019</v>
      </c>
      <c r="F4485" s="8"/>
      <c r="G4485" s="8"/>
      <c r="H4485" s="8">
        <v>38</v>
      </c>
      <c r="I4485" s="8"/>
      <c r="J4485" s="8"/>
      <c r="K4485" s="8"/>
    </row>
    <row r="4486" spans="1:11" hidden="1" x14ac:dyDescent="0.25">
      <c r="A4486" t="str">
        <f>_xlfn.XLOOKUP(C4486, 'Códigos DANE Municipios'!$B$2:$B$1123, 'Códigos DANE Municipios'!$A$2:$A$1123, "No encontrado")</f>
        <v>05142</v>
      </c>
      <c r="B4486" t="str">
        <f>IFERROR(VLOOKUP(D4486,APOYO!K:L,2,FALSE),A4486)</f>
        <v>05142</v>
      </c>
      <c r="C4486" s="8" t="s">
        <v>70</v>
      </c>
      <c r="D4486" t="str">
        <f>IFERROR(VLOOKUP(C4486,APOYO!J:K,2,FALSE),C4486)</f>
        <v>CARACOLÍ</v>
      </c>
      <c r="E4486" s="8">
        <v>2019</v>
      </c>
      <c r="F4486" s="8"/>
      <c r="G4486" s="8"/>
      <c r="H4486" s="8">
        <v>2</v>
      </c>
      <c r="I4486" s="8"/>
      <c r="J4486" s="8"/>
      <c r="K4486" s="8"/>
    </row>
    <row r="4487" spans="1:11" hidden="1" x14ac:dyDescent="0.25">
      <c r="A4487" t="str">
        <f>_xlfn.XLOOKUP(C4487, 'Códigos DANE Municipios'!$B$2:$B$1123, 'Códigos DANE Municipios'!$A$2:$A$1123, "No encontrado")</f>
        <v>05145</v>
      </c>
      <c r="B4487" t="str">
        <f>IFERROR(VLOOKUP(D4487,APOYO!K:L,2,FALSE),A4487)</f>
        <v>05145</v>
      </c>
      <c r="C4487" s="8" t="s">
        <v>72</v>
      </c>
      <c r="D4487" t="str">
        <f>IFERROR(VLOOKUP(C4487,APOYO!J:K,2,FALSE),C4487)</f>
        <v>CARAMANTA</v>
      </c>
      <c r="E4487" s="8">
        <v>2019</v>
      </c>
      <c r="F4487" s="8"/>
      <c r="G4487" s="8"/>
      <c r="H4487" s="8">
        <v>2</v>
      </c>
      <c r="I4487" s="8"/>
      <c r="J4487" s="8"/>
      <c r="K4487" s="8"/>
    </row>
    <row r="4488" spans="1:11" hidden="1" x14ac:dyDescent="0.25">
      <c r="A4488" t="str">
        <f>_xlfn.XLOOKUP(C4488, 'Códigos DANE Municipios'!$B$2:$B$1123, 'Códigos DANE Municipios'!$A$2:$A$1123, "No encontrado")</f>
        <v>05147</v>
      </c>
      <c r="B4488" t="str">
        <f>IFERROR(VLOOKUP(D4488,APOYO!K:L,2,FALSE),A4488)</f>
        <v>05147</v>
      </c>
      <c r="C4488" s="8" t="s">
        <v>74</v>
      </c>
      <c r="D4488" t="str">
        <f>IFERROR(VLOOKUP(C4488,APOYO!J:K,2,FALSE),C4488)</f>
        <v>CAREPA</v>
      </c>
      <c r="E4488" s="8">
        <v>2019</v>
      </c>
      <c r="F4488" s="8">
        <v>112483</v>
      </c>
      <c r="G4488" s="8"/>
      <c r="H4488" s="8">
        <v>16</v>
      </c>
      <c r="I4488" s="8"/>
      <c r="J4488" s="8"/>
      <c r="K4488" s="8"/>
    </row>
    <row r="4489" spans="1:11" hidden="1" x14ac:dyDescent="0.25">
      <c r="A4489" t="str">
        <f>_xlfn.XLOOKUP(C4489, 'Códigos DANE Municipios'!$B$2:$B$1123, 'Códigos DANE Municipios'!$A$2:$A$1123, "No encontrado")</f>
        <v>73148</v>
      </c>
      <c r="B4489" t="str">
        <f>IFERROR(VLOOKUP(D4489,APOYO!K:L,2,FALSE),A4489)</f>
        <v>73148</v>
      </c>
      <c r="C4489" s="8" t="s">
        <v>1881</v>
      </c>
      <c r="D4489" t="str">
        <f>IFERROR(VLOOKUP(C4489,APOYO!J:K,2,FALSE),C4489)</f>
        <v>CARMEN DE APICALÁ</v>
      </c>
      <c r="E4489" s="8">
        <v>2019</v>
      </c>
      <c r="F4489" s="8"/>
      <c r="G4489" s="8"/>
      <c r="H4489" s="8">
        <v>24</v>
      </c>
      <c r="I4489" s="8"/>
      <c r="J4489" s="8"/>
      <c r="K4489" s="8"/>
    </row>
    <row r="4490" spans="1:11" hidden="1" x14ac:dyDescent="0.25">
      <c r="A4490" t="str">
        <f>_xlfn.XLOOKUP(C4490, 'Códigos DANE Municipios'!$B$2:$B$1123, 'Códigos DANE Municipios'!$A$2:$A$1123, "No encontrado")</f>
        <v>25154</v>
      </c>
      <c r="B4490" t="str">
        <f>IFERROR(VLOOKUP(D4490,APOYO!K:L,2,FALSE),A4490)</f>
        <v>25154</v>
      </c>
      <c r="C4490" s="8" t="s">
        <v>942</v>
      </c>
      <c r="D4490" t="str">
        <f>IFERROR(VLOOKUP(C4490,APOYO!J:K,2,FALSE),C4490)</f>
        <v>CARMEN DE CARUPA</v>
      </c>
      <c r="E4490" s="8">
        <v>2019</v>
      </c>
      <c r="F4490" s="8"/>
      <c r="G4490" s="8"/>
      <c r="H4490" s="8">
        <v>3</v>
      </c>
      <c r="I4490" s="8"/>
      <c r="J4490" s="8"/>
      <c r="K4490" s="8"/>
    </row>
    <row r="4491" spans="1:11" hidden="1" x14ac:dyDescent="0.25">
      <c r="A4491" t="str">
        <f>_xlfn.XLOOKUP(C4491, 'Códigos DANE Municipios'!$B$2:$B$1123, 'Códigos DANE Municipios'!$A$2:$A$1123, "No encontrado")</f>
        <v>05148</v>
      </c>
      <c r="B4491" t="str">
        <f>IFERROR(VLOOKUP(D4491,APOYO!K:L,2,FALSE),A4491)</f>
        <v>05148</v>
      </c>
      <c r="C4491" t="s">
        <v>76</v>
      </c>
      <c r="D4491" t="str">
        <f>IFERROR(VLOOKUP(C4491,APOYO!J:K,2,FALSE),C4491)</f>
        <v>EL CARMEN DE VIBORAL</v>
      </c>
      <c r="E4491">
        <v>2019</v>
      </c>
      <c r="H4491">
        <v>166</v>
      </c>
    </row>
    <row r="4492" spans="1:11" hidden="1" x14ac:dyDescent="0.25">
      <c r="A4492" t="str">
        <f>_xlfn.XLOOKUP(C4492, 'Códigos DANE Municipios'!$B$2:$B$1123, 'Códigos DANE Municipios'!$A$2:$A$1123, "No encontrado")</f>
        <v>05150</v>
      </c>
      <c r="B4492" t="str">
        <f>IFERROR(VLOOKUP(D4492,APOYO!K:L,2,FALSE),A4492)</f>
        <v>05150</v>
      </c>
      <c r="C4492" s="8" t="s">
        <v>78</v>
      </c>
      <c r="D4492" t="str">
        <f>IFERROR(VLOOKUP(C4492,APOYO!J:K,2,FALSE),C4492)</f>
        <v>CAROLINA</v>
      </c>
      <c r="E4492" s="8">
        <v>2019</v>
      </c>
      <c r="F4492" s="8"/>
      <c r="G4492" s="8"/>
      <c r="H4492" s="8">
        <v>2</v>
      </c>
      <c r="I4492" s="8"/>
      <c r="J4492" s="8"/>
      <c r="K4492" s="8"/>
    </row>
    <row r="4493" spans="1:11" hidden="1" x14ac:dyDescent="0.25">
      <c r="A4493" t="str">
        <f>_xlfn.XLOOKUP(C4493, 'Códigos DANE Municipios'!$B$2:$B$1123, 'Códigos DANE Municipios'!$A$2:$A$1123, "No encontrado")</f>
        <v>13001</v>
      </c>
      <c r="B4493" t="str">
        <f>IFERROR(VLOOKUP(D4493,APOYO!K:L,2,FALSE),A4493)</f>
        <v>13001</v>
      </c>
      <c r="C4493" s="8" t="s">
        <v>309</v>
      </c>
      <c r="D4493" t="str">
        <f>IFERROR(VLOOKUP(C4493,APOYO!J:K,2,FALSE),C4493)</f>
        <v>CARTAGENA DE INDIAS</v>
      </c>
      <c r="E4493" s="8">
        <v>2019</v>
      </c>
      <c r="F4493" s="8">
        <v>2238604</v>
      </c>
      <c r="G4493" s="8">
        <v>521209</v>
      </c>
      <c r="H4493" s="8">
        <v>528686</v>
      </c>
      <c r="I4493" s="8">
        <v>1300519</v>
      </c>
      <c r="J4493" s="8"/>
      <c r="K4493" s="8"/>
    </row>
    <row r="4494" spans="1:11" hidden="1" x14ac:dyDescent="0.25">
      <c r="A4494" t="str">
        <f>_xlfn.XLOOKUP(C4494, 'Códigos DANE Municipios'!$B$2:$B$1123, 'Códigos DANE Municipios'!$A$2:$A$1123, "No encontrado")</f>
        <v>18150</v>
      </c>
      <c r="B4494" t="str">
        <f>IFERROR(VLOOKUP(D4494,APOYO!K:L,2,FALSE),A4494)</f>
        <v>18150</v>
      </c>
      <c r="C4494" s="8" t="s">
        <v>704</v>
      </c>
      <c r="D4494" t="str">
        <f>IFERROR(VLOOKUP(C4494,APOYO!J:K,2,FALSE),C4494)</f>
        <v>CARTAGENA DEL CHAIRÁ</v>
      </c>
      <c r="E4494" s="8">
        <v>2019</v>
      </c>
      <c r="F4494" s="8"/>
      <c r="G4494" s="8"/>
      <c r="H4494" s="8">
        <v>3</v>
      </c>
      <c r="I4494" s="8"/>
      <c r="J4494" s="8"/>
      <c r="K4494" s="8"/>
    </row>
    <row r="4495" spans="1:11" hidden="1" x14ac:dyDescent="0.25">
      <c r="A4495" t="str">
        <f>_xlfn.XLOOKUP(C4495, 'Códigos DANE Municipios'!$B$2:$B$1123, 'Códigos DANE Municipios'!$A$2:$A$1123, "No encontrado")</f>
        <v>76147</v>
      </c>
      <c r="B4495" t="str">
        <f>IFERROR(VLOOKUP(D4495,APOYO!K:L,2,FALSE),A4495)</f>
        <v>76147</v>
      </c>
      <c r="C4495" s="8" t="s">
        <v>1978</v>
      </c>
      <c r="D4495" t="str">
        <f>IFERROR(VLOOKUP(C4495,APOYO!J:K,2,FALSE),C4495)</f>
        <v>CARTAGO</v>
      </c>
      <c r="E4495" s="8">
        <v>2019</v>
      </c>
      <c r="F4495" s="8">
        <v>1114</v>
      </c>
      <c r="G4495" s="8"/>
      <c r="H4495" s="8">
        <v>1988</v>
      </c>
      <c r="I4495" s="8"/>
      <c r="J4495" s="8"/>
      <c r="K4495" s="8"/>
    </row>
    <row r="4496" spans="1:11" hidden="1" x14ac:dyDescent="0.25">
      <c r="A4496" t="str">
        <f>_xlfn.XLOOKUP(C4496, 'Códigos DANE Municipios'!$B$2:$B$1123, 'Códigos DANE Municipios'!$A$2:$A$1123, "No encontrado")</f>
        <v>97161</v>
      </c>
      <c r="B4496" t="str">
        <f>IFERROR(VLOOKUP(D4496,APOYO!K:L,2,FALSE),A4496)</f>
        <v>97161</v>
      </c>
      <c r="C4496" s="8" t="s">
        <v>2153</v>
      </c>
      <c r="D4496" t="str">
        <f>IFERROR(VLOOKUP(C4496,APOYO!J:K,2,FALSE),C4496)</f>
        <v>CARURÚ</v>
      </c>
      <c r="E4496" s="8">
        <v>2019</v>
      </c>
      <c r="F4496" s="8">
        <v>2682</v>
      </c>
      <c r="G4496" s="8"/>
      <c r="H4496" s="8">
        <v>17</v>
      </c>
      <c r="I4496" s="8"/>
      <c r="J4496" s="8"/>
      <c r="K4496" s="8"/>
    </row>
    <row r="4497" spans="1:11" hidden="1" x14ac:dyDescent="0.25">
      <c r="A4497" t="str">
        <f>_xlfn.XLOOKUP(C4497, 'Códigos DANE Municipios'!$B$2:$B$1123, 'Códigos DANE Municipios'!$A$2:$A$1123, "No encontrado")</f>
        <v>No encontrado</v>
      </c>
      <c r="B4497">
        <f>IFERROR(VLOOKUP(D4497,APOYO!K:L,2,FALSE),A4497)</f>
        <v>68111</v>
      </c>
      <c r="C4497" t="s">
        <v>2457</v>
      </c>
      <c r="D4497" t="str">
        <f>IFERROR(VLOOKUP(C4497,APOYO!J:K,2,FALSE),C4497)</f>
        <v>CASABLANCA</v>
      </c>
      <c r="E4497">
        <v>2019</v>
      </c>
      <c r="H4497">
        <v>1</v>
      </c>
    </row>
    <row r="4498" spans="1:11" hidden="1" x14ac:dyDescent="0.25">
      <c r="A4498" t="str">
        <f>_xlfn.XLOOKUP(C4498, 'Códigos DANE Municipios'!$B$2:$B$1123, 'Códigos DANE Municipios'!$A$2:$A$1123, "No encontrado")</f>
        <v>50150</v>
      </c>
      <c r="B4498" t="str">
        <f>IFERROR(VLOOKUP(D4498,APOYO!K:L,2,FALSE),A4498)</f>
        <v>50150</v>
      </c>
      <c r="C4498" s="8" t="s">
        <v>1366</v>
      </c>
      <c r="D4498" t="str">
        <f>IFERROR(VLOOKUP(C4498,APOYO!J:K,2,FALSE),C4498)</f>
        <v>CASTILLA LA NUEVA</v>
      </c>
      <c r="E4498" s="8">
        <v>2019</v>
      </c>
      <c r="F4498" s="8">
        <v>2</v>
      </c>
      <c r="G4498" s="8"/>
      <c r="H4498" s="8">
        <v>17</v>
      </c>
      <c r="I4498" s="8"/>
      <c r="J4498" s="8"/>
      <c r="K4498" s="8"/>
    </row>
    <row r="4499" spans="1:11" hidden="1" x14ac:dyDescent="0.25">
      <c r="A4499" t="str">
        <f>_xlfn.XLOOKUP(C4499, 'Códigos DANE Municipios'!$B$2:$B$1123, 'Códigos DANE Municipios'!$A$2:$A$1123, "No encontrado")</f>
        <v>05154</v>
      </c>
      <c r="B4499" t="str">
        <f>IFERROR(VLOOKUP(D4499,APOYO!K:L,2,FALSE),A4499)</f>
        <v>05154</v>
      </c>
      <c r="C4499" s="8" t="s">
        <v>80</v>
      </c>
      <c r="D4499" t="str">
        <f>IFERROR(VLOOKUP(C4499,APOYO!J:K,2,FALSE),C4499)</f>
        <v>CAUCASIA</v>
      </c>
      <c r="E4499" s="8">
        <v>2019</v>
      </c>
      <c r="F4499" s="8">
        <v>5957</v>
      </c>
      <c r="G4499" s="8"/>
      <c r="H4499" s="8">
        <v>78</v>
      </c>
      <c r="I4499" s="8"/>
      <c r="J4499" s="8"/>
      <c r="K4499" s="8"/>
    </row>
    <row r="4500" spans="1:11" hidden="1" x14ac:dyDescent="0.25">
      <c r="A4500" t="str">
        <f>_xlfn.XLOOKUP(C4500, 'Códigos DANE Municipios'!$B$2:$B$1123, 'Códigos DANE Municipios'!$A$2:$A$1123, "No encontrado")</f>
        <v>68160</v>
      </c>
      <c r="B4500" t="str">
        <f>IFERROR(VLOOKUP(D4500,APOYO!K:L,2,FALSE),A4500)</f>
        <v>68160</v>
      </c>
      <c r="C4500" s="8" t="s">
        <v>1676</v>
      </c>
      <c r="D4500" t="str">
        <f>IFERROR(VLOOKUP(C4500,APOYO!J:K,2,FALSE),C4500)</f>
        <v>CEPITÁ</v>
      </c>
      <c r="E4500" s="8">
        <v>2019</v>
      </c>
      <c r="F4500" s="8"/>
      <c r="G4500" s="8"/>
      <c r="H4500" s="8"/>
      <c r="I4500" s="8"/>
      <c r="J4500" s="8"/>
      <c r="K4500" s="8"/>
    </row>
    <row r="4501" spans="1:11" hidden="1" x14ac:dyDescent="0.25">
      <c r="A4501" t="str">
        <f>_xlfn.XLOOKUP(C4501, 'Códigos DANE Municipios'!$B$2:$B$1123, 'Códigos DANE Municipios'!$A$2:$A$1123, "No encontrado")</f>
        <v>23162</v>
      </c>
      <c r="B4501" t="str">
        <f>IFERROR(VLOOKUP(D4501,APOYO!K:L,2,FALSE),A4501)</f>
        <v>23162</v>
      </c>
      <c r="C4501" s="8" t="s">
        <v>865</v>
      </c>
      <c r="D4501" t="str">
        <f>IFERROR(VLOOKUP(C4501,APOYO!J:K,2,FALSE),C4501)</f>
        <v>CERETÉ</v>
      </c>
      <c r="E4501" s="8">
        <v>2019</v>
      </c>
      <c r="F4501" s="8"/>
      <c r="G4501" s="8"/>
      <c r="H4501" s="8">
        <v>74</v>
      </c>
      <c r="I4501" s="8"/>
      <c r="J4501" s="8"/>
      <c r="K4501" s="8"/>
    </row>
    <row r="4502" spans="1:11" hidden="1" x14ac:dyDescent="0.25">
      <c r="A4502" t="str">
        <f>_xlfn.XLOOKUP(C4502, 'Códigos DANE Municipios'!$B$2:$B$1123, 'Códigos DANE Municipios'!$A$2:$A$1123, "No encontrado")</f>
        <v>68162</v>
      </c>
      <c r="B4502" t="str">
        <f>IFERROR(VLOOKUP(D4502,APOYO!K:L,2,FALSE),A4502)</f>
        <v>68162</v>
      </c>
      <c r="C4502" s="8" t="s">
        <v>1678</v>
      </c>
      <c r="D4502" t="str">
        <f>IFERROR(VLOOKUP(C4502,APOYO!J:K,2,FALSE),C4502)</f>
        <v>CERRITO</v>
      </c>
      <c r="E4502" s="8">
        <v>2019</v>
      </c>
      <c r="F4502" s="8"/>
      <c r="G4502" s="8"/>
      <c r="H4502" s="8">
        <v>2</v>
      </c>
      <c r="I4502" s="8"/>
      <c r="J4502" s="8"/>
      <c r="K4502" s="8"/>
    </row>
    <row r="4503" spans="1:11" hidden="1" x14ac:dyDescent="0.25">
      <c r="A4503" t="str">
        <f>_xlfn.XLOOKUP(C4503, 'Códigos DANE Municipios'!$B$2:$B$1123, 'Códigos DANE Municipios'!$A$2:$A$1123, "No encontrado")</f>
        <v>52240</v>
      </c>
      <c r="B4503" t="str">
        <f>IFERROR(VLOOKUP(D4503,APOYO!K:L,2,FALSE),A4503)</f>
        <v>52240</v>
      </c>
      <c r="C4503" s="8" t="s">
        <v>1439</v>
      </c>
      <c r="D4503" t="str">
        <f>IFERROR(VLOOKUP(C4503,APOYO!J:K,2,FALSE),C4503)</f>
        <v>CHACHAGÜÍ</v>
      </c>
      <c r="E4503" s="8">
        <v>2019</v>
      </c>
      <c r="F4503" s="8"/>
      <c r="G4503" s="8"/>
      <c r="H4503" s="8">
        <v>63</v>
      </c>
      <c r="I4503" s="8"/>
      <c r="J4503" s="8"/>
      <c r="K4503" s="8"/>
    </row>
    <row r="4504" spans="1:11" hidden="1" x14ac:dyDescent="0.25">
      <c r="A4504" t="str">
        <f>_xlfn.XLOOKUP(C4504, 'Códigos DANE Municipios'!$B$2:$B$1123, 'Códigos DANE Municipios'!$A$2:$A$1123, "No encontrado")</f>
        <v>25168</v>
      </c>
      <c r="B4504" t="str">
        <f>IFERROR(VLOOKUP(D4504,APOYO!K:L,2,FALSE),A4504)</f>
        <v>25168</v>
      </c>
      <c r="C4504" s="8" t="s">
        <v>944</v>
      </c>
      <c r="D4504" t="str">
        <f>IFERROR(VLOOKUP(C4504,APOYO!J:K,2,FALSE),C4504)</f>
        <v>CHAGUANÍ</v>
      </c>
      <c r="E4504" s="8">
        <v>2019</v>
      </c>
      <c r="F4504" s="8"/>
      <c r="G4504" s="8"/>
      <c r="H4504" s="8">
        <v>8</v>
      </c>
      <c r="I4504" s="8"/>
      <c r="J4504" s="8"/>
      <c r="K4504" s="8"/>
    </row>
    <row r="4505" spans="1:11" hidden="1" x14ac:dyDescent="0.25">
      <c r="A4505" t="str">
        <f>_xlfn.XLOOKUP(C4505, 'Códigos DANE Municipios'!$B$2:$B$1123, 'Códigos DANE Municipios'!$A$2:$A$1123, "No encontrado")</f>
        <v>70230</v>
      </c>
      <c r="B4505" t="str">
        <f>IFERROR(VLOOKUP(D4505,APOYO!K:L,2,FALSE),A4505)</f>
        <v>70230</v>
      </c>
      <c r="C4505" t="s">
        <v>1827</v>
      </c>
      <c r="D4505" t="str">
        <f>IFERROR(VLOOKUP(C4505,APOYO!J:K,2,FALSE),C4505)</f>
        <v>CHALÁN</v>
      </c>
      <c r="E4505">
        <v>2019</v>
      </c>
      <c r="H4505">
        <v>1</v>
      </c>
    </row>
    <row r="4506" spans="1:11" hidden="1" x14ac:dyDescent="0.25">
      <c r="A4506" t="str">
        <f>_xlfn.XLOOKUP(C4506, 'Códigos DANE Municipios'!$B$2:$B$1123, 'Códigos DANE Municipios'!$A$2:$A$1123, "No encontrado")</f>
        <v>85015</v>
      </c>
      <c r="B4506" t="str">
        <f>IFERROR(VLOOKUP(D4506,APOYO!K:L,2,FALSE),A4506)</f>
        <v>85015</v>
      </c>
      <c r="C4506" t="s">
        <v>2052</v>
      </c>
      <c r="D4506" t="str">
        <f>IFERROR(VLOOKUP(C4506,APOYO!J:K,2,FALSE),C4506)</f>
        <v>CHÁMEZA</v>
      </c>
      <c r="E4506">
        <v>2019</v>
      </c>
      <c r="H4506">
        <v>1</v>
      </c>
    </row>
    <row r="4507" spans="1:11" hidden="1" x14ac:dyDescent="0.25">
      <c r="A4507" t="str">
        <f>_xlfn.XLOOKUP(C4507, 'Códigos DANE Municipios'!$B$2:$B$1123, 'Códigos DANE Municipios'!$A$2:$A$1123, "No encontrado")</f>
        <v>73168</v>
      </c>
      <c r="B4507" t="str">
        <f>IFERROR(VLOOKUP(D4507,APOYO!K:L,2,FALSE),A4507)</f>
        <v>73168</v>
      </c>
      <c r="C4507" s="8" t="s">
        <v>1885</v>
      </c>
      <c r="D4507" t="str">
        <f>IFERROR(VLOOKUP(C4507,APOYO!J:K,2,FALSE),C4507)</f>
        <v>CHAPARRAL</v>
      </c>
      <c r="E4507" s="8">
        <v>2019</v>
      </c>
      <c r="F4507" s="8">
        <v>118</v>
      </c>
      <c r="G4507" s="8"/>
      <c r="H4507" s="8">
        <v>38</v>
      </c>
      <c r="I4507" s="8"/>
      <c r="J4507" s="8"/>
      <c r="K4507" s="8"/>
    </row>
    <row r="4508" spans="1:11" hidden="1" x14ac:dyDescent="0.25">
      <c r="A4508" t="str">
        <f>_xlfn.XLOOKUP(C4508, 'Códigos DANE Municipios'!$B$2:$B$1123, 'Códigos DANE Municipios'!$A$2:$A$1123, "No encontrado")</f>
        <v>68167</v>
      </c>
      <c r="B4508" t="str">
        <f>IFERROR(VLOOKUP(D4508,APOYO!K:L,2,FALSE),A4508)</f>
        <v>68167</v>
      </c>
      <c r="C4508" s="8" t="s">
        <v>1680</v>
      </c>
      <c r="D4508" t="str">
        <f>IFERROR(VLOOKUP(C4508,APOYO!J:K,2,FALSE),C4508)</f>
        <v>CHARALÁ</v>
      </c>
      <c r="E4508" s="8">
        <v>2019</v>
      </c>
      <c r="F4508" s="8"/>
      <c r="G4508" s="8"/>
      <c r="H4508" s="8">
        <v>25</v>
      </c>
      <c r="I4508" s="8"/>
      <c r="J4508" s="8"/>
      <c r="K4508" s="8"/>
    </row>
    <row r="4509" spans="1:11" hidden="1" x14ac:dyDescent="0.25">
      <c r="A4509" t="str">
        <f>_xlfn.XLOOKUP(C4509, 'Códigos DANE Municipios'!$B$2:$B$1123, 'Códigos DANE Municipios'!$A$2:$A$1123, "No encontrado")</f>
        <v>25175</v>
      </c>
      <c r="B4509" t="str">
        <f>IFERROR(VLOOKUP(D4509,APOYO!K:L,2,FALSE),A4509)</f>
        <v>25175</v>
      </c>
      <c r="C4509" s="8" t="s">
        <v>946</v>
      </c>
      <c r="D4509" t="str">
        <f>IFERROR(VLOOKUP(C4509,APOYO!J:K,2,FALSE),C4509)</f>
        <v>CHÍA</v>
      </c>
      <c r="E4509" s="8">
        <v>2019</v>
      </c>
      <c r="F4509" s="8">
        <v>1953</v>
      </c>
      <c r="G4509" s="8"/>
      <c r="H4509" s="8">
        <v>4015</v>
      </c>
      <c r="I4509" s="8"/>
      <c r="J4509" s="8"/>
      <c r="K4509" s="8"/>
    </row>
    <row r="4510" spans="1:11" hidden="1" x14ac:dyDescent="0.25">
      <c r="A4510" t="str">
        <f>_xlfn.XLOOKUP(C4510, 'Códigos DANE Municipios'!$B$2:$B$1123, 'Códigos DANE Municipios'!$A$2:$A$1123, "No encontrado")</f>
        <v>05172</v>
      </c>
      <c r="B4510" t="str">
        <f>IFERROR(VLOOKUP(D4510,APOYO!K:L,2,FALSE),A4510)</f>
        <v>05172</v>
      </c>
      <c r="C4510" t="s">
        <v>82</v>
      </c>
      <c r="D4510" t="str">
        <f>IFERROR(VLOOKUP(C4510,APOYO!J:K,2,FALSE),C4510)</f>
        <v>CHIGORODÓ</v>
      </c>
      <c r="E4510">
        <v>2019</v>
      </c>
      <c r="H4510">
        <v>29</v>
      </c>
    </row>
    <row r="4511" spans="1:11" hidden="1" x14ac:dyDescent="0.25">
      <c r="A4511" t="str">
        <f>_xlfn.XLOOKUP(C4511, 'Códigos DANE Municipios'!$B$2:$B$1123, 'Códigos DANE Municipios'!$A$2:$A$1123, "No encontrado")</f>
        <v>20175</v>
      </c>
      <c r="B4511" t="str">
        <f>IFERROR(VLOOKUP(D4511,APOYO!K:L,2,FALSE),A4511)</f>
        <v>20175</v>
      </c>
      <c r="C4511" s="8" t="s">
        <v>820</v>
      </c>
      <c r="D4511" t="str">
        <f>IFERROR(VLOOKUP(C4511,APOYO!J:K,2,FALSE),C4511)</f>
        <v>CHIMICHAGUA</v>
      </c>
      <c r="E4511" s="8">
        <v>2019</v>
      </c>
      <c r="F4511" s="8"/>
      <c r="G4511" s="8"/>
      <c r="H4511" s="8">
        <v>8</v>
      </c>
      <c r="I4511" s="8"/>
      <c r="J4511" s="8"/>
      <c r="K4511" s="8"/>
    </row>
    <row r="4512" spans="1:11" hidden="1" x14ac:dyDescent="0.25">
      <c r="A4512" t="str">
        <f>_xlfn.XLOOKUP(C4512, 'Códigos DANE Municipios'!$B$2:$B$1123, 'Códigos DANE Municipios'!$A$2:$A$1123, "No encontrado")</f>
        <v>54172</v>
      </c>
      <c r="B4512" t="str">
        <f>IFERROR(VLOOKUP(D4512,APOYO!K:L,2,FALSE),A4512)</f>
        <v>54172</v>
      </c>
      <c r="C4512" s="8" t="s">
        <v>1543</v>
      </c>
      <c r="D4512" t="str">
        <f>IFERROR(VLOOKUP(C4512,APOYO!J:K,2,FALSE),C4512)</f>
        <v>CHINÁCOTA</v>
      </c>
      <c r="E4512" s="8">
        <v>2019</v>
      </c>
      <c r="F4512" s="8"/>
      <c r="G4512" s="8"/>
      <c r="H4512" s="8">
        <v>47</v>
      </c>
      <c r="I4512" s="8"/>
      <c r="J4512" s="8"/>
      <c r="K4512" s="8"/>
    </row>
    <row r="4513" spans="1:11" hidden="1" x14ac:dyDescent="0.25">
      <c r="A4513" t="str">
        <f>_xlfn.XLOOKUP(C4513, 'Códigos DANE Municipios'!$B$2:$B$1123, 'Códigos DANE Municipios'!$A$2:$A$1123, "No encontrado")</f>
        <v>15172</v>
      </c>
      <c r="B4513" t="str">
        <f>IFERROR(VLOOKUP(D4513,APOYO!K:L,2,FALSE),A4513)</f>
        <v>15172</v>
      </c>
      <c r="C4513" s="8" t="s">
        <v>429</v>
      </c>
      <c r="D4513" t="str">
        <f>IFERROR(VLOOKUP(C4513,APOYO!J:K,2,FALSE),C4513)</f>
        <v>CHINAVITA</v>
      </c>
      <c r="E4513" s="8">
        <v>2019</v>
      </c>
      <c r="F4513" s="8"/>
      <c r="G4513" s="8"/>
      <c r="H4513" s="8">
        <v>16</v>
      </c>
      <c r="I4513" s="8"/>
      <c r="J4513" s="8"/>
      <c r="K4513" s="8"/>
    </row>
    <row r="4514" spans="1:11" hidden="1" x14ac:dyDescent="0.25">
      <c r="A4514" t="str">
        <f>_xlfn.XLOOKUP(C4514, 'Códigos DANE Municipios'!$B$2:$B$1123, 'Códigos DANE Municipios'!$A$2:$A$1123, "No encontrado")</f>
        <v>17174</v>
      </c>
      <c r="B4514" t="str">
        <f>IFERROR(VLOOKUP(D4514,APOYO!K:L,2,FALSE),A4514)</f>
        <v>17174</v>
      </c>
      <c r="C4514" s="8" t="s">
        <v>654</v>
      </c>
      <c r="D4514" t="str">
        <f>IFERROR(VLOOKUP(C4514,APOYO!J:K,2,FALSE),C4514)</f>
        <v>CHINCHINÁ</v>
      </c>
      <c r="E4514" s="8">
        <v>2019</v>
      </c>
      <c r="F4514" s="8"/>
      <c r="G4514" s="8"/>
      <c r="H4514" s="8">
        <v>356</v>
      </c>
      <c r="I4514" s="8"/>
      <c r="J4514" s="8"/>
      <c r="K4514" s="8"/>
    </row>
    <row r="4515" spans="1:11" hidden="1" x14ac:dyDescent="0.25">
      <c r="A4515" t="str">
        <f>_xlfn.XLOOKUP(C4515, 'Códigos DANE Municipios'!$B$2:$B$1123, 'Códigos DANE Municipios'!$A$2:$A$1123, "No encontrado")</f>
        <v>23182</v>
      </c>
      <c r="B4515" t="str">
        <f>IFERROR(VLOOKUP(D4515,APOYO!K:L,2,FALSE),A4515)</f>
        <v>23182</v>
      </c>
      <c r="C4515" s="8" t="s">
        <v>869</v>
      </c>
      <c r="D4515" t="str">
        <f>IFERROR(VLOOKUP(C4515,APOYO!J:K,2,FALSE),C4515)</f>
        <v>CHINÚ</v>
      </c>
      <c r="E4515" s="8">
        <v>2019</v>
      </c>
      <c r="F4515" s="8"/>
      <c r="G4515" s="8"/>
      <c r="H4515" s="8">
        <v>28</v>
      </c>
      <c r="I4515" s="8"/>
      <c r="J4515" s="8"/>
      <c r="K4515" s="8"/>
    </row>
    <row r="4516" spans="1:11" hidden="1" x14ac:dyDescent="0.25">
      <c r="A4516" t="str">
        <f>_xlfn.XLOOKUP(C4516, 'Códigos DANE Municipios'!$B$2:$B$1123, 'Códigos DANE Municipios'!$A$2:$A$1123, "No encontrado")</f>
        <v>25178</v>
      </c>
      <c r="B4516" t="str">
        <f>IFERROR(VLOOKUP(D4516,APOYO!K:L,2,FALSE),A4516)</f>
        <v>25178</v>
      </c>
      <c r="C4516" s="8" t="s">
        <v>948</v>
      </c>
      <c r="D4516" t="str">
        <f>IFERROR(VLOOKUP(C4516,APOYO!J:K,2,FALSE),C4516)</f>
        <v>CHIPAQUE</v>
      </c>
      <c r="E4516" s="8">
        <v>2019</v>
      </c>
      <c r="F4516" s="8"/>
      <c r="G4516" s="8"/>
      <c r="H4516" s="8">
        <v>38</v>
      </c>
      <c r="I4516" s="8"/>
      <c r="J4516" s="8"/>
      <c r="K4516" s="8"/>
    </row>
    <row r="4517" spans="1:11" hidden="1" x14ac:dyDescent="0.25">
      <c r="A4517" t="str">
        <f>_xlfn.XLOOKUP(C4517, 'Códigos DANE Municipios'!$B$2:$B$1123, 'Códigos DANE Municipios'!$A$2:$A$1123, "No encontrado")</f>
        <v>15176</v>
      </c>
      <c r="B4517" t="str">
        <f>IFERROR(VLOOKUP(D4517,APOYO!K:L,2,FALSE),A4517)</f>
        <v>15176</v>
      </c>
      <c r="C4517" s="8" t="s">
        <v>431</v>
      </c>
      <c r="D4517" t="str">
        <f>IFERROR(VLOOKUP(C4517,APOYO!J:K,2,FALSE),C4517)</f>
        <v>CHIQUINQUIRÁ</v>
      </c>
      <c r="E4517" s="8">
        <v>2019</v>
      </c>
      <c r="F4517" s="8"/>
      <c r="G4517" s="8"/>
      <c r="H4517" s="8">
        <v>166</v>
      </c>
      <c r="I4517" s="8"/>
      <c r="J4517" s="8"/>
      <c r="K4517" s="8"/>
    </row>
    <row r="4518" spans="1:11" hidden="1" x14ac:dyDescent="0.25">
      <c r="A4518" t="str">
        <f>_xlfn.XLOOKUP(C4518, 'Códigos DANE Municipios'!$B$2:$B$1123, 'Códigos DANE Municipios'!$A$2:$A$1123, "No encontrado")</f>
        <v>68895</v>
      </c>
      <c r="B4518" t="str">
        <f>IFERROR(VLOOKUP(D4518,APOYO!K:L,2,FALSE),A4518)</f>
        <v>68895</v>
      </c>
      <c r="C4518" t="s">
        <v>1814</v>
      </c>
      <c r="D4518" t="str">
        <f>IFERROR(VLOOKUP(C4518,APOYO!J:K,2,FALSE),C4518)</f>
        <v>ZAPATOCA</v>
      </c>
      <c r="E4518">
        <v>2019</v>
      </c>
      <c r="H4518">
        <v>1</v>
      </c>
    </row>
    <row r="4519" spans="1:11" hidden="1" x14ac:dyDescent="0.25">
      <c r="A4519" t="str">
        <f>_xlfn.XLOOKUP(C4519, 'Códigos DANE Municipios'!$B$2:$B$1123, 'Códigos DANE Municipios'!$A$2:$A$1123, "No encontrado")</f>
        <v>20178</v>
      </c>
      <c r="B4519" t="str">
        <f>IFERROR(VLOOKUP(D4519,APOYO!K:L,2,FALSE),A4519)</f>
        <v>20178</v>
      </c>
      <c r="C4519" s="8" t="s">
        <v>822</v>
      </c>
      <c r="D4519" t="str">
        <f>IFERROR(VLOOKUP(C4519,APOYO!J:K,2,FALSE),C4519)</f>
        <v>CHIRIGUANÁ</v>
      </c>
      <c r="E4519" s="8">
        <v>2019</v>
      </c>
      <c r="F4519" s="8">
        <v>6891</v>
      </c>
      <c r="G4519" s="8"/>
      <c r="H4519" s="8">
        <v>11</v>
      </c>
      <c r="I4519" s="8"/>
      <c r="J4519" s="8"/>
      <c r="K4519" s="8"/>
    </row>
    <row r="4520" spans="1:11" hidden="1" x14ac:dyDescent="0.25">
      <c r="A4520" t="str">
        <f>_xlfn.XLOOKUP(C4520, 'Códigos DANE Municipios'!$B$2:$B$1123, 'Códigos DANE Municipios'!$A$2:$A$1123, "No encontrado")</f>
        <v>15180</v>
      </c>
      <c r="B4520" t="str">
        <f>IFERROR(VLOOKUP(D4520,APOYO!K:L,2,FALSE),A4520)</f>
        <v>15180</v>
      </c>
      <c r="C4520" s="8" t="s">
        <v>433</v>
      </c>
      <c r="D4520" t="str">
        <f>IFERROR(VLOOKUP(C4520,APOYO!J:K,2,FALSE),C4520)</f>
        <v>CHISCAS</v>
      </c>
      <c r="E4520" s="8">
        <v>2019</v>
      </c>
      <c r="F4520" s="8"/>
      <c r="G4520" s="8"/>
      <c r="H4520" s="8"/>
      <c r="I4520" s="8"/>
      <c r="J4520" s="8"/>
      <c r="K4520" s="8"/>
    </row>
    <row r="4521" spans="1:11" hidden="1" x14ac:dyDescent="0.25">
      <c r="A4521" t="str">
        <f>_xlfn.XLOOKUP(C4521, 'Códigos DANE Municipios'!$B$2:$B$1123, 'Códigos DANE Municipios'!$A$2:$A$1123, "No encontrado")</f>
        <v>54174</v>
      </c>
      <c r="B4521" t="str">
        <f>IFERROR(VLOOKUP(D4521,APOYO!K:L,2,FALSE),A4521)</f>
        <v>54174</v>
      </c>
      <c r="C4521" s="8" t="s">
        <v>1545</v>
      </c>
      <c r="D4521" t="str">
        <f>IFERROR(VLOOKUP(C4521,APOYO!J:K,2,FALSE),C4521)</f>
        <v>CHITAGÁ</v>
      </c>
      <c r="E4521" s="8">
        <v>2019</v>
      </c>
      <c r="F4521" s="8"/>
      <c r="G4521" s="8"/>
      <c r="H4521" s="8">
        <v>3</v>
      </c>
      <c r="I4521" s="8"/>
      <c r="J4521" s="8"/>
      <c r="K4521" s="8"/>
    </row>
    <row r="4522" spans="1:11" hidden="1" x14ac:dyDescent="0.25">
      <c r="A4522" t="str">
        <f>_xlfn.XLOOKUP(C4522, 'Códigos DANE Municipios'!$B$2:$B$1123, 'Códigos DANE Municipios'!$A$2:$A$1123, "No encontrado")</f>
        <v>15187</v>
      </c>
      <c r="B4522" t="str">
        <f>IFERROR(VLOOKUP(D4522,APOYO!K:L,2,FALSE),A4522)</f>
        <v>15187</v>
      </c>
      <c r="C4522" t="s">
        <v>439</v>
      </c>
      <c r="D4522" t="str">
        <f>IFERROR(VLOOKUP(C4522,APOYO!J:K,2,FALSE),C4522)</f>
        <v>CHIVATÁ</v>
      </c>
      <c r="E4522">
        <v>2019</v>
      </c>
      <c r="H4522">
        <v>7</v>
      </c>
    </row>
    <row r="4523" spans="1:11" hidden="1" x14ac:dyDescent="0.25">
      <c r="A4523" t="str">
        <f>_xlfn.XLOOKUP(C4523, 'Códigos DANE Municipios'!$B$2:$B$1123, 'Códigos DANE Municipios'!$A$2:$A$1123, "No encontrado")</f>
        <v>15236</v>
      </c>
      <c r="B4523" t="str">
        <f>IFERROR(VLOOKUP(D4523,APOYO!K:L,2,FALSE),A4523)</f>
        <v>15236</v>
      </c>
      <c r="C4523" s="8" t="s">
        <v>459</v>
      </c>
      <c r="D4523" t="str">
        <f>IFERROR(VLOOKUP(C4523,APOYO!J:K,2,FALSE),C4523)</f>
        <v>CHIVOR</v>
      </c>
      <c r="E4523" s="8">
        <v>2019</v>
      </c>
      <c r="F4523" s="8"/>
      <c r="G4523" s="8"/>
      <c r="H4523" s="8">
        <v>7</v>
      </c>
      <c r="I4523" s="8"/>
      <c r="J4523" s="8"/>
      <c r="K4523" s="8"/>
    </row>
    <row r="4524" spans="1:11" hidden="1" x14ac:dyDescent="0.25">
      <c r="A4524" t="str">
        <f>_xlfn.XLOOKUP(C4524, 'Códigos DANE Municipios'!$B$2:$B$1123, 'Códigos DANE Municipios'!$A$2:$A$1123, "No encontrado")</f>
        <v>25181</v>
      </c>
      <c r="B4524" t="str">
        <f>IFERROR(VLOOKUP(D4524,APOYO!K:L,2,FALSE),A4524)</f>
        <v>25181</v>
      </c>
      <c r="C4524" t="s">
        <v>950</v>
      </c>
      <c r="D4524" t="str">
        <f>IFERROR(VLOOKUP(C4524,APOYO!J:K,2,FALSE),C4524)</f>
        <v>CHOACHÍ</v>
      </c>
      <c r="E4524">
        <v>2019</v>
      </c>
      <c r="H4524">
        <v>49</v>
      </c>
    </row>
    <row r="4525" spans="1:11" hidden="1" x14ac:dyDescent="0.25">
      <c r="A4525" t="str">
        <f>_xlfn.XLOOKUP(C4525, 'Códigos DANE Municipios'!$B$2:$B$1123, 'Códigos DANE Municipios'!$A$2:$A$1123, "No encontrado")</f>
        <v>25183</v>
      </c>
      <c r="B4525" t="str">
        <f>IFERROR(VLOOKUP(D4525,APOYO!K:L,2,FALSE),A4525)</f>
        <v>25183</v>
      </c>
      <c r="C4525" s="8" t="s">
        <v>952</v>
      </c>
      <c r="D4525" t="str">
        <f>IFERROR(VLOOKUP(C4525,APOYO!J:K,2,FALSE),C4525)</f>
        <v>CHOCONTÁ</v>
      </c>
      <c r="E4525" s="8">
        <v>2019</v>
      </c>
      <c r="F4525" s="8"/>
      <c r="G4525" s="8"/>
      <c r="H4525" s="8">
        <v>21</v>
      </c>
      <c r="I4525" s="8"/>
      <c r="J4525" s="8"/>
      <c r="K4525" s="8"/>
    </row>
    <row r="4526" spans="1:11" hidden="1" x14ac:dyDescent="0.25">
      <c r="A4526" t="str">
        <f>_xlfn.XLOOKUP(C4526, 'Códigos DANE Municipios'!$B$2:$B$1123, 'Códigos DANE Municipios'!$A$2:$A$1123, "No encontrado")</f>
        <v>47189</v>
      </c>
      <c r="B4526" t="str">
        <f>IFERROR(VLOOKUP(D4526,APOYO!K:L,2,FALSE),A4526)</f>
        <v>47189</v>
      </c>
      <c r="C4526" s="8" t="s">
        <v>1312</v>
      </c>
      <c r="D4526" t="str">
        <f>IFERROR(VLOOKUP(C4526,APOYO!J:K,2,FALSE),C4526)</f>
        <v>CIÉNAGA</v>
      </c>
      <c r="E4526" s="8">
        <v>2019</v>
      </c>
      <c r="F4526" s="8"/>
      <c r="G4526" s="8"/>
      <c r="H4526" s="8">
        <v>100</v>
      </c>
      <c r="I4526" s="8"/>
      <c r="J4526" s="8"/>
      <c r="K4526" s="8"/>
    </row>
    <row r="4527" spans="1:11" hidden="1" x14ac:dyDescent="0.25">
      <c r="A4527" t="str">
        <f>_xlfn.XLOOKUP(C4527, 'Códigos DANE Municipios'!$B$2:$B$1123, 'Códigos DANE Municipios'!$A$2:$A$1123, "No encontrado")</f>
        <v>23189</v>
      </c>
      <c r="B4527" t="str">
        <f>IFERROR(VLOOKUP(D4527,APOYO!K:L,2,FALSE),A4527)</f>
        <v>23189</v>
      </c>
      <c r="C4527" s="8" t="s">
        <v>871</v>
      </c>
      <c r="D4527" t="str">
        <f>IFERROR(VLOOKUP(C4527,APOYO!J:K,2,FALSE),C4527)</f>
        <v>CIÉNAGA DE ORO</v>
      </c>
      <c r="E4527" s="8">
        <v>2019</v>
      </c>
      <c r="F4527" s="8"/>
      <c r="G4527" s="8"/>
      <c r="H4527" s="8">
        <v>22</v>
      </c>
      <c r="I4527" s="8"/>
      <c r="J4527" s="8"/>
      <c r="K4527" s="8"/>
    </row>
    <row r="4528" spans="1:11" hidden="1" x14ac:dyDescent="0.25">
      <c r="A4528" t="str">
        <f>_xlfn.XLOOKUP(C4528, 'Códigos DANE Municipios'!$B$2:$B$1123, 'Códigos DANE Municipios'!$A$2:$A$1123, "No encontrado")</f>
        <v>68190</v>
      </c>
      <c r="B4528" t="str">
        <f>IFERROR(VLOOKUP(D4528,APOYO!K:L,2,FALSE),A4528)</f>
        <v>68190</v>
      </c>
      <c r="C4528" s="8" t="s">
        <v>1688</v>
      </c>
      <c r="D4528" t="str">
        <f>IFERROR(VLOOKUP(C4528,APOYO!J:K,2,FALSE),C4528)</f>
        <v>CIMITARRA</v>
      </c>
      <c r="E4528" s="8">
        <v>2019</v>
      </c>
      <c r="F4528" s="8">
        <v>55</v>
      </c>
      <c r="G4528" s="8"/>
      <c r="H4528" s="8">
        <v>6</v>
      </c>
      <c r="I4528" s="8"/>
      <c r="J4528" s="8"/>
      <c r="K4528" s="8"/>
    </row>
    <row r="4529" spans="1:11" hidden="1" x14ac:dyDescent="0.25">
      <c r="A4529" t="str">
        <f>_xlfn.XLOOKUP(C4529, 'Códigos DANE Municipios'!$B$2:$B$1123, 'Códigos DANE Municipios'!$A$2:$A$1123, "No encontrado")</f>
        <v>63190</v>
      </c>
      <c r="B4529" t="str">
        <f>IFERROR(VLOOKUP(D4529,APOYO!K:L,2,FALSE),A4529)</f>
        <v>63190</v>
      </c>
      <c r="C4529" s="8" t="s">
        <v>1611</v>
      </c>
      <c r="D4529" t="str">
        <f>IFERROR(VLOOKUP(C4529,APOYO!J:K,2,FALSE),C4529)</f>
        <v>CIRCASIA</v>
      </c>
      <c r="E4529" s="8">
        <v>2019</v>
      </c>
      <c r="F4529" s="8"/>
      <c r="G4529" s="8"/>
      <c r="H4529" s="8">
        <v>238</v>
      </c>
      <c r="I4529" s="8"/>
      <c r="J4529" s="8"/>
      <c r="K4529" s="8"/>
    </row>
    <row r="4530" spans="1:11" hidden="1" x14ac:dyDescent="0.25">
      <c r="A4530" t="str">
        <f>_xlfn.XLOOKUP(C4530, 'Códigos DANE Municipios'!$B$2:$B$1123, 'Códigos DANE Municipios'!$A$2:$A$1123, "No encontrado")</f>
        <v>05190</v>
      </c>
      <c r="B4530" t="str">
        <f>IFERROR(VLOOKUP(D4530,APOYO!K:L,2,FALSE),A4530)</f>
        <v>05190</v>
      </c>
      <c r="C4530" s="8" t="s">
        <v>84</v>
      </c>
      <c r="D4530" t="str">
        <f>IFERROR(VLOOKUP(C4530,APOYO!J:K,2,FALSE),C4530)</f>
        <v>CISNEROS</v>
      </c>
      <c r="E4530" s="8">
        <v>2019</v>
      </c>
      <c r="F4530" s="8"/>
      <c r="G4530" s="8"/>
      <c r="H4530" s="8">
        <v>45</v>
      </c>
      <c r="I4530" s="8"/>
      <c r="J4530" s="8"/>
      <c r="K4530" s="8"/>
    </row>
    <row r="4531" spans="1:11" hidden="1" x14ac:dyDescent="0.25">
      <c r="A4531" t="str">
        <f>_xlfn.XLOOKUP(C4531, 'Códigos DANE Municipios'!$B$2:$B$1123, 'Códigos DANE Municipios'!$A$2:$A$1123, "No encontrado")</f>
        <v>05197</v>
      </c>
      <c r="B4531" t="str">
        <f>IFERROR(VLOOKUP(D4531,APOYO!K:L,2,FALSE),A4531)</f>
        <v>05197</v>
      </c>
      <c r="C4531" s="8" t="s">
        <v>86</v>
      </c>
      <c r="D4531" t="str">
        <f>IFERROR(VLOOKUP(C4531,APOYO!J:K,2,FALSE),C4531)</f>
        <v>COCORNÁ</v>
      </c>
      <c r="E4531" s="8">
        <v>2019</v>
      </c>
      <c r="F4531" s="8"/>
      <c r="G4531" s="8"/>
      <c r="H4531" s="8">
        <v>47</v>
      </c>
      <c r="I4531" s="8"/>
      <c r="J4531" s="8"/>
      <c r="K4531" s="8"/>
    </row>
    <row r="4532" spans="1:11" hidden="1" x14ac:dyDescent="0.25">
      <c r="A4532" t="str">
        <f>_xlfn.XLOOKUP(C4532, 'Códigos DANE Municipios'!$B$2:$B$1123, 'Códigos DANE Municipios'!$A$2:$A$1123, "No encontrado")</f>
        <v>73200</v>
      </c>
      <c r="B4532" t="str">
        <f>IFERROR(VLOOKUP(D4532,APOYO!K:L,2,FALSE),A4532)</f>
        <v>73200</v>
      </c>
      <c r="C4532" s="8" t="s">
        <v>1887</v>
      </c>
      <c r="D4532" t="str">
        <f>IFERROR(VLOOKUP(C4532,APOYO!J:K,2,FALSE),C4532)</f>
        <v>COELLO</v>
      </c>
      <c r="E4532" s="8">
        <v>2019</v>
      </c>
      <c r="F4532" s="8"/>
      <c r="G4532" s="8"/>
      <c r="H4532" s="8">
        <v>3</v>
      </c>
      <c r="I4532" s="8"/>
      <c r="J4532" s="8"/>
      <c r="K4532" s="8"/>
    </row>
    <row r="4533" spans="1:11" hidden="1" x14ac:dyDescent="0.25">
      <c r="A4533" t="str">
        <f>_xlfn.XLOOKUP(C4533, 'Códigos DANE Municipios'!$B$2:$B$1123, 'Códigos DANE Municipios'!$A$2:$A$1123, "No encontrado")</f>
        <v>25200</v>
      </c>
      <c r="B4533" t="str">
        <f>IFERROR(VLOOKUP(D4533,APOYO!K:L,2,FALSE),A4533)</f>
        <v>25200</v>
      </c>
      <c r="C4533" s="8" t="s">
        <v>954</v>
      </c>
      <c r="D4533" t="str">
        <f>IFERROR(VLOOKUP(C4533,APOYO!J:K,2,FALSE),C4533)</f>
        <v>COGUA</v>
      </c>
      <c r="E4533" s="8">
        <v>2019</v>
      </c>
      <c r="F4533" s="8"/>
      <c r="G4533" s="8"/>
      <c r="H4533" s="8">
        <v>56</v>
      </c>
      <c r="I4533" s="8"/>
      <c r="J4533" s="8"/>
      <c r="K4533" s="8"/>
    </row>
    <row r="4534" spans="1:11" hidden="1" x14ac:dyDescent="0.25">
      <c r="A4534" t="str">
        <f>_xlfn.XLOOKUP(C4534, 'Códigos DANE Municipios'!$B$2:$B$1123, 'Códigos DANE Municipios'!$A$2:$A$1123, "No encontrado")</f>
        <v>41206</v>
      </c>
      <c r="B4534" t="str">
        <f>IFERROR(VLOOKUP(D4534,APOYO!K:L,2,FALSE),A4534)</f>
        <v>41206</v>
      </c>
      <c r="C4534" s="8" t="s">
        <v>1217</v>
      </c>
      <c r="D4534" t="str">
        <f>IFERROR(VLOOKUP(C4534,APOYO!J:K,2,FALSE),C4534)</f>
        <v>COLOMBIA</v>
      </c>
      <c r="E4534" s="8">
        <v>2019</v>
      </c>
      <c r="F4534" s="8"/>
      <c r="G4534" s="8"/>
      <c r="H4534" s="8">
        <v>5</v>
      </c>
      <c r="I4534" s="8"/>
      <c r="J4534" s="8"/>
      <c r="K4534" s="8"/>
    </row>
    <row r="4535" spans="1:11" hidden="1" x14ac:dyDescent="0.25">
      <c r="A4535" t="str">
        <f>_xlfn.XLOOKUP(C4535, 'Códigos DANE Municipios'!$B$2:$B$1123, 'Códigos DANE Municipios'!$A$2:$A$1123, "No encontrado")</f>
        <v>52203</v>
      </c>
      <c r="B4535" t="str">
        <f>IFERROR(VLOOKUP(D4535,APOYO!K:L,2,FALSE),A4535)</f>
        <v>52203</v>
      </c>
      <c r="C4535" s="8" t="s">
        <v>1426</v>
      </c>
      <c r="D4535" t="str">
        <f>IFERROR(VLOOKUP(C4535,APOYO!J:K,2,FALSE),C4535)</f>
        <v>COLÓN</v>
      </c>
      <c r="E4535" s="8">
        <v>2019</v>
      </c>
      <c r="F4535" s="8"/>
      <c r="G4535" s="8"/>
      <c r="H4535" s="8">
        <v>31</v>
      </c>
      <c r="I4535" s="8"/>
      <c r="J4535" s="8"/>
      <c r="K4535" s="8"/>
    </row>
    <row r="4536" spans="1:11" hidden="1" x14ac:dyDescent="0.25">
      <c r="A4536" t="str">
        <f>_xlfn.XLOOKUP(C4536, 'Códigos DANE Municipios'!$B$2:$B$1123, 'Códigos DANE Municipios'!$A$2:$A$1123, "No encontrado")</f>
        <v>15204</v>
      </c>
      <c r="B4536" t="str">
        <f>IFERROR(VLOOKUP(D4536,APOYO!K:L,2,FALSE),A4536)</f>
        <v>15204</v>
      </c>
      <c r="C4536" t="s">
        <v>443</v>
      </c>
      <c r="D4536" t="str">
        <f>IFERROR(VLOOKUP(C4536,APOYO!J:K,2,FALSE),C4536)</f>
        <v>CÓMBITA</v>
      </c>
      <c r="E4536">
        <v>2019</v>
      </c>
      <c r="H4536">
        <v>5</v>
      </c>
    </row>
    <row r="4537" spans="1:11" hidden="1" x14ac:dyDescent="0.25">
      <c r="A4537" t="str">
        <f>_xlfn.XLOOKUP(C4537, 'Códigos DANE Municipios'!$B$2:$B$1123, 'Códigos DANE Municipios'!$A$2:$A$1123, "No encontrado")</f>
        <v>05206</v>
      </c>
      <c r="B4537" t="str">
        <f>IFERROR(VLOOKUP(D4537,APOYO!K:L,2,FALSE),A4537)</f>
        <v>05206</v>
      </c>
      <c r="C4537" s="8" t="s">
        <v>88</v>
      </c>
      <c r="D4537" t="str">
        <f>IFERROR(VLOOKUP(C4537,APOYO!J:K,2,FALSE),C4537)</f>
        <v>CONCEPCIÓN</v>
      </c>
      <c r="E4537" s="8">
        <v>2019</v>
      </c>
      <c r="F4537" s="8"/>
      <c r="G4537" s="8"/>
      <c r="H4537" s="8">
        <v>7</v>
      </c>
      <c r="I4537" s="8"/>
      <c r="J4537" s="8"/>
      <c r="K4537" s="8"/>
    </row>
    <row r="4538" spans="1:11" hidden="1" x14ac:dyDescent="0.25">
      <c r="A4538" t="str">
        <f>_xlfn.XLOOKUP(C4538, 'Códigos DANE Municipios'!$B$2:$B$1123, 'Códigos DANE Municipios'!$A$2:$A$1123, "No encontrado")</f>
        <v>05209</v>
      </c>
      <c r="B4538" t="str">
        <f>IFERROR(VLOOKUP(D4538,APOYO!K:L,2,FALSE),A4538)</f>
        <v>05209</v>
      </c>
      <c r="C4538" s="8" t="s">
        <v>90</v>
      </c>
      <c r="D4538" t="str">
        <f>IFERROR(VLOOKUP(C4538,APOYO!J:K,2,FALSE),C4538)</f>
        <v>CONCORDIA</v>
      </c>
      <c r="E4538" s="8">
        <v>2019</v>
      </c>
      <c r="F4538" s="8"/>
      <c r="G4538" s="8"/>
      <c r="H4538" s="8">
        <v>7</v>
      </c>
      <c r="I4538" s="8"/>
      <c r="J4538" s="8"/>
      <c r="K4538" s="8"/>
    </row>
    <row r="4539" spans="1:11" hidden="1" x14ac:dyDescent="0.25">
      <c r="A4539" t="str">
        <f>_xlfn.XLOOKUP(C4539, 'Códigos DANE Municipios'!$B$2:$B$1123, 'Códigos DANE Municipios'!$A$2:$A$1123, "No encontrado")</f>
        <v>27205</v>
      </c>
      <c r="B4539" t="str">
        <f>IFERROR(VLOOKUP(D4539,APOYO!K:L,2,FALSE),A4539)</f>
        <v>27205</v>
      </c>
      <c r="C4539" s="8" t="s">
        <v>1164</v>
      </c>
      <c r="D4539" t="str">
        <f>IFERROR(VLOOKUP(C4539,APOYO!J:K,2,FALSE),C4539)</f>
        <v>CONDOTO</v>
      </c>
      <c r="E4539" s="8">
        <v>2019</v>
      </c>
      <c r="F4539" s="8">
        <v>134</v>
      </c>
      <c r="G4539" s="8"/>
      <c r="H4539" s="8">
        <v>4</v>
      </c>
      <c r="I4539" s="8"/>
      <c r="J4539" s="8"/>
      <c r="K4539" s="8"/>
    </row>
    <row r="4540" spans="1:11" hidden="1" x14ac:dyDescent="0.25">
      <c r="A4540" t="str">
        <f>_xlfn.XLOOKUP(C4540, 'Códigos DANE Municipios'!$B$2:$B$1123, 'Códigos DANE Municipios'!$A$2:$A$1123, "No encontrado")</f>
        <v>52207</v>
      </c>
      <c r="B4540" t="str">
        <f>IFERROR(VLOOKUP(D4540,APOYO!K:L,2,FALSE),A4540)</f>
        <v>52207</v>
      </c>
      <c r="C4540" s="8" t="s">
        <v>1428</v>
      </c>
      <c r="D4540" t="str">
        <f>IFERROR(VLOOKUP(C4540,APOYO!J:K,2,FALSE),C4540)</f>
        <v>CONSACÁ</v>
      </c>
      <c r="E4540" s="8">
        <v>2019</v>
      </c>
      <c r="F4540" s="8"/>
      <c r="G4540" s="8"/>
      <c r="H4540" s="8">
        <v>1</v>
      </c>
      <c r="I4540" s="8"/>
      <c r="J4540" s="8"/>
      <c r="K4540" s="8"/>
    </row>
    <row r="4541" spans="1:11" hidden="1" x14ac:dyDescent="0.25">
      <c r="A4541" t="str">
        <f>_xlfn.XLOOKUP(C4541, 'Códigos DANE Municipios'!$B$2:$B$1123, 'Códigos DANE Municipios'!$A$2:$A$1123, "No encontrado")</f>
        <v>52210</v>
      </c>
      <c r="B4541" t="str">
        <f>IFERROR(VLOOKUP(D4541,APOYO!K:L,2,FALSE),A4541)</f>
        <v>52210</v>
      </c>
      <c r="C4541" s="8" t="s">
        <v>1430</v>
      </c>
      <c r="D4541" t="str">
        <f>IFERROR(VLOOKUP(C4541,APOYO!J:K,2,FALSE),C4541)</f>
        <v>CONTADERO</v>
      </c>
      <c r="E4541" s="8">
        <v>2019</v>
      </c>
      <c r="F4541" s="8"/>
      <c r="G4541" s="8"/>
      <c r="H4541" s="8">
        <v>4</v>
      </c>
      <c r="I4541" s="8"/>
      <c r="J4541" s="8"/>
      <c r="K4541" s="8"/>
    </row>
    <row r="4542" spans="1:11" hidden="1" x14ac:dyDescent="0.25">
      <c r="A4542" t="str">
        <f>_xlfn.XLOOKUP(C4542, 'Códigos DANE Municipios'!$B$2:$B$1123, 'Códigos DANE Municipios'!$A$2:$A$1123, "No encontrado")</f>
        <v>68211</v>
      </c>
      <c r="B4542" t="str">
        <f>IFERROR(VLOOKUP(D4542,APOYO!K:L,2,FALSE),A4542)</f>
        <v>68211</v>
      </c>
      <c r="C4542" t="s">
        <v>1693</v>
      </c>
      <c r="D4542" t="str">
        <f>IFERROR(VLOOKUP(C4542,APOYO!J:K,2,FALSE),C4542)</f>
        <v>CONTRATACIÓN</v>
      </c>
      <c r="E4542">
        <v>2019</v>
      </c>
      <c r="H4542">
        <v>2</v>
      </c>
    </row>
    <row r="4543" spans="1:11" hidden="1" x14ac:dyDescent="0.25">
      <c r="A4543" t="str">
        <f>_xlfn.XLOOKUP(C4543, 'Códigos DANE Municipios'!$B$2:$B$1123, 'Códigos DANE Municipios'!$A$2:$A$1123, "No encontrado")</f>
        <v>05212</v>
      </c>
      <c r="B4543" t="str">
        <f>IFERROR(VLOOKUP(D4543,APOYO!K:L,2,FALSE),A4543)</f>
        <v>05212</v>
      </c>
      <c r="C4543" s="8" t="s">
        <v>92</v>
      </c>
      <c r="D4543" t="str">
        <f>IFERROR(VLOOKUP(C4543,APOYO!J:K,2,FALSE),C4543)</f>
        <v>COPACABANA</v>
      </c>
      <c r="E4543" s="8">
        <v>2019</v>
      </c>
      <c r="F4543" s="8"/>
      <c r="G4543" s="8"/>
      <c r="H4543" s="8">
        <v>411</v>
      </c>
      <c r="I4543" s="8"/>
      <c r="J4543" s="8"/>
      <c r="K4543" s="8"/>
    </row>
    <row r="4544" spans="1:11" hidden="1" x14ac:dyDescent="0.25">
      <c r="A4544" t="str">
        <f>_xlfn.XLOOKUP(C4544, 'Códigos DANE Municipios'!$B$2:$B$1123, 'Códigos DANE Municipios'!$A$2:$A$1123, "No encontrado")</f>
        <v>13212</v>
      </c>
      <c r="B4544" t="str">
        <f>IFERROR(VLOOKUP(D4544,APOYO!K:L,2,FALSE),A4544)</f>
        <v>13212</v>
      </c>
      <c r="C4544" s="8" t="s">
        <v>329</v>
      </c>
      <c r="D4544" t="str">
        <f>IFERROR(VLOOKUP(C4544,APOYO!J:K,2,FALSE),C4544)</f>
        <v>CÓRDOBA</v>
      </c>
      <c r="E4544" s="8">
        <v>2019</v>
      </c>
      <c r="F4544" s="8"/>
      <c r="G4544" s="8"/>
      <c r="H4544" s="8">
        <v>7</v>
      </c>
      <c r="I4544" s="8"/>
      <c r="J4544" s="8"/>
      <c r="K4544" s="8"/>
    </row>
    <row r="4545" spans="1:11" hidden="1" x14ac:dyDescent="0.25">
      <c r="A4545" t="str">
        <f>_xlfn.XLOOKUP(C4545, 'Códigos DANE Municipios'!$B$2:$B$1123, 'Códigos DANE Municipios'!$A$2:$A$1123, "No encontrado")</f>
        <v>19212</v>
      </c>
      <c r="B4545" t="str">
        <f>IFERROR(VLOOKUP(D4545,APOYO!K:L,2,FALSE),A4545)</f>
        <v>19212</v>
      </c>
      <c r="C4545" s="8" t="s">
        <v>746</v>
      </c>
      <c r="D4545" t="str">
        <f>IFERROR(VLOOKUP(C4545,APOYO!J:K,2,FALSE),C4545)</f>
        <v>CORINTO</v>
      </c>
      <c r="E4545" s="8">
        <v>2019</v>
      </c>
      <c r="F4545" s="8"/>
      <c r="G4545" s="8"/>
      <c r="H4545" s="8">
        <v>11</v>
      </c>
      <c r="I4545" s="8"/>
      <c r="J4545" s="8"/>
      <c r="K4545" s="8"/>
    </row>
    <row r="4546" spans="1:11" hidden="1" x14ac:dyDescent="0.25">
      <c r="A4546" t="str">
        <f>_xlfn.XLOOKUP(C4546, 'Códigos DANE Municipios'!$B$2:$B$1123, 'Códigos DANE Municipios'!$A$2:$A$1123, "No encontrado")</f>
        <v>70215</v>
      </c>
      <c r="B4546" t="str">
        <f>IFERROR(VLOOKUP(D4546,APOYO!K:L,2,FALSE),A4546)</f>
        <v>70215</v>
      </c>
      <c r="C4546" s="8" t="s">
        <v>1823</v>
      </c>
      <c r="D4546" t="str">
        <f>IFERROR(VLOOKUP(C4546,APOYO!J:K,2,FALSE),C4546)</f>
        <v>COROZAL</v>
      </c>
      <c r="E4546" s="8">
        <v>2019</v>
      </c>
      <c r="F4546" s="8">
        <v>43711</v>
      </c>
      <c r="G4546" s="8">
        <v>311</v>
      </c>
      <c r="H4546" s="8">
        <v>110</v>
      </c>
      <c r="I4546" s="8"/>
      <c r="J4546" s="8"/>
      <c r="K4546" s="8"/>
    </row>
    <row r="4547" spans="1:11" hidden="1" x14ac:dyDescent="0.25">
      <c r="A4547" t="str">
        <f>_xlfn.XLOOKUP(C4547, 'Códigos DANE Municipios'!$B$2:$B$1123, 'Códigos DANE Municipios'!$A$2:$A$1123, "No encontrado")</f>
        <v>25214</v>
      </c>
      <c r="B4547" t="str">
        <f>IFERROR(VLOOKUP(D4547,APOYO!K:L,2,FALSE),A4547)</f>
        <v>25214</v>
      </c>
      <c r="C4547" s="8" t="s">
        <v>956</v>
      </c>
      <c r="D4547" t="str">
        <f>IFERROR(VLOOKUP(C4547,APOYO!J:K,2,FALSE),C4547)</f>
        <v>COTA</v>
      </c>
      <c r="E4547" s="8">
        <v>2019</v>
      </c>
      <c r="F4547" s="8"/>
      <c r="G4547" s="8"/>
      <c r="H4547" s="8">
        <v>652</v>
      </c>
      <c r="I4547" s="8"/>
      <c r="J4547" s="8"/>
      <c r="K4547" s="8"/>
    </row>
    <row r="4548" spans="1:11" hidden="1" x14ac:dyDescent="0.25">
      <c r="A4548" t="str">
        <f>_xlfn.XLOOKUP(C4548, 'Códigos DANE Municipios'!$B$2:$B$1123, 'Códigos DANE Municipios'!$A$2:$A$1123, "No encontrado")</f>
        <v>70221</v>
      </c>
      <c r="B4548" t="str">
        <f>IFERROR(VLOOKUP(D4548,APOYO!K:L,2,FALSE),A4548)</f>
        <v>70221</v>
      </c>
      <c r="C4548" s="8" t="s">
        <v>1825</v>
      </c>
      <c r="D4548" t="str">
        <f>IFERROR(VLOOKUP(C4548,APOYO!J:K,2,FALSE),C4548)</f>
        <v>COVEÑAS</v>
      </c>
      <c r="E4548" s="8">
        <v>2019</v>
      </c>
      <c r="F4548" s="8">
        <v>20</v>
      </c>
      <c r="G4548" s="8"/>
      <c r="H4548" s="8">
        <v>303</v>
      </c>
      <c r="I4548" s="8"/>
      <c r="J4548" s="8"/>
      <c r="K4548" s="8"/>
    </row>
    <row r="4549" spans="1:11" hidden="1" x14ac:dyDescent="0.25">
      <c r="A4549" t="str">
        <f>_xlfn.XLOOKUP(C4549, 'Códigos DANE Municipios'!$B$2:$B$1123, 'Códigos DANE Municipios'!$A$2:$A$1123, "No encontrado")</f>
        <v>81220</v>
      </c>
      <c r="B4549" t="str">
        <f>IFERROR(VLOOKUP(D4549,APOYO!K:L,2,FALSE),A4549)</f>
        <v>81220</v>
      </c>
      <c r="C4549" s="8" t="s">
        <v>2038</v>
      </c>
      <c r="D4549" t="str">
        <f>IFERROR(VLOOKUP(C4549,APOYO!J:K,2,FALSE),C4549)</f>
        <v>CRAVO NORTE</v>
      </c>
      <c r="E4549" s="8">
        <v>2019</v>
      </c>
      <c r="F4549" s="8"/>
      <c r="G4549" s="8"/>
      <c r="H4549" s="8">
        <v>76</v>
      </c>
      <c r="I4549" s="8"/>
      <c r="J4549" s="8"/>
      <c r="K4549" s="8"/>
    </row>
    <row r="4550" spans="1:11" hidden="1" x14ac:dyDescent="0.25">
      <c r="A4550" t="str">
        <f>_xlfn.XLOOKUP(C4550, 'Códigos DANE Municipios'!$B$2:$B$1123, 'Códigos DANE Municipios'!$A$2:$A$1123, "No encontrado")</f>
        <v>15223</v>
      </c>
      <c r="B4550" t="str">
        <f>IFERROR(VLOOKUP(D4550,APOYO!K:L,2,FALSE),A4550)</f>
        <v>15223</v>
      </c>
      <c r="C4550" t="s">
        <v>451</v>
      </c>
      <c r="D4550" t="str">
        <f>IFERROR(VLOOKUP(C4550,APOYO!J:K,2,FALSE),C4550)</f>
        <v>CUBARÁ</v>
      </c>
      <c r="E4550">
        <v>2019</v>
      </c>
    </row>
    <row r="4551" spans="1:11" hidden="1" x14ac:dyDescent="0.25">
      <c r="A4551" t="str">
        <f>_xlfn.XLOOKUP(C4551, 'Códigos DANE Municipios'!$B$2:$B$1123, 'Códigos DANE Municipios'!$A$2:$A$1123, "No encontrado")</f>
        <v>50223</v>
      </c>
      <c r="B4551" t="str">
        <f>IFERROR(VLOOKUP(D4551,APOYO!K:L,2,FALSE),A4551)</f>
        <v>50223</v>
      </c>
      <c r="C4551" s="8" t="s">
        <v>1368</v>
      </c>
      <c r="D4551" t="str">
        <f>IFERROR(VLOOKUP(C4551,APOYO!J:K,2,FALSE),C4551)</f>
        <v>SAN LUIS DE CUBARRAL</v>
      </c>
      <c r="E4551" s="8">
        <v>2019</v>
      </c>
      <c r="F4551" s="8"/>
      <c r="G4551" s="8"/>
      <c r="H4551" s="8"/>
      <c r="I4551" s="8"/>
      <c r="J4551" s="8"/>
      <c r="K4551" s="8"/>
    </row>
    <row r="4552" spans="1:11" hidden="1" x14ac:dyDescent="0.25">
      <c r="A4552" t="str">
        <f>_xlfn.XLOOKUP(C4552, 'Códigos DANE Municipios'!$B$2:$B$1123, 'Códigos DANE Municipios'!$A$2:$A$1123, "No encontrado")</f>
        <v>15224</v>
      </c>
      <c r="B4552" t="str">
        <f>IFERROR(VLOOKUP(D4552,APOYO!K:L,2,FALSE),A4552)</f>
        <v>15224</v>
      </c>
      <c r="C4552" s="8" t="s">
        <v>453</v>
      </c>
      <c r="D4552" t="str">
        <f>IFERROR(VLOOKUP(C4552,APOYO!J:K,2,FALSE),C4552)</f>
        <v>CUCAITA</v>
      </c>
      <c r="E4552" s="8">
        <v>2019</v>
      </c>
      <c r="F4552" s="8"/>
      <c r="G4552" s="8"/>
      <c r="H4552" s="8">
        <v>6</v>
      </c>
      <c r="I4552" s="8"/>
      <c r="J4552" s="8"/>
      <c r="K4552" s="8"/>
    </row>
    <row r="4553" spans="1:11" hidden="1" x14ac:dyDescent="0.25">
      <c r="A4553" t="str">
        <f>_xlfn.XLOOKUP(C4553, 'Códigos DANE Municipios'!$B$2:$B$1123, 'Códigos DANE Municipios'!$A$2:$A$1123, "No encontrado")</f>
        <v>25224</v>
      </c>
      <c r="B4553" t="str">
        <f>IFERROR(VLOOKUP(D4553,APOYO!K:L,2,FALSE),A4553)</f>
        <v>25224</v>
      </c>
      <c r="C4553" s="8" t="s">
        <v>958</v>
      </c>
      <c r="D4553" t="str">
        <f>IFERROR(VLOOKUP(C4553,APOYO!J:K,2,FALSE),C4553)</f>
        <v>CUCUNUBÁ</v>
      </c>
      <c r="E4553" s="8">
        <v>2019</v>
      </c>
      <c r="F4553" s="8"/>
      <c r="G4553" s="8"/>
      <c r="H4553" s="8">
        <v>5</v>
      </c>
      <c r="I4553" s="8"/>
      <c r="J4553" s="8"/>
      <c r="K4553" s="8"/>
    </row>
    <row r="4554" spans="1:11" hidden="1" x14ac:dyDescent="0.25">
      <c r="A4554" t="str">
        <f>_xlfn.XLOOKUP(C4554, 'Códigos DANE Municipios'!$B$2:$B$1123, 'Códigos DANE Municipios'!$A$2:$A$1123, "No encontrado")</f>
        <v>54001</v>
      </c>
      <c r="B4554" t="str">
        <f>IFERROR(VLOOKUP(D4554,APOYO!K:L,2,FALSE),A4554)</f>
        <v>54001</v>
      </c>
      <c r="C4554" s="8" t="s">
        <v>1529</v>
      </c>
      <c r="D4554" t="str">
        <f>IFERROR(VLOOKUP(C4554,APOYO!J:K,2,FALSE),C4554)</f>
        <v>CÚCUTA</v>
      </c>
      <c r="E4554" s="8">
        <v>2019</v>
      </c>
      <c r="F4554" s="8">
        <v>480712</v>
      </c>
      <c r="G4554" s="8">
        <v>37217</v>
      </c>
      <c r="H4554" s="8">
        <v>17000</v>
      </c>
      <c r="I4554" s="8"/>
      <c r="J4554" s="8"/>
      <c r="K4554" s="8"/>
    </row>
    <row r="4555" spans="1:11" hidden="1" x14ac:dyDescent="0.25">
      <c r="A4555" t="str">
        <f>_xlfn.XLOOKUP(C4555, 'Códigos DANE Municipios'!$B$2:$B$1123, 'Códigos DANE Municipios'!$A$2:$A$1123, "No encontrado")</f>
        <v>54223</v>
      </c>
      <c r="B4555" t="str">
        <f>IFERROR(VLOOKUP(D4555,APOYO!K:L,2,FALSE),A4555)</f>
        <v>54223</v>
      </c>
      <c r="C4555" s="8" t="s">
        <v>1549</v>
      </c>
      <c r="D4555" t="str">
        <f>IFERROR(VLOOKUP(C4555,APOYO!J:K,2,FALSE),C4555)</f>
        <v>CUCUTILLA</v>
      </c>
      <c r="E4555" s="8">
        <v>2019</v>
      </c>
      <c r="F4555" s="8"/>
      <c r="G4555" s="8"/>
      <c r="H4555" s="8">
        <v>109</v>
      </c>
      <c r="I4555" s="8"/>
      <c r="J4555" s="8"/>
      <c r="K4555" s="8"/>
    </row>
    <row r="4556" spans="1:11" hidden="1" x14ac:dyDescent="0.25">
      <c r="A4556" t="str">
        <f>_xlfn.XLOOKUP(C4556, 'Códigos DANE Municipios'!$B$2:$B$1123, 'Códigos DANE Municipios'!$A$2:$A$1123, "No encontrado")</f>
        <v>15226</v>
      </c>
      <c r="B4556" t="str">
        <f>IFERROR(VLOOKUP(D4556,APOYO!K:L,2,FALSE),A4556)</f>
        <v>15226</v>
      </c>
      <c r="C4556" s="8" t="s">
        <v>455</v>
      </c>
      <c r="D4556" t="str">
        <f>IFERROR(VLOOKUP(C4556,APOYO!J:K,2,FALSE),C4556)</f>
        <v>CUÍTIVA</v>
      </c>
      <c r="E4556" s="8">
        <v>2019</v>
      </c>
      <c r="F4556" s="8"/>
      <c r="G4556" s="8"/>
      <c r="H4556" s="8">
        <v>1</v>
      </c>
      <c r="I4556" s="8"/>
      <c r="J4556" s="8"/>
      <c r="K4556" s="8"/>
    </row>
    <row r="4557" spans="1:11" hidden="1" x14ac:dyDescent="0.25">
      <c r="A4557" t="str">
        <f>_xlfn.XLOOKUP(C4557, 'Códigos DANE Municipios'!$B$2:$B$1123, 'Códigos DANE Municipios'!$A$2:$A$1123, "No encontrado")</f>
        <v>50226</v>
      </c>
      <c r="B4557" t="str">
        <f>IFERROR(VLOOKUP(D4557,APOYO!K:L,2,FALSE),A4557)</f>
        <v>50226</v>
      </c>
      <c r="C4557" s="8" t="s">
        <v>1370</v>
      </c>
      <c r="D4557" t="str">
        <f>IFERROR(VLOOKUP(C4557,APOYO!J:K,2,FALSE),C4557)</f>
        <v>CUMARAL</v>
      </c>
      <c r="E4557" s="8">
        <v>2019</v>
      </c>
      <c r="F4557" s="8"/>
      <c r="G4557" s="8"/>
      <c r="H4557" s="8">
        <v>33</v>
      </c>
      <c r="I4557" s="8"/>
      <c r="J4557" s="8"/>
      <c r="K4557" s="8"/>
    </row>
    <row r="4558" spans="1:11" hidden="1" x14ac:dyDescent="0.25">
      <c r="A4558" t="str">
        <f>_xlfn.XLOOKUP(C4558, 'Códigos DANE Municipios'!$B$2:$B$1123, 'Códigos DANE Municipios'!$A$2:$A$1123, "No encontrado")</f>
        <v>99773</v>
      </c>
      <c r="B4558" t="str">
        <f>IFERROR(VLOOKUP(D4558,APOYO!K:L,2,FALSE),A4558)</f>
        <v>99773</v>
      </c>
      <c r="C4558" s="8" t="s">
        <v>2169</v>
      </c>
      <c r="D4558" t="str">
        <f>IFERROR(VLOOKUP(C4558,APOYO!J:K,2,FALSE),C4558)</f>
        <v>CUMARIBO</v>
      </c>
      <c r="E4558" s="8">
        <v>2019</v>
      </c>
      <c r="F4558" s="8">
        <v>425</v>
      </c>
      <c r="G4558" s="8"/>
      <c r="H4558" s="8">
        <v>11</v>
      </c>
      <c r="I4558" s="8"/>
      <c r="J4558" s="8"/>
      <c r="K4558" s="8"/>
    </row>
    <row r="4559" spans="1:11" hidden="1" x14ac:dyDescent="0.25">
      <c r="A4559" t="str">
        <f>_xlfn.XLOOKUP(C4559, 'Códigos DANE Municipios'!$B$2:$B$1123, 'Códigos DANE Municipios'!$A$2:$A$1123, "No encontrado")</f>
        <v>52227</v>
      </c>
      <c r="B4559" t="str">
        <f>IFERROR(VLOOKUP(D4559,APOYO!K:L,2,FALSE),A4559)</f>
        <v>52227</v>
      </c>
      <c r="C4559" s="8" t="s">
        <v>1435</v>
      </c>
      <c r="D4559" t="str">
        <f>IFERROR(VLOOKUP(C4559,APOYO!J:K,2,FALSE),C4559)</f>
        <v>CUMBAL</v>
      </c>
      <c r="E4559" s="8">
        <v>2019</v>
      </c>
      <c r="F4559" s="8"/>
      <c r="G4559" s="8"/>
      <c r="H4559" s="8">
        <v>24</v>
      </c>
      <c r="I4559" s="8"/>
      <c r="J4559" s="8"/>
      <c r="K4559" s="8"/>
    </row>
    <row r="4560" spans="1:11" hidden="1" x14ac:dyDescent="0.25">
      <c r="A4560" t="str">
        <f>_xlfn.XLOOKUP(C4560, 'Códigos DANE Municipios'!$B$2:$B$1123, 'Códigos DANE Municipios'!$A$2:$A$1123, "No encontrado")</f>
        <v>73226</v>
      </c>
      <c r="B4560" t="str">
        <f>IFERROR(VLOOKUP(D4560,APOYO!K:L,2,FALSE),A4560)</f>
        <v>73226</v>
      </c>
      <c r="C4560" s="8" t="s">
        <v>1891</v>
      </c>
      <c r="D4560" t="str">
        <f>IFERROR(VLOOKUP(C4560,APOYO!J:K,2,FALSE),C4560)</f>
        <v>CUNDAY</v>
      </c>
      <c r="E4560" s="8">
        <v>2019</v>
      </c>
      <c r="F4560" s="8"/>
      <c r="G4560" s="8"/>
      <c r="H4560" s="8">
        <v>3</v>
      </c>
      <c r="I4560" s="8"/>
      <c r="J4560" s="8"/>
      <c r="K4560" s="8"/>
    </row>
    <row r="4561" spans="1:11" hidden="1" x14ac:dyDescent="0.25">
      <c r="A4561" t="str">
        <f>_xlfn.XLOOKUP(C4561, 'Códigos DANE Municipios'!$B$2:$B$1123, 'Códigos DANE Municipios'!$A$2:$A$1123, "No encontrado")</f>
        <v>68229</v>
      </c>
      <c r="B4561" t="str">
        <f>IFERROR(VLOOKUP(D4561,APOYO!K:L,2,FALSE),A4561)</f>
        <v>68229</v>
      </c>
      <c r="C4561" s="8" t="s">
        <v>1697</v>
      </c>
      <c r="D4561" t="str">
        <f>IFERROR(VLOOKUP(C4561,APOYO!J:K,2,FALSE),C4561)</f>
        <v>CURITÍ</v>
      </c>
      <c r="E4561" s="8">
        <v>2019</v>
      </c>
      <c r="F4561" s="8"/>
      <c r="G4561" s="8"/>
      <c r="H4561" s="8">
        <v>23</v>
      </c>
      <c r="I4561" s="8"/>
      <c r="J4561" s="8"/>
      <c r="K4561" s="8"/>
    </row>
    <row r="4562" spans="1:11" hidden="1" x14ac:dyDescent="0.25">
      <c r="A4562" t="str">
        <f>_xlfn.XLOOKUP(C4562, 'Códigos DANE Municipios'!$B$2:$B$1123, 'Códigos DANE Municipios'!$A$2:$A$1123, "No encontrado")</f>
        <v>20228</v>
      </c>
      <c r="B4562" t="str">
        <f>IFERROR(VLOOKUP(D4562,APOYO!K:L,2,FALSE),A4562)</f>
        <v>20228</v>
      </c>
      <c r="C4562" s="8" t="s">
        <v>824</v>
      </c>
      <c r="D4562" t="str">
        <f>IFERROR(VLOOKUP(C4562,APOYO!J:K,2,FALSE),C4562)</f>
        <v>CURUMANÍ</v>
      </c>
      <c r="E4562" s="8">
        <v>2019</v>
      </c>
      <c r="F4562" s="8"/>
      <c r="G4562" s="8"/>
      <c r="H4562" s="8">
        <v>18</v>
      </c>
      <c r="I4562" s="8"/>
      <c r="J4562" s="8"/>
      <c r="K4562" s="8"/>
    </row>
    <row r="4563" spans="1:11" hidden="1" x14ac:dyDescent="0.25">
      <c r="A4563" t="str">
        <f>_xlfn.XLOOKUP(C4563, 'Códigos DANE Municipios'!$B$2:$B$1123, 'Códigos DANE Municipios'!$A$2:$A$1123, "No encontrado")</f>
        <v>05234</v>
      </c>
      <c r="B4563" t="str">
        <f>IFERROR(VLOOKUP(D4563,APOYO!K:L,2,FALSE),A4563)</f>
        <v>05234</v>
      </c>
      <c r="C4563" s="8" t="s">
        <v>94</v>
      </c>
      <c r="D4563" t="str">
        <f>IFERROR(VLOOKUP(C4563,APOYO!J:K,2,FALSE),C4563)</f>
        <v>DABEIBA</v>
      </c>
      <c r="E4563" s="8">
        <v>2019</v>
      </c>
      <c r="F4563" s="8"/>
      <c r="G4563" s="8"/>
      <c r="H4563" s="8">
        <v>90</v>
      </c>
      <c r="I4563" s="8"/>
      <c r="J4563" s="8"/>
      <c r="K4563" s="8"/>
    </row>
    <row r="4564" spans="1:11" hidden="1" x14ac:dyDescent="0.25">
      <c r="A4564" t="str">
        <f>_xlfn.XLOOKUP(C4564, 'Códigos DANE Municipios'!$B$2:$B$1123, 'Códigos DANE Municipios'!$A$2:$A$1123, "No encontrado")</f>
        <v>76233</v>
      </c>
      <c r="B4564" t="str">
        <f>IFERROR(VLOOKUP(D4564,APOYO!K:L,2,FALSE),A4564)</f>
        <v>76233</v>
      </c>
      <c r="C4564" s="8" t="s">
        <v>1980</v>
      </c>
      <c r="D4564" t="str">
        <f>IFERROR(VLOOKUP(C4564,APOYO!J:K,2,FALSE),C4564)</f>
        <v>DAGUA</v>
      </c>
      <c r="E4564" s="8">
        <v>2019</v>
      </c>
      <c r="F4564" s="8"/>
      <c r="G4564" s="8"/>
      <c r="H4564" s="8">
        <v>79</v>
      </c>
      <c r="I4564" s="8"/>
      <c r="J4564" s="8"/>
      <c r="K4564" s="8"/>
    </row>
    <row r="4565" spans="1:11" hidden="1" x14ac:dyDescent="0.25">
      <c r="A4565" t="str">
        <f>_xlfn.XLOOKUP(C4565, 'Códigos DANE Municipios'!$B$2:$B$1123, 'Códigos DANE Municipios'!$A$2:$A$1123, "No encontrado")</f>
        <v>44090</v>
      </c>
      <c r="B4565" t="str">
        <f>IFERROR(VLOOKUP(D4565,APOYO!K:L,2,FALSE),A4565)</f>
        <v>44090</v>
      </c>
      <c r="C4565" s="8" t="s">
        <v>1277</v>
      </c>
      <c r="D4565" t="str">
        <f>IFERROR(VLOOKUP(C4565,APOYO!J:K,2,FALSE),C4565)</f>
        <v>DIBULLA</v>
      </c>
      <c r="E4565" s="8">
        <v>2019</v>
      </c>
      <c r="F4565" s="8"/>
      <c r="G4565" s="8"/>
      <c r="H4565" s="8">
        <v>70</v>
      </c>
      <c r="I4565" s="8"/>
      <c r="J4565" s="8"/>
      <c r="K4565" s="8"/>
    </row>
    <row r="4566" spans="1:11" hidden="1" x14ac:dyDescent="0.25">
      <c r="A4566" t="str">
        <f>_xlfn.XLOOKUP(C4566, 'Códigos DANE Municipios'!$B$2:$B$1123, 'Códigos DANE Municipios'!$A$2:$A$1123, "No encontrado")</f>
        <v>44098</v>
      </c>
      <c r="B4566" t="str">
        <f>IFERROR(VLOOKUP(D4566,APOYO!K:L,2,FALSE),A4566)</f>
        <v>44098</v>
      </c>
      <c r="C4566" s="8" t="s">
        <v>1279</v>
      </c>
      <c r="D4566" t="str">
        <f>IFERROR(VLOOKUP(C4566,APOYO!J:K,2,FALSE),C4566)</f>
        <v>DISTRACCIÓN</v>
      </c>
      <c r="E4566" s="8">
        <v>2019</v>
      </c>
      <c r="F4566" s="8"/>
      <c r="G4566" s="8"/>
      <c r="H4566" s="8">
        <v>2</v>
      </c>
      <c r="I4566" s="8"/>
      <c r="J4566" s="8"/>
      <c r="K4566" s="8"/>
    </row>
    <row r="4567" spans="1:11" hidden="1" x14ac:dyDescent="0.25">
      <c r="A4567" t="str">
        <f>_xlfn.XLOOKUP(C4567, 'Códigos DANE Municipios'!$B$2:$B$1123, 'Códigos DANE Municipios'!$A$2:$A$1123, "No encontrado")</f>
        <v>05237</v>
      </c>
      <c r="B4567" t="str">
        <f>IFERROR(VLOOKUP(D4567,APOYO!K:L,2,FALSE),A4567)</f>
        <v>05237</v>
      </c>
      <c r="C4567" s="8" t="s">
        <v>96</v>
      </c>
      <c r="D4567" t="str">
        <f>IFERROR(VLOOKUP(C4567,APOYO!J:K,2,FALSE),C4567)</f>
        <v>DONMATÍAS</v>
      </c>
      <c r="E4567" s="8">
        <v>2019</v>
      </c>
      <c r="F4567" s="8"/>
      <c r="G4567" s="8"/>
      <c r="H4567" s="8">
        <v>96</v>
      </c>
      <c r="I4567" s="8"/>
      <c r="J4567" s="8"/>
      <c r="K4567" s="8"/>
    </row>
    <row r="4568" spans="1:11" hidden="1" x14ac:dyDescent="0.25">
      <c r="A4568" t="str">
        <f>_xlfn.XLOOKUP(C4568, 'Códigos DANE Municipios'!$B$2:$B$1123, 'Códigos DANE Municipios'!$A$2:$A$1123, "No encontrado")</f>
        <v>66170</v>
      </c>
      <c r="B4568" t="str">
        <f>IFERROR(VLOOKUP(D4568,APOYO!K:L,2,FALSE),A4568)</f>
        <v>66170</v>
      </c>
      <c r="C4568" s="8" t="s">
        <v>1635</v>
      </c>
      <c r="D4568" t="str">
        <f>IFERROR(VLOOKUP(C4568,APOYO!J:K,2,FALSE),C4568)</f>
        <v>DOSQUEBRADAS</v>
      </c>
      <c r="E4568" s="8">
        <v>2019</v>
      </c>
      <c r="F4568" s="8"/>
      <c r="G4568" s="8"/>
      <c r="H4568" s="8">
        <v>1976</v>
      </c>
      <c r="I4568" s="8"/>
      <c r="J4568" s="8"/>
      <c r="K4568" s="8"/>
    </row>
    <row r="4569" spans="1:11" hidden="1" x14ac:dyDescent="0.25">
      <c r="A4569" t="str">
        <f>_xlfn.XLOOKUP(C4569, 'Códigos DANE Municipios'!$B$2:$B$1123, 'Códigos DANE Municipios'!$A$2:$A$1123, "No encontrado")</f>
        <v>15238</v>
      </c>
      <c r="B4569" t="str">
        <f>IFERROR(VLOOKUP(D4569,APOYO!K:L,2,FALSE),A4569)</f>
        <v>15238</v>
      </c>
      <c r="C4569" s="8" t="s">
        <v>461</v>
      </c>
      <c r="D4569" t="str">
        <f>IFERROR(VLOOKUP(C4569,APOYO!J:K,2,FALSE),C4569)</f>
        <v>DUITAMA</v>
      </c>
      <c r="E4569" s="8">
        <v>2019</v>
      </c>
      <c r="F4569" s="8"/>
      <c r="G4569" s="8"/>
      <c r="H4569" s="8">
        <v>662</v>
      </c>
      <c r="I4569" s="8"/>
      <c r="J4569" s="8"/>
      <c r="K4569" s="8"/>
    </row>
    <row r="4570" spans="1:11" hidden="1" x14ac:dyDescent="0.25">
      <c r="A4570" t="str">
        <f>_xlfn.XLOOKUP(C4570, 'Códigos DANE Municipios'!$B$2:$B$1123, 'Códigos DANE Municipios'!$A$2:$A$1123, "No encontrado")</f>
        <v>05240</v>
      </c>
      <c r="B4570" t="str">
        <f>IFERROR(VLOOKUP(D4570,APOYO!K:L,2,FALSE),A4570)</f>
        <v>05240</v>
      </c>
      <c r="C4570" s="8" t="s">
        <v>98</v>
      </c>
      <c r="D4570" t="str">
        <f>IFERROR(VLOOKUP(C4570,APOYO!J:K,2,FALSE),C4570)</f>
        <v>EBÉJICO</v>
      </c>
      <c r="E4570" s="8">
        <v>2019</v>
      </c>
      <c r="F4570" s="8"/>
      <c r="G4570" s="8"/>
      <c r="H4570" s="8">
        <v>3</v>
      </c>
      <c r="I4570" s="8"/>
      <c r="J4570" s="8"/>
      <c r="K4570" s="8"/>
    </row>
    <row r="4571" spans="1:11" hidden="1" x14ac:dyDescent="0.25">
      <c r="A4571" t="str">
        <f>_xlfn.XLOOKUP(C4571, 'Códigos DANE Municipios'!$B$2:$B$1123, 'Códigos DANE Municipios'!$A$2:$A$1123, "No encontrado")</f>
        <v>05250</v>
      </c>
      <c r="B4571" t="str">
        <f>IFERROR(VLOOKUP(D4571,APOYO!K:L,2,FALSE),A4571)</f>
        <v>05250</v>
      </c>
      <c r="C4571" s="8" t="s">
        <v>100</v>
      </c>
      <c r="D4571" t="str">
        <f>IFERROR(VLOOKUP(C4571,APOYO!J:K,2,FALSE),C4571)</f>
        <v>EL BAGRE</v>
      </c>
      <c r="E4571" s="8">
        <v>2019</v>
      </c>
      <c r="F4571" s="8">
        <v>5553</v>
      </c>
      <c r="G4571" s="8"/>
      <c r="H4571" s="8">
        <v>5</v>
      </c>
      <c r="I4571" s="8"/>
      <c r="J4571" s="8"/>
      <c r="K4571" s="8"/>
    </row>
    <row r="4572" spans="1:11" hidden="1" x14ac:dyDescent="0.25">
      <c r="A4572" t="str">
        <f>_xlfn.XLOOKUP(C4572, 'Códigos DANE Municipios'!$B$2:$B$1123, 'Códigos DANE Municipios'!$A$2:$A$1123, "No encontrado")</f>
        <v>47245</v>
      </c>
      <c r="B4572" t="str">
        <f>IFERROR(VLOOKUP(D4572,APOYO!K:L,2,FALSE),A4572)</f>
        <v>47245</v>
      </c>
      <c r="C4572" s="8" t="s">
        <v>1315</v>
      </c>
      <c r="D4572" t="str">
        <f>IFERROR(VLOOKUP(C4572,APOYO!J:K,2,FALSE),C4572)</f>
        <v>EL BANCO</v>
      </c>
      <c r="E4572" s="8">
        <v>2019</v>
      </c>
      <c r="F4572" s="8">
        <v>97</v>
      </c>
      <c r="G4572" s="8"/>
      <c r="H4572" s="8">
        <v>30</v>
      </c>
      <c r="I4572" s="8"/>
      <c r="J4572" s="8"/>
      <c r="K4572" s="8"/>
    </row>
    <row r="4573" spans="1:11" hidden="1" x14ac:dyDescent="0.25">
      <c r="A4573" t="str">
        <f>_xlfn.XLOOKUP(C4573, 'Códigos DANE Municipios'!$B$2:$B$1123, 'Códigos DANE Municipios'!$A$2:$A$1123, "No encontrado")</f>
        <v>76246</v>
      </c>
      <c r="B4573" t="str">
        <f>IFERROR(VLOOKUP(D4573,APOYO!K:L,2,FALSE),A4573)</f>
        <v>76246</v>
      </c>
      <c r="C4573" s="8" t="s">
        <v>1984</v>
      </c>
      <c r="D4573" t="str">
        <f>IFERROR(VLOOKUP(C4573,APOYO!J:K,2,FALSE),C4573)</f>
        <v>EL CAIRO</v>
      </c>
      <c r="E4573" s="8">
        <v>2019</v>
      </c>
      <c r="F4573" s="8"/>
      <c r="G4573" s="8"/>
      <c r="H4573" s="8">
        <v>28</v>
      </c>
      <c r="I4573" s="8"/>
      <c r="J4573" s="8"/>
      <c r="K4573" s="8"/>
    </row>
    <row r="4574" spans="1:11" hidden="1" x14ac:dyDescent="0.25">
      <c r="A4574" t="str">
        <f>_xlfn.XLOOKUP(C4574, 'Códigos DANE Municipios'!$B$2:$B$1123, 'Códigos DANE Municipios'!$A$2:$A$1123, "No encontrado")</f>
        <v>54245</v>
      </c>
      <c r="B4574" t="str">
        <f>IFERROR(VLOOKUP(D4574,APOYO!K:L,2,FALSE),A4574)</f>
        <v>54245</v>
      </c>
      <c r="C4574" s="8" t="s">
        <v>1553</v>
      </c>
      <c r="D4574" t="str">
        <f>IFERROR(VLOOKUP(C4574,APOYO!J:K,2,FALSE),C4574)</f>
        <v>EL CARMEN</v>
      </c>
      <c r="E4574" s="8">
        <v>2019</v>
      </c>
      <c r="F4574" s="8">
        <v>8</v>
      </c>
      <c r="G4574" s="8"/>
      <c r="H4574" s="8">
        <v>72</v>
      </c>
      <c r="I4574" s="8"/>
      <c r="J4574" s="8"/>
      <c r="K4574" s="8"/>
    </row>
    <row r="4575" spans="1:11" hidden="1" x14ac:dyDescent="0.25">
      <c r="A4575" t="str">
        <f>_xlfn.XLOOKUP(C4575, 'Códigos DANE Municipios'!$B$2:$B$1123, 'Códigos DANE Municipios'!$A$2:$A$1123, "No encontrado")</f>
        <v>13244</v>
      </c>
      <c r="B4575" t="str">
        <f>IFERROR(VLOOKUP(D4575,APOYO!K:L,2,FALSE),A4575)</f>
        <v>13244</v>
      </c>
      <c r="C4575" t="s">
        <v>333</v>
      </c>
      <c r="D4575" t="str">
        <f>IFERROR(VLOOKUP(C4575,APOYO!J:K,2,FALSE),C4575)</f>
        <v>EL CARMEN DE BOLÍVAR</v>
      </c>
      <c r="E4575">
        <v>2019</v>
      </c>
      <c r="F4575">
        <v>60</v>
      </c>
      <c r="H4575">
        <v>25</v>
      </c>
    </row>
    <row r="4576" spans="1:11" hidden="1" x14ac:dyDescent="0.25">
      <c r="A4576" t="str">
        <f>_xlfn.XLOOKUP(C4576, 'Códigos DANE Municipios'!$B$2:$B$1123, 'Códigos DANE Municipios'!$A$2:$A$1123, "No encontrado")</f>
        <v>50251</v>
      </c>
      <c r="B4576" t="str">
        <f>IFERROR(VLOOKUP(D4576,APOYO!K:L,2,FALSE),A4576)</f>
        <v>50251</v>
      </c>
      <c r="C4576" s="8" t="s">
        <v>1374</v>
      </c>
      <c r="D4576" t="str">
        <f>IFERROR(VLOOKUP(C4576,APOYO!J:K,2,FALSE),C4576)</f>
        <v>EL CASTILLO</v>
      </c>
      <c r="E4576" s="8">
        <v>2019</v>
      </c>
      <c r="F4576" s="8"/>
      <c r="G4576" s="8"/>
      <c r="H4576" s="8">
        <v>1</v>
      </c>
      <c r="I4576" s="8"/>
      <c r="J4576" s="8"/>
      <c r="K4576" s="8"/>
    </row>
    <row r="4577" spans="1:11" hidden="1" x14ac:dyDescent="0.25">
      <c r="A4577" t="str">
        <f>_xlfn.XLOOKUP(C4577, 'Códigos DANE Municipios'!$B$2:$B$1123, 'Códigos DANE Municipios'!$A$2:$A$1123, "No encontrado")</f>
        <v>76248</v>
      </c>
      <c r="B4577" t="str">
        <f>IFERROR(VLOOKUP(D4577,APOYO!K:L,2,FALSE),A4577)</f>
        <v>76248</v>
      </c>
      <c r="C4577" s="8" t="s">
        <v>1986</v>
      </c>
      <c r="D4577" t="str">
        <f>IFERROR(VLOOKUP(C4577,APOYO!J:K,2,FALSE),C4577)</f>
        <v>EL CERRITO</v>
      </c>
      <c r="E4577" s="8">
        <v>2019</v>
      </c>
      <c r="F4577" s="8"/>
      <c r="G4577" s="8"/>
      <c r="H4577" s="8">
        <v>352</v>
      </c>
      <c r="I4577" s="8"/>
      <c r="J4577" s="8"/>
      <c r="K4577" s="8"/>
    </row>
    <row r="4578" spans="1:11" hidden="1" x14ac:dyDescent="0.25">
      <c r="A4578" t="str">
        <f>_xlfn.XLOOKUP(C4578, 'Códigos DANE Municipios'!$B$2:$B$1123, 'Códigos DANE Municipios'!$A$2:$A$1123, "No encontrado")</f>
        <v>15244</v>
      </c>
      <c r="B4578" t="str">
        <f>IFERROR(VLOOKUP(D4578,APOYO!K:L,2,FALSE),A4578)</f>
        <v>15244</v>
      </c>
      <c r="C4578" s="8" t="s">
        <v>463</v>
      </c>
      <c r="D4578" t="str">
        <f>IFERROR(VLOOKUP(C4578,APOYO!J:K,2,FALSE),C4578)</f>
        <v>EL COCUY</v>
      </c>
      <c r="E4578" s="8">
        <v>2019</v>
      </c>
      <c r="F4578" s="8"/>
      <c r="G4578" s="8"/>
      <c r="H4578" s="8">
        <v>8</v>
      </c>
      <c r="I4578" s="8">
        <v>16273</v>
      </c>
      <c r="J4578" s="8"/>
      <c r="K4578" s="8"/>
    </row>
    <row r="4579" spans="1:11" hidden="1" x14ac:dyDescent="0.25">
      <c r="A4579" t="str">
        <f>_xlfn.XLOOKUP(C4579, 'Códigos DANE Municipios'!$B$2:$B$1123, 'Códigos DANE Municipios'!$A$2:$A$1123, "No encontrado")</f>
        <v>25245</v>
      </c>
      <c r="B4579" t="str">
        <f>IFERROR(VLOOKUP(D4579,APOYO!K:L,2,FALSE),A4579)</f>
        <v>25245</v>
      </c>
      <c r="C4579" s="8" t="s">
        <v>960</v>
      </c>
      <c r="D4579" t="str">
        <f>IFERROR(VLOOKUP(C4579,APOYO!J:K,2,FALSE),C4579)</f>
        <v>EL COLEGIO</v>
      </c>
      <c r="E4579" s="8">
        <v>2019</v>
      </c>
      <c r="F4579" s="8"/>
      <c r="G4579" s="8"/>
      <c r="H4579" s="8">
        <v>23</v>
      </c>
      <c r="I4579" s="8"/>
      <c r="J4579" s="8"/>
      <c r="K4579" s="8"/>
    </row>
    <row r="4580" spans="1:11" hidden="1" x14ac:dyDescent="0.25">
      <c r="A4580" t="str">
        <f>_xlfn.XLOOKUP(C4580, 'Códigos DANE Municipios'!$B$2:$B$1123, 'Códigos DANE Municipios'!$A$2:$A$1123, "No encontrado")</f>
        <v>20238</v>
      </c>
      <c r="B4580" t="str">
        <f>IFERROR(VLOOKUP(D4580,APOYO!K:L,2,FALSE),A4580)</f>
        <v>20238</v>
      </c>
      <c r="C4580" s="8" t="s">
        <v>826</v>
      </c>
      <c r="D4580" t="str">
        <f>IFERROR(VLOOKUP(C4580,APOYO!J:K,2,FALSE),C4580)</f>
        <v>EL COPEY</v>
      </c>
      <c r="E4580" s="8">
        <v>2019</v>
      </c>
      <c r="F4580" s="8">
        <v>4</v>
      </c>
      <c r="G4580" s="8"/>
      <c r="H4580" s="8">
        <v>15</v>
      </c>
      <c r="I4580" s="8"/>
      <c r="J4580" s="8"/>
      <c r="K4580" s="8"/>
    </row>
    <row r="4581" spans="1:11" hidden="1" x14ac:dyDescent="0.25">
      <c r="A4581" t="str">
        <f>_xlfn.XLOOKUP(C4581, 'Códigos DANE Municipios'!$B$2:$B$1123, 'Códigos DANE Municipios'!$A$2:$A$1123, "No encontrado")</f>
        <v>18247</v>
      </c>
      <c r="B4581" t="str">
        <f>IFERROR(VLOOKUP(D4581,APOYO!K:L,2,FALSE),A4581)</f>
        <v>18247</v>
      </c>
      <c r="C4581" s="8" t="s">
        <v>708</v>
      </c>
      <c r="D4581" t="str">
        <f>IFERROR(VLOOKUP(C4581,APOYO!J:K,2,FALSE),C4581)</f>
        <v>EL DONCELLO</v>
      </c>
      <c r="E4581" s="8">
        <v>2019</v>
      </c>
      <c r="F4581" s="8"/>
      <c r="G4581" s="8"/>
      <c r="H4581" s="8">
        <v>7</v>
      </c>
      <c r="I4581" s="8"/>
      <c r="J4581" s="8"/>
      <c r="K4581" s="8"/>
    </row>
    <row r="4582" spans="1:11" hidden="1" x14ac:dyDescent="0.25">
      <c r="A4582" t="str">
        <f>_xlfn.XLOOKUP(C4582, 'Códigos DANE Municipios'!$B$2:$B$1123, 'Códigos DANE Municipios'!$A$2:$A$1123, "No encontrado")</f>
        <v>50270</v>
      </c>
      <c r="B4582" t="str">
        <f>IFERROR(VLOOKUP(D4582,APOYO!K:L,2,FALSE),A4582)</f>
        <v>50270</v>
      </c>
      <c r="C4582" s="8" t="s">
        <v>1376</v>
      </c>
      <c r="D4582" t="str">
        <f>IFERROR(VLOOKUP(C4582,APOYO!J:K,2,FALSE),C4582)</f>
        <v>EL DORADO</v>
      </c>
      <c r="E4582" s="8">
        <v>2019</v>
      </c>
      <c r="F4582" s="8"/>
      <c r="G4582" s="8"/>
      <c r="H4582" s="8"/>
      <c r="I4582" s="8"/>
      <c r="J4582" s="8"/>
      <c r="K4582" s="8"/>
    </row>
    <row r="4583" spans="1:11" hidden="1" x14ac:dyDescent="0.25">
      <c r="A4583" t="str">
        <f>_xlfn.XLOOKUP(C4583, 'Códigos DANE Municipios'!$B$2:$B$1123, 'Códigos DANE Municipios'!$A$2:$A$1123, "No encontrado")</f>
        <v>76250</v>
      </c>
      <c r="B4583" t="str">
        <f>IFERROR(VLOOKUP(D4583,APOYO!K:L,2,FALSE),A4583)</f>
        <v>76250</v>
      </c>
      <c r="C4583" s="8" t="s">
        <v>1988</v>
      </c>
      <c r="D4583" t="str">
        <f>IFERROR(VLOOKUP(C4583,APOYO!J:K,2,FALSE),C4583)</f>
        <v>EL DOVIO</v>
      </c>
      <c r="E4583" s="8">
        <v>2019</v>
      </c>
      <c r="F4583" s="8"/>
      <c r="G4583" s="8"/>
      <c r="H4583" s="8">
        <v>19</v>
      </c>
      <c r="I4583" s="8"/>
      <c r="J4583" s="8"/>
      <c r="K4583" s="8"/>
    </row>
    <row r="4584" spans="1:11" hidden="1" x14ac:dyDescent="0.25">
      <c r="A4584" t="str">
        <f>_xlfn.XLOOKUP(C4584, 'Códigos DANE Municipios'!$B$2:$B$1123, 'Códigos DANE Municipios'!$A$2:$A$1123, "No encontrado")</f>
        <v>15248</v>
      </c>
      <c r="B4584" t="str">
        <f>IFERROR(VLOOKUP(D4584,APOYO!K:L,2,FALSE),A4584)</f>
        <v>15248</v>
      </c>
      <c r="C4584" s="8" t="s">
        <v>465</v>
      </c>
      <c r="D4584" t="str">
        <f>IFERROR(VLOOKUP(C4584,APOYO!J:K,2,FALSE),C4584)</f>
        <v>EL ESPINO</v>
      </c>
      <c r="E4584" s="8">
        <v>2019</v>
      </c>
      <c r="F4584" s="8"/>
      <c r="G4584" s="8"/>
      <c r="H4584" s="8">
        <v>5</v>
      </c>
      <c r="I4584" s="8"/>
      <c r="J4584" s="8"/>
      <c r="K4584" s="8"/>
    </row>
    <row r="4585" spans="1:11" hidden="1" x14ac:dyDescent="0.25">
      <c r="A4585" t="str">
        <f>_xlfn.XLOOKUP(C4585, 'Códigos DANE Municipios'!$B$2:$B$1123, 'Códigos DANE Municipios'!$A$2:$A$1123, "No encontrado")</f>
        <v>20250</v>
      </c>
      <c r="B4585" t="str">
        <f>IFERROR(VLOOKUP(D4585,APOYO!K:L,2,FALSE),A4585)</f>
        <v>20250</v>
      </c>
      <c r="C4585" s="8" t="s">
        <v>828</v>
      </c>
      <c r="D4585" t="str">
        <f>IFERROR(VLOOKUP(C4585,APOYO!J:K,2,FALSE),C4585)</f>
        <v>EL PASO</v>
      </c>
      <c r="E4585" s="8">
        <v>2019</v>
      </c>
      <c r="F4585" s="8">
        <v>2</v>
      </c>
      <c r="G4585" s="8"/>
      <c r="H4585" s="8">
        <v>27</v>
      </c>
      <c r="I4585" s="8"/>
      <c r="J4585" s="8"/>
      <c r="K4585" s="8"/>
    </row>
    <row r="4586" spans="1:11" hidden="1" x14ac:dyDescent="0.25">
      <c r="A4586" t="str">
        <f>_xlfn.XLOOKUP(C4586, 'Códigos DANE Municipios'!$B$2:$B$1123, 'Códigos DANE Municipios'!$A$2:$A$1123, "No encontrado")</f>
        <v>18256</v>
      </c>
      <c r="B4586" t="str">
        <f>IFERROR(VLOOKUP(D4586,APOYO!K:L,2,FALSE),A4586)</f>
        <v>18256</v>
      </c>
      <c r="C4586" s="8" t="s">
        <v>710</v>
      </c>
      <c r="D4586" t="str">
        <f>IFERROR(VLOOKUP(C4586,APOYO!J:K,2,FALSE),C4586)</f>
        <v>EL PAUJÍL</v>
      </c>
      <c r="E4586" s="8">
        <v>2019</v>
      </c>
      <c r="F4586" s="8"/>
      <c r="G4586" s="8"/>
      <c r="H4586" s="8"/>
      <c r="I4586" s="8"/>
      <c r="J4586" s="8"/>
      <c r="K4586" s="8"/>
    </row>
    <row r="4587" spans="1:11" hidden="1" x14ac:dyDescent="0.25">
      <c r="A4587" t="str">
        <f>_xlfn.XLOOKUP(C4587, 'Códigos DANE Municipios'!$B$2:$B$1123, 'Códigos DANE Municipios'!$A$2:$A$1123, "No encontrado")</f>
        <v>13268</v>
      </c>
      <c r="B4587" t="str">
        <f>IFERROR(VLOOKUP(D4587,APOYO!K:L,2,FALSE),A4587)</f>
        <v>13268</v>
      </c>
      <c r="C4587" s="8" t="s">
        <v>337</v>
      </c>
      <c r="D4587" t="str">
        <f>IFERROR(VLOOKUP(C4587,APOYO!J:K,2,FALSE),C4587)</f>
        <v>EL PEÑÓN</v>
      </c>
      <c r="E4587" s="8">
        <v>2019</v>
      </c>
      <c r="F4587" s="8"/>
      <c r="G4587" s="8"/>
      <c r="H4587" s="8">
        <v>1</v>
      </c>
      <c r="I4587" s="8"/>
      <c r="J4587" s="8"/>
      <c r="K4587" s="8"/>
    </row>
    <row r="4588" spans="1:11" hidden="1" x14ac:dyDescent="0.25">
      <c r="A4588" t="str">
        <f>_xlfn.XLOOKUP(C4588, 'Códigos DANE Municipios'!$B$2:$B$1123, 'Códigos DANE Municipios'!$A$2:$A$1123, "No encontrado")</f>
        <v>68255</v>
      </c>
      <c r="B4588" t="str">
        <f>IFERROR(VLOOKUP(D4588,APOYO!K:L,2,FALSE),A4588)</f>
        <v>68255</v>
      </c>
      <c r="C4588" s="8" t="s">
        <v>1704</v>
      </c>
      <c r="D4588" t="str">
        <f>IFERROR(VLOOKUP(C4588,APOYO!J:K,2,FALSE),C4588)</f>
        <v>EL PLAYÓN</v>
      </c>
      <c r="E4588" s="8">
        <v>2019</v>
      </c>
      <c r="F4588" s="8"/>
      <c r="G4588" s="8"/>
      <c r="H4588" s="8">
        <v>6</v>
      </c>
      <c r="I4588" s="8"/>
      <c r="J4588" s="8"/>
      <c r="K4588" s="8"/>
    </row>
    <row r="4589" spans="1:11" hidden="1" x14ac:dyDescent="0.25">
      <c r="A4589" t="str">
        <f>_xlfn.XLOOKUP(C4589, 'Códigos DANE Municipios'!$B$2:$B$1123, 'Códigos DANE Municipios'!$A$2:$A$1123, "No encontrado")</f>
        <v>95025</v>
      </c>
      <c r="B4589" t="str">
        <f>IFERROR(VLOOKUP(D4589,APOYO!K:L,2,FALSE),A4589)</f>
        <v>95025</v>
      </c>
      <c r="C4589" s="8" t="s">
        <v>2148</v>
      </c>
      <c r="D4589" t="str">
        <f>IFERROR(VLOOKUP(C4589,APOYO!J:K,2,FALSE),C4589)</f>
        <v>EL RETORNO</v>
      </c>
      <c r="E4589" s="8">
        <v>2019</v>
      </c>
      <c r="F4589" s="8"/>
      <c r="G4589" s="8"/>
      <c r="H4589" s="8"/>
      <c r="I4589" s="8"/>
      <c r="J4589" s="8"/>
      <c r="K4589" s="8"/>
    </row>
    <row r="4590" spans="1:11" hidden="1" x14ac:dyDescent="0.25">
      <c r="A4590" t="str">
        <f>_xlfn.XLOOKUP(C4590, 'Códigos DANE Municipios'!$B$2:$B$1123, 'Códigos DANE Municipios'!$A$2:$A$1123, "No encontrado")</f>
        <v>25260</v>
      </c>
      <c r="B4590" t="str">
        <f>IFERROR(VLOOKUP(D4590,APOYO!K:L,2,FALSE),A4590)</f>
        <v>25260</v>
      </c>
      <c r="C4590" s="8" t="s">
        <v>963</v>
      </c>
      <c r="D4590" t="str">
        <f>IFERROR(VLOOKUP(C4590,APOYO!J:K,2,FALSE),C4590)</f>
        <v>EL ROSAL</v>
      </c>
      <c r="E4590" s="8">
        <v>2019</v>
      </c>
      <c r="F4590" s="8"/>
      <c r="G4590" s="8"/>
      <c r="H4590" s="8">
        <v>38</v>
      </c>
      <c r="I4590" s="8"/>
      <c r="J4590" s="8"/>
      <c r="K4590" s="8"/>
    </row>
    <row r="4591" spans="1:11" hidden="1" x14ac:dyDescent="0.25">
      <c r="A4591" t="str">
        <f>_xlfn.XLOOKUP(C4591, 'Códigos DANE Municipios'!$B$2:$B$1123, 'Códigos DANE Municipios'!$A$2:$A$1123, "No encontrado")</f>
        <v>52256</v>
      </c>
      <c r="B4591" t="str">
        <f>IFERROR(VLOOKUP(D4591,APOYO!K:L,2,FALSE),A4591)</f>
        <v>52256</v>
      </c>
      <c r="C4591" s="8" t="s">
        <v>1445</v>
      </c>
      <c r="D4591" t="str">
        <f>IFERROR(VLOOKUP(C4591,APOYO!J:K,2,FALSE),C4591)</f>
        <v>EL ROSARIO</v>
      </c>
      <c r="E4591" s="8">
        <v>2019</v>
      </c>
      <c r="F4591" s="8"/>
      <c r="G4591" s="8"/>
      <c r="H4591" s="8">
        <v>1</v>
      </c>
      <c r="I4591" s="8"/>
      <c r="J4591" s="8"/>
      <c r="K4591" s="8"/>
    </row>
    <row r="4592" spans="1:11" hidden="1" x14ac:dyDescent="0.25">
      <c r="A4592" t="str">
        <f>_xlfn.XLOOKUP(C4592, 'Códigos DANE Municipios'!$B$2:$B$1123, 'Códigos DANE Municipios'!$A$2:$A$1123, "No encontrado")</f>
        <v>19256</v>
      </c>
      <c r="B4592" t="str">
        <f>IFERROR(VLOOKUP(D4592,APOYO!K:L,2,FALSE),A4592)</f>
        <v>19256</v>
      </c>
      <c r="C4592" s="8" t="s">
        <v>748</v>
      </c>
      <c r="D4592" t="str">
        <f>IFERROR(VLOOKUP(C4592,APOYO!J:K,2,FALSE),C4592)</f>
        <v>EL TAMBO</v>
      </c>
      <c r="E4592" s="8">
        <v>2019</v>
      </c>
      <c r="F4592" s="8"/>
      <c r="G4592" s="8"/>
      <c r="H4592" s="8">
        <v>12</v>
      </c>
      <c r="I4592" s="8"/>
      <c r="J4592" s="8"/>
      <c r="K4592" s="8"/>
    </row>
    <row r="4593" spans="1:11" hidden="1" x14ac:dyDescent="0.25">
      <c r="A4593" t="str">
        <f>_xlfn.XLOOKUP(C4593, 'Códigos DANE Municipios'!$B$2:$B$1123, 'Códigos DANE Municipios'!$A$2:$A$1123, "No encontrado")</f>
        <v>54250</v>
      </c>
      <c r="B4593" t="str">
        <f>IFERROR(VLOOKUP(D4593,APOYO!K:L,2,FALSE),A4593)</f>
        <v>54250</v>
      </c>
      <c r="C4593" s="8" t="s">
        <v>1555</v>
      </c>
      <c r="D4593" t="str">
        <f>IFERROR(VLOOKUP(C4593,APOYO!J:K,2,FALSE),C4593)</f>
        <v>EL TARRA</v>
      </c>
      <c r="E4593" s="8">
        <v>2019</v>
      </c>
      <c r="F4593" s="8"/>
      <c r="G4593" s="8"/>
      <c r="H4593" s="8">
        <v>1</v>
      </c>
      <c r="I4593" s="8"/>
      <c r="J4593" s="8"/>
      <c r="K4593" s="8"/>
    </row>
    <row r="4594" spans="1:11" hidden="1" x14ac:dyDescent="0.25">
      <c r="A4594" t="str">
        <f>_xlfn.XLOOKUP(C4594, 'Códigos DANE Municipios'!$B$2:$B$1123, 'Códigos DANE Municipios'!$A$2:$A$1123, "No encontrado")</f>
        <v>54261</v>
      </c>
      <c r="B4594" t="str">
        <f>IFERROR(VLOOKUP(D4594,APOYO!K:L,2,FALSE),A4594)</f>
        <v>54261</v>
      </c>
      <c r="C4594" s="8" t="s">
        <v>1557</v>
      </c>
      <c r="D4594" t="str">
        <f>IFERROR(VLOOKUP(C4594,APOYO!J:K,2,FALSE),C4594)</f>
        <v>EL ZULIA</v>
      </c>
      <c r="E4594" s="8">
        <v>2019</v>
      </c>
      <c r="F4594" s="8"/>
      <c r="G4594" s="8"/>
      <c r="H4594" s="8">
        <v>4</v>
      </c>
      <c r="I4594" s="8"/>
      <c r="J4594" s="8"/>
      <c r="K4594" s="8"/>
    </row>
    <row r="4595" spans="1:11" hidden="1" x14ac:dyDescent="0.25">
      <c r="A4595" t="str">
        <f>_xlfn.XLOOKUP(C4595, 'Códigos DANE Municipios'!$B$2:$B$1123, 'Códigos DANE Municipios'!$A$2:$A$1123, "No encontrado")</f>
        <v>68266</v>
      </c>
      <c r="B4595" t="str">
        <f>IFERROR(VLOOKUP(D4595,APOYO!K:L,2,FALSE),A4595)</f>
        <v>68266</v>
      </c>
      <c r="C4595" s="8" t="s">
        <v>1708</v>
      </c>
      <c r="D4595" t="str">
        <f>IFERROR(VLOOKUP(C4595,APOYO!J:K,2,FALSE),C4595)</f>
        <v>ENCISO</v>
      </c>
      <c r="E4595" s="8">
        <v>2019</v>
      </c>
      <c r="F4595" s="8"/>
      <c r="G4595" s="8"/>
      <c r="H4595" s="8">
        <v>2</v>
      </c>
      <c r="I4595" s="8"/>
      <c r="J4595" s="8"/>
      <c r="K4595" s="8"/>
    </row>
    <row r="4596" spans="1:11" hidden="1" x14ac:dyDescent="0.25">
      <c r="A4596" t="str">
        <f>_xlfn.XLOOKUP(C4596, 'Códigos DANE Municipios'!$B$2:$B$1123, 'Códigos DANE Municipios'!$A$2:$A$1123, "No encontrado")</f>
        <v>41244</v>
      </c>
      <c r="B4596" t="str">
        <f>IFERROR(VLOOKUP(D4596,APOYO!K:L,2,FALSE),A4596)</f>
        <v>41244</v>
      </c>
      <c r="C4596" s="8" t="s">
        <v>1219</v>
      </c>
      <c r="D4596" t="str">
        <f>IFERROR(VLOOKUP(C4596,APOYO!J:K,2,FALSE),C4596)</f>
        <v>ELÍAS</v>
      </c>
      <c r="E4596" s="8">
        <v>2019</v>
      </c>
      <c r="F4596" s="8"/>
      <c r="G4596" s="8"/>
      <c r="H4596" s="8">
        <v>1</v>
      </c>
      <c r="I4596" s="8"/>
      <c r="J4596" s="8"/>
      <c r="K4596" s="8"/>
    </row>
    <row r="4597" spans="1:11" hidden="1" x14ac:dyDescent="0.25">
      <c r="A4597" t="str">
        <f>_xlfn.XLOOKUP(C4597, 'Códigos DANE Municipios'!$B$2:$B$1123, 'Códigos DANE Municipios'!$A$2:$A$1123, "No encontrado")</f>
        <v>05264</v>
      </c>
      <c r="B4597" t="str">
        <f>IFERROR(VLOOKUP(D4597,APOYO!K:L,2,FALSE),A4597)</f>
        <v>05264</v>
      </c>
      <c r="C4597" s="8" t="s">
        <v>102</v>
      </c>
      <c r="D4597" t="str">
        <f>IFERROR(VLOOKUP(C4597,APOYO!J:K,2,FALSE),C4597)</f>
        <v>ENTRERRÍOS</v>
      </c>
      <c r="E4597" s="8">
        <v>2019</v>
      </c>
      <c r="F4597" s="8"/>
      <c r="G4597" s="8"/>
      <c r="H4597" s="8">
        <v>28</v>
      </c>
      <c r="I4597" s="8"/>
      <c r="J4597" s="8"/>
      <c r="K4597" s="8"/>
    </row>
    <row r="4598" spans="1:11" hidden="1" x14ac:dyDescent="0.25">
      <c r="A4598" t="str">
        <f>_xlfn.XLOOKUP(C4598, 'Códigos DANE Municipios'!$B$2:$B$1123, 'Códigos DANE Municipios'!$A$2:$A$1123, "No encontrado")</f>
        <v>05266</v>
      </c>
      <c r="B4598" t="str">
        <f>IFERROR(VLOOKUP(D4598,APOYO!K:L,2,FALSE),A4598)</f>
        <v>05266</v>
      </c>
      <c r="C4598" s="8" t="s">
        <v>104</v>
      </c>
      <c r="D4598" t="str">
        <f>IFERROR(VLOOKUP(C4598,APOYO!J:K,2,FALSE),C4598)</f>
        <v>ENVIGADO</v>
      </c>
      <c r="E4598" s="8">
        <v>2019</v>
      </c>
      <c r="F4598" s="8"/>
      <c r="G4598" s="8"/>
      <c r="H4598" s="8">
        <v>3888</v>
      </c>
      <c r="I4598" s="8"/>
      <c r="J4598" s="8"/>
      <c r="K4598" s="8"/>
    </row>
    <row r="4599" spans="1:11" hidden="1" x14ac:dyDescent="0.25">
      <c r="A4599" t="str">
        <f>_xlfn.XLOOKUP(C4599, 'Códigos DANE Municipios'!$B$2:$B$1123, 'Códigos DANE Municipios'!$A$2:$A$1123, "No encontrado")</f>
        <v>73268</v>
      </c>
      <c r="B4599" t="str">
        <f>IFERROR(VLOOKUP(D4599,APOYO!K:L,2,FALSE),A4599)</f>
        <v>73268</v>
      </c>
      <c r="C4599" s="8" t="s">
        <v>1895</v>
      </c>
      <c r="D4599" t="str">
        <f>IFERROR(VLOOKUP(C4599,APOYO!J:K,2,FALSE),C4599)</f>
        <v>ESPINAL</v>
      </c>
      <c r="E4599" s="8">
        <v>2019</v>
      </c>
      <c r="F4599" s="8"/>
      <c r="G4599" s="8"/>
      <c r="H4599" s="8">
        <v>224</v>
      </c>
      <c r="I4599" s="8"/>
      <c r="J4599" s="8"/>
      <c r="K4599" s="8"/>
    </row>
    <row r="4600" spans="1:11" hidden="1" x14ac:dyDescent="0.25">
      <c r="A4600" t="str">
        <f>_xlfn.XLOOKUP(C4600, 'Códigos DANE Municipios'!$B$2:$B$1123, 'Códigos DANE Municipios'!$A$2:$A$1123, "No encontrado")</f>
        <v>25269</v>
      </c>
      <c r="B4600" t="str">
        <f>IFERROR(VLOOKUP(D4600,APOYO!K:L,2,FALSE),A4600)</f>
        <v>25269</v>
      </c>
      <c r="C4600" s="8" t="s">
        <v>965</v>
      </c>
      <c r="D4600" t="str">
        <f>IFERROR(VLOOKUP(C4600,APOYO!J:K,2,FALSE),C4600)</f>
        <v>FACATATIVÁ</v>
      </c>
      <c r="E4600" s="8">
        <v>2019</v>
      </c>
      <c r="F4600" s="8"/>
      <c r="G4600" s="8"/>
      <c r="H4600" s="8">
        <v>585</v>
      </c>
      <c r="I4600" s="8"/>
      <c r="J4600" s="8"/>
      <c r="K4600" s="8"/>
    </row>
    <row r="4601" spans="1:11" hidden="1" x14ac:dyDescent="0.25">
      <c r="A4601" t="str">
        <f>_xlfn.XLOOKUP(C4601, 'Códigos DANE Municipios'!$B$2:$B$1123, 'Códigos DANE Municipios'!$A$2:$A$1123, "No encontrado")</f>
        <v>73270</v>
      </c>
      <c r="B4601" t="str">
        <f>IFERROR(VLOOKUP(D4601,APOYO!K:L,2,FALSE),A4601)</f>
        <v>73270</v>
      </c>
      <c r="C4601" s="8" t="s">
        <v>1897</v>
      </c>
      <c r="D4601" t="str">
        <f>IFERROR(VLOOKUP(C4601,APOYO!J:K,2,FALSE),C4601)</f>
        <v>FALAN</v>
      </c>
      <c r="E4601" s="8">
        <v>2019</v>
      </c>
      <c r="F4601" s="8"/>
      <c r="G4601" s="8"/>
      <c r="H4601" s="8">
        <v>4</v>
      </c>
      <c r="I4601" s="8"/>
      <c r="J4601" s="8"/>
      <c r="K4601" s="8"/>
    </row>
    <row r="4602" spans="1:11" hidden="1" x14ac:dyDescent="0.25">
      <c r="A4602" t="str">
        <f>_xlfn.XLOOKUP(C4602, 'Códigos DANE Municipios'!$B$2:$B$1123, 'Códigos DANE Municipios'!$A$2:$A$1123, "No encontrado")</f>
        <v>17272</v>
      </c>
      <c r="B4602" t="str">
        <f>IFERROR(VLOOKUP(D4602,APOYO!K:L,2,FALSE),A4602)</f>
        <v>17272</v>
      </c>
      <c r="C4602" s="8" t="s">
        <v>656</v>
      </c>
      <c r="D4602" t="str">
        <f>IFERROR(VLOOKUP(C4602,APOYO!J:K,2,FALSE),C4602)</f>
        <v>FILADELFIA</v>
      </c>
      <c r="E4602" s="8">
        <v>2019</v>
      </c>
      <c r="F4602" s="8"/>
      <c r="G4602" s="8"/>
      <c r="H4602" s="8">
        <v>14</v>
      </c>
      <c r="I4602" s="8"/>
      <c r="J4602" s="8"/>
      <c r="K4602" s="8"/>
    </row>
    <row r="4603" spans="1:11" hidden="1" x14ac:dyDescent="0.25">
      <c r="A4603" t="str">
        <f>_xlfn.XLOOKUP(C4603, 'Códigos DANE Municipios'!$B$2:$B$1123, 'Códigos DANE Municipios'!$A$2:$A$1123, "No encontrado")</f>
        <v>63272</v>
      </c>
      <c r="B4603" t="str">
        <f>IFERROR(VLOOKUP(D4603,APOYO!K:L,2,FALSE),A4603)</f>
        <v>63272</v>
      </c>
      <c r="C4603" s="8" t="s">
        <v>1614</v>
      </c>
      <c r="D4603" t="str">
        <f>IFERROR(VLOOKUP(C4603,APOYO!J:K,2,FALSE),C4603)</f>
        <v>FILANDIA</v>
      </c>
      <c r="E4603" s="8">
        <v>2019</v>
      </c>
      <c r="F4603" s="8"/>
      <c r="G4603" s="8"/>
      <c r="H4603" s="8">
        <v>374</v>
      </c>
      <c r="I4603" s="8"/>
      <c r="J4603" s="8"/>
      <c r="K4603" s="8"/>
    </row>
    <row r="4604" spans="1:11" hidden="1" x14ac:dyDescent="0.25">
      <c r="A4604" t="str">
        <f>_xlfn.XLOOKUP(C4604, 'Códigos DANE Municipios'!$B$2:$B$1123, 'Códigos DANE Municipios'!$A$2:$A$1123, "No encontrado")</f>
        <v>15272</v>
      </c>
      <c r="B4604" t="str">
        <f>IFERROR(VLOOKUP(D4604,APOYO!K:L,2,FALSE),A4604)</f>
        <v>15272</v>
      </c>
      <c r="C4604" s="8" t="s">
        <v>467</v>
      </c>
      <c r="D4604" t="str">
        <f>IFERROR(VLOOKUP(C4604,APOYO!J:K,2,FALSE),C4604)</f>
        <v>FIRAVITOBA</v>
      </c>
      <c r="E4604" s="8">
        <v>2019</v>
      </c>
      <c r="F4604" s="8">
        <v>193</v>
      </c>
      <c r="G4604" s="8"/>
      <c r="H4604" s="8">
        <v>13</v>
      </c>
      <c r="I4604" s="8"/>
      <c r="J4604" s="8"/>
      <c r="K4604" s="8"/>
    </row>
    <row r="4605" spans="1:11" hidden="1" x14ac:dyDescent="0.25">
      <c r="A4605" t="str">
        <f>_xlfn.XLOOKUP(C4605, 'Códigos DANE Municipios'!$B$2:$B$1123, 'Códigos DANE Municipios'!$A$2:$A$1123, "No encontrado")</f>
        <v>73275</v>
      </c>
      <c r="B4605" t="str">
        <f>IFERROR(VLOOKUP(D4605,APOYO!K:L,2,FALSE),A4605)</f>
        <v>73275</v>
      </c>
      <c r="C4605" s="8" t="s">
        <v>1899</v>
      </c>
      <c r="D4605" t="str">
        <f>IFERROR(VLOOKUP(C4605,APOYO!J:K,2,FALSE),C4605)</f>
        <v>FLANDES</v>
      </c>
      <c r="E4605" s="8">
        <v>2019</v>
      </c>
      <c r="F4605" s="8">
        <v>666</v>
      </c>
      <c r="G4605" s="8"/>
      <c r="H4605" s="8">
        <v>31</v>
      </c>
      <c r="I4605" s="8"/>
      <c r="J4605" s="8"/>
      <c r="K4605" s="8"/>
    </row>
    <row r="4606" spans="1:11" hidden="1" x14ac:dyDescent="0.25">
      <c r="A4606" t="str">
        <f>_xlfn.XLOOKUP(C4606, 'Códigos DANE Municipios'!$B$2:$B$1123, 'Códigos DANE Municipios'!$A$2:$A$1123, "No encontrado")</f>
        <v>18001</v>
      </c>
      <c r="B4606" t="str">
        <f>IFERROR(VLOOKUP(D4606,APOYO!K:L,2,FALSE),A4606)</f>
        <v>18001</v>
      </c>
      <c r="C4606" s="8" t="s">
        <v>698</v>
      </c>
      <c r="D4606" t="str">
        <f>IFERROR(VLOOKUP(C4606,APOYO!J:K,2,FALSE),C4606)</f>
        <v>FLORENCIA</v>
      </c>
      <c r="E4606" s="8">
        <v>2019</v>
      </c>
      <c r="F4606" s="8">
        <v>64870</v>
      </c>
      <c r="G4606" s="8">
        <v>123</v>
      </c>
      <c r="H4606" s="8">
        <v>651</v>
      </c>
      <c r="I4606" s="8"/>
      <c r="J4606" s="8"/>
      <c r="K4606" s="8"/>
    </row>
    <row r="4607" spans="1:11" hidden="1" x14ac:dyDescent="0.25">
      <c r="A4607" t="str">
        <f>_xlfn.XLOOKUP(C4607, 'Códigos DANE Municipios'!$B$2:$B$1123, 'Códigos DANE Municipios'!$A$2:$A$1123, "No encontrado")</f>
        <v>15276</v>
      </c>
      <c r="B4607" t="str">
        <f>IFERROR(VLOOKUP(D4607,APOYO!K:L,2,FALSE),A4607)</f>
        <v>15276</v>
      </c>
      <c r="C4607" s="8" t="s">
        <v>469</v>
      </c>
      <c r="D4607" t="str">
        <f>IFERROR(VLOOKUP(C4607,APOYO!J:K,2,FALSE),C4607)</f>
        <v>FLORESTA</v>
      </c>
      <c r="E4607" s="8">
        <v>2019</v>
      </c>
      <c r="F4607" s="8"/>
      <c r="G4607" s="8"/>
      <c r="H4607" s="8">
        <v>6</v>
      </c>
      <c r="I4607" s="8"/>
      <c r="J4607" s="8"/>
      <c r="K4607" s="8"/>
    </row>
    <row r="4608" spans="1:11" hidden="1" x14ac:dyDescent="0.25">
      <c r="A4608" t="str">
        <f>_xlfn.XLOOKUP(C4608, 'Códigos DANE Municipios'!$B$2:$B$1123, 'Códigos DANE Municipios'!$A$2:$A$1123, "No encontrado")</f>
        <v>68271</v>
      </c>
      <c r="B4608" t="str">
        <f>IFERROR(VLOOKUP(D4608,APOYO!K:L,2,FALSE),A4608)</f>
        <v>68271</v>
      </c>
      <c r="C4608" s="8" t="s">
        <v>1710</v>
      </c>
      <c r="D4608" t="str">
        <f>IFERROR(VLOOKUP(C4608,APOYO!J:K,2,FALSE),C4608)</f>
        <v>FLORIÁN</v>
      </c>
      <c r="E4608" s="8">
        <v>2019</v>
      </c>
      <c r="F4608" s="8"/>
      <c r="G4608" s="8"/>
      <c r="H4608" s="8">
        <v>1</v>
      </c>
      <c r="I4608" s="8"/>
      <c r="J4608" s="8"/>
      <c r="K4608" s="8"/>
    </row>
    <row r="4609" spans="1:11" hidden="1" x14ac:dyDescent="0.25">
      <c r="A4609" t="str">
        <f>_xlfn.XLOOKUP(C4609, 'Códigos DANE Municipios'!$B$2:$B$1123, 'Códigos DANE Municipios'!$A$2:$A$1123, "No encontrado")</f>
        <v>76275</v>
      </c>
      <c r="B4609" t="str">
        <f>IFERROR(VLOOKUP(D4609,APOYO!K:L,2,FALSE),A4609)</f>
        <v>76275</v>
      </c>
      <c r="C4609" s="8" t="s">
        <v>1990</v>
      </c>
      <c r="D4609" t="str">
        <f>IFERROR(VLOOKUP(C4609,APOYO!J:K,2,FALSE),C4609)</f>
        <v>FLORIDA</v>
      </c>
      <c r="E4609" s="8">
        <v>2019</v>
      </c>
      <c r="F4609" s="8"/>
      <c r="G4609" s="8"/>
      <c r="H4609" s="8">
        <v>209</v>
      </c>
      <c r="I4609" s="8"/>
      <c r="J4609" s="8"/>
      <c r="K4609" s="8"/>
    </row>
    <row r="4610" spans="1:11" hidden="1" x14ac:dyDescent="0.25">
      <c r="A4610" t="str">
        <f>_xlfn.XLOOKUP(C4610, 'Códigos DANE Municipios'!$B$2:$B$1123, 'Códigos DANE Municipios'!$A$2:$A$1123, "No encontrado")</f>
        <v>68276</v>
      </c>
      <c r="B4610" t="str">
        <f>IFERROR(VLOOKUP(D4610,APOYO!K:L,2,FALSE),A4610)</f>
        <v>68276</v>
      </c>
      <c r="C4610" s="8" t="s">
        <v>1712</v>
      </c>
      <c r="D4610" t="str">
        <f>IFERROR(VLOOKUP(C4610,APOYO!J:K,2,FALSE),C4610)</f>
        <v>FLORIDABLANCA</v>
      </c>
      <c r="E4610" s="8">
        <v>2019</v>
      </c>
      <c r="F4610" s="8"/>
      <c r="G4610" s="8"/>
      <c r="H4610" s="8">
        <v>1125</v>
      </c>
      <c r="I4610" s="8"/>
      <c r="J4610" s="8"/>
      <c r="K4610" s="8"/>
    </row>
    <row r="4611" spans="1:11" hidden="1" x14ac:dyDescent="0.25">
      <c r="A4611" t="str">
        <f>_xlfn.XLOOKUP(C4611, 'Códigos DANE Municipios'!$B$2:$B$1123, 'Códigos DANE Municipios'!$A$2:$A$1123, "No encontrado")</f>
        <v>25279</v>
      </c>
      <c r="B4611" t="str">
        <f>IFERROR(VLOOKUP(D4611,APOYO!K:L,2,FALSE),A4611)</f>
        <v>25279</v>
      </c>
      <c r="C4611" t="s">
        <v>967</v>
      </c>
      <c r="D4611" t="str">
        <f>IFERROR(VLOOKUP(C4611,APOYO!J:K,2,FALSE),C4611)</f>
        <v>FÓMEQUE</v>
      </c>
      <c r="E4611">
        <v>2019</v>
      </c>
      <c r="H4611">
        <v>5</v>
      </c>
    </row>
    <row r="4612" spans="1:11" hidden="1" x14ac:dyDescent="0.25">
      <c r="A4612" t="str">
        <f>_xlfn.XLOOKUP(C4612, 'Códigos DANE Municipios'!$B$2:$B$1123, 'Códigos DANE Municipios'!$A$2:$A$1123, "No encontrado")</f>
        <v>44279</v>
      </c>
      <c r="B4612" t="str">
        <f>IFERROR(VLOOKUP(D4612,APOYO!K:L,2,FALSE),A4612)</f>
        <v>44279</v>
      </c>
      <c r="C4612" s="8" t="s">
        <v>1283</v>
      </c>
      <c r="D4612" t="str">
        <f>IFERROR(VLOOKUP(C4612,APOYO!J:K,2,FALSE),C4612)</f>
        <v>FONSECA</v>
      </c>
      <c r="E4612" s="8">
        <v>2019</v>
      </c>
      <c r="F4612" s="8"/>
      <c r="G4612" s="8"/>
      <c r="H4612" s="8">
        <v>30</v>
      </c>
      <c r="I4612" s="8"/>
      <c r="J4612" s="8"/>
      <c r="K4612" s="8"/>
    </row>
    <row r="4613" spans="1:11" hidden="1" x14ac:dyDescent="0.25">
      <c r="A4613" t="str">
        <f>_xlfn.XLOOKUP(C4613, 'Códigos DANE Municipios'!$B$2:$B$1123, 'Códigos DANE Municipios'!$A$2:$A$1123, "No encontrado")</f>
        <v>81300</v>
      </c>
      <c r="B4613" t="str">
        <f>IFERROR(VLOOKUP(D4613,APOYO!K:L,2,FALSE),A4613)</f>
        <v>81300</v>
      </c>
      <c r="C4613" s="8" t="s">
        <v>2040</v>
      </c>
      <c r="D4613" t="str">
        <f>IFERROR(VLOOKUP(C4613,APOYO!J:K,2,FALSE),C4613)</f>
        <v>FORTUL</v>
      </c>
      <c r="E4613" s="8">
        <v>2019</v>
      </c>
      <c r="F4613" s="8"/>
      <c r="G4613" s="8"/>
      <c r="H4613" s="8">
        <v>3</v>
      </c>
      <c r="I4613" s="8"/>
      <c r="J4613" s="8"/>
      <c r="K4613" s="8"/>
    </row>
    <row r="4614" spans="1:11" hidden="1" x14ac:dyDescent="0.25">
      <c r="A4614" t="str">
        <f>_xlfn.XLOOKUP(C4614, 'Códigos DANE Municipios'!$B$2:$B$1123, 'Códigos DANE Municipios'!$A$2:$A$1123, "No encontrado")</f>
        <v>25281</v>
      </c>
      <c r="B4614" t="str">
        <f>IFERROR(VLOOKUP(D4614,APOYO!K:L,2,FALSE),A4614)</f>
        <v>25281</v>
      </c>
      <c r="C4614" s="8" t="s">
        <v>969</v>
      </c>
      <c r="D4614" t="str">
        <f>IFERROR(VLOOKUP(C4614,APOYO!J:K,2,FALSE),C4614)</f>
        <v>FOSCA</v>
      </c>
      <c r="E4614" s="8">
        <v>2019</v>
      </c>
      <c r="F4614" s="8"/>
      <c r="G4614" s="8"/>
      <c r="H4614" s="8">
        <v>1</v>
      </c>
      <c r="I4614" s="8"/>
      <c r="J4614" s="8"/>
      <c r="K4614" s="8"/>
    </row>
    <row r="4615" spans="1:11" hidden="1" x14ac:dyDescent="0.25">
      <c r="A4615" t="str">
        <f>_xlfn.XLOOKUP(C4615, 'Códigos DANE Municipios'!$B$2:$B$1123, 'Códigos DANE Municipios'!$A$2:$A$1123, "No encontrado")</f>
        <v>05282</v>
      </c>
      <c r="B4615" t="str">
        <f>IFERROR(VLOOKUP(D4615,APOYO!K:L,2,FALSE),A4615)</f>
        <v>05282</v>
      </c>
      <c r="C4615" s="8" t="s">
        <v>106</v>
      </c>
      <c r="D4615" t="str">
        <f>IFERROR(VLOOKUP(C4615,APOYO!J:K,2,FALSE),C4615)</f>
        <v>FREDONIA</v>
      </c>
      <c r="E4615" s="8">
        <v>2019</v>
      </c>
      <c r="F4615" s="8"/>
      <c r="G4615" s="8"/>
      <c r="H4615" s="8">
        <v>45</v>
      </c>
      <c r="I4615" s="8"/>
      <c r="J4615" s="8"/>
      <c r="K4615" s="8"/>
    </row>
    <row r="4616" spans="1:11" hidden="1" x14ac:dyDescent="0.25">
      <c r="A4616" t="str">
        <f>_xlfn.XLOOKUP(C4616, 'Códigos DANE Municipios'!$B$2:$B$1123, 'Códigos DANE Municipios'!$A$2:$A$1123, "No encontrado")</f>
        <v>73283</v>
      </c>
      <c r="B4616" t="str">
        <f>IFERROR(VLOOKUP(D4616,APOYO!K:L,2,FALSE),A4616)</f>
        <v>73283</v>
      </c>
      <c r="C4616" s="8" t="s">
        <v>1901</v>
      </c>
      <c r="D4616" t="str">
        <f>IFERROR(VLOOKUP(C4616,APOYO!J:K,2,FALSE),C4616)</f>
        <v>FRESNO</v>
      </c>
      <c r="E4616" s="8">
        <v>2019</v>
      </c>
      <c r="F4616" s="8"/>
      <c r="G4616" s="8"/>
      <c r="H4616" s="8">
        <v>20</v>
      </c>
      <c r="I4616" s="8"/>
      <c r="J4616" s="8"/>
      <c r="K4616" s="8"/>
    </row>
    <row r="4617" spans="1:11" hidden="1" x14ac:dyDescent="0.25">
      <c r="A4617" t="str">
        <f>_xlfn.XLOOKUP(C4617, 'Códigos DANE Municipios'!$B$2:$B$1123, 'Códigos DANE Municipios'!$A$2:$A$1123, "No encontrado")</f>
        <v>05284</v>
      </c>
      <c r="B4617" t="str">
        <f>IFERROR(VLOOKUP(D4617,APOYO!K:L,2,FALSE),A4617)</f>
        <v>05284</v>
      </c>
      <c r="C4617" s="8" t="s">
        <v>108</v>
      </c>
      <c r="D4617" t="str">
        <f>IFERROR(VLOOKUP(C4617,APOYO!J:K,2,FALSE),C4617)</f>
        <v>FRONTINO</v>
      </c>
      <c r="E4617" s="8">
        <v>2019</v>
      </c>
      <c r="F4617" s="8"/>
      <c r="G4617" s="8"/>
      <c r="H4617" s="8">
        <v>9</v>
      </c>
      <c r="I4617" s="8"/>
      <c r="J4617" s="8"/>
      <c r="K4617" s="8"/>
    </row>
    <row r="4618" spans="1:11" hidden="1" x14ac:dyDescent="0.25">
      <c r="A4618" t="str">
        <f>_xlfn.XLOOKUP(C4618, 'Códigos DANE Municipios'!$B$2:$B$1123, 'Códigos DANE Municipios'!$A$2:$A$1123, "No encontrado")</f>
        <v>50287</v>
      </c>
      <c r="B4618" t="str">
        <f>IFERROR(VLOOKUP(D4618,APOYO!K:L,2,FALSE),A4618)</f>
        <v>50287</v>
      </c>
      <c r="C4618" s="8" t="s">
        <v>1378</v>
      </c>
      <c r="D4618" t="str">
        <f>IFERROR(VLOOKUP(C4618,APOYO!J:K,2,FALSE),C4618)</f>
        <v>FUENTE DE ORO</v>
      </c>
      <c r="E4618" s="8">
        <v>2019</v>
      </c>
      <c r="F4618" s="8"/>
      <c r="G4618" s="8"/>
      <c r="H4618" s="8">
        <v>30</v>
      </c>
      <c r="I4618" s="8"/>
      <c r="J4618" s="8"/>
      <c r="K4618" s="8"/>
    </row>
    <row r="4619" spans="1:11" hidden="1" x14ac:dyDescent="0.25">
      <c r="A4619" t="str">
        <f>_xlfn.XLOOKUP(C4619, 'Códigos DANE Municipios'!$B$2:$B$1123, 'Códigos DANE Municipios'!$A$2:$A$1123, "No encontrado")</f>
        <v>47288</v>
      </c>
      <c r="B4619" t="str">
        <f>IFERROR(VLOOKUP(D4619,APOYO!K:L,2,FALSE),A4619)</f>
        <v>47288</v>
      </c>
      <c r="C4619" s="8" t="s">
        <v>1321</v>
      </c>
      <c r="D4619" t="str">
        <f>IFERROR(VLOOKUP(C4619,APOYO!J:K,2,FALSE),C4619)</f>
        <v>FUNDACIÓN</v>
      </c>
      <c r="E4619" s="8">
        <v>2019</v>
      </c>
      <c r="F4619" s="8"/>
      <c r="G4619" s="8"/>
      <c r="H4619" s="8">
        <v>43</v>
      </c>
      <c r="I4619" s="8"/>
      <c r="J4619" s="8"/>
      <c r="K4619" s="8"/>
    </row>
    <row r="4620" spans="1:11" hidden="1" x14ac:dyDescent="0.25">
      <c r="A4620" t="str">
        <f>_xlfn.XLOOKUP(C4620, 'Códigos DANE Municipios'!$B$2:$B$1123, 'Códigos DANE Municipios'!$A$2:$A$1123, "No encontrado")</f>
        <v>52287</v>
      </c>
      <c r="B4620" t="str">
        <f>IFERROR(VLOOKUP(D4620,APOYO!K:L,2,FALSE),A4620)</f>
        <v>52287</v>
      </c>
      <c r="C4620" s="8" t="s">
        <v>1450</v>
      </c>
      <c r="D4620" t="str">
        <f>IFERROR(VLOOKUP(C4620,APOYO!J:K,2,FALSE),C4620)</f>
        <v>FUNES</v>
      </c>
      <c r="E4620" s="8">
        <v>2019</v>
      </c>
      <c r="F4620" s="8"/>
      <c r="G4620" s="8"/>
      <c r="H4620" s="8"/>
      <c r="I4620" s="8"/>
      <c r="J4620" s="8"/>
      <c r="K4620" s="8"/>
    </row>
    <row r="4621" spans="1:11" hidden="1" x14ac:dyDescent="0.25">
      <c r="A4621" t="str">
        <f>_xlfn.XLOOKUP(C4621, 'Códigos DANE Municipios'!$B$2:$B$1123, 'Códigos DANE Municipios'!$A$2:$A$1123, "No encontrado")</f>
        <v>25286</v>
      </c>
      <c r="B4621" t="str">
        <f>IFERROR(VLOOKUP(D4621,APOYO!K:L,2,FALSE),A4621)</f>
        <v>25286</v>
      </c>
      <c r="C4621" s="8" t="s">
        <v>971</v>
      </c>
      <c r="D4621" t="str">
        <f>IFERROR(VLOOKUP(C4621,APOYO!J:K,2,FALSE),C4621)</f>
        <v>FUNZA</v>
      </c>
      <c r="E4621" s="8">
        <v>2019</v>
      </c>
      <c r="F4621" s="8"/>
      <c r="G4621" s="8"/>
      <c r="H4621" s="8">
        <v>444</v>
      </c>
      <c r="I4621" s="8"/>
      <c r="J4621" s="8"/>
      <c r="K4621" s="8"/>
    </row>
    <row r="4622" spans="1:11" hidden="1" x14ac:dyDescent="0.25">
      <c r="A4622" t="str">
        <f>_xlfn.XLOOKUP(C4622, 'Códigos DANE Municipios'!$B$2:$B$1123, 'Códigos DANE Municipios'!$A$2:$A$1123, "No encontrado")</f>
        <v>25288</v>
      </c>
      <c r="B4622" t="str">
        <f>IFERROR(VLOOKUP(D4622,APOYO!K:L,2,FALSE),A4622)</f>
        <v>25288</v>
      </c>
      <c r="C4622" t="s">
        <v>973</v>
      </c>
      <c r="D4622" t="str">
        <f>IFERROR(VLOOKUP(C4622,APOYO!J:K,2,FALSE),C4622)</f>
        <v>FÚQUENE</v>
      </c>
      <c r="E4622">
        <v>2019</v>
      </c>
      <c r="H4622">
        <v>10</v>
      </c>
    </row>
    <row r="4623" spans="1:11" hidden="1" x14ac:dyDescent="0.25">
      <c r="A4623" t="str">
        <f>_xlfn.XLOOKUP(C4623, 'Códigos DANE Municipios'!$B$2:$B$1123, 'Códigos DANE Municipios'!$A$2:$A$1123, "No encontrado")</f>
        <v>25290</v>
      </c>
      <c r="B4623" t="str">
        <f>IFERROR(VLOOKUP(D4623,APOYO!K:L,2,FALSE),A4623)</f>
        <v>25290</v>
      </c>
      <c r="C4623" s="8" t="s">
        <v>975</v>
      </c>
      <c r="D4623" t="str">
        <f>IFERROR(VLOOKUP(C4623,APOYO!J:K,2,FALSE),C4623)</f>
        <v>FUSAGASUGÁ</v>
      </c>
      <c r="E4623" s="8">
        <v>2019</v>
      </c>
      <c r="F4623" s="8"/>
      <c r="G4623" s="8"/>
      <c r="H4623" s="8">
        <v>1011</v>
      </c>
      <c r="I4623" s="8"/>
      <c r="J4623" s="8"/>
      <c r="K4623" s="8"/>
    </row>
    <row r="4624" spans="1:11" hidden="1" x14ac:dyDescent="0.25">
      <c r="A4624" t="str">
        <f>_xlfn.XLOOKUP(C4624, 'Códigos DANE Municipios'!$B$2:$B$1123, 'Códigos DANE Municipios'!$A$2:$A$1123, "No encontrado")</f>
        <v>25293</v>
      </c>
      <c r="B4624" t="str">
        <f>IFERROR(VLOOKUP(D4624,APOYO!K:L,2,FALSE),A4624)</f>
        <v>25293</v>
      </c>
      <c r="C4624" t="s">
        <v>977</v>
      </c>
      <c r="D4624" t="str">
        <f>IFERROR(VLOOKUP(C4624,APOYO!J:K,2,FALSE),C4624)</f>
        <v>GACHALÁ</v>
      </c>
      <c r="E4624">
        <v>2019</v>
      </c>
      <c r="H4624">
        <v>1</v>
      </c>
    </row>
    <row r="4625" spans="1:11" hidden="1" x14ac:dyDescent="0.25">
      <c r="A4625" t="str">
        <f>_xlfn.XLOOKUP(C4625, 'Códigos DANE Municipios'!$B$2:$B$1123, 'Códigos DANE Municipios'!$A$2:$A$1123, "No encontrado")</f>
        <v>25295</v>
      </c>
      <c r="B4625" t="str">
        <f>IFERROR(VLOOKUP(D4625,APOYO!K:L,2,FALSE),A4625)</f>
        <v>25295</v>
      </c>
      <c r="C4625" s="8" t="s">
        <v>979</v>
      </c>
      <c r="D4625" t="str">
        <f>IFERROR(VLOOKUP(C4625,APOYO!J:K,2,FALSE),C4625)</f>
        <v>GACHANCIPÁ</v>
      </c>
      <c r="E4625" s="8">
        <v>2019</v>
      </c>
      <c r="F4625" s="8"/>
      <c r="G4625" s="8"/>
      <c r="H4625" s="8">
        <v>29</v>
      </c>
      <c r="I4625" s="8"/>
      <c r="J4625" s="8"/>
      <c r="K4625" s="8"/>
    </row>
    <row r="4626" spans="1:11" hidden="1" x14ac:dyDescent="0.25">
      <c r="A4626" t="str">
        <f>_xlfn.XLOOKUP(C4626, 'Códigos DANE Municipios'!$B$2:$B$1123, 'Códigos DANE Municipios'!$A$2:$A$1123, "No encontrado")</f>
        <v>25297</v>
      </c>
      <c r="B4626" t="str">
        <f>IFERROR(VLOOKUP(D4626,APOYO!K:L,2,FALSE),A4626)</f>
        <v>25297</v>
      </c>
      <c r="C4626" t="s">
        <v>981</v>
      </c>
      <c r="D4626" t="str">
        <f>IFERROR(VLOOKUP(C4626,APOYO!J:K,2,FALSE),C4626)</f>
        <v>GACHETÁ</v>
      </c>
      <c r="E4626">
        <v>2019</v>
      </c>
      <c r="H4626">
        <v>11</v>
      </c>
    </row>
    <row r="4627" spans="1:11" hidden="1" x14ac:dyDescent="0.25">
      <c r="A4627" t="str">
        <f>_xlfn.XLOOKUP(C4627, 'Códigos DANE Municipios'!$B$2:$B$1123, 'Códigos DANE Municipios'!$A$2:$A$1123, "No encontrado")</f>
        <v>08296</v>
      </c>
      <c r="B4627" t="str">
        <f>IFERROR(VLOOKUP(D4627,APOYO!K:L,2,FALSE),A4627)</f>
        <v>08296</v>
      </c>
      <c r="C4627" s="8" t="s">
        <v>270</v>
      </c>
      <c r="D4627" t="str">
        <f>IFERROR(VLOOKUP(C4627,APOYO!J:K,2,FALSE),C4627)</f>
        <v>GALAPA</v>
      </c>
      <c r="E4627" s="8">
        <v>2019</v>
      </c>
      <c r="F4627" s="8"/>
      <c r="G4627" s="8"/>
      <c r="H4627" s="8">
        <v>45</v>
      </c>
      <c r="I4627" s="8"/>
      <c r="J4627" s="8"/>
      <c r="K4627" s="8"/>
    </row>
    <row r="4628" spans="1:11" hidden="1" x14ac:dyDescent="0.25">
      <c r="A4628" t="str">
        <f>_xlfn.XLOOKUP(C4628, 'Códigos DANE Municipios'!$B$2:$B$1123, 'Códigos DANE Municipios'!$A$2:$A$1123, "No encontrado")</f>
        <v>25299</v>
      </c>
      <c r="B4628" t="str">
        <f>IFERROR(VLOOKUP(D4628,APOYO!K:L,2,FALSE),A4628)</f>
        <v>25299</v>
      </c>
      <c r="C4628" s="8" t="s">
        <v>983</v>
      </c>
      <c r="D4628" t="str">
        <f>IFERROR(VLOOKUP(C4628,APOYO!J:K,2,FALSE),C4628)</f>
        <v>GAMA</v>
      </c>
      <c r="E4628" s="8">
        <v>2019</v>
      </c>
      <c r="F4628" s="8"/>
      <c r="G4628" s="8"/>
      <c r="H4628" s="8">
        <v>1</v>
      </c>
      <c r="I4628" s="8"/>
      <c r="J4628" s="8"/>
      <c r="K4628" s="8"/>
    </row>
    <row r="4629" spans="1:11" hidden="1" x14ac:dyDescent="0.25">
      <c r="A4629" t="str">
        <f>_xlfn.XLOOKUP(C4629, 'Códigos DANE Municipios'!$B$2:$B$1123, 'Códigos DANE Municipios'!$A$2:$A$1123, "No encontrado")</f>
        <v>68298</v>
      </c>
      <c r="B4629" t="str">
        <f>IFERROR(VLOOKUP(D4629,APOYO!K:L,2,FALSE),A4629)</f>
        <v>68298</v>
      </c>
      <c r="C4629" t="s">
        <v>1716</v>
      </c>
      <c r="D4629" t="str">
        <f>IFERROR(VLOOKUP(C4629,APOYO!J:K,2,FALSE),C4629)</f>
        <v>GÁMBITA</v>
      </c>
      <c r="E4629">
        <v>2019</v>
      </c>
    </row>
    <row r="4630" spans="1:11" hidden="1" x14ac:dyDescent="0.25">
      <c r="A4630" t="str">
        <f>_xlfn.XLOOKUP(C4630, 'Códigos DANE Municipios'!$B$2:$B$1123, 'Códigos DANE Municipios'!$A$2:$A$1123, "No encontrado")</f>
        <v>15293</v>
      </c>
      <c r="B4630" t="str">
        <f>IFERROR(VLOOKUP(D4630,APOYO!K:L,2,FALSE),A4630)</f>
        <v>15293</v>
      </c>
      <c r="C4630" s="8" t="s">
        <v>471</v>
      </c>
      <c r="D4630" t="str">
        <f>IFERROR(VLOOKUP(C4630,APOYO!J:K,2,FALSE),C4630)</f>
        <v>GACHANTIVÁ</v>
      </c>
      <c r="E4630" s="8">
        <v>2019</v>
      </c>
      <c r="F4630" s="8"/>
      <c r="G4630" s="8"/>
      <c r="H4630" s="8">
        <v>7</v>
      </c>
      <c r="I4630" s="8"/>
      <c r="J4630" s="8"/>
      <c r="K4630" s="8"/>
    </row>
    <row r="4631" spans="1:11" hidden="1" x14ac:dyDescent="0.25">
      <c r="A4631" t="str">
        <f>_xlfn.XLOOKUP(C4631, 'Códigos DANE Municipios'!$B$2:$B$1123, 'Códigos DANE Municipios'!$A$2:$A$1123, "No encontrado")</f>
        <v>68296</v>
      </c>
      <c r="B4631" t="str">
        <f>IFERROR(VLOOKUP(D4631,APOYO!K:L,2,FALSE),A4631)</f>
        <v>68296</v>
      </c>
      <c r="C4631" s="8" t="s">
        <v>1714</v>
      </c>
      <c r="D4631" t="str">
        <f>IFERROR(VLOOKUP(C4631,APOYO!J:K,2,FALSE),C4631)</f>
        <v>GALÁN</v>
      </c>
      <c r="E4631" s="8">
        <v>2019</v>
      </c>
      <c r="F4631" s="8"/>
      <c r="G4631" s="8"/>
      <c r="H4631" s="8"/>
      <c r="I4631" s="8"/>
      <c r="J4631" s="8"/>
      <c r="K4631" s="8"/>
    </row>
    <row r="4632" spans="1:11" hidden="1" x14ac:dyDescent="0.25">
      <c r="A4632" t="str">
        <f>_xlfn.XLOOKUP(C4632, 'Códigos DANE Municipios'!$B$2:$B$1123, 'Códigos DANE Municipios'!$A$2:$A$1123, "No encontrado")</f>
        <v>08296</v>
      </c>
      <c r="B4632" t="str">
        <f>IFERROR(VLOOKUP(D4632,APOYO!K:L,2,FALSE),A4632)</f>
        <v>08296</v>
      </c>
      <c r="C4632" s="8" t="s">
        <v>270</v>
      </c>
      <c r="D4632" t="str">
        <f>IFERROR(VLOOKUP(C4632,APOYO!J:K,2,FALSE),C4632)</f>
        <v>GALAPA</v>
      </c>
      <c r="E4632" s="8">
        <v>2019</v>
      </c>
      <c r="F4632" s="8"/>
      <c r="G4632" s="8"/>
      <c r="H4632" s="8"/>
      <c r="I4632" s="8"/>
      <c r="J4632" s="8"/>
      <c r="K4632" s="8"/>
    </row>
    <row r="4633" spans="1:11" hidden="1" x14ac:dyDescent="0.25">
      <c r="A4633" t="str">
        <f>_xlfn.XLOOKUP(C4633, 'Códigos DANE Municipios'!$B$2:$B$1123, 'Códigos DANE Municipios'!$A$2:$A$1123, "No encontrado")</f>
        <v>15299</v>
      </c>
      <c r="B4633" t="str">
        <f>IFERROR(VLOOKUP(D4633,APOYO!K:L,2,FALSE),A4633)</f>
        <v>15299</v>
      </c>
      <c r="C4633" s="8" t="s">
        <v>475</v>
      </c>
      <c r="D4633" t="str">
        <f>IFERROR(VLOOKUP(C4633,APOYO!J:K,2,FALSE),C4633)</f>
        <v>GARAGOA</v>
      </c>
      <c r="E4633" s="8">
        <v>2019</v>
      </c>
      <c r="F4633" s="8"/>
      <c r="G4633" s="8"/>
      <c r="H4633" s="8">
        <v>21</v>
      </c>
      <c r="I4633" s="8"/>
      <c r="J4633" s="8"/>
      <c r="K4633" s="8"/>
    </row>
    <row r="4634" spans="1:11" hidden="1" x14ac:dyDescent="0.25">
      <c r="A4634" t="str">
        <f>_xlfn.XLOOKUP(C4634, 'Códigos DANE Municipios'!$B$2:$B$1123, 'Códigos DANE Municipios'!$A$2:$A$1123, "No encontrado")</f>
        <v>41298</v>
      </c>
      <c r="B4634" t="str">
        <f>IFERROR(VLOOKUP(D4634,APOYO!K:L,2,FALSE),A4634)</f>
        <v>41298</v>
      </c>
      <c r="C4634" s="8" t="s">
        <v>1221</v>
      </c>
      <c r="D4634" t="str">
        <f>IFERROR(VLOOKUP(C4634,APOYO!J:K,2,FALSE),C4634)</f>
        <v>GARZÓN</v>
      </c>
      <c r="E4634" s="8">
        <v>2019</v>
      </c>
      <c r="F4634" s="8"/>
      <c r="G4634" s="8"/>
      <c r="H4634" s="8">
        <v>117</v>
      </c>
      <c r="I4634" s="8"/>
      <c r="J4634" s="8"/>
      <c r="K4634" s="8"/>
    </row>
    <row r="4635" spans="1:11" hidden="1" x14ac:dyDescent="0.25">
      <c r="A4635" t="str">
        <f>_xlfn.XLOOKUP(C4635, 'Códigos DANE Municipios'!$B$2:$B$1123, 'Códigos DANE Municipios'!$A$2:$A$1123, "No encontrado")</f>
        <v>63302</v>
      </c>
      <c r="B4635" t="str">
        <f>IFERROR(VLOOKUP(D4635,APOYO!K:L,2,FALSE),A4635)</f>
        <v>63302</v>
      </c>
      <c r="C4635" s="8" t="s">
        <v>1616</v>
      </c>
      <c r="D4635" t="str">
        <f>IFERROR(VLOOKUP(C4635,APOYO!J:K,2,FALSE),C4635)</f>
        <v>GÉNOVA</v>
      </c>
      <c r="E4635" s="8">
        <v>2019</v>
      </c>
      <c r="F4635" s="8"/>
      <c r="G4635" s="8"/>
      <c r="H4635" s="8">
        <v>6</v>
      </c>
      <c r="I4635" s="8"/>
      <c r="J4635" s="8"/>
      <c r="K4635" s="8"/>
    </row>
    <row r="4636" spans="1:11" hidden="1" x14ac:dyDescent="0.25">
      <c r="A4636" t="str">
        <f>_xlfn.XLOOKUP(C4636, 'Códigos DANE Municipios'!$B$2:$B$1123, 'Códigos DANE Municipios'!$A$2:$A$1123, "No encontrado")</f>
        <v>41306</v>
      </c>
      <c r="B4636" t="str">
        <f>IFERROR(VLOOKUP(D4636,APOYO!K:L,2,FALSE),A4636)</f>
        <v>41306</v>
      </c>
      <c r="C4636" s="8" t="s">
        <v>1223</v>
      </c>
      <c r="D4636" t="str">
        <f>IFERROR(VLOOKUP(C4636,APOYO!J:K,2,FALSE),C4636)</f>
        <v>GIGANTE</v>
      </c>
      <c r="E4636" s="8">
        <v>2019</v>
      </c>
      <c r="F4636" s="8"/>
      <c r="G4636" s="8"/>
      <c r="H4636" s="8">
        <v>20</v>
      </c>
      <c r="I4636" s="8"/>
      <c r="J4636" s="8"/>
      <c r="K4636" s="8"/>
    </row>
    <row r="4637" spans="1:11" hidden="1" x14ac:dyDescent="0.25">
      <c r="A4637" t="str">
        <f>_xlfn.XLOOKUP(C4637, 'Códigos DANE Municipios'!$B$2:$B$1123, 'Códigos DANE Municipios'!$A$2:$A$1123, "No encontrado")</f>
        <v>76306</v>
      </c>
      <c r="B4637" t="str">
        <f>IFERROR(VLOOKUP(D4637,APOYO!K:L,2,FALSE),A4637)</f>
        <v>76306</v>
      </c>
      <c r="C4637" s="8" t="s">
        <v>1992</v>
      </c>
      <c r="D4637" t="str">
        <f>IFERROR(VLOOKUP(C4637,APOYO!J:K,2,FALSE),C4637)</f>
        <v>GINEBRA</v>
      </c>
      <c r="E4637" s="8">
        <v>2019</v>
      </c>
      <c r="F4637" s="8"/>
      <c r="G4637" s="8"/>
      <c r="H4637" s="8">
        <v>137</v>
      </c>
      <c r="I4637" s="8"/>
      <c r="J4637" s="8"/>
      <c r="K4637" s="8"/>
    </row>
    <row r="4638" spans="1:11" hidden="1" x14ac:dyDescent="0.25">
      <c r="A4638" t="str">
        <f>_xlfn.XLOOKUP(C4638, 'Códigos DANE Municipios'!$B$2:$B$1123, 'Códigos DANE Municipios'!$A$2:$A$1123, "No encontrado")</f>
        <v>05306</v>
      </c>
      <c r="B4638" t="str">
        <f>IFERROR(VLOOKUP(D4638,APOYO!K:L,2,FALSE),A4638)</f>
        <v>05306</v>
      </c>
      <c r="C4638" s="8" t="s">
        <v>110</v>
      </c>
      <c r="D4638" t="str">
        <f>IFERROR(VLOOKUP(C4638,APOYO!J:K,2,FALSE),C4638)</f>
        <v>GIRALDO</v>
      </c>
      <c r="E4638" s="8">
        <v>2019</v>
      </c>
      <c r="F4638" s="8"/>
      <c r="G4638" s="8"/>
      <c r="H4638" s="8">
        <v>4</v>
      </c>
      <c r="I4638" s="8"/>
      <c r="J4638" s="8"/>
      <c r="K4638" s="8"/>
    </row>
    <row r="4639" spans="1:11" hidden="1" x14ac:dyDescent="0.25">
      <c r="A4639" t="str">
        <f>_xlfn.XLOOKUP(C4639, 'Códigos DANE Municipios'!$B$2:$B$1123, 'Códigos DANE Municipios'!$A$2:$A$1123, "No encontrado")</f>
        <v>25307</v>
      </c>
      <c r="B4639" t="str">
        <f>IFERROR(VLOOKUP(D4639,APOYO!K:L,2,FALSE),A4639)</f>
        <v>25307</v>
      </c>
      <c r="C4639" s="8" t="s">
        <v>985</v>
      </c>
      <c r="D4639" t="str">
        <f>IFERROR(VLOOKUP(C4639,APOYO!J:K,2,FALSE),C4639)</f>
        <v>GIRARDOT</v>
      </c>
      <c r="E4639" s="8">
        <v>2019</v>
      </c>
      <c r="F4639" s="8"/>
      <c r="G4639" s="8"/>
      <c r="H4639" s="8">
        <v>537</v>
      </c>
      <c r="I4639" s="8"/>
      <c r="J4639" s="8"/>
      <c r="K4639" s="8"/>
    </row>
    <row r="4640" spans="1:11" hidden="1" x14ac:dyDescent="0.25">
      <c r="A4640" t="str">
        <f>_xlfn.XLOOKUP(C4640, 'Códigos DANE Municipios'!$B$2:$B$1123, 'Códigos DANE Municipios'!$A$2:$A$1123, "No encontrado")</f>
        <v>05308</v>
      </c>
      <c r="B4640" t="str">
        <f>IFERROR(VLOOKUP(D4640,APOYO!K:L,2,FALSE),A4640)</f>
        <v>05308</v>
      </c>
      <c r="C4640" s="8" t="s">
        <v>112</v>
      </c>
      <c r="D4640" t="str">
        <f>IFERROR(VLOOKUP(C4640,APOYO!J:K,2,FALSE),C4640)</f>
        <v>GIRARDOTA</v>
      </c>
      <c r="E4640" s="8">
        <v>2019</v>
      </c>
      <c r="F4640" s="8"/>
      <c r="G4640" s="8"/>
      <c r="H4640" s="8">
        <v>200</v>
      </c>
      <c r="I4640" s="8"/>
      <c r="J4640" s="8"/>
      <c r="K4640" s="8"/>
    </row>
    <row r="4641" spans="1:11" hidden="1" x14ac:dyDescent="0.25">
      <c r="A4641" t="str">
        <f>_xlfn.XLOOKUP(C4641, 'Códigos DANE Municipios'!$B$2:$B$1123, 'Códigos DANE Municipios'!$A$2:$A$1123, "No encontrado")</f>
        <v>68307</v>
      </c>
      <c r="B4641" t="str">
        <f>IFERROR(VLOOKUP(D4641,APOYO!K:L,2,FALSE),A4641)</f>
        <v>68307</v>
      </c>
      <c r="C4641" s="8" t="s">
        <v>1718</v>
      </c>
      <c r="D4641" t="str">
        <f>IFERROR(VLOOKUP(C4641,APOYO!J:K,2,FALSE),C4641)</f>
        <v>GIRÓN</v>
      </c>
      <c r="E4641" s="8">
        <v>2019</v>
      </c>
      <c r="F4641" s="8"/>
      <c r="G4641" s="8"/>
      <c r="H4641" s="8">
        <v>228</v>
      </c>
      <c r="I4641" s="8"/>
      <c r="J4641" s="8"/>
      <c r="K4641" s="8"/>
    </row>
    <row r="4642" spans="1:11" hidden="1" x14ac:dyDescent="0.25">
      <c r="A4642" t="str">
        <f>_xlfn.XLOOKUP(C4642, 'Códigos DANE Municipios'!$B$2:$B$1123, 'Códigos DANE Municipios'!$A$2:$A$1123, "No encontrado")</f>
        <v>05310</v>
      </c>
      <c r="B4642" t="str">
        <f>IFERROR(VLOOKUP(D4642,APOYO!K:L,2,FALSE),A4642)</f>
        <v>05310</v>
      </c>
      <c r="C4642" s="8" t="s">
        <v>114</v>
      </c>
      <c r="D4642" t="str">
        <f>IFERROR(VLOOKUP(C4642,APOYO!J:K,2,FALSE),C4642)</f>
        <v>GÓMEZ PLATA</v>
      </c>
      <c r="E4642" s="8">
        <v>2019</v>
      </c>
      <c r="F4642" s="8"/>
      <c r="G4642" s="8"/>
      <c r="H4642" s="8">
        <v>4</v>
      </c>
      <c r="I4642" s="8"/>
      <c r="J4642" s="8"/>
      <c r="K4642" s="8"/>
    </row>
    <row r="4643" spans="1:11" hidden="1" x14ac:dyDescent="0.25">
      <c r="A4643" t="str">
        <f>_xlfn.XLOOKUP(C4643, 'Códigos DANE Municipios'!$B$2:$B$1123, 'Códigos DANE Municipios'!$A$2:$A$1123, "No encontrado")</f>
        <v>05313</v>
      </c>
      <c r="B4643" t="str">
        <f>IFERROR(VLOOKUP(D4643,APOYO!K:L,2,FALSE),A4643)</f>
        <v>05313</v>
      </c>
      <c r="C4643" s="8" t="s">
        <v>116</v>
      </c>
      <c r="D4643" t="str">
        <f>IFERROR(VLOOKUP(C4643,APOYO!J:K,2,FALSE),C4643)</f>
        <v>GRANADA</v>
      </c>
      <c r="E4643" s="8">
        <v>2019</v>
      </c>
      <c r="F4643" s="8"/>
      <c r="G4643" s="8"/>
      <c r="H4643" s="8">
        <v>8</v>
      </c>
      <c r="I4643" s="8"/>
      <c r="J4643" s="8"/>
      <c r="K4643" s="8"/>
    </row>
    <row r="4644" spans="1:11" hidden="1" x14ac:dyDescent="0.25">
      <c r="A4644" t="str">
        <f>_xlfn.XLOOKUP(C4644, 'Códigos DANE Municipios'!$B$2:$B$1123, 'Códigos DANE Municipios'!$A$2:$A$1123, "No encontrado")</f>
        <v>05313</v>
      </c>
      <c r="B4644" t="str">
        <f>IFERROR(VLOOKUP(D4644,APOYO!K:L,2,FALSE),A4644)</f>
        <v>05313</v>
      </c>
      <c r="C4644" s="8" t="s">
        <v>116</v>
      </c>
      <c r="D4644" t="str">
        <f>IFERROR(VLOOKUP(C4644,APOYO!J:K,2,FALSE),C4644)</f>
        <v>GRANADA</v>
      </c>
      <c r="E4644" s="8">
        <v>2019</v>
      </c>
      <c r="F4644" s="8"/>
      <c r="G4644" s="8"/>
      <c r="H4644" s="8">
        <v>29</v>
      </c>
      <c r="I4644" s="8"/>
      <c r="J4644" s="8"/>
      <c r="K4644" s="8"/>
    </row>
    <row r="4645" spans="1:11" hidden="1" x14ac:dyDescent="0.25">
      <c r="A4645" t="str">
        <f>_xlfn.XLOOKUP(C4645, 'Códigos DANE Municipios'!$B$2:$B$1123, 'Códigos DANE Municipios'!$A$2:$A$1123, "No encontrado")</f>
        <v>05313</v>
      </c>
      <c r="B4645" t="str">
        <f>IFERROR(VLOOKUP(D4645,APOYO!K:L,2,FALSE),A4645)</f>
        <v>05313</v>
      </c>
      <c r="C4645" s="8" t="s">
        <v>116</v>
      </c>
      <c r="D4645" t="str">
        <f>IFERROR(VLOOKUP(C4645,APOYO!J:K,2,FALSE),C4645)</f>
        <v>GRANADA</v>
      </c>
      <c r="E4645" s="8">
        <v>2019</v>
      </c>
      <c r="F4645" s="8"/>
      <c r="G4645" s="8"/>
      <c r="H4645" s="8">
        <v>95</v>
      </c>
      <c r="I4645" s="8"/>
      <c r="J4645" s="8"/>
      <c r="K4645" s="8"/>
    </row>
    <row r="4646" spans="1:11" hidden="1" x14ac:dyDescent="0.25">
      <c r="A4646" t="str">
        <f>_xlfn.XLOOKUP(C4646, 'Códigos DANE Municipios'!$B$2:$B$1123, 'Códigos DANE Municipios'!$A$2:$A$1123, "No encontrado")</f>
        <v>15317</v>
      </c>
      <c r="B4646" t="str">
        <f>IFERROR(VLOOKUP(D4646,APOYO!K:L,2,FALSE),A4646)</f>
        <v>15317</v>
      </c>
      <c r="C4646" s="8" t="s">
        <v>477</v>
      </c>
      <c r="D4646" t="str">
        <f>IFERROR(VLOOKUP(C4646,APOYO!J:K,2,FALSE),C4646)</f>
        <v>GUACAMAYAS</v>
      </c>
      <c r="E4646" s="8">
        <v>2019</v>
      </c>
      <c r="F4646" s="8"/>
      <c r="G4646" s="8"/>
      <c r="H4646" s="8">
        <v>4</v>
      </c>
      <c r="I4646" s="8"/>
      <c r="J4646" s="8"/>
      <c r="K4646" s="8"/>
    </row>
    <row r="4647" spans="1:11" hidden="1" x14ac:dyDescent="0.25">
      <c r="A4647" t="str">
        <f>_xlfn.XLOOKUP(C4647, 'Códigos DANE Municipios'!$B$2:$B$1123, 'Códigos DANE Municipios'!$A$2:$A$1123, "No encontrado")</f>
        <v>76318</v>
      </c>
      <c r="B4647" t="str">
        <f>IFERROR(VLOOKUP(D4647,APOYO!K:L,2,FALSE),A4647)</f>
        <v>76318</v>
      </c>
      <c r="C4647" s="8" t="s">
        <v>1994</v>
      </c>
      <c r="D4647" t="str">
        <f>IFERROR(VLOOKUP(C4647,APOYO!J:K,2,FALSE),C4647)</f>
        <v>GUACARÍ</v>
      </c>
      <c r="E4647" s="8">
        <v>2019</v>
      </c>
      <c r="F4647" s="8"/>
      <c r="G4647" s="8"/>
      <c r="H4647" s="8">
        <v>75</v>
      </c>
      <c r="I4647" s="8"/>
      <c r="J4647" s="8"/>
      <c r="K4647" s="8"/>
    </row>
    <row r="4648" spans="1:11" hidden="1" x14ac:dyDescent="0.25">
      <c r="A4648" t="str">
        <f>_xlfn.XLOOKUP(C4648, 'Códigos DANE Municipios'!$B$2:$B$1123, 'Códigos DANE Municipios'!$A$2:$A$1123, "No encontrado")</f>
        <v>25317</v>
      </c>
      <c r="B4648" t="str">
        <f>IFERROR(VLOOKUP(D4648,APOYO!K:L,2,FALSE),A4648)</f>
        <v>25317</v>
      </c>
      <c r="C4648" t="s">
        <v>988</v>
      </c>
      <c r="D4648" t="str">
        <f>IFERROR(VLOOKUP(C4648,APOYO!J:K,2,FALSE),C4648)</f>
        <v>GUACHETÁ</v>
      </c>
      <c r="E4648">
        <v>2019</v>
      </c>
      <c r="H4648">
        <v>5</v>
      </c>
    </row>
    <row r="4649" spans="1:11" hidden="1" x14ac:dyDescent="0.25">
      <c r="A4649" t="str">
        <f>_xlfn.XLOOKUP(C4649, 'Códigos DANE Municipios'!$B$2:$B$1123, 'Códigos DANE Municipios'!$A$2:$A$1123, "No encontrado")</f>
        <v>52317</v>
      </c>
      <c r="B4649" t="str">
        <f>IFERROR(VLOOKUP(D4649,APOYO!K:L,2,FALSE),A4649)</f>
        <v>52317</v>
      </c>
      <c r="C4649" s="8" t="s">
        <v>1452</v>
      </c>
      <c r="D4649" t="str">
        <f>IFERROR(VLOOKUP(C4649,APOYO!J:K,2,FALSE),C4649)</f>
        <v>GUACHUCAL</v>
      </c>
      <c r="E4649" s="8">
        <v>2019</v>
      </c>
      <c r="F4649" s="8"/>
      <c r="G4649" s="8"/>
      <c r="H4649" s="8">
        <v>8</v>
      </c>
      <c r="I4649" s="8"/>
      <c r="J4649" s="8"/>
      <c r="K4649" s="8"/>
    </row>
    <row r="4650" spans="1:11" hidden="1" x14ac:dyDescent="0.25">
      <c r="A4650" t="str">
        <f>_xlfn.XLOOKUP(C4650, 'Códigos DANE Municipios'!$B$2:$B$1123, 'Códigos DANE Municipios'!$A$2:$A$1123, "No encontrado")</f>
        <v>05315</v>
      </c>
      <c r="B4650" t="str">
        <f>IFERROR(VLOOKUP(D4650,APOYO!K:L,2,FALSE),A4650)</f>
        <v>05315</v>
      </c>
      <c r="C4650" s="8" t="s">
        <v>118</v>
      </c>
      <c r="D4650" t="str">
        <f>IFERROR(VLOOKUP(C4650,APOYO!J:K,2,FALSE),C4650)</f>
        <v>GUADALUPE</v>
      </c>
      <c r="E4650" s="8">
        <v>2019</v>
      </c>
      <c r="F4650" s="8"/>
      <c r="G4650" s="8"/>
      <c r="H4650" s="8">
        <v>24</v>
      </c>
      <c r="I4650" s="8"/>
      <c r="J4650" s="8"/>
      <c r="K4650" s="8"/>
    </row>
    <row r="4651" spans="1:11" hidden="1" x14ac:dyDescent="0.25">
      <c r="A4651" t="str">
        <f>_xlfn.XLOOKUP(C4651, 'Códigos DANE Municipios'!$B$2:$B$1123, 'Códigos DANE Municipios'!$A$2:$A$1123, "No encontrado")</f>
        <v>25320</v>
      </c>
      <c r="B4651" t="str">
        <f>IFERROR(VLOOKUP(D4651,APOYO!K:L,2,FALSE),A4651)</f>
        <v>25320</v>
      </c>
      <c r="C4651" s="8" t="s">
        <v>990</v>
      </c>
      <c r="D4651" t="str">
        <f>IFERROR(VLOOKUP(C4651,APOYO!J:K,2,FALSE),C4651)</f>
        <v>GUADUAS</v>
      </c>
      <c r="E4651" s="8">
        <v>2019</v>
      </c>
      <c r="F4651" s="8"/>
      <c r="G4651" s="8"/>
      <c r="H4651" s="8">
        <v>62</v>
      </c>
      <c r="I4651" s="8"/>
      <c r="J4651" s="8"/>
      <c r="K4651" s="8"/>
    </row>
    <row r="4652" spans="1:11" hidden="1" x14ac:dyDescent="0.25">
      <c r="A4652" t="str">
        <f>_xlfn.XLOOKUP(C4652, 'Códigos DANE Municipios'!$B$2:$B$1123, 'Códigos DANE Municipios'!$A$2:$A$1123, "No encontrado")</f>
        <v>47318</v>
      </c>
      <c r="B4652" t="str">
        <f>IFERROR(VLOOKUP(D4652,APOYO!K:L,2,FALSE),A4652)</f>
        <v>47318</v>
      </c>
      <c r="C4652" s="8" t="s">
        <v>1323</v>
      </c>
      <c r="D4652" t="str">
        <f>IFERROR(VLOOKUP(C4652,APOYO!J:K,2,FALSE),C4652)</f>
        <v>GUAMAL</v>
      </c>
      <c r="E4652" s="8">
        <v>2019</v>
      </c>
      <c r="F4652" s="8"/>
      <c r="G4652" s="8"/>
      <c r="H4652" s="8">
        <v>28</v>
      </c>
      <c r="I4652" s="8"/>
      <c r="J4652" s="8"/>
      <c r="K4652" s="8"/>
    </row>
    <row r="4653" spans="1:11" hidden="1" x14ac:dyDescent="0.25">
      <c r="A4653" t="str">
        <f>_xlfn.XLOOKUP(C4653, 'Códigos DANE Municipios'!$B$2:$B$1123, 'Códigos DANE Municipios'!$A$2:$A$1123, "No encontrado")</f>
        <v>73319</v>
      </c>
      <c r="B4653" t="str">
        <f>IFERROR(VLOOKUP(D4653,APOYO!K:L,2,FALSE),A4653)</f>
        <v>73319</v>
      </c>
      <c r="C4653" s="8" t="s">
        <v>1903</v>
      </c>
      <c r="D4653" t="str">
        <f>IFERROR(VLOOKUP(C4653,APOYO!J:K,2,FALSE),C4653)</f>
        <v>GUAMO</v>
      </c>
      <c r="E4653" s="8">
        <v>2019</v>
      </c>
      <c r="F4653" s="8"/>
      <c r="G4653" s="8"/>
      <c r="H4653" s="8">
        <v>28</v>
      </c>
      <c r="I4653" s="8"/>
      <c r="J4653" s="8"/>
      <c r="K4653" s="8"/>
    </row>
    <row r="4654" spans="1:11" hidden="1" x14ac:dyDescent="0.25">
      <c r="A4654" t="str">
        <f>_xlfn.XLOOKUP(C4654, 'Códigos DANE Municipios'!$B$2:$B$1123, 'Códigos DANE Municipios'!$A$2:$A$1123, "No encontrado")</f>
        <v>19318</v>
      </c>
      <c r="B4654" t="str">
        <f>IFERROR(VLOOKUP(D4654,APOYO!K:L,2,FALSE),A4654)</f>
        <v>19318</v>
      </c>
      <c r="C4654" s="8" t="s">
        <v>753</v>
      </c>
      <c r="D4654" t="str">
        <f>IFERROR(VLOOKUP(C4654,APOYO!J:K,2,FALSE),C4654)</f>
        <v>GUAPÍ</v>
      </c>
      <c r="E4654" s="8">
        <v>2019</v>
      </c>
      <c r="F4654" s="8">
        <v>17295</v>
      </c>
      <c r="G4654" s="8"/>
      <c r="H4654" s="8">
        <v>5</v>
      </c>
      <c r="I4654" s="8">
        <v>4801</v>
      </c>
      <c r="J4654" s="8"/>
      <c r="K4654" s="8"/>
    </row>
    <row r="4655" spans="1:11" hidden="1" x14ac:dyDescent="0.25">
      <c r="A4655" t="str">
        <f>_xlfn.XLOOKUP(C4655, 'Códigos DANE Municipios'!$B$2:$B$1123, 'Códigos DANE Municipios'!$A$2:$A$1123, "No encontrado")</f>
        <v>70265</v>
      </c>
      <c r="B4655" t="str">
        <f>IFERROR(VLOOKUP(D4655,APOYO!K:L,2,FALSE),A4655)</f>
        <v>70265</v>
      </c>
      <c r="C4655" s="8" t="s">
        <v>1833</v>
      </c>
      <c r="D4655" t="str">
        <f>IFERROR(VLOOKUP(C4655,APOYO!J:K,2,FALSE),C4655)</f>
        <v>GUARANDA</v>
      </c>
      <c r="E4655" s="8">
        <v>2019</v>
      </c>
      <c r="F4655" s="8"/>
      <c r="G4655" s="8"/>
      <c r="H4655" s="8">
        <v>13</v>
      </c>
      <c r="I4655" s="8"/>
      <c r="J4655" s="8"/>
      <c r="K4655" s="8"/>
    </row>
    <row r="4656" spans="1:11" hidden="1" x14ac:dyDescent="0.25">
      <c r="A4656" t="str">
        <f>_xlfn.XLOOKUP(C4656, 'Códigos DANE Municipios'!$B$2:$B$1123, 'Códigos DANE Municipios'!$A$2:$A$1123, "No encontrado")</f>
        <v>05318</v>
      </c>
      <c r="B4656" t="str">
        <f>IFERROR(VLOOKUP(D4656,APOYO!K:L,2,FALSE),A4656)</f>
        <v>05318</v>
      </c>
      <c r="C4656" s="8" t="s">
        <v>120</v>
      </c>
      <c r="D4656" t="str">
        <f>IFERROR(VLOOKUP(C4656,APOYO!J:K,2,FALSE),C4656)</f>
        <v>GUARNE</v>
      </c>
      <c r="E4656" s="8">
        <v>2019</v>
      </c>
      <c r="F4656" s="8"/>
      <c r="G4656" s="8"/>
      <c r="H4656" s="8">
        <v>391</v>
      </c>
      <c r="I4656" s="8"/>
      <c r="J4656" s="8"/>
      <c r="K4656" s="8"/>
    </row>
    <row r="4657" spans="1:11" hidden="1" x14ac:dyDescent="0.25">
      <c r="A4657" t="str">
        <f>_xlfn.XLOOKUP(C4657, 'Códigos DANE Municipios'!$B$2:$B$1123, 'Códigos DANE Municipios'!$A$2:$A$1123, "No encontrado")</f>
        <v>25322</v>
      </c>
      <c r="B4657" t="str">
        <f>IFERROR(VLOOKUP(D4657,APOYO!K:L,2,FALSE),A4657)</f>
        <v>25322</v>
      </c>
      <c r="C4657" s="8" t="s">
        <v>992</v>
      </c>
      <c r="D4657" t="str">
        <f>IFERROR(VLOOKUP(C4657,APOYO!J:K,2,FALSE),C4657)</f>
        <v>GUASCA</v>
      </c>
      <c r="E4657" s="8">
        <v>2019</v>
      </c>
      <c r="F4657" s="8"/>
      <c r="G4657" s="8"/>
      <c r="H4657" s="8">
        <v>91</v>
      </c>
      <c r="I4657" s="8"/>
      <c r="J4657" s="8"/>
      <c r="K4657" s="8"/>
    </row>
    <row r="4658" spans="1:11" hidden="1" x14ac:dyDescent="0.25">
      <c r="A4658" t="str">
        <f>_xlfn.XLOOKUP(C4658, 'Códigos DANE Municipios'!$B$2:$B$1123, 'Códigos DANE Municipios'!$A$2:$A$1123, "No encontrado")</f>
        <v>05321</v>
      </c>
      <c r="B4658" t="str">
        <f>IFERROR(VLOOKUP(D4658,APOYO!K:L,2,FALSE),A4658)</f>
        <v>05321</v>
      </c>
      <c r="C4658" s="8" t="s">
        <v>122</v>
      </c>
      <c r="D4658" t="str">
        <f>IFERROR(VLOOKUP(C4658,APOYO!J:K,2,FALSE),C4658)</f>
        <v>GUATAPÉ</v>
      </c>
      <c r="E4658" s="8">
        <v>2019</v>
      </c>
      <c r="F4658" s="8"/>
      <c r="G4658" s="8"/>
      <c r="H4658" s="8">
        <v>635</v>
      </c>
      <c r="I4658" s="8"/>
      <c r="J4658" s="8"/>
      <c r="K4658" s="8"/>
    </row>
    <row r="4659" spans="1:11" hidden="1" x14ac:dyDescent="0.25">
      <c r="A4659" t="str">
        <f>_xlfn.XLOOKUP(C4659, 'Códigos DANE Municipios'!$B$2:$B$1123, 'Códigos DANE Municipios'!$A$2:$A$1123, "No encontrado")</f>
        <v>25324</v>
      </c>
      <c r="B4659" t="str">
        <f>IFERROR(VLOOKUP(D4659,APOYO!K:L,2,FALSE),A4659)</f>
        <v>25324</v>
      </c>
      <c r="C4659" t="s">
        <v>994</v>
      </c>
      <c r="D4659" t="str">
        <f>IFERROR(VLOOKUP(C4659,APOYO!J:K,2,FALSE),C4659)</f>
        <v>GUATAQUÍ</v>
      </c>
      <c r="E4659">
        <v>2019</v>
      </c>
    </row>
    <row r="4660" spans="1:11" hidden="1" x14ac:dyDescent="0.25">
      <c r="A4660" t="str">
        <f>_xlfn.XLOOKUP(C4660, 'Códigos DANE Municipios'!$B$2:$B$1123, 'Códigos DANE Municipios'!$A$2:$A$1123, "No encontrado")</f>
        <v>25326</v>
      </c>
      <c r="B4660" t="str">
        <f>IFERROR(VLOOKUP(D4660,APOYO!K:L,2,FALSE),A4660)</f>
        <v>25326</v>
      </c>
      <c r="C4660" s="8" t="s">
        <v>996</v>
      </c>
      <c r="D4660" t="str">
        <f>IFERROR(VLOOKUP(C4660,APOYO!J:K,2,FALSE),C4660)</f>
        <v>GUATAVITA</v>
      </c>
      <c r="E4660" s="8">
        <v>2019</v>
      </c>
      <c r="F4660" s="8"/>
      <c r="G4660" s="8"/>
      <c r="H4660" s="8">
        <v>54</v>
      </c>
      <c r="I4660" s="8"/>
      <c r="J4660" s="8"/>
      <c r="K4660" s="8"/>
    </row>
    <row r="4661" spans="1:11" hidden="1" x14ac:dyDescent="0.25">
      <c r="A4661" t="str">
        <f>_xlfn.XLOOKUP(C4661, 'Códigos DANE Municipios'!$B$2:$B$1123, 'Códigos DANE Municipios'!$A$2:$A$1123, "No encontrado")</f>
        <v>15322</v>
      </c>
      <c r="B4661" t="str">
        <f>IFERROR(VLOOKUP(D4661,APOYO!K:L,2,FALSE),A4661)</f>
        <v>15322</v>
      </c>
      <c r="C4661" s="8" t="s">
        <v>479</v>
      </c>
      <c r="D4661" t="str">
        <f>IFERROR(VLOOKUP(C4661,APOYO!J:K,2,FALSE),C4661)</f>
        <v>GUATEQUE</v>
      </c>
      <c r="E4661" s="8">
        <v>2019</v>
      </c>
      <c r="F4661" s="8"/>
      <c r="G4661" s="8"/>
      <c r="H4661" s="8">
        <v>15</v>
      </c>
      <c r="I4661" s="8"/>
      <c r="J4661" s="8"/>
      <c r="K4661" s="8"/>
    </row>
    <row r="4662" spans="1:11" hidden="1" x14ac:dyDescent="0.25">
      <c r="A4662" t="str">
        <f>_xlfn.XLOOKUP(C4662, 'Códigos DANE Municipios'!$B$2:$B$1123, 'Códigos DANE Municipios'!$A$2:$A$1123, "No encontrado")</f>
        <v>66318</v>
      </c>
      <c r="B4662" t="str">
        <f>IFERROR(VLOOKUP(D4662,APOYO!K:L,2,FALSE),A4662)</f>
        <v>66318</v>
      </c>
      <c r="C4662" s="8" t="s">
        <v>1637</v>
      </c>
      <c r="D4662" t="str">
        <f>IFERROR(VLOOKUP(C4662,APOYO!J:K,2,FALSE),C4662)</f>
        <v>GUÁTICA</v>
      </c>
      <c r="E4662" s="8">
        <v>2019</v>
      </c>
      <c r="F4662" s="8"/>
      <c r="G4662" s="8"/>
      <c r="H4662" s="8">
        <v>5</v>
      </c>
      <c r="I4662" s="8"/>
      <c r="J4662" s="8"/>
      <c r="K4662" s="8"/>
    </row>
    <row r="4663" spans="1:11" hidden="1" x14ac:dyDescent="0.25">
      <c r="A4663" t="str">
        <f>_xlfn.XLOOKUP(C4663, 'Códigos DANE Municipios'!$B$2:$B$1123, 'Códigos DANE Municipios'!$A$2:$A$1123, "No encontrado")</f>
        <v>25335</v>
      </c>
      <c r="B4663" t="str">
        <f>IFERROR(VLOOKUP(D4663,APOYO!K:L,2,FALSE),A4663)</f>
        <v>25335</v>
      </c>
      <c r="C4663" s="8" t="s">
        <v>1000</v>
      </c>
      <c r="D4663" t="str">
        <f>IFERROR(VLOOKUP(C4663,APOYO!J:K,2,FALSE),C4663)</f>
        <v>GUAYABETAL</v>
      </c>
      <c r="E4663" s="8">
        <v>2019</v>
      </c>
      <c r="F4663" s="8"/>
      <c r="G4663" s="8"/>
      <c r="H4663" s="8">
        <v>2</v>
      </c>
      <c r="I4663" s="8"/>
      <c r="J4663" s="8"/>
      <c r="K4663" s="8"/>
    </row>
    <row r="4664" spans="1:11" hidden="1" x14ac:dyDescent="0.25">
      <c r="A4664" t="str">
        <f>_xlfn.XLOOKUP(C4664, 'Códigos DANE Municipios'!$B$2:$B$1123, 'Códigos DANE Municipios'!$A$2:$A$1123, "No encontrado")</f>
        <v>15325</v>
      </c>
      <c r="B4664" t="str">
        <f>IFERROR(VLOOKUP(D4664,APOYO!K:L,2,FALSE),A4664)</f>
        <v>15325</v>
      </c>
      <c r="C4664" s="8" t="s">
        <v>481</v>
      </c>
      <c r="D4664" t="str">
        <f>IFERROR(VLOOKUP(C4664,APOYO!J:K,2,FALSE),C4664)</f>
        <v>GUAYATÁ</v>
      </c>
      <c r="E4664" s="8">
        <v>2019</v>
      </c>
      <c r="F4664" s="8"/>
      <c r="G4664" s="8"/>
      <c r="H4664" s="8">
        <v>1</v>
      </c>
      <c r="I4664" s="8"/>
      <c r="J4664" s="8"/>
      <c r="K4664" s="8"/>
    </row>
    <row r="4665" spans="1:11" hidden="1" x14ac:dyDescent="0.25">
      <c r="A4665" t="str">
        <f>_xlfn.XLOOKUP(C4665, 'Códigos DANE Municipios'!$B$2:$B$1123, 'Códigos DANE Municipios'!$A$2:$A$1123, "No encontrado")</f>
        <v>68327</v>
      </c>
      <c r="B4665" t="str">
        <f>IFERROR(VLOOKUP(D4665,APOYO!K:L,2,FALSE),A4665)</f>
        <v>68327</v>
      </c>
      <c r="C4665" s="8" t="s">
        <v>1727</v>
      </c>
      <c r="D4665" t="str">
        <f>IFERROR(VLOOKUP(C4665,APOYO!J:K,2,FALSE),C4665)</f>
        <v>GÜEPSA</v>
      </c>
      <c r="E4665" s="8">
        <v>2019</v>
      </c>
      <c r="F4665" s="8"/>
      <c r="G4665" s="8"/>
      <c r="H4665" s="8">
        <v>7</v>
      </c>
      <c r="I4665" s="8"/>
      <c r="J4665" s="8"/>
      <c r="K4665" s="8"/>
    </row>
    <row r="4666" spans="1:11" hidden="1" x14ac:dyDescent="0.25">
      <c r="A4666" t="str">
        <f>_xlfn.XLOOKUP(C4666, 'Códigos DANE Municipios'!$B$2:$B$1123, 'Códigos DANE Municipios'!$A$2:$A$1123, "No encontrado")</f>
        <v>15332</v>
      </c>
      <c r="B4666" t="str">
        <f>IFERROR(VLOOKUP(D4666,APOYO!K:L,2,FALSE),A4666)</f>
        <v>15332</v>
      </c>
      <c r="C4666" t="s">
        <v>483</v>
      </c>
      <c r="D4666" t="str">
        <f>IFERROR(VLOOKUP(C4666,APOYO!J:K,2,FALSE),C4666)</f>
        <v>GÜICÁN</v>
      </c>
      <c r="E4666">
        <v>2019</v>
      </c>
      <c r="H4666">
        <v>4</v>
      </c>
    </row>
    <row r="4667" spans="1:11" hidden="1" x14ac:dyDescent="0.25">
      <c r="A4667" t="str">
        <f>_xlfn.XLOOKUP(C4667, 'Códigos DANE Municipios'!$B$2:$B$1123, 'Códigos DANE Municipios'!$A$2:$A$1123, "No encontrado")</f>
        <v>85125</v>
      </c>
      <c r="B4667" t="str">
        <f>IFERROR(VLOOKUP(D4667,APOYO!K:L,2,FALSE),A4667)</f>
        <v>85125</v>
      </c>
      <c r="C4667" s="8" t="s">
        <v>2054</v>
      </c>
      <c r="D4667" t="str">
        <f>IFERROR(VLOOKUP(C4667,APOYO!J:K,2,FALSE),C4667)</f>
        <v>HATO COROZAL</v>
      </c>
      <c r="E4667" s="8">
        <v>2019</v>
      </c>
      <c r="F4667" s="8"/>
      <c r="G4667" s="8"/>
      <c r="H4667" s="8">
        <v>28</v>
      </c>
      <c r="I4667" s="8"/>
      <c r="J4667" s="8"/>
      <c r="K4667" s="8"/>
    </row>
    <row r="4668" spans="1:11" hidden="1" x14ac:dyDescent="0.25">
      <c r="A4668" t="str">
        <f>_xlfn.XLOOKUP(C4668, 'Códigos DANE Municipios'!$B$2:$B$1123, 'Códigos DANE Municipios'!$A$2:$A$1123, "No encontrado")</f>
        <v>05347</v>
      </c>
      <c r="B4668" t="str">
        <f>IFERROR(VLOOKUP(D4668,APOYO!K:L,2,FALSE),A4668)</f>
        <v>05347</v>
      </c>
      <c r="C4668" s="8" t="s">
        <v>124</v>
      </c>
      <c r="D4668" t="str">
        <f>IFERROR(VLOOKUP(C4668,APOYO!J:K,2,FALSE),C4668)</f>
        <v>HELICONIA</v>
      </c>
      <c r="E4668" s="8">
        <v>2019</v>
      </c>
      <c r="F4668" s="8"/>
      <c r="G4668" s="8"/>
      <c r="H4668" s="8"/>
      <c r="I4668" s="8"/>
      <c r="J4668" s="8"/>
      <c r="K4668" s="8"/>
    </row>
    <row r="4669" spans="1:11" hidden="1" x14ac:dyDescent="0.25">
      <c r="A4669" t="str">
        <f>_xlfn.XLOOKUP(C4669, 'Códigos DANE Municipios'!$B$2:$B$1123, 'Códigos DANE Municipios'!$A$2:$A$1123, "No encontrado")</f>
        <v>73347</v>
      </c>
      <c r="B4669" t="str">
        <f>IFERROR(VLOOKUP(D4669,APOYO!K:L,2,FALSE),A4669)</f>
        <v>73347</v>
      </c>
      <c r="C4669" s="8" t="s">
        <v>1905</v>
      </c>
      <c r="D4669" t="str">
        <f>IFERROR(VLOOKUP(C4669,APOYO!J:K,2,FALSE),C4669)</f>
        <v>HERVEO</v>
      </c>
      <c r="E4669" s="8">
        <v>2019</v>
      </c>
      <c r="F4669" s="8"/>
      <c r="G4669" s="8"/>
      <c r="H4669" s="8">
        <v>1</v>
      </c>
      <c r="I4669" s="8"/>
      <c r="J4669" s="8"/>
      <c r="K4669" s="8"/>
    </row>
    <row r="4670" spans="1:11" hidden="1" x14ac:dyDescent="0.25">
      <c r="A4670" t="str">
        <f>_xlfn.XLOOKUP(C4670, 'Códigos DANE Municipios'!$B$2:$B$1123, 'Códigos DANE Municipios'!$A$2:$A$1123, "No encontrado")</f>
        <v>05353</v>
      </c>
      <c r="B4670" t="str">
        <f>IFERROR(VLOOKUP(D4670,APOYO!K:L,2,FALSE),A4670)</f>
        <v>05353</v>
      </c>
      <c r="C4670" s="8" t="s">
        <v>126</v>
      </c>
      <c r="D4670" t="str">
        <f>IFERROR(VLOOKUP(C4670,APOYO!J:K,2,FALSE),C4670)</f>
        <v>HISPANIA</v>
      </c>
      <c r="E4670" s="8">
        <v>2019</v>
      </c>
      <c r="F4670" s="8"/>
      <c r="G4670" s="8"/>
      <c r="H4670" s="8">
        <v>1</v>
      </c>
      <c r="I4670" s="8"/>
      <c r="J4670" s="8"/>
      <c r="K4670" s="8"/>
    </row>
    <row r="4671" spans="1:11" hidden="1" x14ac:dyDescent="0.25">
      <c r="A4671" t="str">
        <f>_xlfn.XLOOKUP(C4671, 'Códigos DANE Municipios'!$B$2:$B$1123, 'Códigos DANE Municipios'!$A$2:$A$1123, "No encontrado")</f>
        <v>41349</v>
      </c>
      <c r="B4671" t="str">
        <f>IFERROR(VLOOKUP(D4671,APOYO!K:L,2,FALSE),A4671)</f>
        <v>41349</v>
      </c>
      <c r="C4671" s="8" t="s">
        <v>1226</v>
      </c>
      <c r="D4671" t="str">
        <f>IFERROR(VLOOKUP(C4671,APOYO!J:K,2,FALSE),C4671)</f>
        <v>HOBO</v>
      </c>
      <c r="E4671" s="8">
        <v>2019</v>
      </c>
      <c r="F4671" s="8"/>
      <c r="G4671" s="8"/>
      <c r="H4671" s="8">
        <v>1</v>
      </c>
      <c r="I4671" s="8"/>
      <c r="J4671" s="8"/>
      <c r="K4671" s="8"/>
    </row>
    <row r="4672" spans="1:11" hidden="1" x14ac:dyDescent="0.25">
      <c r="A4672" t="str">
        <f>_xlfn.XLOOKUP(C4672, 'Códigos DANE Municipios'!$B$2:$B$1123, 'Códigos DANE Municipios'!$A$2:$A$1123, "No encontrado")</f>
        <v>73349</v>
      </c>
      <c r="B4672" t="str">
        <f>IFERROR(VLOOKUP(D4672,APOYO!K:L,2,FALSE),A4672)</f>
        <v>73349</v>
      </c>
      <c r="C4672" s="8" t="s">
        <v>1907</v>
      </c>
      <c r="D4672" t="str">
        <f>IFERROR(VLOOKUP(C4672,APOYO!J:K,2,FALSE),C4672)</f>
        <v>HONDA</v>
      </c>
      <c r="E4672" s="8">
        <v>2019</v>
      </c>
      <c r="F4672" s="8"/>
      <c r="G4672" s="8"/>
      <c r="H4672" s="8">
        <v>83</v>
      </c>
      <c r="I4672" s="8"/>
      <c r="J4672" s="8"/>
      <c r="K4672" s="8"/>
    </row>
    <row r="4673" spans="1:11" hidden="1" x14ac:dyDescent="0.25">
      <c r="A4673" t="str">
        <f>_xlfn.XLOOKUP(C4673, 'Códigos DANE Municipios'!$B$2:$B$1123, 'Códigos DANE Municipios'!$A$2:$A$1123, "No encontrado")</f>
        <v>73001</v>
      </c>
      <c r="B4673" t="str">
        <f>IFERROR(VLOOKUP(D4673,APOYO!K:L,2,FALSE),A4673)</f>
        <v>73001</v>
      </c>
      <c r="C4673" s="8" t="s">
        <v>1865</v>
      </c>
      <c r="D4673" t="str">
        <f>IFERROR(VLOOKUP(C4673,APOYO!J:K,2,FALSE),C4673)</f>
        <v>IBAGUÉ</v>
      </c>
      <c r="E4673" s="8">
        <v>2019</v>
      </c>
      <c r="F4673" s="8">
        <v>68665</v>
      </c>
      <c r="G4673" s="8">
        <v>1094</v>
      </c>
      <c r="H4673" s="8">
        <v>5152</v>
      </c>
      <c r="I4673" s="8">
        <v>45288</v>
      </c>
      <c r="J4673" s="8"/>
      <c r="K4673" s="8"/>
    </row>
    <row r="4674" spans="1:11" hidden="1" x14ac:dyDescent="0.25">
      <c r="A4674" t="str">
        <f>_xlfn.XLOOKUP(C4674, 'Códigos DANE Municipios'!$B$2:$B$1123, 'Códigos DANE Municipios'!$A$2:$A$1123, "No encontrado")</f>
        <v>73352</v>
      </c>
      <c r="B4674" t="str">
        <f>IFERROR(VLOOKUP(D4674,APOYO!K:L,2,FALSE),A4674)</f>
        <v>73352</v>
      </c>
      <c r="C4674" s="8" t="s">
        <v>1909</v>
      </c>
      <c r="D4674" t="str">
        <f>IFERROR(VLOOKUP(C4674,APOYO!J:K,2,FALSE),C4674)</f>
        <v>ICONONZO</v>
      </c>
      <c r="E4674" s="8">
        <v>2019</v>
      </c>
      <c r="F4674" s="8"/>
      <c r="G4674" s="8"/>
      <c r="H4674" s="8">
        <v>13</v>
      </c>
      <c r="I4674" s="8"/>
      <c r="J4674" s="8"/>
      <c r="K4674" s="8"/>
    </row>
    <row r="4675" spans="1:11" hidden="1" x14ac:dyDescent="0.25">
      <c r="A4675" t="str">
        <f>_xlfn.XLOOKUP(C4675, 'Códigos DANE Municipios'!$B$2:$B$1123, 'Códigos DANE Municipios'!$A$2:$A$1123, "No encontrado")</f>
        <v>41357</v>
      </c>
      <c r="B4675" t="str">
        <f>IFERROR(VLOOKUP(D4675,APOYO!K:L,2,FALSE),A4675)</f>
        <v>41357</v>
      </c>
      <c r="C4675" t="s">
        <v>1228</v>
      </c>
      <c r="D4675" t="str">
        <f>IFERROR(VLOOKUP(C4675,APOYO!J:K,2,FALSE),C4675)</f>
        <v>ÍQUIRA</v>
      </c>
      <c r="E4675">
        <v>2019</v>
      </c>
      <c r="H4675">
        <v>3</v>
      </c>
    </row>
    <row r="4676" spans="1:11" hidden="1" x14ac:dyDescent="0.25">
      <c r="A4676" t="str">
        <f>_xlfn.XLOOKUP(C4676, 'Códigos DANE Municipios'!$B$2:$B$1123, 'Códigos DANE Municipios'!$A$2:$A$1123, "No encontrado")</f>
        <v>52352</v>
      </c>
      <c r="B4676" t="str">
        <f>IFERROR(VLOOKUP(D4676,APOYO!K:L,2,FALSE),A4676)</f>
        <v>52352</v>
      </c>
      <c r="C4676" s="8" t="s">
        <v>1458</v>
      </c>
      <c r="D4676" t="str">
        <f>IFERROR(VLOOKUP(C4676,APOYO!J:K,2,FALSE),C4676)</f>
        <v>ILES</v>
      </c>
      <c r="E4676" s="8">
        <v>2019</v>
      </c>
      <c r="F4676" s="8"/>
      <c r="G4676" s="8"/>
      <c r="H4676" s="8">
        <v>2</v>
      </c>
      <c r="I4676" s="8"/>
      <c r="J4676" s="8"/>
      <c r="K4676" s="8"/>
    </row>
    <row r="4677" spans="1:11" hidden="1" x14ac:dyDescent="0.25">
      <c r="A4677" t="str">
        <f>_xlfn.XLOOKUP(C4677, 'Códigos DANE Municipios'!$B$2:$B$1123, 'Códigos DANE Municipios'!$A$2:$A$1123, "No encontrado")</f>
        <v>19355</v>
      </c>
      <c r="B4677" t="str">
        <f>IFERROR(VLOOKUP(D4677,APOYO!K:L,2,FALSE),A4677)</f>
        <v>19355</v>
      </c>
      <c r="C4677" s="8" t="s">
        <v>755</v>
      </c>
      <c r="D4677" t="str">
        <f>IFERROR(VLOOKUP(C4677,APOYO!J:K,2,FALSE),C4677)</f>
        <v>INZÁ</v>
      </c>
      <c r="E4677" s="8">
        <v>2019</v>
      </c>
      <c r="F4677" s="8"/>
      <c r="G4677" s="8"/>
      <c r="H4677" s="8">
        <v>7</v>
      </c>
      <c r="I4677" s="8"/>
      <c r="J4677" s="8"/>
      <c r="K4677" s="8"/>
    </row>
    <row r="4678" spans="1:11" hidden="1" x14ac:dyDescent="0.25">
      <c r="A4678" t="str">
        <f>_xlfn.XLOOKUP(C4678, 'Códigos DANE Municipios'!$B$2:$B$1123, 'Códigos DANE Municipios'!$A$2:$A$1123, "No encontrado")</f>
        <v>52356</v>
      </c>
      <c r="B4678" t="str">
        <f>IFERROR(VLOOKUP(D4678,APOYO!K:L,2,FALSE),A4678)</f>
        <v>52356</v>
      </c>
      <c r="C4678" s="8" t="s">
        <v>1462</v>
      </c>
      <c r="D4678" t="str">
        <f>IFERROR(VLOOKUP(C4678,APOYO!J:K,2,FALSE),C4678)</f>
        <v>IPIALES</v>
      </c>
      <c r="E4678" s="8">
        <v>2019</v>
      </c>
      <c r="F4678" s="8"/>
      <c r="G4678" s="8"/>
      <c r="H4678" s="8">
        <v>6861</v>
      </c>
      <c r="I4678" s="8"/>
      <c r="J4678" s="8"/>
      <c r="K4678" s="8"/>
    </row>
    <row r="4679" spans="1:11" hidden="1" x14ac:dyDescent="0.25">
      <c r="A4679" t="str">
        <f>_xlfn.XLOOKUP(C4679, 'Códigos DANE Municipios'!$B$2:$B$1123, 'Códigos DANE Municipios'!$A$2:$A$1123, "No encontrado")</f>
        <v>27361</v>
      </c>
      <c r="B4679" t="str">
        <f>IFERROR(VLOOKUP(D4679,APOYO!K:L,2,FALSE),A4679)</f>
        <v>27361</v>
      </c>
      <c r="C4679" s="8" t="s">
        <v>1170</v>
      </c>
      <c r="D4679" t="str">
        <f>IFERROR(VLOOKUP(C4679,APOYO!J:K,2,FALSE),C4679)</f>
        <v>ISTMINA</v>
      </c>
      <c r="E4679" s="8">
        <v>2019</v>
      </c>
      <c r="F4679" s="8"/>
      <c r="G4679" s="8"/>
      <c r="H4679" s="8">
        <v>14</v>
      </c>
      <c r="I4679" s="8"/>
      <c r="J4679" s="8"/>
      <c r="K4679" s="8"/>
    </row>
    <row r="4680" spans="1:11" hidden="1" x14ac:dyDescent="0.25">
      <c r="A4680" t="str">
        <f>_xlfn.XLOOKUP(C4680, 'Códigos DANE Municipios'!$B$2:$B$1123, 'Códigos DANE Municipios'!$A$2:$A$1123, "No encontrado")</f>
        <v>05360</v>
      </c>
      <c r="B4680" t="str">
        <f>IFERROR(VLOOKUP(D4680,APOYO!K:L,2,FALSE),A4680)</f>
        <v>05360</v>
      </c>
      <c r="C4680" s="8" t="s">
        <v>128</v>
      </c>
      <c r="D4680" t="str">
        <f>IFERROR(VLOOKUP(C4680,APOYO!J:K,2,FALSE),C4680)</f>
        <v>ITAGÜÍ</v>
      </c>
      <c r="E4680" s="8">
        <v>2019</v>
      </c>
      <c r="F4680" s="8"/>
      <c r="G4680" s="8"/>
      <c r="H4680" s="8">
        <v>1446</v>
      </c>
      <c r="I4680" s="8"/>
      <c r="J4680" s="8"/>
      <c r="K4680" s="8"/>
    </row>
    <row r="4681" spans="1:11" hidden="1" x14ac:dyDescent="0.25">
      <c r="A4681" t="str">
        <f>_xlfn.XLOOKUP(C4681, 'Códigos DANE Municipios'!$B$2:$B$1123, 'Códigos DANE Municipios'!$A$2:$A$1123, "No encontrado")</f>
        <v>05361</v>
      </c>
      <c r="B4681" t="str">
        <f>IFERROR(VLOOKUP(D4681,APOYO!K:L,2,FALSE),A4681)</f>
        <v>05361</v>
      </c>
      <c r="C4681" s="8" t="s">
        <v>130</v>
      </c>
      <c r="D4681" t="str">
        <f>IFERROR(VLOOKUP(C4681,APOYO!J:K,2,FALSE),C4681)</f>
        <v>ITUANGO</v>
      </c>
      <c r="E4681" s="8">
        <v>2019</v>
      </c>
      <c r="F4681" s="8">
        <v>302</v>
      </c>
      <c r="G4681" s="8"/>
      <c r="H4681" s="8">
        <v>29</v>
      </c>
      <c r="I4681" s="8"/>
      <c r="J4681" s="8"/>
      <c r="K4681" s="8"/>
    </row>
    <row r="4682" spans="1:11" hidden="1" x14ac:dyDescent="0.25">
      <c r="A4682" t="str">
        <f>_xlfn.XLOOKUP(C4682, 'Códigos DANE Municipios'!$B$2:$B$1123, 'Códigos DANE Municipios'!$A$2:$A$1123, "No encontrado")</f>
        <v>15362</v>
      </c>
      <c r="B4682" t="str">
        <f>IFERROR(VLOOKUP(D4682,APOYO!K:L,2,FALSE),A4682)</f>
        <v>15362</v>
      </c>
      <c r="C4682" s="8" t="s">
        <v>485</v>
      </c>
      <c r="D4682" t="str">
        <f>IFERROR(VLOOKUP(C4682,APOYO!J:K,2,FALSE),C4682)</f>
        <v>IZA</v>
      </c>
      <c r="E4682" s="8">
        <v>2019</v>
      </c>
      <c r="F4682" s="8"/>
      <c r="G4682" s="8"/>
      <c r="H4682" s="8">
        <v>4</v>
      </c>
      <c r="I4682" s="8"/>
      <c r="J4682" s="8"/>
      <c r="K4682" s="8"/>
    </row>
    <row r="4683" spans="1:11" hidden="1" x14ac:dyDescent="0.25">
      <c r="A4683" t="str">
        <f>_xlfn.XLOOKUP(C4683, 'Códigos DANE Municipios'!$B$2:$B$1123, 'Códigos DANE Municipios'!$A$2:$A$1123, "No encontrado")</f>
        <v>76364</v>
      </c>
      <c r="B4683" t="str">
        <f>IFERROR(VLOOKUP(D4683,APOYO!K:L,2,FALSE),A4683)</f>
        <v>76364</v>
      </c>
      <c r="C4683" s="8" t="s">
        <v>1996</v>
      </c>
      <c r="D4683" t="str">
        <f>IFERROR(VLOOKUP(C4683,APOYO!J:K,2,FALSE),C4683)</f>
        <v>JAMUNDÍ</v>
      </c>
      <c r="E4683" s="8">
        <v>2019</v>
      </c>
      <c r="F4683" s="8"/>
      <c r="G4683" s="8"/>
      <c r="H4683" s="8">
        <v>1182</v>
      </c>
      <c r="I4683" s="8"/>
      <c r="J4683" s="8"/>
      <c r="K4683" s="8"/>
    </row>
    <row r="4684" spans="1:11" hidden="1" x14ac:dyDescent="0.25">
      <c r="A4684" t="str">
        <f>_xlfn.XLOOKUP(C4684, 'Códigos DANE Municipios'!$B$2:$B$1123, 'Códigos DANE Municipios'!$A$2:$A$1123, "No encontrado")</f>
        <v>05364</v>
      </c>
      <c r="B4684" t="str">
        <f>IFERROR(VLOOKUP(D4684,APOYO!K:L,2,FALSE),A4684)</f>
        <v>05364</v>
      </c>
      <c r="C4684" s="8" t="s">
        <v>132</v>
      </c>
      <c r="D4684" t="str">
        <f>IFERROR(VLOOKUP(C4684,APOYO!J:K,2,FALSE),C4684)</f>
        <v>JARDÍN</v>
      </c>
      <c r="E4684" s="8">
        <v>2019</v>
      </c>
      <c r="F4684" s="8"/>
      <c r="G4684" s="8"/>
      <c r="H4684" s="8">
        <v>100</v>
      </c>
      <c r="I4684" s="8"/>
      <c r="J4684" s="8"/>
      <c r="K4684" s="8"/>
    </row>
    <row r="4685" spans="1:11" hidden="1" x14ac:dyDescent="0.25">
      <c r="A4685" t="str">
        <f>_xlfn.XLOOKUP(C4685, 'Códigos DANE Municipios'!$B$2:$B$1123, 'Códigos DANE Municipios'!$A$2:$A$1123, "No encontrado")</f>
        <v>15367</v>
      </c>
      <c r="B4685" t="str">
        <f>IFERROR(VLOOKUP(D4685,APOYO!K:L,2,FALSE),A4685)</f>
        <v>15367</v>
      </c>
      <c r="C4685" s="8" t="s">
        <v>487</v>
      </c>
      <c r="D4685" t="str">
        <f>IFERROR(VLOOKUP(C4685,APOYO!J:K,2,FALSE),C4685)</f>
        <v>JENESANO</v>
      </c>
      <c r="E4685" s="8">
        <v>2019</v>
      </c>
      <c r="F4685" s="8"/>
      <c r="G4685" s="8"/>
      <c r="H4685" s="8">
        <v>2</v>
      </c>
      <c r="I4685" s="8"/>
      <c r="J4685" s="8"/>
      <c r="K4685" s="8"/>
    </row>
    <row r="4686" spans="1:11" hidden="1" x14ac:dyDescent="0.25">
      <c r="A4686" t="str">
        <f>_xlfn.XLOOKUP(C4686, 'Códigos DANE Municipios'!$B$2:$B$1123, 'Códigos DANE Municipios'!$A$2:$A$1123, "No encontrado")</f>
        <v>05368</v>
      </c>
      <c r="B4686" t="str">
        <f>IFERROR(VLOOKUP(D4686,APOYO!K:L,2,FALSE),A4686)</f>
        <v>05368</v>
      </c>
      <c r="C4686" s="8" t="s">
        <v>134</v>
      </c>
      <c r="D4686" t="str">
        <f>IFERROR(VLOOKUP(C4686,APOYO!J:K,2,FALSE),C4686)</f>
        <v>JERICÓ</v>
      </c>
      <c r="E4686" s="8">
        <v>2019</v>
      </c>
      <c r="F4686" s="8"/>
      <c r="G4686" s="8"/>
      <c r="H4686" s="8">
        <v>67</v>
      </c>
      <c r="I4686" s="8"/>
      <c r="J4686" s="8"/>
      <c r="K4686" s="8"/>
    </row>
    <row r="4687" spans="1:11" hidden="1" x14ac:dyDescent="0.25">
      <c r="A4687" t="str">
        <f>_xlfn.XLOOKUP(C4687, 'Códigos DANE Municipios'!$B$2:$B$1123, 'Códigos DANE Municipios'!$A$2:$A$1123, "No encontrado")</f>
        <v>08372</v>
      </c>
      <c r="B4687" t="str">
        <f>IFERROR(VLOOKUP(D4687,APOYO!K:L,2,FALSE),A4687)</f>
        <v>08372</v>
      </c>
      <c r="C4687" s="8" t="s">
        <v>272</v>
      </c>
      <c r="D4687" t="str">
        <f>IFERROR(VLOOKUP(C4687,APOYO!J:K,2,FALSE),C4687)</f>
        <v>JUAN DE ACOSTA</v>
      </c>
      <c r="E4687" s="8">
        <v>2019</v>
      </c>
      <c r="F4687" s="8"/>
      <c r="G4687" s="8"/>
      <c r="H4687" s="8">
        <v>36</v>
      </c>
      <c r="I4687" s="8"/>
      <c r="J4687" s="8"/>
      <c r="K4687" s="8"/>
    </row>
    <row r="4688" spans="1:11" hidden="1" x14ac:dyDescent="0.25">
      <c r="A4688" t="str">
        <f>_xlfn.XLOOKUP(C4688, 'Códigos DANE Municipios'!$B$2:$B$1123, 'Códigos DANE Municipios'!$A$2:$A$1123, "No encontrado")</f>
        <v>25372</v>
      </c>
      <c r="B4688" t="str">
        <f>IFERROR(VLOOKUP(D4688,APOYO!K:L,2,FALSE),A4688)</f>
        <v>25372</v>
      </c>
      <c r="C4688" t="s">
        <v>1006</v>
      </c>
      <c r="D4688" t="str">
        <f>IFERROR(VLOOKUP(C4688,APOYO!J:K,2,FALSE),C4688)</f>
        <v>JUNÍN</v>
      </c>
      <c r="E4688">
        <v>2019</v>
      </c>
      <c r="H4688">
        <v>1</v>
      </c>
    </row>
    <row r="4689" spans="1:11" hidden="1" x14ac:dyDescent="0.25">
      <c r="A4689" t="str">
        <f>_xlfn.XLOOKUP(C4689, 'Códigos DANE Municipios'!$B$2:$B$1123, 'Códigos DANE Municipios'!$A$2:$A$1123, "No encontrado")</f>
        <v>27372</v>
      </c>
      <c r="B4689" t="str">
        <f>IFERROR(VLOOKUP(D4689,APOYO!K:L,2,FALSE),A4689)</f>
        <v>27372</v>
      </c>
      <c r="C4689" s="8" t="s">
        <v>1172</v>
      </c>
      <c r="D4689" t="str">
        <f>IFERROR(VLOOKUP(C4689,APOYO!J:K,2,FALSE),C4689)</f>
        <v>JURADÓ</v>
      </c>
      <c r="E4689" s="8">
        <v>2019</v>
      </c>
      <c r="F4689" s="8">
        <v>305</v>
      </c>
      <c r="G4689" s="8"/>
      <c r="H4689" s="8">
        <v>75</v>
      </c>
      <c r="I4689" s="8"/>
      <c r="J4689" s="8"/>
      <c r="K4689" s="8"/>
    </row>
    <row r="4690" spans="1:11" hidden="1" x14ac:dyDescent="0.25">
      <c r="A4690" t="str">
        <f>_xlfn.XLOOKUP(C4690, 'Códigos DANE Municipios'!$B$2:$B$1123, 'Códigos DANE Municipios'!$A$2:$A$1123, "No encontrado")</f>
        <v>23350</v>
      </c>
      <c r="B4690" t="str">
        <f>IFERROR(VLOOKUP(D4690,APOYO!K:L,2,FALSE),A4690)</f>
        <v>23350</v>
      </c>
      <c r="C4690" s="8" t="s">
        <v>875</v>
      </c>
      <c r="D4690" t="str">
        <f>IFERROR(VLOOKUP(C4690,APOYO!J:K,2,FALSE),C4690)</f>
        <v>LA APARTADA</v>
      </c>
      <c r="E4690" s="8">
        <v>2019</v>
      </c>
      <c r="F4690" s="8"/>
      <c r="G4690" s="8"/>
      <c r="H4690" s="8">
        <v>5</v>
      </c>
      <c r="I4690" s="8"/>
      <c r="J4690" s="8"/>
      <c r="K4690" s="8"/>
    </row>
    <row r="4691" spans="1:11" hidden="1" x14ac:dyDescent="0.25">
      <c r="A4691" t="str">
        <f>_xlfn.XLOOKUP(C4691, 'Códigos DANE Municipios'!$B$2:$B$1123, 'Códigos DANE Municipios'!$A$2:$A$1123, "No encontrado")</f>
        <v>41378</v>
      </c>
      <c r="B4691" t="str">
        <f>IFERROR(VLOOKUP(D4691,APOYO!K:L,2,FALSE),A4691)</f>
        <v>41378</v>
      </c>
      <c r="C4691" s="8" t="s">
        <v>1232</v>
      </c>
      <c r="D4691" t="str">
        <f>IFERROR(VLOOKUP(C4691,APOYO!J:K,2,FALSE),C4691)</f>
        <v>LA ARGENTINA</v>
      </c>
      <c r="E4691" s="8">
        <v>2019</v>
      </c>
      <c r="F4691" s="8"/>
      <c r="G4691" s="8"/>
      <c r="H4691" s="8">
        <v>11</v>
      </c>
      <c r="I4691" s="8"/>
      <c r="J4691" s="8"/>
      <c r="K4691" s="8"/>
    </row>
    <row r="4692" spans="1:11" hidden="1" x14ac:dyDescent="0.25">
      <c r="A4692" t="str">
        <f>_xlfn.XLOOKUP(C4692, 'Códigos DANE Municipios'!$B$2:$B$1123, 'Códigos DANE Municipios'!$A$2:$A$1123, "No encontrado")</f>
        <v>25377</v>
      </c>
      <c r="B4692" t="str">
        <f>IFERROR(VLOOKUP(D4692,APOYO!K:L,2,FALSE),A4692)</f>
        <v>25377</v>
      </c>
      <c r="C4692" s="8" t="s">
        <v>1008</v>
      </c>
      <c r="D4692" t="str">
        <f>IFERROR(VLOOKUP(C4692,APOYO!J:K,2,FALSE),C4692)</f>
        <v>LA CALERA</v>
      </c>
      <c r="E4692" s="8">
        <v>2019</v>
      </c>
      <c r="F4692" s="8"/>
      <c r="G4692" s="8"/>
      <c r="H4692" s="8">
        <v>309</v>
      </c>
      <c r="I4692" s="8"/>
      <c r="J4692" s="8"/>
      <c r="K4692" s="8"/>
    </row>
    <row r="4693" spans="1:11" hidden="1" x14ac:dyDescent="0.25">
      <c r="A4693" t="str">
        <f>_xlfn.XLOOKUP(C4693, 'Códigos DANE Municipios'!$B$2:$B$1123, 'Códigos DANE Municipios'!$A$2:$A$1123, "No encontrado")</f>
        <v>05376</v>
      </c>
      <c r="B4693" t="str">
        <f>IFERROR(VLOOKUP(D4693,APOYO!K:L,2,FALSE),A4693)</f>
        <v>05376</v>
      </c>
      <c r="C4693" s="8" t="s">
        <v>136</v>
      </c>
      <c r="D4693" t="str">
        <f>IFERROR(VLOOKUP(C4693,APOYO!J:K,2,FALSE),C4693)</f>
        <v>LA CEJA</v>
      </c>
      <c r="E4693" s="8">
        <v>2019</v>
      </c>
      <c r="F4693" s="8"/>
      <c r="G4693" s="8"/>
      <c r="H4693" s="8">
        <v>566</v>
      </c>
      <c r="I4693" s="8"/>
      <c r="J4693" s="8"/>
      <c r="K4693" s="8"/>
    </row>
    <row r="4694" spans="1:11" hidden="1" x14ac:dyDescent="0.25">
      <c r="A4694" t="str">
        <f>_xlfn.XLOOKUP(C4694, 'Códigos DANE Municipios'!$B$2:$B$1123, 'Códigos DANE Municipios'!$A$2:$A$1123, "No encontrado")</f>
        <v>66383</v>
      </c>
      <c r="B4694" t="str">
        <f>IFERROR(VLOOKUP(D4694,APOYO!K:L,2,FALSE),A4694)</f>
        <v>66383</v>
      </c>
      <c r="C4694" s="8" t="s">
        <v>1639</v>
      </c>
      <c r="D4694" t="str">
        <f>IFERROR(VLOOKUP(C4694,APOYO!J:K,2,FALSE),C4694)</f>
        <v>LA CELIA</v>
      </c>
      <c r="E4694" s="8">
        <v>2019</v>
      </c>
      <c r="F4694" s="8"/>
      <c r="G4694" s="8"/>
      <c r="H4694" s="8">
        <v>11</v>
      </c>
      <c r="I4694" s="8"/>
      <c r="J4694" s="8"/>
      <c r="K4694" s="8"/>
    </row>
    <row r="4695" spans="1:11" hidden="1" x14ac:dyDescent="0.25">
      <c r="A4695" t="str">
        <f>_xlfn.XLOOKUP(C4695, 'Códigos DANE Municipios'!$B$2:$B$1123, 'Códigos DANE Municipios'!$A$2:$A$1123, "No encontrado")</f>
        <v>91405</v>
      </c>
      <c r="B4695" t="str">
        <f>IFERROR(VLOOKUP(D4695,APOYO!K:L,2,FALSE),A4695)</f>
        <v>91405</v>
      </c>
      <c r="C4695" s="8" t="s">
        <v>2112</v>
      </c>
      <c r="D4695" t="str">
        <f>IFERROR(VLOOKUP(C4695,APOYO!J:K,2,FALSE),C4695)</f>
        <v>LA CHORRERA</v>
      </c>
      <c r="E4695" s="8">
        <v>2019</v>
      </c>
      <c r="F4695" s="8">
        <v>856</v>
      </c>
      <c r="G4695" s="8"/>
      <c r="H4695" s="8">
        <v>3</v>
      </c>
      <c r="I4695" s="8"/>
      <c r="J4695" s="8"/>
      <c r="K4695" s="8"/>
    </row>
    <row r="4696" spans="1:11" hidden="1" x14ac:dyDescent="0.25">
      <c r="A4696" t="str">
        <f>_xlfn.XLOOKUP(C4696, 'Códigos DANE Municipios'!$B$2:$B$1123, 'Códigos DANE Municipios'!$A$2:$A$1123, "No encontrado")</f>
        <v>52378</v>
      </c>
      <c r="B4696" t="str">
        <f>IFERROR(VLOOKUP(D4696,APOYO!K:L,2,FALSE),A4696)</f>
        <v>52378</v>
      </c>
      <c r="C4696" s="8" t="s">
        <v>1464</v>
      </c>
      <c r="D4696" t="str">
        <f>IFERROR(VLOOKUP(C4696,APOYO!J:K,2,FALSE),C4696)</f>
        <v>LA CRUZ</v>
      </c>
      <c r="E4696" s="8">
        <v>2019</v>
      </c>
      <c r="F4696" s="8"/>
      <c r="G4696" s="8"/>
      <c r="H4696" s="8">
        <v>5</v>
      </c>
      <c r="I4696" s="8"/>
      <c r="J4696" s="8"/>
      <c r="K4696" s="8"/>
    </row>
    <row r="4697" spans="1:11" hidden="1" x14ac:dyDescent="0.25">
      <c r="A4697" t="str">
        <f>_xlfn.XLOOKUP(C4697, 'Códigos DANE Municipios'!$B$2:$B$1123, 'Códigos DANE Municipios'!$A$2:$A$1123, "No encontrado")</f>
        <v>76377</v>
      </c>
      <c r="B4697" t="str">
        <f>IFERROR(VLOOKUP(D4697,APOYO!K:L,2,FALSE),A4697)</f>
        <v>76377</v>
      </c>
      <c r="C4697" s="8" t="s">
        <v>1998</v>
      </c>
      <c r="D4697" t="str">
        <f>IFERROR(VLOOKUP(C4697,APOYO!J:K,2,FALSE),C4697)</f>
        <v>LA CUMBRE</v>
      </c>
      <c r="E4697" s="8">
        <v>2019</v>
      </c>
      <c r="F4697" s="8"/>
      <c r="G4697" s="8"/>
      <c r="H4697" s="8">
        <v>35</v>
      </c>
      <c r="I4697" s="8"/>
      <c r="J4697" s="8"/>
      <c r="K4697" s="8"/>
    </row>
    <row r="4698" spans="1:11" hidden="1" x14ac:dyDescent="0.25">
      <c r="A4698" t="str">
        <f>_xlfn.XLOOKUP(C4698, 'Códigos DANE Municipios'!$B$2:$B$1123, 'Códigos DANE Municipios'!$A$2:$A$1123, "No encontrado")</f>
        <v>17380</v>
      </c>
      <c r="B4698" t="str">
        <f>IFERROR(VLOOKUP(D4698,APOYO!K:L,2,FALSE),A4698)</f>
        <v>17380</v>
      </c>
      <c r="C4698" s="8" t="s">
        <v>658</v>
      </c>
      <c r="D4698" t="str">
        <f>IFERROR(VLOOKUP(C4698,APOYO!J:K,2,FALSE),C4698)</f>
        <v>LA DORADA</v>
      </c>
      <c r="E4698" s="8">
        <v>2019</v>
      </c>
      <c r="F4698" s="8"/>
      <c r="G4698" s="8"/>
      <c r="H4698" s="8">
        <v>165</v>
      </c>
      <c r="I4698" s="8"/>
      <c r="J4698" s="8"/>
      <c r="K4698" s="8"/>
    </row>
    <row r="4699" spans="1:11" hidden="1" x14ac:dyDescent="0.25">
      <c r="A4699" t="str">
        <f>_xlfn.XLOOKUP(C4699, 'Códigos DANE Municipios'!$B$2:$B$1123, 'Códigos DANE Municipios'!$A$2:$A$1123, "No encontrado")</f>
        <v>05380</v>
      </c>
      <c r="B4699" t="str">
        <f>IFERROR(VLOOKUP(D4699,APOYO!K:L,2,FALSE),A4699)</f>
        <v>05380</v>
      </c>
      <c r="C4699" s="8" t="s">
        <v>138</v>
      </c>
      <c r="D4699" t="str">
        <f>IFERROR(VLOOKUP(C4699,APOYO!J:K,2,FALSE),C4699)</f>
        <v>LA ESTRELLA</v>
      </c>
      <c r="E4699" s="8">
        <v>2019</v>
      </c>
      <c r="F4699" s="8"/>
      <c r="G4699" s="8"/>
      <c r="H4699" s="8">
        <v>282</v>
      </c>
      <c r="I4699" s="8"/>
      <c r="J4699" s="8"/>
      <c r="K4699" s="8"/>
    </row>
    <row r="4700" spans="1:11" hidden="1" x14ac:dyDescent="0.25">
      <c r="A4700" t="str">
        <f>_xlfn.XLOOKUP(C4700, 'Códigos DANE Municipios'!$B$2:$B$1123, 'Códigos DANE Municipios'!$A$2:$A$1123, "No encontrado")</f>
        <v>52381</v>
      </c>
      <c r="B4700" t="str">
        <f>IFERROR(VLOOKUP(D4700,APOYO!K:L,2,FALSE),A4700)</f>
        <v>52381</v>
      </c>
      <c r="C4700" s="8" t="s">
        <v>1466</v>
      </c>
      <c r="D4700" t="str">
        <f>IFERROR(VLOOKUP(C4700,APOYO!J:K,2,FALSE),C4700)</f>
        <v>LA FLORIDA</v>
      </c>
      <c r="E4700" s="8">
        <v>2019</v>
      </c>
      <c r="F4700" s="8"/>
      <c r="G4700" s="8"/>
      <c r="H4700" s="8"/>
      <c r="I4700" s="8"/>
      <c r="J4700" s="8"/>
      <c r="K4700" s="8"/>
    </row>
    <row r="4701" spans="1:11" hidden="1" x14ac:dyDescent="0.25">
      <c r="A4701" t="str">
        <f>_xlfn.XLOOKUP(C4701, 'Códigos DANE Municipios'!$B$2:$B$1123, 'Códigos DANE Municipios'!$A$2:$A$1123, "No encontrado")</f>
        <v>20383</v>
      </c>
      <c r="B4701" t="str">
        <f>IFERROR(VLOOKUP(D4701,APOYO!K:L,2,FALSE),A4701)</f>
        <v>20383</v>
      </c>
      <c r="C4701" s="8" t="s">
        <v>834</v>
      </c>
      <c r="D4701" t="str">
        <f>IFERROR(VLOOKUP(C4701,APOYO!J:K,2,FALSE),C4701)</f>
        <v>LA GLORIA</v>
      </c>
      <c r="E4701" s="8">
        <v>2019</v>
      </c>
      <c r="F4701" s="8"/>
      <c r="G4701" s="8"/>
      <c r="H4701" s="8">
        <v>1</v>
      </c>
      <c r="I4701" s="8"/>
      <c r="J4701" s="8"/>
      <c r="K4701" s="8"/>
    </row>
    <row r="4702" spans="1:11" hidden="1" x14ac:dyDescent="0.25">
      <c r="A4702" t="str">
        <f>_xlfn.XLOOKUP(C4702, 'Códigos DANE Municipios'!$B$2:$B$1123, 'Códigos DANE Municipios'!$A$2:$A$1123, "No encontrado")</f>
        <v>20400</v>
      </c>
      <c r="B4702" t="str">
        <f>IFERROR(VLOOKUP(D4702,APOYO!K:L,2,FALSE),A4702)</f>
        <v>20400</v>
      </c>
      <c r="C4702" s="8" t="s">
        <v>836</v>
      </c>
      <c r="D4702" t="str">
        <f>IFERROR(VLOOKUP(C4702,APOYO!J:K,2,FALSE),C4702)</f>
        <v>LA JAGUA DE IBIRICO</v>
      </c>
      <c r="E4702" s="8">
        <v>2019</v>
      </c>
      <c r="F4702" s="8">
        <v>58</v>
      </c>
      <c r="G4702" s="8"/>
      <c r="H4702" s="8">
        <v>341</v>
      </c>
      <c r="I4702" s="8"/>
      <c r="J4702" s="8"/>
      <c r="K4702" s="8"/>
    </row>
    <row r="4703" spans="1:11" hidden="1" x14ac:dyDescent="0.25">
      <c r="A4703" t="str">
        <f>_xlfn.XLOOKUP(C4703, 'Códigos DANE Municipios'!$B$2:$B$1123, 'Códigos DANE Municipios'!$A$2:$A$1123, "No encontrado")</f>
        <v>50350</v>
      </c>
      <c r="B4703" t="str">
        <f>IFERROR(VLOOKUP(D4703,APOYO!K:L,2,FALSE),A4703)</f>
        <v>50350</v>
      </c>
      <c r="C4703" s="8" t="s">
        <v>1386</v>
      </c>
      <c r="D4703" t="str">
        <f>IFERROR(VLOOKUP(C4703,APOYO!J:K,2,FALSE),C4703)</f>
        <v>LA MACARENA</v>
      </c>
      <c r="E4703" s="8">
        <v>2019</v>
      </c>
      <c r="F4703" s="8">
        <v>17772</v>
      </c>
      <c r="G4703" s="8"/>
      <c r="H4703" s="8">
        <v>35</v>
      </c>
      <c r="I4703" s="8">
        <v>9831</v>
      </c>
      <c r="J4703" s="8"/>
      <c r="K4703" s="8"/>
    </row>
    <row r="4704" spans="1:11" hidden="1" x14ac:dyDescent="0.25">
      <c r="A4704" t="str">
        <f>_xlfn.XLOOKUP(C4704, 'Códigos DANE Municipios'!$B$2:$B$1123, 'Códigos DANE Municipios'!$A$2:$A$1123, "No encontrado")</f>
        <v>17388</v>
      </c>
      <c r="B4704" t="str">
        <f>IFERROR(VLOOKUP(D4704,APOYO!K:L,2,FALSE),A4704)</f>
        <v>17388</v>
      </c>
      <c r="C4704" s="8" t="s">
        <v>660</v>
      </c>
      <c r="D4704" t="str">
        <f>IFERROR(VLOOKUP(C4704,APOYO!J:K,2,FALSE),C4704)</f>
        <v>LA MERCED</v>
      </c>
      <c r="E4704" s="8">
        <v>2019</v>
      </c>
      <c r="F4704" s="8"/>
      <c r="G4704" s="8"/>
      <c r="H4704" s="8">
        <v>14</v>
      </c>
      <c r="I4704" s="8"/>
      <c r="J4704" s="8"/>
      <c r="K4704" s="8"/>
    </row>
    <row r="4705" spans="1:11" hidden="1" x14ac:dyDescent="0.25">
      <c r="A4705" t="str">
        <f>_xlfn.XLOOKUP(C4705, 'Códigos DANE Municipios'!$B$2:$B$1123, 'Códigos DANE Municipios'!$A$2:$A$1123, "No encontrado")</f>
        <v>25386</v>
      </c>
      <c r="B4705" t="str">
        <f>IFERROR(VLOOKUP(D4705,APOYO!K:L,2,FALSE),A4705)</f>
        <v>25386</v>
      </c>
      <c r="C4705" s="8" t="s">
        <v>1010</v>
      </c>
      <c r="D4705" t="str">
        <f>IFERROR(VLOOKUP(C4705,APOYO!J:K,2,FALSE),C4705)</f>
        <v>LA MESA</v>
      </c>
      <c r="E4705" s="8">
        <v>2019</v>
      </c>
      <c r="F4705" s="8"/>
      <c r="G4705" s="8"/>
      <c r="H4705" s="8">
        <v>223</v>
      </c>
      <c r="I4705" s="8"/>
      <c r="J4705" s="8"/>
      <c r="K4705" s="8"/>
    </row>
    <row r="4706" spans="1:11" hidden="1" x14ac:dyDescent="0.25">
      <c r="A4706" t="str">
        <f>_xlfn.XLOOKUP(C4706, 'Códigos DANE Municipios'!$B$2:$B$1123, 'Códigos DANE Municipios'!$A$2:$A$1123, "No encontrado")</f>
        <v>18410</v>
      </c>
      <c r="B4706" t="str">
        <f>IFERROR(VLOOKUP(D4706,APOYO!K:L,2,FALSE),A4706)</f>
        <v>18410</v>
      </c>
      <c r="C4706" t="s">
        <v>712</v>
      </c>
      <c r="D4706" t="str">
        <f>IFERROR(VLOOKUP(C4706,APOYO!J:K,2,FALSE),C4706)</f>
        <v>LA MONTAÑITA</v>
      </c>
      <c r="E4706">
        <v>2019</v>
      </c>
      <c r="H4706">
        <v>1</v>
      </c>
    </row>
    <row r="4707" spans="1:11" hidden="1" x14ac:dyDescent="0.25">
      <c r="A4707" t="str">
        <f>_xlfn.XLOOKUP(C4707, 'Códigos DANE Municipios'!$B$2:$B$1123, 'Códigos DANE Municipios'!$A$2:$A$1123, "No encontrado")</f>
        <v>20621</v>
      </c>
      <c r="B4707" t="str">
        <f>IFERROR(VLOOKUP(D4707,APOYO!K:L,2,FALSE),A4707)</f>
        <v>20621</v>
      </c>
      <c r="C4707" s="8" t="s">
        <v>848</v>
      </c>
      <c r="D4707" t="str">
        <f>IFERROR(VLOOKUP(C4707,APOYO!J:K,2,FALSE),C4707)</f>
        <v>LA PAZ</v>
      </c>
      <c r="E4707" s="8">
        <v>2019</v>
      </c>
      <c r="F4707" s="8"/>
      <c r="G4707" s="8"/>
      <c r="H4707" s="8"/>
      <c r="I4707" s="8"/>
      <c r="J4707" s="8"/>
      <c r="K4707" s="8"/>
    </row>
    <row r="4708" spans="1:11" hidden="1" x14ac:dyDescent="0.25">
      <c r="A4708" t="str">
        <f>_xlfn.XLOOKUP(C4708, 'Códigos DANE Municipios'!$B$2:$B$1123, 'Códigos DANE Municipios'!$A$2:$A$1123, "No encontrado")</f>
        <v>91407</v>
      </c>
      <c r="B4708" t="str">
        <f>IFERROR(VLOOKUP(D4708,APOYO!K:L,2,FALSE),A4708)</f>
        <v>91407</v>
      </c>
      <c r="C4708" s="8" t="s">
        <v>2114</v>
      </c>
      <c r="D4708" t="str">
        <f>IFERROR(VLOOKUP(C4708,APOYO!J:K,2,FALSE),C4708)</f>
        <v>LA PEDRERA</v>
      </c>
      <c r="E4708" s="8">
        <v>2019</v>
      </c>
      <c r="F4708" s="8">
        <v>2570</v>
      </c>
      <c r="G4708" s="8"/>
      <c r="H4708" s="8">
        <v>1</v>
      </c>
      <c r="I4708" s="8"/>
      <c r="J4708" s="8"/>
      <c r="K4708" s="8"/>
    </row>
    <row r="4709" spans="1:11" hidden="1" x14ac:dyDescent="0.25">
      <c r="A4709" t="str">
        <f>_xlfn.XLOOKUP(C4709, 'Códigos DANE Municipios'!$B$2:$B$1123, 'Códigos DANE Municipios'!$A$2:$A$1123, "No encontrado")</f>
        <v>25398</v>
      </c>
      <c r="B4709" t="str">
        <f>IFERROR(VLOOKUP(D4709,APOYO!K:L,2,FALSE),A4709)</f>
        <v>25398</v>
      </c>
      <c r="C4709" s="8" t="s">
        <v>1014</v>
      </c>
      <c r="D4709" t="str">
        <f>IFERROR(VLOOKUP(C4709,APOYO!J:K,2,FALSE),C4709)</f>
        <v>LA PEÑA</v>
      </c>
      <c r="E4709" s="8">
        <v>2019</v>
      </c>
      <c r="F4709" s="8"/>
      <c r="G4709" s="8"/>
      <c r="H4709" s="8">
        <v>2</v>
      </c>
      <c r="I4709" s="8"/>
      <c r="J4709" s="8"/>
      <c r="K4709" s="8"/>
    </row>
    <row r="4710" spans="1:11" hidden="1" x14ac:dyDescent="0.25">
      <c r="A4710" t="str">
        <f>_xlfn.XLOOKUP(C4710, 'Códigos DANE Municipios'!$B$2:$B$1123, 'Códigos DANE Municipios'!$A$2:$A$1123, "No encontrado")</f>
        <v>05390</v>
      </c>
      <c r="B4710" t="str">
        <f>IFERROR(VLOOKUP(D4710,APOYO!K:L,2,FALSE),A4710)</f>
        <v>05390</v>
      </c>
      <c r="C4710" s="8" t="s">
        <v>140</v>
      </c>
      <c r="D4710" t="str">
        <f>IFERROR(VLOOKUP(C4710,APOYO!J:K,2,FALSE),C4710)</f>
        <v>LA PINTADA</v>
      </c>
      <c r="E4710" s="8">
        <v>2019</v>
      </c>
      <c r="F4710" s="8"/>
      <c r="G4710" s="8"/>
      <c r="H4710" s="8">
        <v>16</v>
      </c>
      <c r="I4710" s="8"/>
      <c r="J4710" s="8"/>
      <c r="K4710" s="8"/>
    </row>
    <row r="4711" spans="1:11" hidden="1" x14ac:dyDescent="0.25">
      <c r="A4711" t="str">
        <f>_xlfn.XLOOKUP(C4711, 'Códigos DANE Municipios'!$B$2:$B$1123, 'Códigos DANE Municipios'!$A$2:$A$1123, "No encontrado")</f>
        <v>41396</v>
      </c>
      <c r="B4711" t="str">
        <f>IFERROR(VLOOKUP(D4711,APOYO!K:L,2,FALSE),A4711)</f>
        <v>41396</v>
      </c>
      <c r="C4711" s="8" t="s">
        <v>1234</v>
      </c>
      <c r="D4711" t="str">
        <f>IFERROR(VLOOKUP(C4711,APOYO!J:K,2,FALSE),C4711)</f>
        <v>LA PLATA</v>
      </c>
      <c r="E4711" s="8">
        <v>2019</v>
      </c>
      <c r="F4711" s="8"/>
      <c r="G4711" s="8"/>
      <c r="H4711" s="8">
        <v>90</v>
      </c>
      <c r="I4711" s="8"/>
      <c r="J4711" s="8"/>
      <c r="K4711" s="8"/>
    </row>
    <row r="4712" spans="1:11" hidden="1" x14ac:dyDescent="0.25">
      <c r="A4712" t="str">
        <f>_xlfn.XLOOKUP(C4712, 'Códigos DANE Municipios'!$B$2:$B$1123, 'Códigos DANE Municipios'!$A$2:$A$1123, "No encontrado")</f>
        <v>54398</v>
      </c>
      <c r="B4712" t="str">
        <f>IFERROR(VLOOKUP(D4712,APOYO!K:L,2,FALSE),A4712)</f>
        <v>54398</v>
      </c>
      <c r="C4712" s="8" t="s">
        <v>1569</v>
      </c>
      <c r="D4712" t="str">
        <f>IFERROR(VLOOKUP(C4712,APOYO!J:K,2,FALSE),C4712)</f>
        <v>LA PLAYA</v>
      </c>
      <c r="E4712" s="8">
        <v>2019</v>
      </c>
      <c r="F4712" s="8"/>
      <c r="G4712" s="8"/>
      <c r="H4712" s="8"/>
      <c r="I4712" s="8"/>
      <c r="J4712" s="8"/>
      <c r="K4712" s="8"/>
    </row>
    <row r="4713" spans="1:11" hidden="1" x14ac:dyDescent="0.25">
      <c r="A4713" t="str">
        <f>_xlfn.XLOOKUP(C4713, 'Códigos DANE Municipios'!$B$2:$B$1123, 'Códigos DANE Municipios'!$A$2:$A$1123, "No encontrado")</f>
        <v>99524</v>
      </c>
      <c r="B4713" t="str">
        <f>IFERROR(VLOOKUP(D4713,APOYO!K:L,2,FALSE),A4713)</f>
        <v>99524</v>
      </c>
      <c r="C4713" s="8" t="s">
        <v>2165</v>
      </c>
      <c r="D4713" t="str">
        <f>IFERROR(VLOOKUP(C4713,APOYO!J:K,2,FALSE),C4713)</f>
        <v>LA PRIMAVERA</v>
      </c>
      <c r="E4713" s="8">
        <v>2019</v>
      </c>
      <c r="F4713" s="8">
        <v>2861</v>
      </c>
      <c r="G4713" s="8"/>
      <c r="H4713" s="8">
        <v>9</v>
      </c>
      <c r="I4713" s="8"/>
      <c r="J4713" s="8"/>
      <c r="K4713" s="8"/>
    </row>
    <row r="4714" spans="1:11" hidden="1" x14ac:dyDescent="0.25">
      <c r="A4714" t="str">
        <f>_xlfn.XLOOKUP(C4714, 'Códigos DANE Municipios'!$B$2:$B$1123, 'Códigos DANE Municipios'!$A$2:$A$1123, "No encontrado")</f>
        <v>19392</v>
      </c>
      <c r="B4714" t="str">
        <f>IFERROR(VLOOKUP(D4714,APOYO!K:L,2,FALSE),A4714)</f>
        <v>19392</v>
      </c>
      <c r="C4714" s="8" t="s">
        <v>759</v>
      </c>
      <c r="D4714" t="str">
        <f>IFERROR(VLOOKUP(C4714,APOYO!J:K,2,FALSE),C4714)</f>
        <v>LA SIERRA</v>
      </c>
      <c r="E4714" s="8">
        <v>2019</v>
      </c>
      <c r="F4714" s="8"/>
      <c r="G4714" s="8"/>
      <c r="H4714" s="8">
        <v>1</v>
      </c>
      <c r="I4714" s="8"/>
      <c r="J4714" s="8"/>
      <c r="K4714" s="8"/>
    </row>
    <row r="4715" spans="1:11" hidden="1" x14ac:dyDescent="0.25">
      <c r="A4715" t="str">
        <f>_xlfn.XLOOKUP(C4715, 'Códigos DANE Municipios'!$B$2:$B$1123, 'Códigos DANE Municipios'!$A$2:$A$1123, "No encontrado")</f>
        <v>63401</v>
      </c>
      <c r="B4715" t="str">
        <f>IFERROR(VLOOKUP(D4715,APOYO!K:L,2,FALSE),A4715)</f>
        <v>63401</v>
      </c>
      <c r="C4715" s="8" t="s">
        <v>1618</v>
      </c>
      <c r="D4715" t="str">
        <f>IFERROR(VLOOKUP(C4715,APOYO!J:K,2,FALSE),C4715)</f>
        <v>LA TEBAIDA</v>
      </c>
      <c r="E4715" s="8">
        <v>2019</v>
      </c>
      <c r="F4715" s="8"/>
      <c r="G4715" s="8"/>
      <c r="H4715" s="8">
        <v>342</v>
      </c>
      <c r="I4715" s="8"/>
      <c r="J4715" s="8"/>
      <c r="K4715" s="8"/>
    </row>
    <row r="4716" spans="1:11" hidden="1" x14ac:dyDescent="0.25">
      <c r="A4716" t="str">
        <f>_xlfn.XLOOKUP(C4716, 'Códigos DANE Municipios'!$B$2:$B$1123, 'Códigos DANE Municipios'!$A$2:$A$1123, "No encontrado")</f>
        <v>05400</v>
      </c>
      <c r="B4716" t="str">
        <f>IFERROR(VLOOKUP(D4716,APOYO!K:L,2,FALSE),A4716)</f>
        <v>05400</v>
      </c>
      <c r="C4716" s="8" t="s">
        <v>142</v>
      </c>
      <c r="D4716" t="str">
        <f>IFERROR(VLOOKUP(C4716,APOYO!J:K,2,FALSE),C4716)</f>
        <v>LA UNIÓN</v>
      </c>
      <c r="E4716" s="8">
        <v>2019</v>
      </c>
      <c r="F4716" s="8"/>
      <c r="G4716" s="8"/>
      <c r="H4716" s="8">
        <v>368</v>
      </c>
      <c r="I4716" s="8"/>
      <c r="J4716" s="8"/>
      <c r="K4716" s="8"/>
    </row>
    <row r="4717" spans="1:11" hidden="1" x14ac:dyDescent="0.25">
      <c r="A4717" t="str">
        <f>_xlfn.XLOOKUP(C4717, 'Códigos DANE Municipios'!$B$2:$B$1123, 'Códigos DANE Municipios'!$A$2:$A$1123, "No encontrado")</f>
        <v>50370</v>
      </c>
      <c r="B4717" t="str">
        <f>IFERROR(VLOOKUP(D4717,APOYO!K:L,2,FALSE),A4717)</f>
        <v>50370</v>
      </c>
      <c r="C4717" t="s">
        <v>1388</v>
      </c>
      <c r="D4717" t="str">
        <f>IFERROR(VLOOKUP(C4717,APOYO!J:K,2,FALSE),C4717)</f>
        <v>URIBE</v>
      </c>
      <c r="E4717">
        <v>2019</v>
      </c>
      <c r="H4717">
        <v>466</v>
      </c>
    </row>
    <row r="4718" spans="1:11" hidden="1" x14ac:dyDescent="0.25">
      <c r="A4718" t="str">
        <f>_xlfn.XLOOKUP(C4718, 'Códigos DANE Municipios'!$B$2:$B$1123, 'Códigos DANE Municipios'!$A$2:$A$1123, "No encontrado")</f>
        <v>19397</v>
      </c>
      <c r="B4718" t="str">
        <f>IFERROR(VLOOKUP(D4718,APOYO!K:L,2,FALSE),A4718)</f>
        <v>19397</v>
      </c>
      <c r="C4718" s="8" t="s">
        <v>761</v>
      </c>
      <c r="D4718" t="str">
        <f>IFERROR(VLOOKUP(C4718,APOYO!J:K,2,FALSE),C4718)</f>
        <v>LA VEGA</v>
      </c>
      <c r="E4718" s="8">
        <v>2019</v>
      </c>
      <c r="F4718" s="8"/>
      <c r="G4718" s="8"/>
      <c r="H4718" s="8">
        <v>150</v>
      </c>
      <c r="I4718" s="8"/>
      <c r="J4718" s="8"/>
      <c r="K4718" s="8"/>
    </row>
    <row r="4719" spans="1:11" hidden="1" x14ac:dyDescent="0.25">
      <c r="A4719" t="str">
        <f>_xlfn.XLOOKUP(C4719, 'Códigos DANE Municipios'!$B$2:$B$1123, 'Códigos DANE Municipios'!$A$2:$A$1123, "No encontrado")</f>
        <v>15401</v>
      </c>
      <c r="B4719" t="str">
        <f>IFERROR(VLOOKUP(D4719,APOYO!K:L,2,FALSE),A4719)</f>
        <v>15401</v>
      </c>
      <c r="C4719" s="8" t="s">
        <v>494</v>
      </c>
      <c r="D4719" t="str">
        <f>IFERROR(VLOOKUP(C4719,APOYO!J:K,2,FALSE),C4719)</f>
        <v>LA VICTORIA</v>
      </c>
      <c r="E4719" s="8">
        <v>2019</v>
      </c>
      <c r="F4719" s="8"/>
      <c r="G4719" s="8"/>
      <c r="H4719" s="8">
        <v>102</v>
      </c>
      <c r="I4719" s="8"/>
      <c r="J4719" s="8"/>
      <c r="K4719" s="8"/>
    </row>
    <row r="4720" spans="1:11" hidden="1" x14ac:dyDescent="0.25">
      <c r="A4720" t="str">
        <f>_xlfn.XLOOKUP(C4720, 'Códigos DANE Municipios'!$B$2:$B$1123, 'Códigos DANE Municipios'!$A$2:$A$1123, "No encontrado")</f>
        <v>66400</v>
      </c>
      <c r="B4720" t="str">
        <f>IFERROR(VLOOKUP(D4720,APOYO!K:L,2,FALSE),A4720)</f>
        <v>66400</v>
      </c>
      <c r="C4720" s="8" t="s">
        <v>1641</v>
      </c>
      <c r="D4720" t="str">
        <f>IFERROR(VLOOKUP(C4720,APOYO!J:K,2,FALSE),C4720)</f>
        <v>LA VIRGINIA</v>
      </c>
      <c r="E4720" s="8">
        <v>2019</v>
      </c>
      <c r="F4720" s="8"/>
      <c r="G4720" s="8"/>
      <c r="H4720" s="8">
        <v>208</v>
      </c>
      <c r="I4720" s="8"/>
      <c r="J4720" s="8"/>
      <c r="K4720" s="8"/>
    </row>
    <row r="4721" spans="1:11" hidden="1" x14ac:dyDescent="0.25">
      <c r="A4721" t="str">
        <f>_xlfn.XLOOKUP(C4721, 'Códigos DANE Municipios'!$B$2:$B$1123, 'Códigos DANE Municipios'!$A$2:$A$1123, "No encontrado")</f>
        <v>68385</v>
      </c>
      <c r="B4721" t="str">
        <f>IFERROR(VLOOKUP(D4721,APOYO!K:L,2,FALSE),A4721)</f>
        <v>68385</v>
      </c>
      <c r="C4721" t="s">
        <v>1737</v>
      </c>
      <c r="D4721" t="str">
        <f>IFERROR(VLOOKUP(C4721,APOYO!J:K,2,FALSE),C4721)</f>
        <v>LANDÁZURI</v>
      </c>
      <c r="E4721">
        <v>2019</v>
      </c>
      <c r="H4721">
        <v>3</v>
      </c>
    </row>
    <row r="4722" spans="1:11" hidden="1" x14ac:dyDescent="0.25">
      <c r="A4722" t="str">
        <f>_xlfn.XLOOKUP(C4722, 'Códigos DANE Municipios'!$B$2:$B$1123, 'Códigos DANE Municipios'!$A$2:$A$1123, "No encontrado")</f>
        <v>68406</v>
      </c>
      <c r="B4722" t="str">
        <f>IFERROR(VLOOKUP(D4722,APOYO!K:L,2,FALSE),A4722)</f>
        <v>68406</v>
      </c>
      <c r="C4722" t="s">
        <v>1740</v>
      </c>
      <c r="D4722" t="str">
        <f>IFERROR(VLOOKUP(C4722,APOYO!J:K,2,FALSE),C4722)</f>
        <v>LEBRIJA</v>
      </c>
      <c r="E4722">
        <v>2019</v>
      </c>
      <c r="H4722">
        <v>29</v>
      </c>
    </row>
    <row r="4723" spans="1:11" hidden="1" x14ac:dyDescent="0.25">
      <c r="A4723" t="str">
        <f>_xlfn.XLOOKUP(C4723, 'Códigos DANE Municipios'!$B$2:$B$1123, 'Códigos DANE Municipios'!$A$2:$A$1123, "No encontrado")</f>
        <v>50400</v>
      </c>
      <c r="B4723" t="str">
        <f>IFERROR(VLOOKUP(D4723,APOYO!K:L,2,FALSE),A4723)</f>
        <v>50400</v>
      </c>
      <c r="C4723" t="s">
        <v>1390</v>
      </c>
      <c r="D4723" t="str">
        <f>IFERROR(VLOOKUP(C4723,APOYO!J:K,2,FALSE),C4723)</f>
        <v>LEJANÍAS</v>
      </c>
      <c r="E4723">
        <v>2019</v>
      </c>
      <c r="H4723">
        <v>3</v>
      </c>
    </row>
    <row r="4724" spans="1:11" hidden="1" x14ac:dyDescent="0.25">
      <c r="A4724" t="str">
        <f>_xlfn.XLOOKUP(C4724, 'Códigos DANE Municipios'!$B$2:$B$1123, 'Códigos DANE Municipios'!$A$2:$A$1123, "No encontrado")</f>
        <v>25407</v>
      </c>
      <c r="B4724" t="str">
        <f>IFERROR(VLOOKUP(D4724,APOYO!K:L,2,FALSE),A4724)</f>
        <v>25407</v>
      </c>
      <c r="C4724" s="8" t="s">
        <v>1017</v>
      </c>
      <c r="D4724" t="str">
        <f>IFERROR(VLOOKUP(C4724,APOYO!J:K,2,FALSE),C4724)</f>
        <v>LENGUAZAQUE</v>
      </c>
      <c r="E4724" s="8">
        <v>2019</v>
      </c>
      <c r="F4724" s="8"/>
      <c r="G4724" s="8"/>
      <c r="H4724" s="8">
        <v>1</v>
      </c>
      <c r="I4724" s="8"/>
      <c r="J4724" s="8"/>
      <c r="K4724" s="8"/>
    </row>
    <row r="4725" spans="1:11" hidden="1" x14ac:dyDescent="0.25">
      <c r="A4725" t="str">
        <f>_xlfn.XLOOKUP(C4725, 'Códigos DANE Municipios'!$B$2:$B$1123, 'Códigos DANE Municipios'!$A$2:$A$1123, "No encontrado")</f>
        <v>73408</v>
      </c>
      <c r="B4725" t="str">
        <f>IFERROR(VLOOKUP(D4725,APOYO!K:L,2,FALSE),A4725)</f>
        <v>73408</v>
      </c>
      <c r="C4725" s="8" t="s">
        <v>1911</v>
      </c>
      <c r="D4725" t="str">
        <f>IFERROR(VLOOKUP(C4725,APOYO!J:K,2,FALSE),C4725)</f>
        <v>LÉRIDA</v>
      </c>
      <c r="E4725" s="8">
        <v>2019</v>
      </c>
      <c r="F4725" s="8"/>
      <c r="G4725" s="8"/>
      <c r="H4725" s="8">
        <v>12</v>
      </c>
      <c r="I4725" s="8"/>
      <c r="J4725" s="8"/>
      <c r="K4725" s="8"/>
    </row>
    <row r="4726" spans="1:11" hidden="1" x14ac:dyDescent="0.25">
      <c r="A4726" t="str">
        <f>_xlfn.XLOOKUP(C4726, 'Códigos DANE Municipios'!$B$2:$B$1123, 'Códigos DANE Municipios'!$A$2:$A$1123, "No encontrado")</f>
        <v>91001</v>
      </c>
      <c r="B4726" t="str">
        <f>IFERROR(VLOOKUP(D4726,APOYO!K:L,2,FALSE),A4726)</f>
        <v>91001</v>
      </c>
      <c r="C4726" s="8" t="s">
        <v>2108</v>
      </c>
      <c r="D4726" t="str">
        <f>IFERROR(VLOOKUP(C4726,APOYO!J:K,2,FALSE),C4726)</f>
        <v>LETICIA</v>
      </c>
      <c r="E4726" s="8">
        <v>2019</v>
      </c>
      <c r="F4726" s="8">
        <v>160011</v>
      </c>
      <c r="G4726" s="8">
        <v>542</v>
      </c>
      <c r="H4726" s="8">
        <v>6825</v>
      </c>
      <c r="I4726" s="8"/>
      <c r="J4726" s="8"/>
      <c r="K4726" s="8"/>
    </row>
    <row r="4727" spans="1:11" hidden="1" x14ac:dyDescent="0.25">
      <c r="A4727" t="str">
        <f>_xlfn.XLOOKUP(C4727, 'Códigos DANE Municipios'!$B$2:$B$1123, 'Códigos DANE Municipios'!$A$2:$A$1123, "No encontrado")</f>
        <v>73411</v>
      </c>
      <c r="B4727" t="str">
        <f>IFERROR(VLOOKUP(D4727,APOYO!K:L,2,FALSE),A4727)</f>
        <v>73411</v>
      </c>
      <c r="C4727" s="8" t="s">
        <v>1913</v>
      </c>
      <c r="D4727" t="str">
        <f>IFERROR(VLOOKUP(C4727,APOYO!J:K,2,FALSE),C4727)</f>
        <v>LÍBANO</v>
      </c>
      <c r="E4727" s="8">
        <v>2019</v>
      </c>
      <c r="F4727" s="8"/>
      <c r="G4727" s="8"/>
      <c r="H4727" s="8">
        <v>33</v>
      </c>
      <c r="I4727" s="8"/>
      <c r="J4727" s="8"/>
      <c r="K4727" s="8"/>
    </row>
    <row r="4728" spans="1:11" hidden="1" x14ac:dyDescent="0.25">
      <c r="A4728" t="str">
        <f>_xlfn.XLOOKUP(C4728, 'Códigos DANE Municipios'!$B$2:$B$1123, 'Códigos DANE Municipios'!$A$2:$A$1123, "No encontrado")</f>
        <v>05411</v>
      </c>
      <c r="B4728" t="str">
        <f>IFERROR(VLOOKUP(D4728,APOYO!K:L,2,FALSE),A4728)</f>
        <v>05411</v>
      </c>
      <c r="C4728" s="8" t="s">
        <v>144</v>
      </c>
      <c r="D4728" t="str">
        <f>IFERROR(VLOOKUP(C4728,APOYO!J:K,2,FALSE),C4728)</f>
        <v>LIBORINA</v>
      </c>
      <c r="E4728" s="8">
        <v>2019</v>
      </c>
      <c r="F4728" s="8"/>
      <c r="G4728" s="8"/>
      <c r="H4728" s="8">
        <v>5</v>
      </c>
      <c r="I4728" s="8"/>
      <c r="J4728" s="8"/>
      <c r="K4728" s="8"/>
    </row>
    <row r="4729" spans="1:11" hidden="1" x14ac:dyDescent="0.25">
      <c r="A4729" t="str">
        <f>_xlfn.XLOOKUP(C4729, 'Códigos DANE Municipios'!$B$2:$B$1123, 'Códigos DANE Municipios'!$A$2:$A$1123, "No encontrado")</f>
        <v>52411</v>
      </c>
      <c r="B4729" t="str">
        <f>IFERROR(VLOOKUP(D4729,APOYO!K:L,2,FALSE),A4729)</f>
        <v>52411</v>
      </c>
      <c r="C4729" s="8" t="s">
        <v>1475</v>
      </c>
      <c r="D4729" t="str">
        <f>IFERROR(VLOOKUP(C4729,APOYO!J:K,2,FALSE),C4729)</f>
        <v>LINARES</v>
      </c>
      <c r="E4729" s="8">
        <v>2019</v>
      </c>
      <c r="F4729" s="8"/>
      <c r="G4729" s="8"/>
      <c r="H4729" s="8"/>
      <c r="I4729" s="8"/>
      <c r="J4729" s="8"/>
      <c r="K4729" s="8"/>
    </row>
    <row r="4730" spans="1:11" hidden="1" x14ac:dyDescent="0.25">
      <c r="A4730" t="str">
        <f>_xlfn.XLOOKUP(C4730, 'Códigos DANE Municipios'!$B$2:$B$1123, 'Códigos DANE Municipios'!$A$2:$A$1123, "No encontrado")</f>
        <v>27413</v>
      </c>
      <c r="B4730" t="str">
        <f>IFERROR(VLOOKUP(D4730,APOYO!K:L,2,FALSE),A4730)</f>
        <v>27413</v>
      </c>
      <c r="C4730" t="s">
        <v>1174</v>
      </c>
      <c r="D4730" t="str">
        <f>IFERROR(VLOOKUP(C4730,APOYO!J:K,2,FALSE),C4730)</f>
        <v>LLORÓ</v>
      </c>
      <c r="E4730">
        <v>2019</v>
      </c>
    </row>
    <row r="4731" spans="1:11" hidden="1" x14ac:dyDescent="0.25">
      <c r="A4731" t="str">
        <f>_xlfn.XLOOKUP(C4731, 'Códigos DANE Municipios'!$B$2:$B$1123, 'Códigos DANE Municipios'!$A$2:$A$1123, "No encontrado")</f>
        <v>05411</v>
      </c>
      <c r="B4731" t="str">
        <f>IFERROR(VLOOKUP(D4731,APOYO!K:L,2,FALSE),A4731)</f>
        <v>05411</v>
      </c>
      <c r="C4731" s="8" t="s">
        <v>144</v>
      </c>
      <c r="D4731" t="str">
        <f>IFERROR(VLOOKUP(C4731,APOYO!J:K,2,FALSE),C4731)</f>
        <v>LIBORINA</v>
      </c>
      <c r="E4731" s="8">
        <v>2019</v>
      </c>
      <c r="F4731" s="8"/>
      <c r="G4731" s="8"/>
      <c r="H4731" s="8"/>
      <c r="I4731" s="8"/>
      <c r="J4731" s="8"/>
      <c r="K4731" s="8"/>
    </row>
    <row r="4732" spans="1:11" hidden="1" x14ac:dyDescent="0.25">
      <c r="A4732" t="str">
        <f>_xlfn.XLOOKUP(C4732, 'Códigos DANE Municipios'!$B$2:$B$1123, 'Códigos DANE Municipios'!$A$2:$A$1123, "No encontrado")</f>
        <v>23417</v>
      </c>
      <c r="B4732" t="str">
        <f>IFERROR(VLOOKUP(D4732,APOYO!K:L,2,FALSE),A4732)</f>
        <v>23417</v>
      </c>
      <c r="C4732" s="8" t="s">
        <v>877</v>
      </c>
      <c r="D4732" t="str">
        <f>IFERROR(VLOOKUP(C4732,APOYO!J:K,2,FALSE),C4732)</f>
        <v>LORICA</v>
      </c>
      <c r="E4732" s="8">
        <v>2019</v>
      </c>
      <c r="F4732" s="8"/>
      <c r="G4732" s="8"/>
      <c r="H4732" s="8">
        <v>47</v>
      </c>
      <c r="I4732" s="8"/>
      <c r="J4732" s="8"/>
      <c r="K4732" s="8"/>
    </row>
    <row r="4733" spans="1:11" hidden="1" x14ac:dyDescent="0.25">
      <c r="A4733" t="str">
        <f>_xlfn.XLOOKUP(C4733, 'Códigos DANE Municipios'!$B$2:$B$1123, 'Códigos DANE Municipios'!$A$2:$A$1123, "No encontrado")</f>
        <v>52418</v>
      </c>
      <c r="B4733" t="str">
        <f>IFERROR(VLOOKUP(D4733,APOYO!K:L,2,FALSE),A4733)</f>
        <v>52418</v>
      </c>
      <c r="C4733" t="s">
        <v>1477</v>
      </c>
      <c r="D4733" t="str">
        <f>IFERROR(VLOOKUP(C4733,APOYO!J:K,2,FALSE),C4733)</f>
        <v>LOS ANDES</v>
      </c>
      <c r="E4733">
        <v>2019</v>
      </c>
    </row>
    <row r="4734" spans="1:11" hidden="1" x14ac:dyDescent="0.25">
      <c r="A4734" t="str">
        <f>_xlfn.XLOOKUP(C4734, 'Códigos DANE Municipios'!$B$2:$B$1123, 'Códigos DANE Municipios'!$A$2:$A$1123, "No encontrado")</f>
        <v>23419</v>
      </c>
      <c r="B4734" t="str">
        <f>IFERROR(VLOOKUP(D4734,APOYO!K:L,2,FALSE),A4734)</f>
        <v>23419</v>
      </c>
      <c r="C4734" s="8" t="s">
        <v>879</v>
      </c>
      <c r="D4734" t="str">
        <f>IFERROR(VLOOKUP(C4734,APOYO!J:K,2,FALSE),C4734)</f>
        <v>LOS CÓRDOBAS</v>
      </c>
      <c r="E4734" s="8">
        <v>2019</v>
      </c>
      <c r="F4734" s="8"/>
      <c r="G4734" s="8"/>
      <c r="H4734" s="8">
        <v>4</v>
      </c>
      <c r="I4734" s="8"/>
      <c r="J4734" s="8"/>
      <c r="K4734" s="8"/>
    </row>
    <row r="4735" spans="1:11" hidden="1" x14ac:dyDescent="0.25">
      <c r="A4735" t="str">
        <f>_xlfn.XLOOKUP(C4735, 'Códigos DANE Municipios'!$B$2:$B$1123, 'Códigos DANE Municipios'!$A$2:$A$1123, "No encontrado")</f>
        <v>70418</v>
      </c>
      <c r="B4735" t="str">
        <f>IFERROR(VLOOKUP(D4735,APOYO!K:L,2,FALSE),A4735)</f>
        <v>70418</v>
      </c>
      <c r="C4735" s="8" t="s">
        <v>1836</v>
      </c>
      <c r="D4735" t="str">
        <f>IFERROR(VLOOKUP(C4735,APOYO!J:K,2,FALSE),C4735)</f>
        <v>LOS PALMITOS</v>
      </c>
      <c r="E4735" s="8">
        <v>2019</v>
      </c>
      <c r="F4735" s="8"/>
      <c r="G4735" s="8"/>
      <c r="H4735" s="8">
        <v>3</v>
      </c>
      <c r="I4735" s="8"/>
      <c r="J4735" s="8"/>
      <c r="K4735" s="8"/>
    </row>
    <row r="4736" spans="1:11" hidden="1" x14ac:dyDescent="0.25">
      <c r="A4736" t="str">
        <f>_xlfn.XLOOKUP(C4736, 'Códigos DANE Municipios'!$B$2:$B$1123, 'Códigos DANE Municipios'!$A$2:$A$1123, "No encontrado")</f>
        <v>54405</v>
      </c>
      <c r="B4736" t="str">
        <f>IFERROR(VLOOKUP(D4736,APOYO!K:L,2,FALSE),A4736)</f>
        <v>54405</v>
      </c>
      <c r="C4736" s="8" t="s">
        <v>1571</v>
      </c>
      <c r="D4736" t="str">
        <f>IFERROR(VLOOKUP(C4736,APOYO!J:K,2,FALSE),C4736)</f>
        <v>LOS PATIOS</v>
      </c>
      <c r="E4736" s="8">
        <v>2019</v>
      </c>
      <c r="F4736" s="8"/>
      <c r="G4736" s="8"/>
      <c r="H4736" s="8">
        <v>42</v>
      </c>
      <c r="I4736" s="8"/>
      <c r="J4736" s="8"/>
      <c r="K4736" s="8"/>
    </row>
    <row r="4737" spans="1:11" hidden="1" x14ac:dyDescent="0.25">
      <c r="A4737" t="str">
        <f>_xlfn.XLOOKUP(C4737, 'Códigos DANE Municipios'!$B$2:$B$1123, 'Códigos DANE Municipios'!$A$2:$A$1123, "No encontrado")</f>
        <v>68418</v>
      </c>
      <c r="B4737" t="str">
        <f>IFERROR(VLOOKUP(D4737,APOYO!K:L,2,FALSE),A4737)</f>
        <v>68418</v>
      </c>
      <c r="C4737" s="8" t="s">
        <v>1742</v>
      </c>
      <c r="D4737" t="str">
        <f>IFERROR(VLOOKUP(C4737,APOYO!J:K,2,FALSE),C4737)</f>
        <v>LOS SANTOS</v>
      </c>
      <c r="E4737" s="8">
        <v>2019</v>
      </c>
      <c r="F4737" s="8"/>
      <c r="G4737" s="8"/>
      <c r="H4737" s="8">
        <v>20</v>
      </c>
      <c r="I4737" s="8"/>
      <c r="J4737" s="8"/>
      <c r="K4737" s="8"/>
    </row>
    <row r="4738" spans="1:11" hidden="1" x14ac:dyDescent="0.25">
      <c r="A4738" t="str">
        <f>_xlfn.XLOOKUP(C4738, 'Códigos DANE Municipios'!$B$2:$B$1123, 'Códigos DANE Municipios'!$A$2:$A$1123, "No encontrado")</f>
        <v>08421</v>
      </c>
      <c r="B4738" t="str">
        <f>IFERROR(VLOOKUP(D4738,APOYO!K:L,2,FALSE),A4738)</f>
        <v>08421</v>
      </c>
      <c r="C4738" s="8" t="s">
        <v>274</v>
      </c>
      <c r="D4738" t="str">
        <f>IFERROR(VLOOKUP(C4738,APOYO!J:K,2,FALSE),C4738)</f>
        <v>LURUACO</v>
      </c>
      <c r="E4738" s="8">
        <v>2019</v>
      </c>
      <c r="F4738" s="8"/>
      <c r="G4738" s="8"/>
      <c r="H4738" s="8">
        <v>5</v>
      </c>
      <c r="I4738" s="8"/>
      <c r="J4738" s="8"/>
      <c r="K4738" s="8"/>
    </row>
    <row r="4739" spans="1:11" hidden="1" x14ac:dyDescent="0.25">
      <c r="A4739" t="str">
        <f>_xlfn.XLOOKUP(C4739, 'Códigos DANE Municipios'!$B$2:$B$1123, 'Códigos DANE Municipios'!$A$2:$A$1123, "No encontrado")</f>
        <v>15425</v>
      </c>
      <c r="B4739" t="str">
        <f>IFERROR(VLOOKUP(D4739,APOYO!K:L,2,FALSE),A4739)</f>
        <v>15425</v>
      </c>
      <c r="C4739" s="8" t="s">
        <v>500</v>
      </c>
      <c r="D4739" t="str">
        <f>IFERROR(VLOOKUP(C4739,APOYO!J:K,2,FALSE),C4739)</f>
        <v>MACANAL</v>
      </c>
      <c r="E4739" s="8">
        <v>2019</v>
      </c>
      <c r="F4739" s="8"/>
      <c r="G4739" s="8"/>
      <c r="H4739" s="8">
        <v>4</v>
      </c>
      <c r="I4739" s="8"/>
      <c r="J4739" s="8"/>
      <c r="K4739" s="8"/>
    </row>
    <row r="4740" spans="1:11" hidden="1" x14ac:dyDescent="0.25">
      <c r="A4740" t="str">
        <f>_xlfn.XLOOKUP(C4740, 'Códigos DANE Municipios'!$B$2:$B$1123, 'Códigos DANE Municipios'!$A$2:$A$1123, "No encontrado")</f>
        <v>05425</v>
      </c>
      <c r="B4740" t="str">
        <f>IFERROR(VLOOKUP(D4740,APOYO!K:L,2,FALSE),A4740)</f>
        <v>05425</v>
      </c>
      <c r="C4740" s="8" t="s">
        <v>146</v>
      </c>
      <c r="D4740" t="str">
        <f>IFERROR(VLOOKUP(C4740,APOYO!J:K,2,FALSE),C4740)</f>
        <v>MACEO</v>
      </c>
      <c r="E4740" s="8">
        <v>2019</v>
      </c>
      <c r="F4740" s="8"/>
      <c r="G4740" s="8"/>
      <c r="H4740" s="8">
        <v>15</v>
      </c>
      <c r="I4740" s="8"/>
      <c r="J4740" s="8"/>
      <c r="K4740" s="8"/>
    </row>
    <row r="4741" spans="1:11" hidden="1" x14ac:dyDescent="0.25">
      <c r="A4741" t="str">
        <f>_xlfn.XLOOKUP(C4741, 'Códigos DANE Municipios'!$B$2:$B$1123, 'Códigos DANE Municipios'!$A$2:$A$1123, "No encontrado")</f>
        <v>25426</v>
      </c>
      <c r="B4741" t="str">
        <f>IFERROR(VLOOKUP(D4741,APOYO!K:L,2,FALSE),A4741)</f>
        <v>25426</v>
      </c>
      <c r="C4741" s="8" t="s">
        <v>1019</v>
      </c>
      <c r="D4741" t="str">
        <f>IFERROR(VLOOKUP(C4741,APOYO!J:K,2,FALSE),C4741)</f>
        <v>MACHETÁ</v>
      </c>
      <c r="E4741" s="8">
        <v>2019</v>
      </c>
      <c r="F4741" s="8"/>
      <c r="G4741" s="8"/>
      <c r="H4741" s="8">
        <v>19</v>
      </c>
      <c r="I4741" s="8"/>
      <c r="J4741" s="8"/>
      <c r="K4741" s="8"/>
    </row>
    <row r="4742" spans="1:11" hidden="1" x14ac:dyDescent="0.25">
      <c r="A4742" t="str">
        <f>_xlfn.XLOOKUP(C4742, 'Códigos DANE Municipios'!$B$2:$B$1123, 'Códigos DANE Municipios'!$A$2:$A$1123, "No encontrado")</f>
        <v>25430</v>
      </c>
      <c r="B4742" t="str">
        <f>IFERROR(VLOOKUP(D4742,APOYO!K:L,2,FALSE),A4742)</f>
        <v>25430</v>
      </c>
      <c r="C4742" s="8" t="s">
        <v>1021</v>
      </c>
      <c r="D4742" t="str">
        <f>IFERROR(VLOOKUP(C4742,APOYO!J:K,2,FALSE),C4742)</f>
        <v>MADRID</v>
      </c>
      <c r="E4742" s="8">
        <v>2019</v>
      </c>
      <c r="F4742" s="8"/>
      <c r="G4742" s="8"/>
      <c r="H4742" s="8">
        <v>362</v>
      </c>
      <c r="I4742" s="8"/>
      <c r="J4742" s="8"/>
      <c r="K4742" s="8"/>
    </row>
    <row r="4743" spans="1:11" hidden="1" x14ac:dyDescent="0.25">
      <c r="A4743" t="str">
        <f>_xlfn.XLOOKUP(C4743, 'Códigos DANE Municipios'!$B$2:$B$1123, 'Códigos DANE Municipios'!$A$2:$A$1123, "No encontrado")</f>
        <v>13430</v>
      </c>
      <c r="B4743" t="str">
        <f>IFERROR(VLOOKUP(D4743,APOYO!K:L,2,FALSE),A4743)</f>
        <v>13430</v>
      </c>
      <c r="C4743" s="8" t="s">
        <v>341</v>
      </c>
      <c r="D4743" t="str">
        <f>IFERROR(VLOOKUP(C4743,APOYO!J:K,2,FALSE),C4743)</f>
        <v>MAGANGUÉ</v>
      </c>
      <c r="E4743" s="8">
        <v>2019</v>
      </c>
      <c r="F4743" s="8">
        <v>120</v>
      </c>
      <c r="G4743" s="8"/>
      <c r="H4743" s="8">
        <v>86</v>
      </c>
      <c r="I4743" s="8"/>
      <c r="J4743" s="8"/>
      <c r="K4743" s="8"/>
    </row>
    <row r="4744" spans="1:11" hidden="1" x14ac:dyDescent="0.25">
      <c r="A4744" t="str">
        <f>_xlfn.XLOOKUP(C4744, 'Códigos DANE Municipios'!$B$2:$B$1123, 'Códigos DANE Municipios'!$A$2:$A$1123, "No encontrado")</f>
        <v>13433</v>
      </c>
      <c r="B4744" t="str">
        <f>IFERROR(VLOOKUP(D4744,APOYO!K:L,2,FALSE),A4744)</f>
        <v>13433</v>
      </c>
      <c r="C4744" s="8" t="s">
        <v>343</v>
      </c>
      <c r="D4744" t="str">
        <f>IFERROR(VLOOKUP(C4744,APOYO!J:K,2,FALSE),C4744)</f>
        <v>MAHATES</v>
      </c>
      <c r="E4744" s="8">
        <v>2019</v>
      </c>
      <c r="F4744" s="8"/>
      <c r="G4744" s="8"/>
      <c r="H4744" s="8">
        <v>7</v>
      </c>
      <c r="I4744" s="8"/>
      <c r="J4744" s="8"/>
      <c r="K4744" s="8"/>
    </row>
    <row r="4745" spans="1:11" hidden="1" x14ac:dyDescent="0.25">
      <c r="A4745" t="str">
        <f>_xlfn.XLOOKUP(C4745, 'Códigos DANE Municipios'!$B$2:$B$1123, 'Códigos DANE Municipios'!$A$2:$A$1123, "No encontrado")</f>
        <v>44430</v>
      </c>
      <c r="B4745" t="str">
        <f>IFERROR(VLOOKUP(D4745,APOYO!K:L,2,FALSE),A4745)</f>
        <v>44430</v>
      </c>
      <c r="C4745" s="8" t="s">
        <v>1289</v>
      </c>
      <c r="D4745" t="str">
        <f>IFERROR(VLOOKUP(C4745,APOYO!J:K,2,FALSE),C4745)</f>
        <v>MAICAO</v>
      </c>
      <c r="E4745" s="8">
        <v>2019</v>
      </c>
      <c r="F4745" s="8">
        <v>22210</v>
      </c>
      <c r="G4745" s="8"/>
      <c r="H4745" s="8">
        <v>707</v>
      </c>
      <c r="I4745" s="8"/>
      <c r="J4745" s="8"/>
      <c r="K4745" s="8"/>
    </row>
    <row r="4746" spans="1:11" hidden="1" x14ac:dyDescent="0.25">
      <c r="A4746" t="str">
        <f>_xlfn.XLOOKUP(C4746, 'Códigos DANE Municipios'!$B$2:$B$1123, 'Códigos DANE Municipios'!$A$2:$A$1123, "No encontrado")</f>
        <v>70429</v>
      </c>
      <c r="B4746" t="str">
        <f>IFERROR(VLOOKUP(D4746,APOYO!K:L,2,FALSE),A4746)</f>
        <v>70429</v>
      </c>
      <c r="C4746" s="8" t="s">
        <v>1838</v>
      </c>
      <c r="D4746" t="str">
        <f>IFERROR(VLOOKUP(C4746,APOYO!J:K,2,FALSE),C4746)</f>
        <v>MAJAGUAL</v>
      </c>
      <c r="E4746" s="8">
        <v>2019</v>
      </c>
      <c r="F4746" s="8"/>
      <c r="G4746" s="8"/>
      <c r="H4746" s="8">
        <v>2</v>
      </c>
      <c r="I4746" s="8"/>
      <c r="J4746" s="8"/>
      <c r="K4746" s="8"/>
    </row>
    <row r="4747" spans="1:11" hidden="1" x14ac:dyDescent="0.25">
      <c r="A4747" t="str">
        <f>_xlfn.XLOOKUP(C4747, 'Códigos DANE Municipios'!$B$2:$B$1123, 'Códigos DANE Municipios'!$A$2:$A$1123, "No encontrado")</f>
        <v>68432</v>
      </c>
      <c r="B4747" t="str">
        <f>IFERROR(VLOOKUP(D4747,APOYO!K:L,2,FALSE),A4747)</f>
        <v>68432</v>
      </c>
      <c r="C4747" s="8" t="s">
        <v>1746</v>
      </c>
      <c r="D4747" t="str">
        <f>IFERROR(VLOOKUP(C4747,APOYO!J:K,2,FALSE),C4747)</f>
        <v>MÁLAGA</v>
      </c>
      <c r="E4747" s="8">
        <v>2019</v>
      </c>
      <c r="F4747" s="8">
        <v>881</v>
      </c>
      <c r="G4747" s="8"/>
      <c r="H4747" s="8">
        <v>37</v>
      </c>
      <c r="I4747" s="8"/>
      <c r="J4747" s="8"/>
      <c r="K4747" s="8"/>
    </row>
    <row r="4748" spans="1:11" hidden="1" x14ac:dyDescent="0.25">
      <c r="A4748" t="str">
        <f>_xlfn.XLOOKUP(C4748, 'Códigos DANE Municipios'!$B$2:$B$1123, 'Códigos DANE Municipios'!$A$2:$A$1123, "No encontrado")</f>
        <v>08433</v>
      </c>
      <c r="B4748" t="str">
        <f>IFERROR(VLOOKUP(D4748,APOYO!K:L,2,FALSE),A4748)</f>
        <v>08433</v>
      </c>
      <c r="C4748" s="8" t="s">
        <v>276</v>
      </c>
      <c r="D4748" t="str">
        <f>IFERROR(VLOOKUP(C4748,APOYO!J:K,2,FALSE),C4748)</f>
        <v>MALAMBO</v>
      </c>
      <c r="E4748" s="8">
        <v>2019</v>
      </c>
      <c r="F4748" s="8"/>
      <c r="G4748" s="8"/>
      <c r="H4748" s="8">
        <v>56</v>
      </c>
      <c r="I4748" s="8"/>
      <c r="J4748" s="8"/>
      <c r="K4748" s="8"/>
    </row>
    <row r="4749" spans="1:11" hidden="1" x14ac:dyDescent="0.25">
      <c r="A4749" t="str">
        <f>_xlfn.XLOOKUP(C4749, 'Códigos DANE Municipios'!$B$2:$B$1123, 'Códigos DANE Municipios'!$A$2:$A$1123, "No encontrado")</f>
        <v>44560</v>
      </c>
      <c r="B4749" t="str">
        <f>IFERROR(VLOOKUP(D4749,APOYO!K:L,2,FALSE),A4749)</f>
        <v>44560</v>
      </c>
      <c r="C4749" s="8" t="s">
        <v>1291</v>
      </c>
      <c r="D4749" t="str">
        <f>IFERROR(VLOOKUP(C4749,APOYO!J:K,2,FALSE),C4749)</f>
        <v>MANAURE</v>
      </c>
      <c r="E4749" s="8">
        <v>2019</v>
      </c>
      <c r="F4749" s="8"/>
      <c r="G4749" s="8"/>
      <c r="H4749" s="8">
        <v>12</v>
      </c>
      <c r="I4749" s="8"/>
      <c r="J4749" s="8"/>
      <c r="K4749" s="8"/>
    </row>
    <row r="4750" spans="1:11" hidden="1" x14ac:dyDescent="0.25">
      <c r="A4750" t="str">
        <f>_xlfn.XLOOKUP(C4750, 'Códigos DANE Municipios'!$B$2:$B$1123, 'Códigos DANE Municipios'!$A$2:$A$1123, "No encontrado")</f>
        <v>20443</v>
      </c>
      <c r="B4750" t="str">
        <f>IFERROR(VLOOKUP(D4750,APOYO!K:L,2,FALSE),A4750)</f>
        <v>20443</v>
      </c>
      <c r="C4750" s="8" t="s">
        <v>838</v>
      </c>
      <c r="D4750" t="str">
        <f>IFERROR(VLOOKUP(C4750,APOYO!J:K,2,FALSE),C4750)</f>
        <v>MANAURE BALCÓN DEL CESAR</v>
      </c>
      <c r="E4750" s="8">
        <v>2019</v>
      </c>
      <c r="F4750" s="8"/>
      <c r="G4750" s="8"/>
      <c r="H4750" s="8">
        <v>8</v>
      </c>
      <c r="I4750" s="8"/>
      <c r="J4750" s="8"/>
      <c r="K4750" s="8"/>
    </row>
    <row r="4751" spans="1:11" hidden="1" x14ac:dyDescent="0.25">
      <c r="A4751" t="str">
        <f>_xlfn.XLOOKUP(C4751, 'Códigos DANE Municipios'!$B$2:$B$1123, 'Códigos DANE Municipios'!$A$2:$A$1123, "No encontrado")</f>
        <v>85139</v>
      </c>
      <c r="B4751" t="str">
        <f>IFERROR(VLOOKUP(D4751,APOYO!K:L,2,FALSE),A4751)</f>
        <v>85139</v>
      </c>
      <c r="C4751" s="8" t="s">
        <v>2058</v>
      </c>
      <c r="D4751" t="str">
        <f>IFERROR(VLOOKUP(C4751,APOYO!J:K,2,FALSE),C4751)</f>
        <v>MANÍ</v>
      </c>
      <c r="E4751" s="8">
        <v>2019</v>
      </c>
      <c r="F4751" s="8">
        <v>49</v>
      </c>
      <c r="G4751" s="8"/>
      <c r="H4751" s="8">
        <v>3</v>
      </c>
      <c r="I4751" s="8"/>
      <c r="J4751" s="8"/>
      <c r="K4751" s="8"/>
    </row>
    <row r="4752" spans="1:11" hidden="1" x14ac:dyDescent="0.25">
      <c r="A4752" t="str">
        <f>_xlfn.XLOOKUP(C4752, 'Códigos DANE Municipios'!$B$2:$B$1123, 'Códigos DANE Municipios'!$A$2:$A$1123, "No encontrado")</f>
        <v>17001</v>
      </c>
      <c r="B4752" t="str">
        <f>IFERROR(VLOOKUP(D4752,APOYO!K:L,2,FALSE),A4752)</f>
        <v>17001</v>
      </c>
      <c r="C4752" s="8" t="s">
        <v>644</v>
      </c>
      <c r="D4752" t="str">
        <f>IFERROR(VLOOKUP(C4752,APOYO!J:K,2,FALSE),C4752)</f>
        <v>MANIZALES</v>
      </c>
      <c r="E4752" s="8">
        <v>2019</v>
      </c>
      <c r="F4752" s="8">
        <v>118280</v>
      </c>
      <c r="G4752" s="8">
        <v>2446</v>
      </c>
      <c r="H4752" s="8">
        <v>8092</v>
      </c>
      <c r="I4752" s="8"/>
      <c r="J4752" s="8"/>
      <c r="K4752" s="8"/>
    </row>
    <row r="4753" spans="1:11" hidden="1" x14ac:dyDescent="0.25">
      <c r="A4753" t="str">
        <f>_xlfn.XLOOKUP(C4753, 'Códigos DANE Municipios'!$B$2:$B$1123, 'Códigos DANE Municipios'!$A$2:$A$1123, "No encontrado")</f>
        <v>25436</v>
      </c>
      <c r="B4753" t="str">
        <f>IFERROR(VLOOKUP(D4753,APOYO!K:L,2,FALSE),A4753)</f>
        <v>25436</v>
      </c>
      <c r="C4753" s="8" t="s">
        <v>1023</v>
      </c>
      <c r="D4753" t="str">
        <f>IFERROR(VLOOKUP(C4753,APOYO!J:K,2,FALSE),C4753)</f>
        <v>MANTA</v>
      </c>
      <c r="E4753" s="8">
        <v>2019</v>
      </c>
      <c r="F4753" s="8"/>
      <c r="G4753" s="8"/>
      <c r="H4753" s="8"/>
      <c r="I4753" s="8"/>
      <c r="J4753" s="8"/>
      <c r="K4753" s="8"/>
    </row>
    <row r="4754" spans="1:11" hidden="1" x14ac:dyDescent="0.25">
      <c r="A4754" t="str">
        <f>_xlfn.XLOOKUP(C4754, 'Códigos DANE Municipios'!$B$2:$B$1123, 'Códigos DANE Municipios'!$A$2:$A$1123, "No encontrado")</f>
        <v>17433</v>
      </c>
      <c r="B4754" t="str">
        <f>IFERROR(VLOOKUP(D4754,APOYO!K:L,2,FALSE),A4754)</f>
        <v>17433</v>
      </c>
      <c r="C4754" s="8" t="s">
        <v>662</v>
      </c>
      <c r="D4754" t="str">
        <f>IFERROR(VLOOKUP(C4754,APOYO!J:K,2,FALSE),C4754)</f>
        <v>MANZANARES</v>
      </c>
      <c r="E4754" s="8">
        <v>2019</v>
      </c>
      <c r="F4754" s="8"/>
      <c r="G4754" s="8"/>
      <c r="H4754" s="8">
        <v>18</v>
      </c>
      <c r="I4754" s="8"/>
      <c r="J4754" s="8"/>
      <c r="K4754" s="8"/>
    </row>
    <row r="4755" spans="1:11" hidden="1" x14ac:dyDescent="0.25">
      <c r="A4755" t="str">
        <f>_xlfn.XLOOKUP(C4755, 'Códigos DANE Municipios'!$B$2:$B$1123, 'Códigos DANE Municipios'!$A$2:$A$1123, "No encontrado")</f>
        <v>50325</v>
      </c>
      <c r="B4755" t="str">
        <f>IFERROR(VLOOKUP(D4755,APOYO!K:L,2,FALSE),A4755)</f>
        <v>50325</v>
      </c>
      <c r="C4755" s="8" t="s">
        <v>1382</v>
      </c>
      <c r="D4755" t="str">
        <f>IFERROR(VLOOKUP(C4755,APOYO!J:K,2,FALSE),C4755)</f>
        <v>MAPIRIPÁN</v>
      </c>
      <c r="E4755" s="8">
        <v>2019</v>
      </c>
      <c r="F4755" s="8"/>
      <c r="G4755" s="8"/>
      <c r="H4755" s="8">
        <v>2000</v>
      </c>
      <c r="I4755" s="8"/>
      <c r="J4755" s="8"/>
      <c r="K4755" s="8"/>
    </row>
    <row r="4756" spans="1:11" hidden="1" x14ac:dyDescent="0.25">
      <c r="A4756" t="str">
        <f>_xlfn.XLOOKUP(C4756, 'Códigos DANE Municipios'!$B$2:$B$1123, 'Códigos DANE Municipios'!$A$2:$A$1123, "No encontrado")</f>
        <v>05440</v>
      </c>
      <c r="B4756" t="str">
        <f>IFERROR(VLOOKUP(D4756,APOYO!K:L,2,FALSE),A4756)</f>
        <v>05440</v>
      </c>
      <c r="C4756" s="8" t="s">
        <v>148</v>
      </c>
      <c r="D4756" t="str">
        <f>IFERROR(VLOOKUP(C4756,APOYO!J:K,2,FALSE),C4756)</f>
        <v>MARINILLA</v>
      </c>
      <c r="E4756" s="8">
        <v>2019</v>
      </c>
      <c r="F4756" s="8"/>
      <c r="G4756" s="8"/>
      <c r="H4756" s="8">
        <v>331</v>
      </c>
      <c r="I4756" s="8"/>
      <c r="J4756" s="8"/>
      <c r="K4756" s="8"/>
    </row>
    <row r="4757" spans="1:11" hidden="1" x14ac:dyDescent="0.25">
      <c r="A4757" t="str">
        <f>_xlfn.XLOOKUP(C4757, 'Códigos DANE Municipios'!$B$2:$B$1123, 'Códigos DANE Municipios'!$A$2:$A$1123, "No encontrado")</f>
        <v>15442</v>
      </c>
      <c r="B4757" t="str">
        <f>IFERROR(VLOOKUP(D4757,APOYO!K:L,2,FALSE),A4757)</f>
        <v>15442</v>
      </c>
      <c r="C4757" t="s">
        <v>502</v>
      </c>
      <c r="D4757" t="str">
        <f>IFERROR(VLOOKUP(C4757,APOYO!J:K,2,FALSE),C4757)</f>
        <v>MARIPÍ</v>
      </c>
      <c r="E4757">
        <v>2019</v>
      </c>
      <c r="H4757">
        <v>1</v>
      </c>
    </row>
    <row r="4758" spans="1:11" hidden="1" x14ac:dyDescent="0.25">
      <c r="A4758" t="str">
        <f>_xlfn.XLOOKUP(C4758, 'Códigos DANE Municipios'!$B$2:$B$1123, 'Códigos DANE Municipios'!$A$2:$A$1123, "No encontrado")</f>
        <v>73443</v>
      </c>
      <c r="B4758" t="str">
        <f>IFERROR(VLOOKUP(D4758,APOYO!K:L,2,FALSE),A4758)</f>
        <v>73443</v>
      </c>
      <c r="C4758" t="s">
        <v>1915</v>
      </c>
      <c r="D4758" t="str">
        <f>IFERROR(VLOOKUP(C4758,APOYO!J:K,2,FALSE),C4758)</f>
        <v>SAN SEBASTIÁN DE MARIQUITA</v>
      </c>
      <c r="E4758">
        <v>2019</v>
      </c>
      <c r="F4758">
        <v>246</v>
      </c>
      <c r="H4758">
        <v>39</v>
      </c>
    </row>
    <row r="4759" spans="1:11" hidden="1" x14ac:dyDescent="0.25">
      <c r="A4759" t="str">
        <f>_xlfn.XLOOKUP(C4759, 'Códigos DANE Municipios'!$B$2:$B$1123, 'Códigos DANE Municipios'!$A$2:$A$1123, "No encontrado")</f>
        <v>17442</v>
      </c>
      <c r="B4759" t="str">
        <f>IFERROR(VLOOKUP(D4759,APOYO!K:L,2,FALSE),A4759)</f>
        <v>17442</v>
      </c>
      <c r="C4759" s="8" t="s">
        <v>664</v>
      </c>
      <c r="D4759" t="str">
        <f>IFERROR(VLOOKUP(C4759,APOYO!J:K,2,FALSE),C4759)</f>
        <v>MARMATO</v>
      </c>
      <c r="E4759" s="8">
        <v>2019</v>
      </c>
      <c r="F4759" s="8"/>
      <c r="G4759" s="8"/>
      <c r="H4759" s="8">
        <v>7</v>
      </c>
      <c r="I4759" s="8"/>
      <c r="J4759" s="8"/>
      <c r="K4759" s="8"/>
    </row>
    <row r="4760" spans="1:11" hidden="1" x14ac:dyDescent="0.25">
      <c r="A4760" t="str">
        <f>_xlfn.XLOOKUP(C4760, 'Códigos DANE Municipios'!$B$2:$B$1123, 'Códigos DANE Municipios'!$A$2:$A$1123, "No encontrado")</f>
        <v>17444</v>
      </c>
      <c r="B4760" t="str">
        <f>IFERROR(VLOOKUP(D4760,APOYO!K:L,2,FALSE),A4760)</f>
        <v>17444</v>
      </c>
      <c r="C4760" s="8" t="s">
        <v>666</v>
      </c>
      <c r="D4760" t="str">
        <f>IFERROR(VLOOKUP(C4760,APOYO!J:K,2,FALSE),C4760)</f>
        <v>MARQUETALIA</v>
      </c>
      <c r="E4760" s="8">
        <v>2019</v>
      </c>
      <c r="F4760" s="8"/>
      <c r="G4760" s="8"/>
      <c r="H4760" s="8">
        <v>9</v>
      </c>
      <c r="I4760" s="8"/>
      <c r="J4760" s="8"/>
      <c r="K4760" s="8"/>
    </row>
    <row r="4761" spans="1:11" hidden="1" x14ac:dyDescent="0.25">
      <c r="A4761" t="str">
        <f>_xlfn.XLOOKUP(C4761, 'Códigos DANE Municipios'!$B$2:$B$1123, 'Códigos DANE Municipios'!$A$2:$A$1123, "No encontrado")</f>
        <v>66440</v>
      </c>
      <c r="B4761" t="str">
        <f>IFERROR(VLOOKUP(D4761,APOYO!K:L,2,FALSE),A4761)</f>
        <v>66440</v>
      </c>
      <c r="C4761" s="8" t="s">
        <v>1643</v>
      </c>
      <c r="D4761" t="str">
        <f>IFERROR(VLOOKUP(C4761,APOYO!J:K,2,FALSE),C4761)</f>
        <v>MARSELLA</v>
      </c>
      <c r="E4761" s="8">
        <v>2019</v>
      </c>
      <c r="F4761" s="8"/>
      <c r="G4761" s="8"/>
      <c r="H4761" s="8">
        <v>54</v>
      </c>
      <c r="I4761" s="8"/>
      <c r="J4761" s="8"/>
      <c r="K4761" s="8"/>
    </row>
    <row r="4762" spans="1:11" hidden="1" x14ac:dyDescent="0.25">
      <c r="A4762" t="str">
        <f>_xlfn.XLOOKUP(C4762, 'Códigos DANE Municipios'!$B$2:$B$1123, 'Códigos DANE Municipios'!$A$2:$A$1123, "No encontrado")</f>
        <v>17446</v>
      </c>
      <c r="B4762" t="str">
        <f>IFERROR(VLOOKUP(D4762,APOYO!K:L,2,FALSE),A4762)</f>
        <v>17446</v>
      </c>
      <c r="C4762" s="8" t="s">
        <v>668</v>
      </c>
      <c r="D4762" t="str">
        <f>IFERROR(VLOOKUP(C4762,APOYO!J:K,2,FALSE),C4762)</f>
        <v>MARULANDA</v>
      </c>
      <c r="E4762" s="8">
        <v>2019</v>
      </c>
      <c r="F4762" s="8"/>
      <c r="G4762" s="8"/>
      <c r="H4762" s="8"/>
      <c r="I4762" s="8"/>
      <c r="J4762" s="8"/>
      <c r="K4762" s="8"/>
    </row>
    <row r="4763" spans="1:11" hidden="1" x14ac:dyDescent="0.25">
      <c r="A4763" t="str">
        <f>_xlfn.XLOOKUP(C4763, 'Códigos DANE Municipios'!$B$2:$B$1123, 'Códigos DANE Municipios'!$A$2:$A$1123, "No encontrado")</f>
        <v>68444</v>
      </c>
      <c r="B4763" t="str">
        <f>IFERROR(VLOOKUP(D4763,APOYO!K:L,2,FALSE),A4763)</f>
        <v>68444</v>
      </c>
      <c r="C4763" s="8" t="s">
        <v>1748</v>
      </c>
      <c r="D4763" t="str">
        <f>IFERROR(VLOOKUP(C4763,APOYO!J:K,2,FALSE),C4763)</f>
        <v>MATANZA</v>
      </c>
      <c r="E4763" s="8">
        <v>2019</v>
      </c>
      <c r="F4763" s="8"/>
      <c r="G4763" s="8"/>
      <c r="H4763" s="8">
        <v>1</v>
      </c>
      <c r="I4763" s="8"/>
      <c r="J4763" s="8"/>
      <c r="K4763" s="8"/>
    </row>
    <row r="4764" spans="1:11" hidden="1" x14ac:dyDescent="0.25">
      <c r="A4764" t="str">
        <f>_xlfn.XLOOKUP(C4764, 'Códigos DANE Municipios'!$B$2:$B$1123, 'Códigos DANE Municipios'!$A$2:$A$1123, "No encontrado")</f>
        <v>05001</v>
      </c>
      <c r="B4764" t="str">
        <f>IFERROR(VLOOKUP(D4764,APOYO!K:L,2,FALSE),A4764)</f>
        <v>05001</v>
      </c>
      <c r="C4764" s="8" t="s">
        <v>12</v>
      </c>
      <c r="D4764" t="str">
        <f>IFERROR(VLOOKUP(C4764,APOYO!J:K,2,FALSE),C4764)</f>
        <v>MEDELLÍN</v>
      </c>
      <c r="E4764" s="8">
        <v>2019</v>
      </c>
      <c r="F4764" s="8">
        <v>593894</v>
      </c>
      <c r="G4764" s="8">
        <v>23</v>
      </c>
      <c r="H4764" s="8">
        <v>417605</v>
      </c>
      <c r="I4764" s="8"/>
      <c r="J4764" s="8"/>
      <c r="K4764" s="8"/>
    </row>
    <row r="4765" spans="1:11" hidden="1" x14ac:dyDescent="0.25">
      <c r="A4765" t="str">
        <f>_xlfn.XLOOKUP(C4765, 'Códigos DANE Municipios'!$B$2:$B$1123, 'Códigos DANE Municipios'!$A$2:$A$1123, "No encontrado")</f>
        <v>25438</v>
      </c>
      <c r="B4765" t="str">
        <f>IFERROR(VLOOKUP(D4765,APOYO!K:L,2,FALSE),A4765)</f>
        <v>25438</v>
      </c>
      <c r="C4765" s="8" t="s">
        <v>1025</v>
      </c>
      <c r="D4765" t="str">
        <f>IFERROR(VLOOKUP(C4765,APOYO!J:K,2,FALSE),C4765)</f>
        <v>MEDINA</v>
      </c>
      <c r="E4765" s="8">
        <v>2019</v>
      </c>
      <c r="F4765" s="8"/>
      <c r="G4765" s="8"/>
      <c r="H4765" s="8">
        <v>2</v>
      </c>
      <c r="I4765" s="8"/>
      <c r="J4765" s="8"/>
      <c r="K4765" s="8"/>
    </row>
    <row r="4766" spans="1:11" hidden="1" x14ac:dyDescent="0.25">
      <c r="A4766" t="str">
        <f>_xlfn.XLOOKUP(C4766, 'Códigos DANE Municipios'!$B$2:$B$1123, 'Códigos DANE Municipios'!$A$2:$A$1123, "No encontrado")</f>
        <v>27430</v>
      </c>
      <c r="B4766" t="str">
        <f>IFERROR(VLOOKUP(D4766,APOYO!K:L,2,FALSE),A4766)</f>
        <v>27430</v>
      </c>
      <c r="C4766" t="s">
        <v>1178</v>
      </c>
      <c r="D4766" t="str">
        <f>IFERROR(VLOOKUP(C4766,APOYO!J:K,2,FALSE),C4766)</f>
        <v>MEDIO BAUDÓ</v>
      </c>
      <c r="E4766">
        <v>2019</v>
      </c>
    </row>
    <row r="4767" spans="1:11" hidden="1" x14ac:dyDescent="0.25">
      <c r="A4767" t="str">
        <f>_xlfn.XLOOKUP(C4767, 'Códigos DANE Municipios'!$B$2:$B$1123, 'Códigos DANE Municipios'!$A$2:$A$1123, "No encontrado")</f>
        <v>73449</v>
      </c>
      <c r="B4767" t="str">
        <f>IFERROR(VLOOKUP(D4767,APOYO!K:L,2,FALSE),A4767)</f>
        <v>73449</v>
      </c>
      <c r="C4767" s="8" t="s">
        <v>1917</v>
      </c>
      <c r="D4767" t="str">
        <f>IFERROR(VLOOKUP(C4767,APOYO!J:K,2,FALSE),C4767)</f>
        <v>MELGAR</v>
      </c>
      <c r="E4767" s="8">
        <v>2019</v>
      </c>
      <c r="F4767" s="8">
        <v>243</v>
      </c>
      <c r="G4767" s="8"/>
      <c r="H4767" s="8">
        <v>728</v>
      </c>
      <c r="I4767" s="8"/>
      <c r="J4767" s="8"/>
      <c r="K4767" s="8"/>
    </row>
    <row r="4768" spans="1:11" hidden="1" x14ac:dyDescent="0.25">
      <c r="A4768" t="str">
        <f>_xlfn.XLOOKUP(C4768, 'Códigos DANE Municipios'!$B$2:$B$1123, 'Códigos DANE Municipios'!$A$2:$A$1123, "No encontrado")</f>
        <v>50330</v>
      </c>
      <c r="B4768" t="str">
        <f>IFERROR(VLOOKUP(D4768,APOYO!K:L,2,FALSE),A4768)</f>
        <v>50330</v>
      </c>
      <c r="C4768" s="8" t="s">
        <v>1384</v>
      </c>
      <c r="D4768" t="str">
        <f>IFERROR(VLOOKUP(C4768,APOYO!J:K,2,FALSE),C4768)</f>
        <v>MESETAS</v>
      </c>
      <c r="E4768" s="8">
        <v>2019</v>
      </c>
      <c r="F4768" s="8"/>
      <c r="G4768" s="8"/>
      <c r="H4768" s="8">
        <v>8</v>
      </c>
      <c r="I4768" s="8"/>
      <c r="J4768" s="8"/>
      <c r="K4768" s="8"/>
    </row>
    <row r="4769" spans="1:11" hidden="1" x14ac:dyDescent="0.25">
      <c r="A4769" t="str">
        <f>_xlfn.XLOOKUP(C4769, 'Códigos DANE Municipios'!$B$2:$B$1123, 'Códigos DANE Municipios'!$A$2:$A$1123, "No encontrado")</f>
        <v>15455</v>
      </c>
      <c r="B4769" t="str">
        <f>IFERROR(VLOOKUP(D4769,APOYO!K:L,2,FALSE),A4769)</f>
        <v>15455</v>
      </c>
      <c r="C4769" s="8" t="s">
        <v>504</v>
      </c>
      <c r="D4769" t="str">
        <f>IFERROR(VLOOKUP(C4769,APOYO!J:K,2,FALSE),C4769)</f>
        <v>MIRAFLORES</v>
      </c>
      <c r="E4769" s="8">
        <v>2019</v>
      </c>
      <c r="F4769" s="8"/>
      <c r="G4769" s="8"/>
      <c r="H4769" s="8">
        <v>6</v>
      </c>
      <c r="I4769" s="8"/>
      <c r="J4769" s="8"/>
      <c r="K4769" s="8"/>
    </row>
    <row r="4770" spans="1:11" hidden="1" x14ac:dyDescent="0.25">
      <c r="A4770" t="str">
        <f>_xlfn.XLOOKUP(C4770, 'Códigos DANE Municipios'!$B$2:$B$1123, 'Códigos DANE Municipios'!$A$2:$A$1123, "No encontrado")</f>
        <v>19455</v>
      </c>
      <c r="B4770" t="str">
        <f>IFERROR(VLOOKUP(D4770,APOYO!K:L,2,FALSE),A4770)</f>
        <v>19455</v>
      </c>
      <c r="C4770" s="8" t="s">
        <v>767</v>
      </c>
      <c r="D4770" t="str">
        <f>IFERROR(VLOOKUP(C4770,APOYO!J:K,2,FALSE),C4770)</f>
        <v>MIRANDA</v>
      </c>
      <c r="E4770" s="8">
        <v>2019</v>
      </c>
      <c r="F4770" s="8"/>
      <c r="G4770" s="8"/>
      <c r="H4770" s="8">
        <v>36</v>
      </c>
      <c r="I4770" s="8"/>
      <c r="J4770" s="8"/>
      <c r="K4770" s="8"/>
    </row>
    <row r="4771" spans="1:11" hidden="1" x14ac:dyDescent="0.25">
      <c r="A4771" t="str">
        <f>_xlfn.XLOOKUP(C4771, 'Códigos DANE Municipios'!$B$2:$B$1123, 'Códigos DANE Municipios'!$A$2:$A$1123, "No encontrado")</f>
        <v>66456</v>
      </c>
      <c r="B4771" t="str">
        <f>IFERROR(VLOOKUP(D4771,APOYO!K:L,2,FALSE),A4771)</f>
        <v>66456</v>
      </c>
      <c r="C4771" s="8" t="s">
        <v>1645</v>
      </c>
      <c r="D4771" t="str">
        <f>IFERROR(VLOOKUP(C4771,APOYO!J:K,2,FALSE),C4771)</f>
        <v>MISTRATÓ</v>
      </c>
      <c r="E4771" s="8">
        <v>2019</v>
      </c>
      <c r="F4771" s="8"/>
      <c r="G4771" s="8"/>
      <c r="H4771" s="8">
        <v>19</v>
      </c>
      <c r="I4771" s="8"/>
      <c r="J4771" s="8"/>
      <c r="K4771" s="8"/>
    </row>
    <row r="4772" spans="1:11" hidden="1" x14ac:dyDescent="0.25">
      <c r="A4772" t="str">
        <f>_xlfn.XLOOKUP(C4772, 'Códigos DANE Municipios'!$B$2:$B$1123, 'Códigos DANE Municipios'!$A$2:$A$1123, "No encontrado")</f>
        <v>97001</v>
      </c>
      <c r="B4772" t="str">
        <f>IFERROR(VLOOKUP(D4772,APOYO!K:L,2,FALSE),A4772)</f>
        <v>97001</v>
      </c>
      <c r="C4772" s="8" t="s">
        <v>2151</v>
      </c>
      <c r="D4772" t="str">
        <f>IFERROR(VLOOKUP(C4772,APOYO!J:K,2,FALSE),C4772)</f>
        <v>MITÚ</v>
      </c>
      <c r="E4772" s="8">
        <v>2019</v>
      </c>
      <c r="F4772" s="8">
        <v>36917</v>
      </c>
      <c r="G4772" s="8">
        <v>11</v>
      </c>
      <c r="H4772" s="8">
        <v>21</v>
      </c>
      <c r="I4772" s="8"/>
      <c r="J4772" s="8"/>
      <c r="K4772" s="8"/>
    </row>
    <row r="4773" spans="1:11" hidden="1" x14ac:dyDescent="0.25">
      <c r="A4773" t="str">
        <f>_xlfn.XLOOKUP(C4773, 'Códigos DANE Municipios'!$B$2:$B$1123, 'Códigos DANE Municipios'!$A$2:$A$1123, "No encontrado")</f>
        <v>86001</v>
      </c>
      <c r="B4773" t="str">
        <f>IFERROR(VLOOKUP(D4773,APOYO!K:L,2,FALSE),A4773)</f>
        <v>86001</v>
      </c>
      <c r="C4773" s="8" t="s">
        <v>2084</v>
      </c>
      <c r="D4773" t="str">
        <f>IFERROR(VLOOKUP(C4773,APOYO!J:K,2,FALSE),C4773)</f>
        <v>MOCOA</v>
      </c>
      <c r="E4773" s="8">
        <v>2019</v>
      </c>
      <c r="F4773" s="8"/>
      <c r="G4773" s="8"/>
      <c r="H4773" s="8">
        <v>475</v>
      </c>
      <c r="I4773" s="8"/>
      <c r="J4773" s="8"/>
      <c r="K4773" s="8"/>
    </row>
    <row r="4774" spans="1:11" hidden="1" x14ac:dyDescent="0.25">
      <c r="A4774" t="str">
        <f>_xlfn.XLOOKUP(C4774, 'Códigos DANE Municipios'!$B$2:$B$1123, 'Códigos DANE Municipios'!$A$2:$A$1123, "No encontrado")</f>
        <v>68464</v>
      </c>
      <c r="B4774" t="str">
        <f>IFERROR(VLOOKUP(D4774,APOYO!K:L,2,FALSE),A4774)</f>
        <v>68464</v>
      </c>
      <c r="C4774" s="8" t="s">
        <v>1750</v>
      </c>
      <c r="D4774" t="str">
        <f>IFERROR(VLOOKUP(C4774,APOYO!J:K,2,FALSE),C4774)</f>
        <v>MOGOTES</v>
      </c>
      <c r="E4774" s="8">
        <v>2019</v>
      </c>
      <c r="F4774" s="8"/>
      <c r="G4774" s="8"/>
      <c r="H4774" s="8">
        <v>1</v>
      </c>
      <c r="I4774" s="8"/>
      <c r="J4774" s="8"/>
      <c r="K4774" s="8"/>
    </row>
    <row r="4775" spans="1:11" hidden="1" x14ac:dyDescent="0.25">
      <c r="A4775" t="str">
        <f>_xlfn.XLOOKUP(C4775, 'Códigos DANE Municipios'!$B$2:$B$1123, 'Códigos DANE Municipios'!$A$2:$A$1123, "No encontrado")</f>
        <v>13468</v>
      </c>
      <c r="B4775" t="str">
        <f>IFERROR(VLOOKUP(D4775,APOYO!K:L,2,FALSE),A4775)</f>
        <v>13468</v>
      </c>
      <c r="C4775" s="8" t="s">
        <v>351</v>
      </c>
      <c r="D4775" t="str">
        <f>IFERROR(VLOOKUP(C4775,APOYO!J:K,2,FALSE),C4775)</f>
        <v>MOMPÓS</v>
      </c>
      <c r="E4775" s="8">
        <v>2019</v>
      </c>
      <c r="F4775" s="8">
        <v>264</v>
      </c>
      <c r="G4775" s="8"/>
      <c r="H4775" s="8">
        <v>32</v>
      </c>
      <c r="I4775" s="8"/>
      <c r="J4775" s="8"/>
      <c r="K4775" s="8"/>
    </row>
    <row r="4776" spans="1:11" hidden="1" x14ac:dyDescent="0.25">
      <c r="A4776" t="str">
        <f>_xlfn.XLOOKUP(C4776, 'Códigos DANE Municipios'!$B$2:$B$1123, 'Códigos DANE Municipios'!$A$2:$A$1123, "No encontrado")</f>
        <v>15466</v>
      </c>
      <c r="B4776" t="str">
        <f>IFERROR(VLOOKUP(D4776,APOYO!K:L,2,FALSE),A4776)</f>
        <v>15466</v>
      </c>
      <c r="C4776" t="s">
        <v>508</v>
      </c>
      <c r="D4776" t="str">
        <f>IFERROR(VLOOKUP(C4776,APOYO!J:K,2,FALSE),C4776)</f>
        <v>MONGUÍ</v>
      </c>
      <c r="E4776">
        <v>2019</v>
      </c>
      <c r="H4776">
        <v>13</v>
      </c>
    </row>
    <row r="4777" spans="1:11" hidden="1" x14ac:dyDescent="0.25">
      <c r="A4777" t="str">
        <f>_xlfn.XLOOKUP(C4777, 'Códigos DANE Municipios'!$B$2:$B$1123, 'Códigos DANE Municipios'!$A$2:$A$1123, "No encontrado")</f>
        <v>15469</v>
      </c>
      <c r="B4777" t="str">
        <f>IFERROR(VLOOKUP(D4777,APOYO!K:L,2,FALSE),A4777)</f>
        <v>15469</v>
      </c>
      <c r="C4777" s="8" t="s">
        <v>510</v>
      </c>
      <c r="D4777" t="str">
        <f>IFERROR(VLOOKUP(C4777,APOYO!J:K,2,FALSE),C4777)</f>
        <v>MONIQUIRÁ</v>
      </c>
      <c r="E4777" s="8">
        <v>2019</v>
      </c>
      <c r="F4777" s="8"/>
      <c r="G4777" s="8"/>
      <c r="H4777" s="8">
        <v>38</v>
      </c>
      <c r="I4777" s="8"/>
      <c r="J4777" s="8"/>
      <c r="K4777" s="8"/>
    </row>
    <row r="4778" spans="1:11" hidden="1" x14ac:dyDescent="0.25">
      <c r="A4778" t="str">
        <f>_xlfn.XLOOKUP(C4778, 'Códigos DANE Municipios'!$B$2:$B$1123, 'Códigos DANE Municipios'!$A$2:$A$1123, "No encontrado")</f>
        <v>23500</v>
      </c>
      <c r="B4778" t="str">
        <f>IFERROR(VLOOKUP(D4778,APOYO!K:L,2,FALSE),A4778)</f>
        <v>23500</v>
      </c>
      <c r="C4778" s="8" t="s">
        <v>885</v>
      </c>
      <c r="D4778" t="str">
        <f>IFERROR(VLOOKUP(C4778,APOYO!J:K,2,FALSE),C4778)</f>
        <v>MOÑITOS</v>
      </c>
      <c r="E4778" s="8">
        <v>2019</v>
      </c>
      <c r="F4778" s="8"/>
      <c r="G4778" s="8"/>
      <c r="H4778" s="8">
        <v>4</v>
      </c>
      <c r="I4778" s="8"/>
      <c r="J4778" s="8"/>
      <c r="K4778" s="8"/>
    </row>
    <row r="4779" spans="1:11" hidden="1" x14ac:dyDescent="0.25">
      <c r="A4779" t="str">
        <f>_xlfn.XLOOKUP(C4779, 'Códigos DANE Municipios'!$B$2:$B$1123, 'Códigos DANE Municipios'!$A$2:$A$1123, "No encontrado")</f>
        <v>05467</v>
      </c>
      <c r="B4779" t="str">
        <f>IFERROR(VLOOKUP(D4779,APOYO!K:L,2,FALSE),A4779)</f>
        <v>05467</v>
      </c>
      <c r="C4779" s="8" t="s">
        <v>150</v>
      </c>
      <c r="D4779" t="str">
        <f>IFERROR(VLOOKUP(C4779,APOYO!J:K,2,FALSE),C4779)</f>
        <v>MONTEBELLO</v>
      </c>
      <c r="E4779" s="8">
        <v>2019</v>
      </c>
      <c r="F4779" s="8"/>
      <c r="G4779" s="8"/>
      <c r="H4779" s="8">
        <v>28</v>
      </c>
      <c r="I4779" s="8"/>
      <c r="J4779" s="8"/>
      <c r="K4779" s="8"/>
    </row>
    <row r="4780" spans="1:11" hidden="1" x14ac:dyDescent="0.25">
      <c r="A4780" t="str">
        <f>_xlfn.XLOOKUP(C4780, 'Códigos DANE Municipios'!$B$2:$B$1123, 'Códigos DANE Municipios'!$A$2:$A$1123, "No encontrado")</f>
        <v>23466</v>
      </c>
      <c r="B4780" t="str">
        <f>IFERROR(VLOOKUP(D4780,APOYO!K:L,2,FALSE),A4780)</f>
        <v>23466</v>
      </c>
      <c r="C4780" s="8" t="s">
        <v>883</v>
      </c>
      <c r="D4780" t="str">
        <f>IFERROR(VLOOKUP(C4780,APOYO!J:K,2,FALSE),C4780)</f>
        <v>MONTELÍBANO</v>
      </c>
      <c r="E4780" s="8">
        <v>2019</v>
      </c>
      <c r="F4780" s="8">
        <v>4860</v>
      </c>
      <c r="G4780" s="8"/>
      <c r="H4780" s="8">
        <v>168</v>
      </c>
      <c r="I4780" s="8"/>
      <c r="J4780" s="8"/>
      <c r="K4780" s="8"/>
    </row>
    <row r="4781" spans="1:11" hidden="1" x14ac:dyDescent="0.25">
      <c r="A4781" t="str">
        <f>_xlfn.XLOOKUP(C4781, 'Códigos DANE Municipios'!$B$2:$B$1123, 'Códigos DANE Municipios'!$A$2:$A$1123, "No encontrado")</f>
        <v>63470</v>
      </c>
      <c r="B4781" t="str">
        <f>IFERROR(VLOOKUP(D4781,APOYO!K:L,2,FALSE),A4781)</f>
        <v>63470</v>
      </c>
      <c r="C4781" s="8" t="s">
        <v>1620</v>
      </c>
      <c r="D4781" t="str">
        <f>IFERROR(VLOOKUP(C4781,APOYO!J:K,2,FALSE),C4781)</f>
        <v>MONTENEGRO</v>
      </c>
      <c r="E4781" s="8">
        <v>2019</v>
      </c>
      <c r="F4781" s="8"/>
      <c r="G4781" s="8"/>
      <c r="H4781" s="8">
        <v>556</v>
      </c>
      <c r="I4781" s="8"/>
      <c r="J4781" s="8"/>
      <c r="K4781" s="8"/>
    </row>
    <row r="4782" spans="1:11" hidden="1" x14ac:dyDescent="0.25">
      <c r="A4782" t="str">
        <f>_xlfn.XLOOKUP(C4782, 'Códigos DANE Municipios'!$B$2:$B$1123, 'Códigos DANE Municipios'!$A$2:$A$1123, "No encontrado")</f>
        <v>23001</v>
      </c>
      <c r="B4782" t="str">
        <f>IFERROR(VLOOKUP(D4782,APOYO!K:L,2,FALSE),A4782)</f>
        <v>23001</v>
      </c>
      <c r="C4782" s="8" t="s">
        <v>858</v>
      </c>
      <c r="D4782" t="str">
        <f>IFERROR(VLOOKUP(C4782,APOYO!J:K,2,FALSE),C4782)</f>
        <v>MONTERÍA</v>
      </c>
      <c r="E4782" s="8">
        <v>2019</v>
      </c>
      <c r="F4782" s="8">
        <v>507331</v>
      </c>
      <c r="G4782" s="8">
        <v>6458</v>
      </c>
      <c r="H4782" s="8">
        <v>2478</v>
      </c>
      <c r="I4782" s="8"/>
      <c r="J4782" s="8"/>
      <c r="K4782" s="8"/>
    </row>
    <row r="4783" spans="1:11" hidden="1" x14ac:dyDescent="0.25">
      <c r="A4783" t="str">
        <f>_xlfn.XLOOKUP(C4783, 'Códigos DANE Municipios'!$B$2:$B$1123, 'Códigos DANE Municipios'!$A$2:$A$1123, "No encontrado")</f>
        <v>85162</v>
      </c>
      <c r="B4783" t="str">
        <f>IFERROR(VLOOKUP(D4783,APOYO!K:L,2,FALSE),A4783)</f>
        <v>85162</v>
      </c>
      <c r="C4783" s="8" t="s">
        <v>2060</v>
      </c>
      <c r="D4783" t="str">
        <f>IFERROR(VLOOKUP(C4783,APOYO!J:K,2,FALSE),C4783)</f>
        <v>MONTERREY</v>
      </c>
      <c r="E4783" s="8">
        <v>2019</v>
      </c>
      <c r="F4783" s="8"/>
      <c r="G4783" s="8"/>
      <c r="H4783" s="8">
        <v>20</v>
      </c>
      <c r="I4783" s="8"/>
      <c r="J4783" s="8"/>
      <c r="K4783" s="8"/>
    </row>
    <row r="4784" spans="1:11" hidden="1" x14ac:dyDescent="0.25">
      <c r="A4784" t="str">
        <f>_xlfn.XLOOKUP(C4784, 'Códigos DANE Municipios'!$B$2:$B$1123, 'Códigos DANE Municipios'!$A$2:$A$1123, "No encontrado")</f>
        <v>13473</v>
      </c>
      <c r="B4784" t="str">
        <f>IFERROR(VLOOKUP(D4784,APOYO!K:L,2,FALSE),A4784)</f>
        <v>13473</v>
      </c>
      <c r="C4784" s="8" t="s">
        <v>353</v>
      </c>
      <c r="D4784" t="str">
        <f>IFERROR(VLOOKUP(C4784,APOYO!J:K,2,FALSE),C4784)</f>
        <v>MORALES</v>
      </c>
      <c r="E4784" s="8">
        <v>2019</v>
      </c>
      <c r="F4784" s="8"/>
      <c r="G4784" s="8"/>
      <c r="H4784" s="8">
        <v>5</v>
      </c>
      <c r="I4784" s="8"/>
      <c r="J4784" s="8"/>
      <c r="K4784" s="8"/>
    </row>
    <row r="4785" spans="1:11" hidden="1" x14ac:dyDescent="0.25">
      <c r="A4785" t="str">
        <f>_xlfn.XLOOKUP(C4785, 'Códigos DANE Municipios'!$B$2:$B$1123, 'Códigos DANE Municipios'!$A$2:$A$1123, "No encontrado")</f>
        <v>70473</v>
      </c>
      <c r="B4785" t="str">
        <f>IFERROR(VLOOKUP(D4785,APOYO!K:L,2,FALSE),A4785)</f>
        <v>70473</v>
      </c>
      <c r="C4785" s="8" t="s">
        <v>1840</v>
      </c>
      <c r="D4785" t="str">
        <f>IFERROR(VLOOKUP(C4785,APOYO!J:K,2,FALSE),C4785)</f>
        <v>MORROA</v>
      </c>
      <c r="E4785" s="8">
        <v>2019</v>
      </c>
      <c r="F4785" s="8"/>
      <c r="G4785" s="8"/>
      <c r="H4785" s="8">
        <v>3</v>
      </c>
      <c r="I4785" s="8"/>
      <c r="J4785" s="8"/>
      <c r="K4785" s="8"/>
    </row>
    <row r="4786" spans="1:11" hidden="1" x14ac:dyDescent="0.25">
      <c r="A4786" t="str">
        <f>_xlfn.XLOOKUP(C4786, 'Códigos DANE Municipios'!$B$2:$B$1123, 'Códigos DANE Municipios'!$A$2:$A$1123, "No encontrado")</f>
        <v>18479</v>
      </c>
      <c r="B4786" t="str">
        <f>IFERROR(VLOOKUP(D4786,APOYO!K:L,2,FALSE),A4786)</f>
        <v>18479</v>
      </c>
      <c r="C4786" s="8" t="s">
        <v>716</v>
      </c>
      <c r="D4786" t="str">
        <f>IFERROR(VLOOKUP(C4786,APOYO!J:K,2,FALSE),C4786)</f>
        <v>MORELIA</v>
      </c>
      <c r="E4786" s="8">
        <v>2019</v>
      </c>
      <c r="F4786" s="8"/>
      <c r="G4786" s="8"/>
      <c r="H4786" s="8">
        <v>2</v>
      </c>
      <c r="I4786" s="8"/>
      <c r="J4786" s="8"/>
      <c r="K4786" s="8"/>
    </row>
    <row r="4787" spans="1:11" hidden="1" x14ac:dyDescent="0.25">
      <c r="A4787" t="str">
        <f>_xlfn.XLOOKUP(C4787, 'Códigos DANE Municipios'!$B$2:$B$1123, 'Códigos DANE Municipios'!$A$2:$A$1123, "No encontrado")</f>
        <v>25473</v>
      </c>
      <c r="B4787" t="str">
        <f>IFERROR(VLOOKUP(D4787,APOYO!K:L,2,FALSE),A4787)</f>
        <v>25473</v>
      </c>
      <c r="C4787" s="8" t="s">
        <v>1027</v>
      </c>
      <c r="D4787" t="str">
        <f>IFERROR(VLOOKUP(C4787,APOYO!J:K,2,FALSE),C4787)</f>
        <v>MOSQUERA</v>
      </c>
      <c r="E4787" s="8">
        <v>2019</v>
      </c>
      <c r="F4787" s="8"/>
      <c r="G4787" s="8"/>
      <c r="H4787" s="8">
        <v>613</v>
      </c>
      <c r="I4787" s="8"/>
      <c r="J4787" s="8"/>
      <c r="K4787" s="8"/>
    </row>
    <row r="4788" spans="1:11" hidden="1" x14ac:dyDescent="0.25">
      <c r="A4788" t="str">
        <f>_xlfn.XLOOKUP(C4788, 'Códigos DANE Municipios'!$B$2:$B$1123, 'Códigos DANE Municipios'!$A$2:$A$1123, "No encontrado")</f>
        <v>15476</v>
      </c>
      <c r="B4788" t="str">
        <f>IFERROR(VLOOKUP(D4788,APOYO!K:L,2,FALSE),A4788)</f>
        <v>15476</v>
      </c>
      <c r="C4788" s="8" t="s">
        <v>512</v>
      </c>
      <c r="D4788" t="str">
        <f>IFERROR(VLOOKUP(C4788,APOYO!J:K,2,FALSE),C4788)</f>
        <v>MOTAVITA</v>
      </c>
      <c r="E4788" s="8">
        <v>2019</v>
      </c>
      <c r="F4788" s="8"/>
      <c r="G4788" s="8"/>
      <c r="H4788" s="8">
        <v>2</v>
      </c>
      <c r="I4788" s="8"/>
      <c r="J4788" s="8"/>
      <c r="K4788" s="8"/>
    </row>
    <row r="4789" spans="1:11" hidden="1" x14ac:dyDescent="0.25">
      <c r="A4789" t="str">
        <f>_xlfn.XLOOKUP(C4789, 'Códigos DANE Municipios'!$B$2:$B$1123, 'Códigos DANE Municipios'!$A$2:$A$1123, "No encontrado")</f>
        <v>73461</v>
      </c>
      <c r="B4789" t="str">
        <f>IFERROR(VLOOKUP(D4789,APOYO!K:L,2,FALSE),A4789)</f>
        <v>73461</v>
      </c>
      <c r="C4789" s="8" t="s">
        <v>1919</v>
      </c>
      <c r="D4789" t="str">
        <f>IFERROR(VLOOKUP(C4789,APOYO!J:K,2,FALSE),C4789)</f>
        <v>MURILLO</v>
      </c>
      <c r="E4789" s="8">
        <v>2019</v>
      </c>
      <c r="F4789" s="8"/>
      <c r="G4789" s="8"/>
      <c r="H4789" s="8">
        <v>4</v>
      </c>
      <c r="I4789" s="8"/>
      <c r="J4789" s="8"/>
      <c r="K4789" s="8"/>
    </row>
    <row r="4790" spans="1:11" hidden="1" x14ac:dyDescent="0.25">
      <c r="A4790" t="str">
        <f>_xlfn.XLOOKUP(C4790, 'Códigos DANE Municipios'!$B$2:$B$1123, 'Códigos DANE Municipios'!$A$2:$A$1123, "No encontrado")</f>
        <v>05480</v>
      </c>
      <c r="B4790" t="str">
        <f>IFERROR(VLOOKUP(D4790,APOYO!K:L,2,FALSE),A4790)</f>
        <v>05480</v>
      </c>
      <c r="C4790" s="8" t="s">
        <v>154</v>
      </c>
      <c r="D4790" t="str">
        <f>IFERROR(VLOOKUP(C4790,APOYO!J:K,2,FALSE),C4790)</f>
        <v>MUTATÁ</v>
      </c>
      <c r="E4790" s="8">
        <v>2019</v>
      </c>
      <c r="F4790" s="8"/>
      <c r="G4790" s="8"/>
      <c r="H4790" s="8">
        <v>15</v>
      </c>
      <c r="I4790" s="8"/>
      <c r="J4790" s="8"/>
      <c r="K4790" s="8"/>
    </row>
    <row r="4791" spans="1:11" hidden="1" x14ac:dyDescent="0.25">
      <c r="A4791" t="str">
        <f>_xlfn.XLOOKUP(C4791, 'Códigos DANE Municipios'!$B$2:$B$1123, 'Códigos DANE Municipios'!$A$2:$A$1123, "No encontrado")</f>
        <v>15480</v>
      </c>
      <c r="B4791" t="str">
        <f>IFERROR(VLOOKUP(D4791,APOYO!K:L,2,FALSE),A4791)</f>
        <v>15480</v>
      </c>
      <c r="C4791" s="8" t="s">
        <v>514</v>
      </c>
      <c r="D4791" t="str">
        <f>IFERROR(VLOOKUP(C4791,APOYO!J:K,2,FALSE),C4791)</f>
        <v>MUZO</v>
      </c>
      <c r="E4791" s="8">
        <v>2019</v>
      </c>
      <c r="F4791" s="8"/>
      <c r="G4791" s="8"/>
      <c r="H4791" s="8">
        <v>21</v>
      </c>
      <c r="I4791" s="8"/>
      <c r="J4791" s="8"/>
      <c r="K4791" s="8"/>
    </row>
    <row r="4792" spans="1:11" hidden="1" x14ac:dyDescent="0.25">
      <c r="A4792" t="str">
        <f>_xlfn.XLOOKUP(C4792, 'Códigos DANE Municipios'!$B$2:$B$1123, 'Códigos DANE Municipios'!$A$2:$A$1123, "No encontrado")</f>
        <v>05483</v>
      </c>
      <c r="B4792" t="str">
        <f>IFERROR(VLOOKUP(D4792,APOYO!K:L,2,FALSE),A4792)</f>
        <v>05483</v>
      </c>
      <c r="C4792" s="8" t="s">
        <v>156</v>
      </c>
      <c r="D4792" t="str">
        <f>IFERROR(VLOOKUP(C4792,APOYO!J:K,2,FALSE),C4792)</f>
        <v>NARIÑO</v>
      </c>
      <c r="E4792" s="8">
        <v>2019</v>
      </c>
      <c r="F4792" s="8"/>
      <c r="G4792" s="8"/>
      <c r="H4792" s="8">
        <v>37</v>
      </c>
      <c r="I4792" s="8"/>
      <c r="J4792" s="8"/>
      <c r="K4792" s="8"/>
    </row>
    <row r="4793" spans="1:11" hidden="1" x14ac:dyDescent="0.25">
      <c r="A4793" t="str">
        <f>_xlfn.XLOOKUP(C4793, 'Códigos DANE Municipios'!$B$2:$B$1123, 'Códigos DANE Municipios'!$A$2:$A$1123, "No encontrado")</f>
        <v>41483</v>
      </c>
      <c r="B4793" t="str">
        <f>IFERROR(VLOOKUP(D4793,APOYO!K:L,2,FALSE),A4793)</f>
        <v>41483</v>
      </c>
      <c r="C4793" t="s">
        <v>1236</v>
      </c>
      <c r="D4793" t="str">
        <f>IFERROR(VLOOKUP(C4793,APOYO!J:K,2,FALSE),C4793)</f>
        <v>NÁTAGA</v>
      </c>
      <c r="E4793">
        <v>2019</v>
      </c>
      <c r="H4793">
        <v>3</v>
      </c>
    </row>
    <row r="4794" spans="1:11" hidden="1" x14ac:dyDescent="0.25">
      <c r="A4794" t="str">
        <f>_xlfn.XLOOKUP(C4794, 'Códigos DANE Municipios'!$B$2:$B$1123, 'Códigos DANE Municipios'!$A$2:$A$1123, "No encontrado")</f>
        <v>73483</v>
      </c>
      <c r="B4794" t="str">
        <f>IFERROR(VLOOKUP(D4794,APOYO!K:L,2,FALSE),A4794)</f>
        <v>73483</v>
      </c>
      <c r="C4794" s="8" t="s">
        <v>1921</v>
      </c>
      <c r="D4794" t="str">
        <f>IFERROR(VLOOKUP(C4794,APOYO!J:K,2,FALSE),C4794)</f>
        <v>NATAGAIMA</v>
      </c>
      <c r="E4794" s="8">
        <v>2019</v>
      </c>
      <c r="F4794" s="8">
        <v>186</v>
      </c>
      <c r="G4794" s="8"/>
      <c r="H4794" s="8">
        <v>8</v>
      </c>
      <c r="I4794" s="8"/>
      <c r="J4794" s="8"/>
      <c r="K4794" s="8"/>
    </row>
    <row r="4795" spans="1:11" hidden="1" x14ac:dyDescent="0.25">
      <c r="A4795" t="str">
        <f>_xlfn.XLOOKUP(C4795, 'Códigos DANE Municipios'!$B$2:$B$1123, 'Códigos DANE Municipios'!$A$2:$A$1123, "No encontrado")</f>
        <v>05490</v>
      </c>
      <c r="B4795" t="str">
        <f>IFERROR(VLOOKUP(D4795,APOYO!K:L,2,FALSE),A4795)</f>
        <v>05490</v>
      </c>
      <c r="C4795" s="8" t="s">
        <v>158</v>
      </c>
      <c r="D4795" t="str">
        <f>IFERROR(VLOOKUP(C4795,APOYO!J:K,2,FALSE),C4795)</f>
        <v>NECOCLÍ</v>
      </c>
      <c r="E4795" s="8">
        <v>2019</v>
      </c>
      <c r="F4795" s="8"/>
      <c r="G4795" s="8"/>
      <c r="H4795" s="8">
        <v>39</v>
      </c>
      <c r="I4795" s="8"/>
      <c r="J4795" s="8"/>
      <c r="K4795" s="8"/>
    </row>
    <row r="4796" spans="1:11" hidden="1" x14ac:dyDescent="0.25">
      <c r="A4796" t="str">
        <f>_xlfn.XLOOKUP(C4796, 'Códigos DANE Municipios'!$B$2:$B$1123, 'Códigos DANE Municipios'!$A$2:$A$1123, "No encontrado")</f>
        <v>17486</v>
      </c>
      <c r="B4796" t="str">
        <f>IFERROR(VLOOKUP(D4796,APOYO!K:L,2,FALSE),A4796)</f>
        <v>17486</v>
      </c>
      <c r="C4796" s="8" t="s">
        <v>670</v>
      </c>
      <c r="D4796" t="str">
        <f>IFERROR(VLOOKUP(C4796,APOYO!J:K,2,FALSE),C4796)</f>
        <v>NEIRA</v>
      </c>
      <c r="E4796" s="8">
        <v>2019</v>
      </c>
      <c r="F4796" s="8"/>
      <c r="G4796" s="8"/>
      <c r="H4796" s="8">
        <v>77</v>
      </c>
      <c r="I4796" s="8"/>
      <c r="J4796" s="8"/>
      <c r="K4796" s="8"/>
    </row>
    <row r="4797" spans="1:11" hidden="1" x14ac:dyDescent="0.25">
      <c r="A4797" t="str">
        <f>_xlfn.XLOOKUP(C4797, 'Códigos DANE Municipios'!$B$2:$B$1123, 'Códigos DANE Municipios'!$A$2:$A$1123, "No encontrado")</f>
        <v>41001</v>
      </c>
      <c r="B4797" t="str">
        <f>IFERROR(VLOOKUP(D4797,APOYO!K:L,2,FALSE),A4797)</f>
        <v>41001</v>
      </c>
      <c r="C4797" s="8" t="s">
        <v>1201</v>
      </c>
      <c r="D4797" t="str">
        <f>IFERROR(VLOOKUP(C4797,APOYO!J:K,2,FALSE),C4797)</f>
        <v>NEIVA</v>
      </c>
      <c r="E4797" s="8">
        <v>2019</v>
      </c>
      <c r="F4797" s="8">
        <v>152701</v>
      </c>
      <c r="G4797" s="8">
        <v>1929</v>
      </c>
      <c r="H4797" s="8">
        <v>3326</v>
      </c>
      <c r="I4797" s="8"/>
      <c r="J4797" s="8"/>
      <c r="K4797" s="8"/>
    </row>
    <row r="4798" spans="1:11" hidden="1" x14ac:dyDescent="0.25">
      <c r="A4798" t="str">
        <f>_xlfn.XLOOKUP(C4798, 'Códigos DANE Municipios'!$B$2:$B$1123, 'Códigos DANE Municipios'!$A$2:$A$1123, "No encontrado")</f>
        <v>25486</v>
      </c>
      <c r="B4798" t="str">
        <f>IFERROR(VLOOKUP(D4798,APOYO!K:L,2,FALSE),A4798)</f>
        <v>25486</v>
      </c>
      <c r="C4798" s="8" t="s">
        <v>1030</v>
      </c>
      <c r="D4798" t="str">
        <f>IFERROR(VLOOKUP(C4798,APOYO!J:K,2,FALSE),C4798)</f>
        <v>NEMOCÓN</v>
      </c>
      <c r="E4798" s="8">
        <v>2019</v>
      </c>
      <c r="F4798" s="8"/>
      <c r="G4798" s="8"/>
      <c r="H4798" s="8">
        <v>19</v>
      </c>
      <c r="I4798" s="8"/>
      <c r="J4798" s="8"/>
      <c r="K4798" s="8"/>
    </row>
    <row r="4799" spans="1:11" hidden="1" x14ac:dyDescent="0.25">
      <c r="A4799" t="str">
        <f>_xlfn.XLOOKUP(C4799, 'Códigos DANE Municipios'!$B$2:$B$1123, 'Códigos DANE Municipios'!$A$2:$A$1123, "No encontrado")</f>
        <v>25488</v>
      </c>
      <c r="B4799" t="str">
        <f>IFERROR(VLOOKUP(D4799,APOYO!K:L,2,FALSE),A4799)</f>
        <v>25488</v>
      </c>
      <c r="C4799" s="8" t="s">
        <v>1032</v>
      </c>
      <c r="D4799" t="str">
        <f>IFERROR(VLOOKUP(C4799,APOYO!J:K,2,FALSE),C4799)</f>
        <v>NILO</v>
      </c>
      <c r="E4799" s="8">
        <v>2019</v>
      </c>
      <c r="F4799" s="8"/>
      <c r="G4799" s="8"/>
      <c r="H4799" s="8">
        <v>21</v>
      </c>
      <c r="I4799" s="8"/>
      <c r="J4799" s="8"/>
      <c r="K4799" s="8"/>
    </row>
    <row r="4800" spans="1:11" hidden="1" x14ac:dyDescent="0.25">
      <c r="A4800" t="str">
        <f>_xlfn.XLOOKUP(C4800, 'Códigos DANE Municipios'!$B$2:$B$1123, 'Códigos DANE Municipios'!$A$2:$A$1123, "No encontrado")</f>
        <v>25489</v>
      </c>
      <c r="B4800" t="str">
        <f>IFERROR(VLOOKUP(D4800,APOYO!K:L,2,FALSE),A4800)</f>
        <v>25489</v>
      </c>
      <c r="C4800" s="8" t="s">
        <v>1034</v>
      </c>
      <c r="D4800" t="str">
        <f>IFERROR(VLOOKUP(C4800,APOYO!J:K,2,FALSE),C4800)</f>
        <v>NIMAIMA</v>
      </c>
      <c r="E4800" s="8">
        <v>2019</v>
      </c>
      <c r="F4800" s="8"/>
      <c r="G4800" s="8"/>
      <c r="H4800" s="8">
        <v>1</v>
      </c>
      <c r="I4800" s="8"/>
      <c r="J4800" s="8"/>
      <c r="K4800" s="8"/>
    </row>
    <row r="4801" spans="1:11" hidden="1" x14ac:dyDescent="0.25">
      <c r="A4801" t="str">
        <f>_xlfn.XLOOKUP(C4801, 'Códigos DANE Municipios'!$B$2:$B$1123, 'Códigos DANE Municipios'!$A$2:$A$1123, "No encontrado")</f>
        <v>15491</v>
      </c>
      <c r="B4801" t="str">
        <f>IFERROR(VLOOKUP(D4801,APOYO!K:L,2,FALSE),A4801)</f>
        <v>15491</v>
      </c>
      <c r="C4801" s="8" t="s">
        <v>516</v>
      </c>
      <c r="D4801" t="str">
        <f>IFERROR(VLOOKUP(C4801,APOYO!J:K,2,FALSE),C4801)</f>
        <v>NOBSA</v>
      </c>
      <c r="E4801" s="8">
        <v>2019</v>
      </c>
      <c r="F4801" s="8"/>
      <c r="G4801" s="8"/>
      <c r="H4801" s="8">
        <v>84</v>
      </c>
      <c r="I4801" s="8"/>
      <c r="J4801" s="8"/>
      <c r="K4801" s="8"/>
    </row>
    <row r="4802" spans="1:11" hidden="1" x14ac:dyDescent="0.25">
      <c r="A4802" t="str">
        <f>_xlfn.XLOOKUP(C4802, 'Códigos DANE Municipios'!$B$2:$B$1123, 'Códigos DANE Municipios'!$A$2:$A$1123, "No encontrado")</f>
        <v>25491</v>
      </c>
      <c r="B4802" t="str">
        <f>IFERROR(VLOOKUP(D4802,APOYO!K:L,2,FALSE),A4802)</f>
        <v>25491</v>
      </c>
      <c r="C4802" s="8" t="s">
        <v>1036</v>
      </c>
      <c r="D4802" t="str">
        <f>IFERROR(VLOOKUP(C4802,APOYO!J:K,2,FALSE),C4802)</f>
        <v>NOCAIMA</v>
      </c>
      <c r="E4802" s="8">
        <v>2019</v>
      </c>
      <c r="F4802" s="8"/>
      <c r="G4802" s="8"/>
      <c r="H4802" s="8">
        <v>3</v>
      </c>
      <c r="I4802" s="8"/>
      <c r="J4802" s="8"/>
      <c r="K4802" s="8"/>
    </row>
    <row r="4803" spans="1:11" hidden="1" x14ac:dyDescent="0.25">
      <c r="A4803" t="str">
        <f>_xlfn.XLOOKUP(C4803, 'Códigos DANE Municipios'!$B$2:$B$1123, 'Códigos DANE Municipios'!$A$2:$A$1123, "No encontrado")</f>
        <v>17495</v>
      </c>
      <c r="B4803" t="str">
        <f>IFERROR(VLOOKUP(D4803,APOYO!K:L,2,FALSE),A4803)</f>
        <v>17495</v>
      </c>
      <c r="C4803" s="8" t="s">
        <v>672</v>
      </c>
      <c r="D4803" t="str">
        <f>IFERROR(VLOOKUP(C4803,APOYO!J:K,2,FALSE),C4803)</f>
        <v>NORCASIA</v>
      </c>
      <c r="E4803" s="8">
        <v>2019</v>
      </c>
      <c r="F4803" s="8"/>
      <c r="G4803" s="8"/>
      <c r="H4803" s="8">
        <v>9</v>
      </c>
      <c r="I4803" s="8"/>
      <c r="J4803" s="8"/>
      <c r="K4803" s="8"/>
    </row>
    <row r="4804" spans="1:11" hidden="1" x14ac:dyDescent="0.25">
      <c r="A4804" t="str">
        <f>_xlfn.XLOOKUP(C4804, 'Códigos DANE Municipios'!$B$2:$B$1123, 'Códigos DANE Municipios'!$A$2:$A$1123, "No encontrado")</f>
        <v>15494</v>
      </c>
      <c r="B4804" t="str">
        <f>IFERROR(VLOOKUP(D4804,APOYO!K:L,2,FALSE),A4804)</f>
        <v>15494</v>
      </c>
      <c r="C4804" s="8" t="s">
        <v>518</v>
      </c>
      <c r="D4804" t="str">
        <f>IFERROR(VLOOKUP(C4804,APOYO!J:K,2,FALSE),C4804)</f>
        <v>NUEVO COLÓN</v>
      </c>
      <c r="E4804" s="8">
        <v>2019</v>
      </c>
      <c r="F4804" s="8"/>
      <c r="G4804" s="8"/>
      <c r="H4804" s="8">
        <v>1</v>
      </c>
      <c r="I4804" s="8"/>
      <c r="J4804" s="8"/>
      <c r="K4804" s="8"/>
    </row>
    <row r="4805" spans="1:11" hidden="1" x14ac:dyDescent="0.25">
      <c r="A4805" t="str">
        <f>_xlfn.XLOOKUP(C4805, 'Códigos DANE Municipios'!$B$2:$B$1123, 'Códigos DANE Municipios'!$A$2:$A$1123, "No encontrado")</f>
        <v>85225</v>
      </c>
      <c r="B4805" t="str">
        <f>IFERROR(VLOOKUP(D4805,APOYO!K:L,2,FALSE),A4805)</f>
        <v>85225</v>
      </c>
      <c r="C4805" s="8" t="s">
        <v>2062</v>
      </c>
      <c r="D4805" t="str">
        <f>IFERROR(VLOOKUP(C4805,APOYO!J:K,2,FALSE),C4805)</f>
        <v>NUNCHÍA</v>
      </c>
      <c r="E4805" s="8">
        <v>2019</v>
      </c>
      <c r="F4805" s="8"/>
      <c r="G4805" s="8"/>
      <c r="H4805" s="8">
        <v>496</v>
      </c>
      <c r="I4805" s="8"/>
      <c r="J4805" s="8"/>
      <c r="K4805" s="8"/>
    </row>
    <row r="4806" spans="1:11" hidden="1" x14ac:dyDescent="0.25">
      <c r="A4806" t="str">
        <f>_xlfn.XLOOKUP(C4806, 'Códigos DANE Municipios'!$B$2:$B$1123, 'Códigos DANE Municipios'!$A$2:$A$1123, "No encontrado")</f>
        <v>27495</v>
      </c>
      <c r="B4806" t="str">
        <f>IFERROR(VLOOKUP(D4806,APOYO!K:L,2,FALSE),A4806)</f>
        <v>27495</v>
      </c>
      <c r="C4806" s="8" t="s">
        <v>1184</v>
      </c>
      <c r="D4806" t="str">
        <f>IFERROR(VLOOKUP(C4806,APOYO!J:K,2,FALSE),C4806)</f>
        <v>NUQUÍ</v>
      </c>
      <c r="E4806" s="8">
        <v>2019</v>
      </c>
      <c r="F4806" s="8">
        <v>20986</v>
      </c>
      <c r="G4806" s="8"/>
      <c r="H4806" s="8">
        <v>40</v>
      </c>
      <c r="I4806" s="8">
        <v>8630</v>
      </c>
      <c r="J4806" s="8"/>
      <c r="K4806" s="8"/>
    </row>
    <row r="4807" spans="1:11" hidden="1" x14ac:dyDescent="0.25">
      <c r="A4807" t="str">
        <f>_xlfn.XLOOKUP(C4807, 'Códigos DANE Municipios'!$B$2:$B$1123, 'Códigos DANE Municipios'!$A$2:$A$1123, "No encontrado")</f>
        <v>76497</v>
      </c>
      <c r="B4807" t="str">
        <f>IFERROR(VLOOKUP(D4807,APOYO!K:L,2,FALSE),A4807)</f>
        <v>76497</v>
      </c>
      <c r="C4807" s="8" t="s">
        <v>2002</v>
      </c>
      <c r="D4807" t="str">
        <f>IFERROR(VLOOKUP(C4807,APOYO!J:K,2,FALSE),C4807)</f>
        <v>OBANDO</v>
      </c>
      <c r="E4807" s="8">
        <v>2019</v>
      </c>
      <c r="F4807" s="8"/>
      <c r="G4807" s="8"/>
      <c r="H4807" s="8">
        <v>38</v>
      </c>
      <c r="I4807" s="8"/>
      <c r="J4807" s="8"/>
      <c r="K4807" s="8"/>
    </row>
    <row r="4808" spans="1:11" hidden="1" x14ac:dyDescent="0.25">
      <c r="A4808" t="str">
        <f>_xlfn.XLOOKUP(C4808, 'Códigos DANE Municipios'!$B$2:$B$1123, 'Códigos DANE Municipios'!$A$2:$A$1123, "No encontrado")</f>
        <v>68498</v>
      </c>
      <c r="B4808" t="str">
        <f>IFERROR(VLOOKUP(D4808,APOYO!K:L,2,FALSE),A4808)</f>
        <v>68498</v>
      </c>
      <c r="C4808" s="8" t="s">
        <v>1754</v>
      </c>
      <c r="D4808" t="str">
        <f>IFERROR(VLOOKUP(C4808,APOYO!J:K,2,FALSE),C4808)</f>
        <v>OCAMONTE</v>
      </c>
      <c r="E4808" s="8">
        <v>2019</v>
      </c>
      <c r="F4808" s="8"/>
      <c r="G4808" s="8"/>
      <c r="H4808" s="8"/>
      <c r="I4808" s="8"/>
      <c r="J4808" s="8"/>
      <c r="K4808" s="8"/>
    </row>
    <row r="4809" spans="1:11" hidden="1" x14ac:dyDescent="0.25">
      <c r="A4809" t="str">
        <f>_xlfn.XLOOKUP(C4809, 'Códigos DANE Municipios'!$B$2:$B$1123, 'Códigos DANE Municipios'!$A$2:$A$1123, "No encontrado")</f>
        <v>54498</v>
      </c>
      <c r="B4809" t="str">
        <f>IFERROR(VLOOKUP(D4809,APOYO!K:L,2,FALSE),A4809)</f>
        <v>54498</v>
      </c>
      <c r="C4809" s="8" t="s">
        <v>1577</v>
      </c>
      <c r="D4809" t="str">
        <f>IFERROR(VLOOKUP(C4809,APOYO!J:K,2,FALSE),C4809)</f>
        <v>OCAÑA</v>
      </c>
      <c r="E4809" s="8">
        <v>2019</v>
      </c>
      <c r="F4809" s="8">
        <v>184</v>
      </c>
      <c r="G4809" s="8"/>
      <c r="H4809" s="8">
        <v>150</v>
      </c>
      <c r="I4809" s="8"/>
      <c r="J4809" s="8"/>
      <c r="K4809" s="8"/>
    </row>
    <row r="4810" spans="1:11" hidden="1" x14ac:dyDescent="0.25">
      <c r="A4810" t="str">
        <f>_xlfn.XLOOKUP(C4810, 'Códigos DANE Municipios'!$B$2:$B$1123, 'Códigos DANE Municipios'!$A$2:$A$1123, "No encontrado")</f>
        <v>68500</v>
      </c>
      <c r="B4810" t="str">
        <f>IFERROR(VLOOKUP(D4810,APOYO!K:L,2,FALSE),A4810)</f>
        <v>68500</v>
      </c>
      <c r="C4810" s="8" t="s">
        <v>1756</v>
      </c>
      <c r="D4810" t="str">
        <f>IFERROR(VLOOKUP(C4810,APOYO!J:K,2,FALSE),C4810)</f>
        <v>OIBA</v>
      </c>
      <c r="E4810" s="8">
        <v>2019</v>
      </c>
      <c r="F4810" s="8"/>
      <c r="G4810" s="8"/>
      <c r="H4810" s="8">
        <v>35</v>
      </c>
      <c r="I4810" s="8"/>
      <c r="J4810" s="8"/>
      <c r="K4810" s="8"/>
    </row>
    <row r="4811" spans="1:11" hidden="1" x14ac:dyDescent="0.25">
      <c r="A4811" t="str">
        <f>_xlfn.XLOOKUP(C4811, 'Códigos DANE Municipios'!$B$2:$B$1123, 'Códigos DANE Municipios'!$A$2:$A$1123, "No encontrado")</f>
        <v>15500</v>
      </c>
      <c r="B4811" t="str">
        <f>IFERROR(VLOOKUP(D4811,APOYO!K:L,2,FALSE),A4811)</f>
        <v>15500</v>
      </c>
      <c r="C4811" t="s">
        <v>520</v>
      </c>
      <c r="D4811" t="str">
        <f>IFERROR(VLOOKUP(C4811,APOYO!J:K,2,FALSE),C4811)</f>
        <v>OICATÁ</v>
      </c>
      <c r="E4811">
        <v>2019</v>
      </c>
      <c r="H4811">
        <v>1</v>
      </c>
    </row>
    <row r="4812" spans="1:11" hidden="1" x14ac:dyDescent="0.25">
      <c r="A4812" t="str">
        <f>_xlfn.XLOOKUP(C4812, 'Códigos DANE Municipios'!$B$2:$B$1123, 'Códigos DANE Municipios'!$A$2:$A$1123, "No encontrado")</f>
        <v>05501</v>
      </c>
      <c r="B4812" t="str">
        <f>IFERROR(VLOOKUP(D4812,APOYO!K:L,2,FALSE),A4812)</f>
        <v>05501</v>
      </c>
      <c r="C4812" s="8" t="s">
        <v>162</v>
      </c>
      <c r="D4812" t="str">
        <f>IFERROR(VLOOKUP(C4812,APOYO!J:K,2,FALSE),C4812)</f>
        <v>OLAYA</v>
      </c>
      <c r="E4812" s="8">
        <v>2019</v>
      </c>
      <c r="F4812" s="8"/>
      <c r="G4812" s="8"/>
      <c r="H4812" s="8">
        <v>18</v>
      </c>
      <c r="I4812" s="8"/>
      <c r="J4812" s="8"/>
      <c r="K4812" s="8"/>
    </row>
    <row r="4813" spans="1:11" hidden="1" x14ac:dyDescent="0.25">
      <c r="A4813" t="str">
        <f>_xlfn.XLOOKUP(C4813, 'Códigos DANE Municipios'!$B$2:$B$1123, 'Códigos DANE Municipios'!$A$2:$A$1123, "No encontrado")</f>
        <v>68502</v>
      </c>
      <c r="B4813" t="str">
        <f>IFERROR(VLOOKUP(D4813,APOYO!K:L,2,FALSE),A4813)</f>
        <v>68502</v>
      </c>
      <c r="C4813" s="8" t="s">
        <v>1758</v>
      </c>
      <c r="D4813" t="str">
        <f>IFERROR(VLOOKUP(C4813,APOYO!J:K,2,FALSE),C4813)</f>
        <v>ONZAGA</v>
      </c>
      <c r="E4813" s="8">
        <v>2019</v>
      </c>
      <c r="F4813" s="8"/>
      <c r="G4813" s="8"/>
      <c r="H4813" s="8"/>
      <c r="I4813" s="8"/>
      <c r="J4813" s="8"/>
      <c r="K4813" s="8"/>
    </row>
    <row r="4814" spans="1:11" hidden="1" x14ac:dyDescent="0.25">
      <c r="A4814" t="str">
        <f>_xlfn.XLOOKUP(C4814, 'Códigos DANE Municipios'!$B$2:$B$1123, 'Códigos DANE Municipios'!$A$2:$A$1123, "No encontrado")</f>
        <v>41503</v>
      </c>
      <c r="B4814" t="str">
        <f>IFERROR(VLOOKUP(D4814,APOYO!K:L,2,FALSE),A4814)</f>
        <v>41503</v>
      </c>
      <c r="C4814" s="8" t="s">
        <v>1238</v>
      </c>
      <c r="D4814" t="str">
        <f>IFERROR(VLOOKUP(C4814,APOYO!J:K,2,FALSE),C4814)</f>
        <v>OPORAPA</v>
      </c>
      <c r="E4814" s="8">
        <v>2019</v>
      </c>
      <c r="F4814" s="8"/>
      <c r="G4814" s="8"/>
      <c r="H4814" s="8">
        <v>2</v>
      </c>
      <c r="I4814" s="8"/>
      <c r="J4814" s="8"/>
      <c r="K4814" s="8"/>
    </row>
    <row r="4815" spans="1:11" hidden="1" x14ac:dyDescent="0.25">
      <c r="A4815" t="str">
        <f>_xlfn.XLOOKUP(C4815, 'Códigos DANE Municipios'!$B$2:$B$1123, 'Códigos DANE Municipios'!$A$2:$A$1123, "No encontrado")</f>
        <v>86320</v>
      </c>
      <c r="B4815" t="str">
        <f>IFERROR(VLOOKUP(D4815,APOYO!K:L,2,FALSE),A4815)</f>
        <v>86320</v>
      </c>
      <c r="C4815" s="8" t="s">
        <v>2087</v>
      </c>
      <c r="D4815" t="str">
        <f>IFERROR(VLOOKUP(C4815,APOYO!J:K,2,FALSE),C4815)</f>
        <v>ORITO</v>
      </c>
      <c r="E4815" s="8">
        <v>2019</v>
      </c>
      <c r="F4815" s="8"/>
      <c r="G4815" s="8"/>
      <c r="H4815" s="8">
        <v>50</v>
      </c>
      <c r="I4815" s="8"/>
      <c r="J4815" s="8"/>
      <c r="K4815" s="8"/>
    </row>
    <row r="4816" spans="1:11" hidden="1" x14ac:dyDescent="0.25">
      <c r="A4816" t="str">
        <f>_xlfn.XLOOKUP(C4816, 'Códigos DANE Municipios'!$B$2:$B$1123, 'Códigos DANE Municipios'!$A$2:$A$1123, "No encontrado")</f>
        <v>85230</v>
      </c>
      <c r="B4816" t="str">
        <f>IFERROR(VLOOKUP(D4816,APOYO!K:L,2,FALSE),A4816)</f>
        <v>85230</v>
      </c>
      <c r="C4816" t="s">
        <v>2064</v>
      </c>
      <c r="D4816" t="str">
        <f>IFERROR(VLOOKUP(C4816,APOYO!J:K,2,FALSE),C4816)</f>
        <v>OROCUÉ</v>
      </c>
      <c r="E4816">
        <v>2019</v>
      </c>
      <c r="F4816">
        <v>768</v>
      </c>
      <c r="H4816">
        <v>1</v>
      </c>
    </row>
    <row r="4817" spans="1:11" hidden="1" x14ac:dyDescent="0.25">
      <c r="A4817" t="str">
        <f>_xlfn.XLOOKUP(C4817, 'Códigos DANE Municipios'!$B$2:$B$1123, 'Códigos DANE Municipios'!$A$2:$A$1123, "No encontrado")</f>
        <v>73504</v>
      </c>
      <c r="B4817" t="str">
        <f>IFERROR(VLOOKUP(D4817,APOYO!K:L,2,FALSE),A4817)</f>
        <v>73504</v>
      </c>
      <c r="C4817" s="8" t="s">
        <v>1923</v>
      </c>
      <c r="D4817" t="str">
        <f>IFERROR(VLOOKUP(C4817,APOYO!J:K,2,FALSE),C4817)</f>
        <v>ORTEGA</v>
      </c>
      <c r="E4817" s="8">
        <v>2019</v>
      </c>
      <c r="F4817" s="8"/>
      <c r="G4817" s="8"/>
      <c r="H4817" s="8">
        <v>7</v>
      </c>
      <c r="I4817" s="8"/>
      <c r="J4817" s="8"/>
      <c r="K4817" s="8"/>
    </row>
    <row r="4818" spans="1:11" hidden="1" x14ac:dyDescent="0.25">
      <c r="A4818" t="str">
        <f>_xlfn.XLOOKUP(C4818, 'Códigos DANE Municipios'!$B$2:$B$1123, 'Códigos DANE Municipios'!$A$2:$A$1123, "No encontrado")</f>
        <v>15507</v>
      </c>
      <c r="B4818" t="str">
        <f>IFERROR(VLOOKUP(D4818,APOYO!K:L,2,FALSE),A4818)</f>
        <v>15507</v>
      </c>
      <c r="C4818" s="8" t="s">
        <v>522</v>
      </c>
      <c r="D4818" t="str">
        <f>IFERROR(VLOOKUP(C4818,APOYO!J:K,2,FALSE),C4818)</f>
        <v>OTANCHE</v>
      </c>
      <c r="E4818" s="8">
        <v>2019</v>
      </c>
      <c r="F4818" s="8"/>
      <c r="G4818" s="8"/>
      <c r="H4818" s="8">
        <v>11</v>
      </c>
      <c r="I4818" s="8"/>
      <c r="J4818" s="8"/>
      <c r="K4818" s="8"/>
    </row>
    <row r="4819" spans="1:11" hidden="1" x14ac:dyDescent="0.25">
      <c r="A4819" t="str">
        <f>_xlfn.XLOOKUP(C4819, 'Códigos DANE Municipios'!$B$2:$B$1123, 'Códigos DANE Municipios'!$A$2:$A$1123, "No encontrado")</f>
        <v>70508</v>
      </c>
      <c r="B4819" t="str">
        <f>IFERROR(VLOOKUP(D4819,APOYO!K:L,2,FALSE),A4819)</f>
        <v>70508</v>
      </c>
      <c r="C4819" s="8" t="s">
        <v>1842</v>
      </c>
      <c r="D4819" t="str">
        <f>IFERROR(VLOOKUP(C4819,APOYO!J:K,2,FALSE),C4819)</f>
        <v>OVEJAS</v>
      </c>
      <c r="E4819" s="8">
        <v>2019</v>
      </c>
      <c r="F4819" s="8"/>
      <c r="G4819" s="8"/>
      <c r="H4819" s="8">
        <v>3</v>
      </c>
      <c r="I4819" s="8"/>
      <c r="J4819" s="8"/>
      <c r="K4819" s="8"/>
    </row>
    <row r="4820" spans="1:11" hidden="1" x14ac:dyDescent="0.25">
      <c r="A4820" t="str">
        <f>_xlfn.XLOOKUP(C4820, 'Códigos DANE Municipios'!$B$2:$B$1123, 'Códigos DANE Municipios'!$A$2:$A$1123, "No encontrado")</f>
        <v>25513</v>
      </c>
      <c r="B4820" t="str">
        <f>IFERROR(VLOOKUP(D4820,APOYO!K:L,2,FALSE),A4820)</f>
        <v>25513</v>
      </c>
      <c r="C4820" s="8" t="s">
        <v>1039</v>
      </c>
      <c r="D4820" t="str">
        <f>IFERROR(VLOOKUP(C4820,APOYO!J:K,2,FALSE),C4820)</f>
        <v>PACHO</v>
      </c>
      <c r="E4820" s="8">
        <v>2019</v>
      </c>
      <c r="F4820" s="8"/>
      <c r="G4820" s="8"/>
      <c r="H4820" s="8">
        <v>87</v>
      </c>
      <c r="I4820" s="8"/>
      <c r="J4820" s="8"/>
      <c r="K4820" s="8"/>
    </row>
    <row r="4821" spans="1:11" hidden="1" x14ac:dyDescent="0.25">
      <c r="A4821" t="str">
        <f>_xlfn.XLOOKUP(C4821, 'Códigos DANE Municipios'!$B$2:$B$1123, 'Códigos DANE Municipios'!$A$2:$A$1123, "No encontrado")</f>
        <v>17513</v>
      </c>
      <c r="B4821" t="str">
        <f>IFERROR(VLOOKUP(D4821,APOYO!K:L,2,FALSE),A4821)</f>
        <v>17513</v>
      </c>
      <c r="C4821" s="8" t="s">
        <v>674</v>
      </c>
      <c r="D4821" t="str">
        <f>IFERROR(VLOOKUP(C4821,APOYO!J:K,2,FALSE),C4821)</f>
        <v>PÁCORA</v>
      </c>
      <c r="E4821" s="8">
        <v>2019</v>
      </c>
      <c r="F4821" s="8"/>
      <c r="G4821" s="8"/>
      <c r="H4821" s="8">
        <v>15</v>
      </c>
      <c r="I4821" s="8"/>
      <c r="J4821" s="8"/>
      <c r="K4821" s="8"/>
    </row>
    <row r="4822" spans="1:11" hidden="1" x14ac:dyDescent="0.25">
      <c r="A4822" t="str">
        <f>_xlfn.XLOOKUP(C4822, 'Códigos DANE Municipios'!$B$2:$B$1123, 'Códigos DANE Municipios'!$A$2:$A$1123, "No encontrado")</f>
        <v>19513</v>
      </c>
      <c r="B4822" t="str">
        <f>IFERROR(VLOOKUP(D4822,APOYO!K:L,2,FALSE),A4822)</f>
        <v>19513</v>
      </c>
      <c r="C4822" s="8" t="s">
        <v>770</v>
      </c>
      <c r="D4822" t="str">
        <f>IFERROR(VLOOKUP(C4822,APOYO!J:K,2,FALSE),C4822)</f>
        <v>PADILLA</v>
      </c>
      <c r="E4822" s="8">
        <v>2019</v>
      </c>
      <c r="F4822" s="8">
        <v>51</v>
      </c>
      <c r="G4822" s="8"/>
      <c r="H4822" s="8">
        <v>4</v>
      </c>
      <c r="I4822" s="8"/>
      <c r="J4822" s="8"/>
      <c r="K4822" s="8"/>
    </row>
    <row r="4823" spans="1:11" hidden="1" x14ac:dyDescent="0.25">
      <c r="A4823" t="str">
        <f>_xlfn.XLOOKUP(C4823, 'Códigos DANE Municipios'!$B$2:$B$1123, 'Códigos DANE Municipios'!$A$2:$A$1123, "No encontrado")</f>
        <v>20517</v>
      </c>
      <c r="B4823" t="str">
        <f>IFERROR(VLOOKUP(D4823,APOYO!K:L,2,FALSE),A4823)</f>
        <v>20517</v>
      </c>
      <c r="C4823" s="8" t="s">
        <v>840</v>
      </c>
      <c r="D4823" t="str">
        <f>IFERROR(VLOOKUP(C4823,APOYO!J:K,2,FALSE),C4823)</f>
        <v>PAILITAS</v>
      </c>
      <c r="E4823" s="8">
        <v>2019</v>
      </c>
      <c r="F4823" s="8"/>
      <c r="G4823" s="8"/>
      <c r="H4823" s="8">
        <v>3</v>
      </c>
      <c r="I4823" s="8"/>
      <c r="J4823" s="8"/>
      <c r="K4823" s="8"/>
    </row>
    <row r="4824" spans="1:11" hidden="1" x14ac:dyDescent="0.25">
      <c r="A4824" t="str">
        <f>_xlfn.XLOOKUP(C4824, 'Códigos DANE Municipios'!$B$2:$B$1123, 'Códigos DANE Municipios'!$A$2:$A$1123, "No encontrado")</f>
        <v>15516</v>
      </c>
      <c r="B4824" t="str">
        <f>IFERROR(VLOOKUP(D4824,APOYO!K:L,2,FALSE),A4824)</f>
        <v>15516</v>
      </c>
      <c r="C4824" s="8" t="s">
        <v>528</v>
      </c>
      <c r="D4824" t="str">
        <f>IFERROR(VLOOKUP(C4824,APOYO!J:K,2,FALSE),C4824)</f>
        <v>PAIPA</v>
      </c>
      <c r="E4824" s="8">
        <v>2019</v>
      </c>
      <c r="F4824" s="8">
        <v>864</v>
      </c>
      <c r="G4824" s="8"/>
      <c r="H4824" s="8">
        <v>104</v>
      </c>
      <c r="I4824" s="8"/>
      <c r="J4824" s="8"/>
      <c r="K4824" s="8"/>
    </row>
    <row r="4825" spans="1:11" hidden="1" x14ac:dyDescent="0.25">
      <c r="A4825" t="str">
        <f>_xlfn.XLOOKUP(C4825, 'Códigos DANE Municipios'!$B$2:$B$1123, 'Códigos DANE Municipios'!$A$2:$A$1123, "No encontrado")</f>
        <v>41524</v>
      </c>
      <c r="B4825" t="str">
        <f>IFERROR(VLOOKUP(D4825,APOYO!K:L,2,FALSE),A4825)</f>
        <v>41524</v>
      </c>
      <c r="C4825" s="15" t="s">
        <v>1242</v>
      </c>
      <c r="D4825" t="str">
        <f>IFERROR(VLOOKUP(C4825,APOYO!J:K,2,FALSE),C4825)</f>
        <v>PALERMO</v>
      </c>
      <c r="E4825">
        <v>2019</v>
      </c>
      <c r="F4825">
        <v>3</v>
      </c>
      <c r="H4825">
        <v>10</v>
      </c>
    </row>
    <row r="4826" spans="1:11" hidden="1" x14ac:dyDescent="0.25">
      <c r="A4826" t="str">
        <f>_xlfn.XLOOKUP(C4826, 'Códigos DANE Municipios'!$B$2:$B$1123, 'Códigos DANE Municipios'!$A$2:$A$1123, "No encontrado")</f>
        <v>17524</v>
      </c>
      <c r="B4826" t="str">
        <f>IFERROR(VLOOKUP(D4826,APOYO!K:L,2,FALSE),A4826)</f>
        <v>17524</v>
      </c>
      <c r="C4826" s="15" t="s">
        <v>676</v>
      </c>
      <c r="D4826" t="str">
        <f>IFERROR(VLOOKUP(C4826,APOYO!J:K,2,FALSE),C4826)</f>
        <v>PALESTINA</v>
      </c>
      <c r="E4826">
        <v>2019</v>
      </c>
      <c r="H4826">
        <v>41</v>
      </c>
    </row>
    <row r="4827" spans="1:11" hidden="1" x14ac:dyDescent="0.25">
      <c r="A4827" t="str">
        <f>_xlfn.XLOOKUP(C4827, 'Códigos DANE Municipios'!$B$2:$B$1123, 'Códigos DANE Municipios'!$A$2:$A$1123, "No encontrado")</f>
        <v>08520</v>
      </c>
      <c r="B4827" t="str">
        <f>IFERROR(VLOOKUP(D4827,APOYO!K:L,2,FALSE),A4827)</f>
        <v>08520</v>
      </c>
      <c r="C4827" s="15" t="s">
        <v>280</v>
      </c>
      <c r="D4827" t="str">
        <f>IFERROR(VLOOKUP(C4827,APOYO!J:K,2,FALSE),C4827)</f>
        <v>PALMAR DE VARELA</v>
      </c>
      <c r="E4827">
        <v>2019</v>
      </c>
      <c r="H4827">
        <v>11</v>
      </c>
    </row>
    <row r="4828" spans="1:11" hidden="1" x14ac:dyDescent="0.25">
      <c r="A4828" t="str">
        <f>_xlfn.XLOOKUP(C4828, 'Códigos DANE Municipios'!$B$2:$B$1123, 'Códigos DANE Municipios'!$A$2:$A$1123, "No encontrado")</f>
        <v>68524</v>
      </c>
      <c r="B4828" t="str">
        <f>IFERROR(VLOOKUP(D4828,APOYO!K:L,2,FALSE),A4828)</f>
        <v>68524</v>
      </c>
      <c r="C4828" s="15" t="s">
        <v>1762</v>
      </c>
      <c r="D4828" t="str">
        <f>IFERROR(VLOOKUP(C4828,APOYO!J:K,2,FALSE),C4828)</f>
        <v>PALMAS DEL SOCORRO</v>
      </c>
      <c r="E4828">
        <v>2019</v>
      </c>
      <c r="H4828">
        <v>28</v>
      </c>
    </row>
    <row r="4829" spans="1:11" hidden="1" x14ac:dyDescent="0.25">
      <c r="A4829" t="str">
        <f>_xlfn.XLOOKUP(C4829, 'Códigos DANE Municipios'!$B$2:$B$1123, 'Códigos DANE Municipios'!$A$2:$A$1123, "No encontrado")</f>
        <v>76520</v>
      </c>
      <c r="B4829" t="str">
        <f>IFERROR(VLOOKUP(D4829,APOYO!K:L,2,FALSE),A4829)</f>
        <v>76520</v>
      </c>
      <c r="C4829" s="15" t="s">
        <v>2004</v>
      </c>
      <c r="D4829" t="str">
        <f>IFERROR(VLOOKUP(C4829,APOYO!J:K,2,FALSE),C4829)</f>
        <v>PALMIRA</v>
      </c>
      <c r="E4829">
        <v>2019</v>
      </c>
      <c r="H4829">
        <v>5103</v>
      </c>
    </row>
    <row r="4830" spans="1:11" hidden="1" x14ac:dyDescent="0.25">
      <c r="A4830" t="str">
        <f>_xlfn.XLOOKUP(C4830, 'Códigos DANE Municipios'!$B$2:$B$1123, 'Códigos DANE Municipios'!$A$2:$A$1123, "No encontrado")</f>
        <v>73520</v>
      </c>
      <c r="B4830" t="str">
        <f>IFERROR(VLOOKUP(D4830,APOYO!K:L,2,FALSE),A4830)</f>
        <v>73520</v>
      </c>
      <c r="C4830" s="15" t="s">
        <v>1925</v>
      </c>
      <c r="D4830" t="str">
        <f>IFERROR(VLOOKUP(C4830,APOYO!J:K,2,FALSE),C4830)</f>
        <v>PALOCABILDO</v>
      </c>
      <c r="E4830">
        <v>2019</v>
      </c>
      <c r="H4830">
        <v>193</v>
      </c>
    </row>
    <row r="4831" spans="1:11" hidden="1" x14ac:dyDescent="0.25">
      <c r="A4831" t="str">
        <f>_xlfn.XLOOKUP(C4831, 'Códigos DANE Municipios'!$B$2:$B$1123, 'Códigos DANE Municipios'!$A$2:$A$1123, "No encontrado")</f>
        <v>54518</v>
      </c>
      <c r="B4831" t="str">
        <f>IFERROR(VLOOKUP(D4831,APOYO!K:L,2,FALSE),A4831)</f>
        <v>54518</v>
      </c>
      <c r="C4831" s="15" t="s">
        <v>1579</v>
      </c>
      <c r="D4831" t="str">
        <f>IFERROR(VLOOKUP(C4831,APOYO!J:K,2,FALSE),C4831)</f>
        <v>PAMPLONA</v>
      </c>
      <c r="E4831">
        <v>2019</v>
      </c>
      <c r="H4831">
        <v>2</v>
      </c>
    </row>
    <row r="4832" spans="1:11" hidden="1" x14ac:dyDescent="0.25">
      <c r="A4832" t="str">
        <f>_xlfn.XLOOKUP(C4832, 'Códigos DANE Municipios'!$B$2:$B$1123, 'Códigos DANE Municipios'!$A$2:$A$1123, "No encontrado")</f>
        <v>54520</v>
      </c>
      <c r="B4832" t="str">
        <f>IFERROR(VLOOKUP(D4832,APOYO!K:L,2,FALSE),A4832)</f>
        <v>54520</v>
      </c>
      <c r="C4832" s="15" t="s">
        <v>1581</v>
      </c>
      <c r="D4832" t="str">
        <f>IFERROR(VLOOKUP(C4832,APOYO!J:K,2,FALSE),C4832)</f>
        <v>PAMPLONITA</v>
      </c>
      <c r="E4832">
        <v>2019</v>
      </c>
      <c r="H4832">
        <v>8</v>
      </c>
    </row>
    <row r="4833" spans="1:9" hidden="1" x14ac:dyDescent="0.25">
      <c r="A4833" t="str">
        <f>_xlfn.XLOOKUP(C4833, 'Códigos DANE Municipios'!$B$2:$B$1123, 'Códigos DANE Municipios'!$A$2:$A$1123, "No encontrado")</f>
        <v>25524</v>
      </c>
      <c r="B4833" t="str">
        <f>IFERROR(VLOOKUP(D4833,APOYO!K:L,2,FALSE),A4833)</f>
        <v>25524</v>
      </c>
      <c r="C4833" s="15" t="s">
        <v>1043</v>
      </c>
      <c r="D4833" t="str">
        <f>IFERROR(VLOOKUP(C4833,APOYO!J:K,2,FALSE),C4833)</f>
        <v>PANDI</v>
      </c>
      <c r="E4833">
        <v>2019</v>
      </c>
      <c r="H4833">
        <v>8</v>
      </c>
    </row>
    <row r="4834" spans="1:9" hidden="1" x14ac:dyDescent="0.25">
      <c r="A4834" t="str">
        <f>_xlfn.XLOOKUP(C4834, 'Códigos DANE Municipios'!$B$2:$B$1123, 'Códigos DANE Municipios'!$A$2:$A$1123, "No encontrado")</f>
        <v>No encontrado</v>
      </c>
      <c r="B4834" t="str">
        <f>IFERROR(VLOOKUP(D4834,APOYO!K:L,2,FALSE),A4834)</f>
        <v>68533</v>
      </c>
      <c r="C4834" s="15" t="s">
        <v>2472</v>
      </c>
      <c r="D4834" t="str">
        <f>IFERROR(VLOOKUP(C4834,APOYO!J:K,2,FALSE),C4834)</f>
        <v>PÁRAMO</v>
      </c>
      <c r="E4834">
        <v>2019</v>
      </c>
      <c r="H4834">
        <v>1</v>
      </c>
    </row>
    <row r="4835" spans="1:9" hidden="1" x14ac:dyDescent="0.25">
      <c r="A4835" t="str">
        <f>_xlfn.XLOOKUP(C4835, 'Códigos DANE Municipios'!$B$2:$B$1123, 'Códigos DANE Municipios'!$A$2:$A$1123, "No encontrado")</f>
        <v>25530</v>
      </c>
      <c r="B4835" t="str">
        <f>IFERROR(VLOOKUP(D4835,APOYO!K:L,2,FALSE),A4835)</f>
        <v>25530</v>
      </c>
      <c r="C4835" s="15" t="s">
        <v>1045</v>
      </c>
      <c r="D4835" t="str">
        <f>IFERROR(VLOOKUP(C4835,APOYO!J:K,2,FALSE),C4835)</f>
        <v>PARATEBUENO</v>
      </c>
      <c r="E4835">
        <v>2019</v>
      </c>
      <c r="H4835">
        <v>59</v>
      </c>
    </row>
    <row r="4836" spans="1:9" hidden="1" x14ac:dyDescent="0.25">
      <c r="A4836" t="str">
        <f>_xlfn.XLOOKUP(C4836, 'Códigos DANE Municipios'!$B$2:$B$1123, 'Códigos DANE Municipios'!$A$2:$A$1123, "No encontrado")</f>
        <v>25535</v>
      </c>
      <c r="B4836" t="str">
        <f>IFERROR(VLOOKUP(D4836,APOYO!K:L,2,FALSE),A4836)</f>
        <v>25535</v>
      </c>
      <c r="C4836" s="15" t="s">
        <v>1047</v>
      </c>
      <c r="D4836" t="str">
        <f>IFERROR(VLOOKUP(C4836,APOYO!J:K,2,FALSE),C4836)</f>
        <v>PASCA</v>
      </c>
      <c r="E4836">
        <v>2019</v>
      </c>
      <c r="H4836">
        <v>4</v>
      </c>
    </row>
    <row r="4837" spans="1:9" hidden="1" x14ac:dyDescent="0.25">
      <c r="A4837" t="str">
        <f>_xlfn.XLOOKUP(C4837, 'Códigos DANE Municipios'!$B$2:$B$1123, 'Códigos DANE Municipios'!$A$2:$A$1123, "No encontrado")</f>
        <v>52001</v>
      </c>
      <c r="B4837" t="str">
        <f>IFERROR(VLOOKUP(D4837,APOYO!K:L,2,FALSE),A4837)</f>
        <v>52001</v>
      </c>
      <c r="C4837" s="15" t="s">
        <v>1412</v>
      </c>
      <c r="D4837" t="str">
        <f>IFERROR(VLOOKUP(C4837,APOYO!J:K,2,FALSE),C4837)</f>
        <v>PASTO</v>
      </c>
      <c r="E4837">
        <v>2019</v>
      </c>
      <c r="F4837">
        <v>159564</v>
      </c>
      <c r="G4837">
        <v>4609</v>
      </c>
      <c r="H4837">
        <v>6514</v>
      </c>
      <c r="I4837">
        <v>19285</v>
      </c>
    </row>
    <row r="4838" spans="1:9" hidden="1" x14ac:dyDescent="0.25">
      <c r="A4838" t="str">
        <f>_xlfn.XLOOKUP(C4838, 'Códigos DANE Municipios'!$B$2:$B$1123, 'Códigos DANE Municipios'!$A$2:$A$1123, "No encontrado")</f>
        <v>No encontrado</v>
      </c>
      <c r="B4838" t="str">
        <f>IFERROR(VLOOKUP(D4838,APOYO!K:L,2,FALSE),A4838)</f>
        <v>No encontrado</v>
      </c>
      <c r="C4838" s="15" t="s">
        <v>2446</v>
      </c>
      <c r="D4838" t="str">
        <f>IFERROR(VLOOKUP(C4838,APOYO!J:K,2,FALSE),C4838)</f>
        <v>PATIA (EL BORDO)</v>
      </c>
      <c r="E4838">
        <v>2019</v>
      </c>
      <c r="H4838">
        <v>8</v>
      </c>
    </row>
    <row r="4839" spans="1:9" hidden="1" x14ac:dyDescent="0.25">
      <c r="A4839" t="str">
        <f>_xlfn.XLOOKUP(C4839, 'Códigos DANE Municipios'!$B$2:$B$1123, 'Códigos DANE Municipios'!$A$2:$A$1123, "No encontrado")</f>
        <v>15531</v>
      </c>
      <c r="B4839" t="str">
        <f>IFERROR(VLOOKUP(D4839,APOYO!K:L,2,FALSE),A4839)</f>
        <v>15531</v>
      </c>
      <c r="C4839" s="15" t="s">
        <v>534</v>
      </c>
      <c r="D4839" t="str">
        <f>IFERROR(VLOOKUP(C4839,APOYO!J:K,2,FALSE),C4839)</f>
        <v>PAUNA</v>
      </c>
      <c r="E4839">
        <v>2019</v>
      </c>
    </row>
    <row r="4840" spans="1:9" hidden="1" x14ac:dyDescent="0.25">
      <c r="A4840" t="str">
        <f>_xlfn.XLOOKUP(C4840, 'Códigos DANE Municipios'!$B$2:$B$1123, 'Códigos DANE Municipios'!$A$2:$A$1123, "No encontrado")</f>
        <v>15533</v>
      </c>
      <c r="B4840" t="str">
        <f>IFERROR(VLOOKUP(D4840,APOYO!K:L,2,FALSE),A4840)</f>
        <v>15533</v>
      </c>
      <c r="C4840" s="15" t="s">
        <v>536</v>
      </c>
      <c r="D4840" t="str">
        <f>IFERROR(VLOOKUP(C4840,APOYO!J:K,2,FALSE),C4840)</f>
        <v>PAYA</v>
      </c>
      <c r="E4840">
        <v>2019</v>
      </c>
    </row>
    <row r="4841" spans="1:9" hidden="1" x14ac:dyDescent="0.25">
      <c r="A4841" t="str">
        <f>_xlfn.XLOOKUP(C4841, 'Códigos DANE Municipios'!$B$2:$B$1123, 'Códigos DANE Municipios'!$A$2:$A$1123, "No encontrado")</f>
        <v>85250</v>
      </c>
      <c r="B4841" t="str">
        <f>IFERROR(VLOOKUP(D4841,APOYO!K:L,2,FALSE),A4841)</f>
        <v>85250</v>
      </c>
      <c r="C4841" s="15" t="s">
        <v>2066</v>
      </c>
      <c r="D4841" t="str">
        <f>IFERROR(VLOOKUP(C4841,APOYO!J:K,2,FALSE),C4841)</f>
        <v>PAZ DE ARIPORO</v>
      </c>
      <c r="E4841">
        <v>2019</v>
      </c>
      <c r="F4841">
        <v>944</v>
      </c>
      <c r="H4841">
        <v>11</v>
      </c>
    </row>
    <row r="4842" spans="1:9" hidden="1" x14ac:dyDescent="0.25">
      <c r="A4842" t="str">
        <f>_xlfn.XLOOKUP(C4842, 'Códigos DANE Municipios'!$B$2:$B$1123, 'Códigos DANE Municipios'!$A$2:$A$1123, "No encontrado")</f>
        <v>No encontrado</v>
      </c>
      <c r="B4842" t="str">
        <f>IFERROR(VLOOKUP(D4842,APOYO!K:L,2,FALSE),A4842)</f>
        <v>No encontrado</v>
      </c>
      <c r="C4842" s="15" t="s">
        <v>2317</v>
      </c>
      <c r="D4842" t="str">
        <f>IFERROR(VLOOKUP(C4842,APOYO!J:K,2,FALSE),C4842)</f>
        <v>PAZ DE RIO</v>
      </c>
      <c r="E4842">
        <v>2019</v>
      </c>
      <c r="H4842">
        <v>10</v>
      </c>
    </row>
    <row r="4843" spans="1:9" hidden="1" x14ac:dyDescent="0.25">
      <c r="A4843" t="str">
        <f>_xlfn.XLOOKUP(C4843, 'Códigos DANE Municipios'!$B$2:$B$1123, 'Códigos DANE Municipios'!$A$2:$A$1123, "No encontrado")</f>
        <v>20550</v>
      </c>
      <c r="B4843" t="str">
        <f>IFERROR(VLOOKUP(D4843,APOYO!K:L,2,FALSE),A4843)</f>
        <v>20550</v>
      </c>
      <c r="C4843" s="15" t="s">
        <v>842</v>
      </c>
      <c r="D4843" t="str">
        <f>IFERROR(VLOOKUP(C4843,APOYO!J:K,2,FALSE),C4843)</f>
        <v>PELAYA</v>
      </c>
      <c r="E4843">
        <v>2019</v>
      </c>
      <c r="H4843">
        <v>3</v>
      </c>
    </row>
    <row r="4844" spans="1:9" hidden="1" x14ac:dyDescent="0.25">
      <c r="A4844" t="str">
        <f>_xlfn.XLOOKUP(C4844, 'Códigos DANE Municipios'!$B$2:$B$1123, 'Códigos DANE Municipios'!$A$2:$A$1123, "No encontrado")</f>
        <v>17541</v>
      </c>
      <c r="B4844" t="str">
        <f>IFERROR(VLOOKUP(D4844,APOYO!K:L,2,FALSE),A4844)</f>
        <v>17541</v>
      </c>
      <c r="C4844" s="15" t="s">
        <v>678</v>
      </c>
      <c r="D4844" t="str">
        <f>IFERROR(VLOOKUP(C4844,APOYO!J:K,2,FALSE),C4844)</f>
        <v>PENSILVANIA</v>
      </c>
      <c r="E4844">
        <v>2019</v>
      </c>
      <c r="H4844">
        <v>12</v>
      </c>
    </row>
    <row r="4845" spans="1:9" hidden="1" x14ac:dyDescent="0.25">
      <c r="A4845" t="str">
        <f>_xlfn.XLOOKUP(C4845, 'Códigos DANE Municipios'!$B$2:$B$1123, 'Códigos DANE Municipios'!$A$2:$A$1123, "No encontrado")</f>
        <v>05541</v>
      </c>
      <c r="B4845" t="str">
        <f>IFERROR(VLOOKUP(D4845,APOYO!K:L,2,FALSE),A4845)</f>
        <v>05541</v>
      </c>
      <c r="C4845" s="15" t="s">
        <v>164</v>
      </c>
      <c r="D4845" t="str">
        <f>IFERROR(VLOOKUP(C4845,APOYO!J:K,2,FALSE),C4845)</f>
        <v>PEÑOL</v>
      </c>
      <c r="E4845">
        <v>2019</v>
      </c>
      <c r="H4845">
        <v>109</v>
      </c>
    </row>
    <row r="4846" spans="1:9" hidden="1" x14ac:dyDescent="0.25">
      <c r="A4846" t="str">
        <f>_xlfn.XLOOKUP(C4846, 'Códigos DANE Municipios'!$B$2:$B$1123, 'Códigos DANE Municipios'!$A$2:$A$1123, "No encontrado")</f>
        <v>66001</v>
      </c>
      <c r="B4846" t="str">
        <f>IFERROR(VLOOKUP(D4846,APOYO!K:L,2,FALSE),A4846)</f>
        <v>66001</v>
      </c>
      <c r="C4846" s="15" t="s">
        <v>1628</v>
      </c>
      <c r="D4846" t="str">
        <f>IFERROR(VLOOKUP(C4846,APOYO!J:K,2,FALSE),C4846)</f>
        <v>PEREIRA</v>
      </c>
      <c r="E4846">
        <v>2019</v>
      </c>
      <c r="F4846">
        <v>782571</v>
      </c>
      <c r="G4846">
        <v>122178</v>
      </c>
      <c r="H4846">
        <v>25830</v>
      </c>
      <c r="I4846">
        <v>7079</v>
      </c>
    </row>
    <row r="4847" spans="1:9" hidden="1" x14ac:dyDescent="0.25">
      <c r="A4847" t="str">
        <f>_xlfn.XLOOKUP(C4847, 'Códigos DANE Municipios'!$B$2:$B$1123, 'Códigos DANE Municipios'!$A$2:$A$1123, "No encontrado")</f>
        <v>15542</v>
      </c>
      <c r="B4847" t="str">
        <f>IFERROR(VLOOKUP(D4847,APOYO!K:L,2,FALSE),A4847)</f>
        <v>15542</v>
      </c>
      <c r="C4847" s="15" t="s">
        <v>540</v>
      </c>
      <c r="D4847" t="str">
        <f>IFERROR(VLOOKUP(C4847,APOYO!J:K,2,FALSE),C4847)</f>
        <v>PESCA</v>
      </c>
      <c r="E4847">
        <v>2019</v>
      </c>
      <c r="H4847">
        <v>8</v>
      </c>
    </row>
    <row r="4848" spans="1:9" hidden="1" x14ac:dyDescent="0.25">
      <c r="A4848" t="str">
        <f>_xlfn.XLOOKUP(C4848, 'Códigos DANE Municipios'!$B$2:$B$1123, 'Códigos DANE Municipios'!$A$2:$A$1123, "No encontrado")</f>
        <v>19533</v>
      </c>
      <c r="B4848" t="str">
        <f>IFERROR(VLOOKUP(D4848,APOYO!K:L,2,FALSE),A4848)</f>
        <v>19533</v>
      </c>
      <c r="C4848" s="15" t="s">
        <v>775</v>
      </c>
      <c r="D4848" t="str">
        <f>IFERROR(VLOOKUP(C4848,APOYO!J:K,2,FALSE),C4848)</f>
        <v>PIAMONTE</v>
      </c>
      <c r="E4848">
        <v>2019</v>
      </c>
      <c r="H4848">
        <v>2</v>
      </c>
    </row>
    <row r="4849" spans="1:8" hidden="1" x14ac:dyDescent="0.25">
      <c r="A4849" t="str">
        <f>_xlfn.XLOOKUP(C4849, 'Códigos DANE Municipios'!$B$2:$B$1123, 'Códigos DANE Municipios'!$A$2:$A$1123, "No encontrado")</f>
        <v>68547</v>
      </c>
      <c r="B4849" t="str">
        <f>IFERROR(VLOOKUP(D4849,APOYO!K:L,2,FALSE),A4849)</f>
        <v>68547</v>
      </c>
      <c r="C4849" s="15" t="s">
        <v>1766</v>
      </c>
      <c r="D4849" t="str">
        <f>IFERROR(VLOOKUP(C4849,APOYO!J:K,2,FALSE),C4849)</f>
        <v>PIEDECUESTA</v>
      </c>
      <c r="E4849">
        <v>2019</v>
      </c>
      <c r="H4849">
        <v>349</v>
      </c>
    </row>
    <row r="4850" spans="1:8" hidden="1" x14ac:dyDescent="0.25">
      <c r="A4850" t="str">
        <f>_xlfn.XLOOKUP(C4850, 'Códigos DANE Municipios'!$B$2:$B$1123, 'Códigos DANE Municipios'!$A$2:$A$1123, "No encontrado")</f>
        <v>73547</v>
      </c>
      <c r="B4850" t="str">
        <f>IFERROR(VLOOKUP(D4850,APOYO!K:L,2,FALSE),A4850)</f>
        <v>73547</v>
      </c>
      <c r="C4850" s="15" t="s">
        <v>1927</v>
      </c>
      <c r="D4850" t="str">
        <f>IFERROR(VLOOKUP(C4850,APOYO!J:K,2,FALSE),C4850)</f>
        <v>PIEDRAS</v>
      </c>
      <c r="E4850">
        <v>2019</v>
      </c>
      <c r="H4850">
        <v>3</v>
      </c>
    </row>
    <row r="4851" spans="1:8" hidden="1" x14ac:dyDescent="0.25">
      <c r="A4851" t="str">
        <f>_xlfn.XLOOKUP(C4851, 'Códigos DANE Municipios'!$B$2:$B$1123, 'Códigos DANE Municipios'!$A$2:$A$1123, "No encontrado")</f>
        <v>No encontrado</v>
      </c>
      <c r="B4851" t="str">
        <f>IFERROR(VLOOKUP(D4851,APOYO!K:L,2,FALSE),A4851)</f>
        <v>No encontrado</v>
      </c>
      <c r="C4851" s="15" t="s">
        <v>2318</v>
      </c>
      <c r="D4851" t="str">
        <f>IFERROR(VLOOKUP(C4851,APOYO!J:K,2,FALSE),C4851)</f>
        <v>PIENDAMO</v>
      </c>
      <c r="E4851">
        <v>2019</v>
      </c>
      <c r="H4851">
        <v>53</v>
      </c>
    </row>
    <row r="4852" spans="1:8" hidden="1" x14ac:dyDescent="0.25">
      <c r="A4852" t="str">
        <f>_xlfn.XLOOKUP(C4852, 'Códigos DANE Municipios'!$B$2:$B$1123, 'Códigos DANE Municipios'!$A$2:$A$1123, "No encontrado")</f>
        <v>63548</v>
      </c>
      <c r="B4852" t="str">
        <f>IFERROR(VLOOKUP(D4852,APOYO!K:L,2,FALSE),A4852)</f>
        <v>63548</v>
      </c>
      <c r="C4852" s="15" t="s">
        <v>1622</v>
      </c>
      <c r="D4852" t="str">
        <f>IFERROR(VLOOKUP(C4852,APOYO!J:K,2,FALSE),C4852)</f>
        <v>PIJAO</v>
      </c>
      <c r="E4852">
        <v>2019</v>
      </c>
      <c r="H4852">
        <v>44</v>
      </c>
    </row>
    <row r="4853" spans="1:8" hidden="1" x14ac:dyDescent="0.25">
      <c r="A4853" t="str">
        <f>_xlfn.XLOOKUP(C4853, 'Códigos DANE Municipios'!$B$2:$B$1123, 'Códigos DANE Municipios'!$A$2:$A$1123, "No encontrado")</f>
        <v>68549</v>
      </c>
      <c r="B4853" t="str">
        <f>IFERROR(VLOOKUP(D4853,APOYO!K:L,2,FALSE),A4853)</f>
        <v>68549</v>
      </c>
      <c r="C4853" s="15" t="s">
        <v>1768</v>
      </c>
      <c r="D4853" t="str">
        <f>IFERROR(VLOOKUP(C4853,APOYO!J:K,2,FALSE),C4853)</f>
        <v>PINCHOTE</v>
      </c>
      <c r="E4853">
        <v>2019</v>
      </c>
      <c r="H4853">
        <v>2</v>
      </c>
    </row>
    <row r="4854" spans="1:8" hidden="1" x14ac:dyDescent="0.25">
      <c r="A4854" t="str">
        <f>_xlfn.XLOOKUP(C4854, 'Códigos DANE Municipios'!$B$2:$B$1123, 'Códigos DANE Municipios'!$A$2:$A$1123, "No encontrado")</f>
        <v>No encontrado</v>
      </c>
      <c r="B4854" t="str">
        <f>IFERROR(VLOOKUP(D4854,APOYO!K:L,2,FALSE),A4854)</f>
        <v>No encontrado</v>
      </c>
      <c r="C4854" s="15" t="s">
        <v>2319</v>
      </c>
      <c r="D4854" t="str">
        <f>IFERROR(VLOOKUP(C4854,APOYO!J:K,2,FALSE),C4854)</f>
        <v>PIOJO</v>
      </c>
      <c r="E4854">
        <v>2019</v>
      </c>
      <c r="H4854">
        <v>2</v>
      </c>
    </row>
    <row r="4855" spans="1:8" hidden="1" x14ac:dyDescent="0.25">
      <c r="A4855" t="str">
        <f>_xlfn.XLOOKUP(C4855, 'Códigos DANE Municipios'!$B$2:$B$1123, 'Códigos DANE Municipios'!$A$2:$A$1123, "No encontrado")</f>
        <v>41548</v>
      </c>
      <c r="B4855" t="str">
        <f>IFERROR(VLOOKUP(D4855,APOYO!K:L,2,FALSE),A4855)</f>
        <v>41548</v>
      </c>
      <c r="C4855" s="15" t="s">
        <v>1245</v>
      </c>
      <c r="D4855" t="str">
        <f>IFERROR(VLOOKUP(C4855,APOYO!J:K,2,FALSE),C4855)</f>
        <v>PITAL</v>
      </c>
      <c r="E4855">
        <v>2019</v>
      </c>
      <c r="H4855">
        <v>17</v>
      </c>
    </row>
    <row r="4856" spans="1:8" hidden="1" x14ac:dyDescent="0.25">
      <c r="A4856" t="str">
        <f>_xlfn.XLOOKUP(C4856, 'Códigos DANE Municipios'!$B$2:$B$1123, 'Códigos DANE Municipios'!$A$2:$A$1123, "No encontrado")</f>
        <v>41551</v>
      </c>
      <c r="B4856" t="str">
        <f>IFERROR(VLOOKUP(D4856,APOYO!K:L,2,FALSE),A4856)</f>
        <v>41551</v>
      </c>
      <c r="C4856" s="15" t="s">
        <v>1247</v>
      </c>
      <c r="D4856" t="str">
        <f>IFERROR(VLOOKUP(C4856,APOYO!J:K,2,FALSE),C4856)</f>
        <v>PITALITO</v>
      </c>
      <c r="E4856">
        <v>2019</v>
      </c>
      <c r="F4856">
        <v>15701</v>
      </c>
      <c r="H4856">
        <v>661</v>
      </c>
    </row>
    <row r="4857" spans="1:8" hidden="1" x14ac:dyDescent="0.25">
      <c r="A4857" t="str">
        <f>_xlfn.XLOOKUP(C4857, 'Códigos DANE Municipios'!$B$2:$B$1123, 'Códigos DANE Municipios'!$A$2:$A$1123, "No encontrado")</f>
        <v>47551</v>
      </c>
      <c r="B4857" t="str">
        <f>IFERROR(VLOOKUP(D4857,APOYO!K:L,2,FALSE),A4857)</f>
        <v>47551</v>
      </c>
      <c r="C4857" s="15" t="s">
        <v>1331</v>
      </c>
      <c r="D4857" t="str">
        <f>IFERROR(VLOOKUP(C4857,APOYO!J:K,2,FALSE),C4857)</f>
        <v>PIVIJAY</v>
      </c>
      <c r="E4857">
        <v>2019</v>
      </c>
      <c r="H4857">
        <v>2</v>
      </c>
    </row>
    <row r="4858" spans="1:8" hidden="1" x14ac:dyDescent="0.25">
      <c r="A4858" t="str">
        <f>_xlfn.XLOOKUP(C4858, 'Códigos DANE Municipios'!$B$2:$B$1123, 'Códigos DANE Municipios'!$A$2:$A$1123, "No encontrado")</f>
        <v>73555</v>
      </c>
      <c r="B4858" t="str">
        <f>IFERROR(VLOOKUP(D4858,APOYO!K:L,2,FALSE),A4858)</f>
        <v>73555</v>
      </c>
      <c r="C4858" s="15" t="s">
        <v>1929</v>
      </c>
      <c r="D4858" t="str">
        <f>IFERROR(VLOOKUP(C4858,APOYO!J:K,2,FALSE),C4858)</f>
        <v>PLANADAS</v>
      </c>
      <c r="E4858">
        <v>2019</v>
      </c>
      <c r="F4858">
        <v>3</v>
      </c>
      <c r="H4858">
        <v>17</v>
      </c>
    </row>
    <row r="4859" spans="1:8" hidden="1" x14ac:dyDescent="0.25">
      <c r="A4859" t="str">
        <f>_xlfn.XLOOKUP(C4859, 'Códigos DANE Municipios'!$B$2:$B$1123, 'Códigos DANE Municipios'!$A$2:$A$1123, "No encontrado")</f>
        <v>23555</v>
      </c>
      <c r="B4859" t="str">
        <f>IFERROR(VLOOKUP(D4859,APOYO!K:L,2,FALSE),A4859)</f>
        <v>23555</v>
      </c>
      <c r="C4859" s="15" t="s">
        <v>887</v>
      </c>
      <c r="D4859" t="str">
        <f>IFERROR(VLOOKUP(C4859,APOYO!J:K,2,FALSE),C4859)</f>
        <v>PLANETA RICA</v>
      </c>
      <c r="E4859">
        <v>2019</v>
      </c>
      <c r="H4859">
        <v>64</v>
      </c>
    </row>
    <row r="4860" spans="1:8" hidden="1" x14ac:dyDescent="0.25">
      <c r="A4860" t="str">
        <f>_xlfn.XLOOKUP(C4860, 'Códigos DANE Municipios'!$B$2:$B$1123, 'Códigos DANE Municipios'!$A$2:$A$1123, "No encontrado")</f>
        <v>47555</v>
      </c>
      <c r="B4860" t="str">
        <f>IFERROR(VLOOKUP(D4860,APOYO!K:L,2,FALSE),A4860)</f>
        <v>47555</v>
      </c>
      <c r="C4860" s="15" t="s">
        <v>1333</v>
      </c>
      <c r="D4860" t="str">
        <f>IFERROR(VLOOKUP(C4860,APOYO!J:K,2,FALSE),C4860)</f>
        <v>PLATO</v>
      </c>
      <c r="E4860">
        <v>2019</v>
      </c>
      <c r="H4860">
        <v>25</v>
      </c>
    </row>
    <row r="4861" spans="1:8" hidden="1" x14ac:dyDescent="0.25">
      <c r="A4861" t="str">
        <f>_xlfn.XLOOKUP(C4861, 'Códigos DANE Municipios'!$B$2:$B$1123, 'Códigos DANE Municipios'!$A$2:$A$1123, "No encontrado")</f>
        <v>52540</v>
      </c>
      <c r="B4861" t="str">
        <f>IFERROR(VLOOKUP(D4861,APOYO!K:L,2,FALSE),A4861)</f>
        <v>52540</v>
      </c>
      <c r="C4861" s="15" t="s">
        <v>1491</v>
      </c>
      <c r="D4861" t="str">
        <f>IFERROR(VLOOKUP(C4861,APOYO!J:K,2,FALSE),C4861)</f>
        <v>POLICARPA</v>
      </c>
      <c r="E4861">
        <v>2019</v>
      </c>
    </row>
    <row r="4862" spans="1:8" hidden="1" x14ac:dyDescent="0.25">
      <c r="A4862" t="str">
        <f>_xlfn.XLOOKUP(C4862, 'Códigos DANE Municipios'!$B$2:$B$1123, 'Códigos DANE Municipios'!$A$2:$A$1123, "No encontrado")</f>
        <v>08558</v>
      </c>
      <c r="B4862" t="str">
        <f>IFERROR(VLOOKUP(D4862,APOYO!K:L,2,FALSE),A4862)</f>
        <v>08558</v>
      </c>
      <c r="C4862" s="15" t="s">
        <v>284</v>
      </c>
      <c r="D4862" t="str">
        <f>IFERROR(VLOOKUP(C4862,APOYO!J:K,2,FALSE),C4862)</f>
        <v>POLONUEVO</v>
      </c>
      <c r="E4862">
        <v>2019</v>
      </c>
      <c r="H4862">
        <v>3</v>
      </c>
    </row>
    <row r="4863" spans="1:8" hidden="1" x14ac:dyDescent="0.25">
      <c r="A4863" t="str">
        <f>_xlfn.XLOOKUP(C4863, 'Códigos DANE Municipios'!$B$2:$B$1123, 'Códigos DANE Municipios'!$A$2:$A$1123, "No encontrado")</f>
        <v>08560</v>
      </c>
      <c r="B4863" t="str">
        <f>IFERROR(VLOOKUP(D4863,APOYO!K:L,2,FALSE),A4863)</f>
        <v>08560</v>
      </c>
      <c r="C4863" s="15" t="s">
        <v>286</v>
      </c>
      <c r="D4863" t="str">
        <f>IFERROR(VLOOKUP(C4863,APOYO!J:K,2,FALSE),C4863)</f>
        <v>PONEDERA</v>
      </c>
      <c r="E4863">
        <v>2019</v>
      </c>
      <c r="H4863">
        <v>5</v>
      </c>
    </row>
    <row r="4864" spans="1:8" hidden="1" x14ac:dyDescent="0.25">
      <c r="A4864" t="str">
        <f>_xlfn.XLOOKUP(C4864, 'Códigos DANE Municipios'!$B$2:$B$1123, 'Códigos DANE Municipios'!$A$2:$A$1123, "No encontrado")</f>
        <v>No encontrado</v>
      </c>
      <c r="B4864" t="str">
        <f>IFERROR(VLOOKUP(D4864,APOYO!K:L,2,FALSE),A4864)</f>
        <v>No encontrado</v>
      </c>
      <c r="C4864" s="15" t="s">
        <v>2320</v>
      </c>
      <c r="D4864" t="str">
        <f>IFERROR(VLOOKUP(C4864,APOYO!J:K,2,FALSE),C4864)</f>
        <v>POPAYAN</v>
      </c>
      <c r="E4864">
        <v>2019</v>
      </c>
      <c r="F4864">
        <v>65587</v>
      </c>
      <c r="G4864">
        <v>482</v>
      </c>
      <c r="H4864">
        <v>4249</v>
      </c>
    </row>
    <row r="4865" spans="1:9" hidden="1" x14ac:dyDescent="0.25">
      <c r="A4865" t="str">
        <f>_xlfn.XLOOKUP(C4865, 'Códigos DANE Municipios'!$B$2:$B$1123, 'Códigos DANE Municipios'!$A$2:$A$1123, "No encontrado")</f>
        <v>85263</v>
      </c>
      <c r="B4865" t="str">
        <f>IFERROR(VLOOKUP(D4865,APOYO!K:L,2,FALSE),A4865)</f>
        <v>85263</v>
      </c>
      <c r="C4865" s="15" t="s">
        <v>2068</v>
      </c>
      <c r="D4865" t="str">
        <f>IFERROR(VLOOKUP(C4865,APOYO!J:K,2,FALSE),C4865)</f>
        <v>PORE</v>
      </c>
      <c r="E4865">
        <v>2019</v>
      </c>
      <c r="H4865">
        <v>2</v>
      </c>
    </row>
    <row r="4866" spans="1:9" hidden="1" x14ac:dyDescent="0.25">
      <c r="A4866" t="str">
        <f>_xlfn.XLOOKUP(C4866, 'Códigos DANE Municipios'!$B$2:$B$1123, 'Códigos DANE Municipios'!$A$2:$A$1123, "No encontrado")</f>
        <v>76563</v>
      </c>
      <c r="B4866" t="str">
        <f>IFERROR(VLOOKUP(D4866,APOYO!K:L,2,FALSE),A4866)</f>
        <v>76563</v>
      </c>
      <c r="C4866" s="15" t="s">
        <v>2006</v>
      </c>
      <c r="D4866" t="str">
        <f>IFERROR(VLOOKUP(C4866,APOYO!J:K,2,FALSE),C4866)</f>
        <v>PRADERA</v>
      </c>
      <c r="E4866">
        <v>2019</v>
      </c>
      <c r="H4866">
        <v>177</v>
      </c>
    </row>
    <row r="4867" spans="1:9" hidden="1" x14ac:dyDescent="0.25">
      <c r="A4867" t="str">
        <f>_xlfn.XLOOKUP(C4867, 'Códigos DANE Municipios'!$B$2:$B$1123, 'Códigos DANE Municipios'!$A$2:$A$1123, "No encontrado")</f>
        <v>73563</v>
      </c>
      <c r="B4867" t="str">
        <f>IFERROR(VLOOKUP(D4867,APOYO!K:L,2,FALSE),A4867)</f>
        <v>73563</v>
      </c>
      <c r="C4867" s="15" t="s">
        <v>1931</v>
      </c>
      <c r="D4867" t="str">
        <f>IFERROR(VLOOKUP(C4867,APOYO!J:K,2,FALSE),C4867)</f>
        <v>PRADO</v>
      </c>
      <c r="E4867">
        <v>2019</v>
      </c>
      <c r="H4867">
        <v>10</v>
      </c>
    </row>
    <row r="4868" spans="1:9" hidden="1" x14ac:dyDescent="0.25">
      <c r="A4868" t="str">
        <f>_xlfn.XLOOKUP(C4868, 'Códigos DANE Municipios'!$B$2:$B$1123, 'Códigos DANE Municipios'!$A$2:$A$1123, "No encontrado")</f>
        <v>52565</v>
      </c>
      <c r="B4868" t="str">
        <f>IFERROR(VLOOKUP(D4868,APOYO!K:L,2,FALSE),A4868)</f>
        <v>52565</v>
      </c>
      <c r="C4868" s="15" t="s">
        <v>1495</v>
      </c>
      <c r="D4868" t="str">
        <f>IFERROR(VLOOKUP(C4868,APOYO!J:K,2,FALSE),C4868)</f>
        <v>PROVIDENCIA</v>
      </c>
      <c r="E4868">
        <v>2019</v>
      </c>
      <c r="F4868">
        <v>34701</v>
      </c>
      <c r="H4868">
        <v>3752</v>
      </c>
    </row>
    <row r="4869" spans="1:9" hidden="1" x14ac:dyDescent="0.25">
      <c r="A4869" t="str">
        <f>_xlfn.XLOOKUP(C4869, 'Códigos DANE Municipios'!$B$2:$B$1123, 'Códigos DANE Municipios'!$A$2:$A$1123, "No encontrado")</f>
        <v>No encontrado</v>
      </c>
      <c r="B4869" t="str">
        <f>IFERROR(VLOOKUP(D4869,APOYO!K:L,2,FALSE),A4869)</f>
        <v>No encontrado</v>
      </c>
      <c r="C4869" s="15" t="s">
        <v>2321</v>
      </c>
      <c r="D4869" t="str">
        <f>IFERROR(VLOOKUP(C4869,APOYO!J:K,2,FALSE),C4869)</f>
        <v>PTO NAREL(LAMAG</v>
      </c>
      <c r="E4869">
        <v>2019</v>
      </c>
      <c r="F4869">
        <v>25</v>
      </c>
      <c r="H4869">
        <v>1</v>
      </c>
    </row>
    <row r="4870" spans="1:9" hidden="1" x14ac:dyDescent="0.25">
      <c r="A4870" t="str">
        <f>_xlfn.XLOOKUP(C4870, 'Códigos DANE Municipios'!$B$2:$B$1123, 'Códigos DANE Municipios'!$A$2:$A$1123, "No encontrado")</f>
        <v>23570</v>
      </c>
      <c r="B4870" t="str">
        <f>IFERROR(VLOOKUP(D4870,APOYO!K:L,2,FALSE),A4870)</f>
        <v>23570</v>
      </c>
      <c r="C4870" s="15" t="s">
        <v>889</v>
      </c>
      <c r="D4870" t="str">
        <f>IFERROR(VLOOKUP(C4870,APOYO!J:K,2,FALSE),C4870)</f>
        <v>PUEBLO NUEVO</v>
      </c>
      <c r="E4870">
        <v>2019</v>
      </c>
      <c r="H4870">
        <v>3</v>
      </c>
    </row>
    <row r="4871" spans="1:9" hidden="1" x14ac:dyDescent="0.25">
      <c r="A4871" t="str">
        <f>_xlfn.XLOOKUP(C4871, 'Códigos DANE Municipios'!$B$2:$B$1123, 'Códigos DANE Municipios'!$A$2:$A$1123, "No encontrado")</f>
        <v>66572</v>
      </c>
      <c r="B4871" t="str">
        <f>IFERROR(VLOOKUP(D4871,APOYO!K:L,2,FALSE),A4871)</f>
        <v>66572</v>
      </c>
      <c r="C4871" s="15" t="s">
        <v>1647</v>
      </c>
      <c r="D4871" t="str">
        <f>IFERROR(VLOOKUP(C4871,APOYO!J:K,2,FALSE),C4871)</f>
        <v>PUEBLO RICO</v>
      </c>
      <c r="E4871">
        <v>2019</v>
      </c>
      <c r="H4871">
        <v>14</v>
      </c>
    </row>
    <row r="4872" spans="1:9" hidden="1" x14ac:dyDescent="0.25">
      <c r="A4872" t="str">
        <f>_xlfn.XLOOKUP(C4872, 'Códigos DANE Municipios'!$B$2:$B$1123, 'Códigos DANE Municipios'!$A$2:$A$1123, "No encontrado")</f>
        <v>05576</v>
      </c>
      <c r="B4872" t="str">
        <f>IFERROR(VLOOKUP(D4872,APOYO!K:L,2,FALSE),A4872)</f>
        <v>05576</v>
      </c>
      <c r="C4872" s="15" t="s">
        <v>168</v>
      </c>
      <c r="D4872" t="str">
        <f>IFERROR(VLOOKUP(C4872,APOYO!J:K,2,FALSE),C4872)</f>
        <v>PUEBLORRICO</v>
      </c>
      <c r="E4872">
        <v>2019</v>
      </c>
      <c r="H4872">
        <v>4</v>
      </c>
    </row>
    <row r="4873" spans="1:9" hidden="1" x14ac:dyDescent="0.25">
      <c r="A4873" t="str">
        <f>_xlfn.XLOOKUP(C4873, 'Códigos DANE Municipios'!$B$2:$B$1123, 'Códigos DANE Municipios'!$A$2:$A$1123, "No encontrado")</f>
        <v>47570</v>
      </c>
      <c r="B4873" t="str">
        <f>IFERROR(VLOOKUP(D4873,APOYO!K:L,2,FALSE),A4873)</f>
        <v>47570</v>
      </c>
      <c r="C4873" s="15" t="s">
        <v>1335</v>
      </c>
      <c r="D4873" t="str">
        <f>IFERROR(VLOOKUP(C4873,APOYO!J:K,2,FALSE),C4873)</f>
        <v>PUEBLOVIEJO</v>
      </c>
      <c r="E4873">
        <v>2019</v>
      </c>
      <c r="H4873">
        <v>3</v>
      </c>
    </row>
    <row r="4874" spans="1:9" hidden="1" x14ac:dyDescent="0.25">
      <c r="A4874" t="str">
        <f>_xlfn.XLOOKUP(C4874, 'Códigos DANE Municipios'!$B$2:$B$1123, 'Códigos DANE Municipios'!$A$2:$A$1123, "No encontrado")</f>
        <v>68572</v>
      </c>
      <c r="B4874" t="str">
        <f>IFERROR(VLOOKUP(D4874,APOYO!K:L,2,FALSE),A4874)</f>
        <v>68572</v>
      </c>
      <c r="C4874" s="15" t="s">
        <v>1770</v>
      </c>
      <c r="D4874" t="str">
        <f>IFERROR(VLOOKUP(C4874,APOYO!J:K,2,FALSE),C4874)</f>
        <v>PUENTE NACIONAL</v>
      </c>
      <c r="E4874">
        <v>2019</v>
      </c>
      <c r="H4874">
        <v>21</v>
      </c>
    </row>
    <row r="4875" spans="1:9" hidden="1" x14ac:dyDescent="0.25">
      <c r="A4875" t="str">
        <f>_xlfn.XLOOKUP(C4875, 'Códigos DANE Municipios'!$B$2:$B$1123, 'Códigos DANE Municipios'!$A$2:$A$1123, "No encontrado")</f>
        <v>52573</v>
      </c>
      <c r="B4875" t="str">
        <f>IFERROR(VLOOKUP(D4875,APOYO!K:L,2,FALSE),A4875)</f>
        <v>52573</v>
      </c>
      <c r="C4875" s="15" t="s">
        <v>1497</v>
      </c>
      <c r="D4875" t="str">
        <f>IFERROR(VLOOKUP(C4875,APOYO!J:K,2,FALSE),C4875)</f>
        <v>PUERRES</v>
      </c>
      <c r="E4875">
        <v>2019</v>
      </c>
      <c r="H4875">
        <v>4</v>
      </c>
    </row>
    <row r="4876" spans="1:9" hidden="1" x14ac:dyDescent="0.25">
      <c r="A4876" t="str">
        <f>_xlfn.XLOOKUP(C4876, 'Códigos DANE Municipios'!$B$2:$B$1123, 'Códigos DANE Municipios'!$A$2:$A$1123, "No encontrado")</f>
        <v>No encontrado</v>
      </c>
      <c r="B4876" t="str">
        <f>IFERROR(VLOOKUP(D4876,APOYO!K:L,2,FALSE),A4876)</f>
        <v>No encontrado</v>
      </c>
      <c r="C4876" s="15" t="s">
        <v>2322</v>
      </c>
      <c r="D4876" t="str">
        <f>IFERROR(VLOOKUP(C4876,APOYO!J:K,2,FALSE),C4876)</f>
        <v>PUERTO ASIS</v>
      </c>
      <c r="E4876">
        <v>2019</v>
      </c>
      <c r="F4876">
        <v>61213</v>
      </c>
      <c r="H4876">
        <v>569</v>
      </c>
    </row>
    <row r="4877" spans="1:9" hidden="1" x14ac:dyDescent="0.25">
      <c r="A4877" t="str">
        <f>_xlfn.XLOOKUP(C4877, 'Códigos DANE Municipios'!$B$2:$B$1123, 'Códigos DANE Municipios'!$A$2:$A$1123, "No encontrado")</f>
        <v>No encontrado</v>
      </c>
      <c r="B4877" t="str">
        <f>IFERROR(VLOOKUP(D4877,APOYO!K:L,2,FALSE),A4877)</f>
        <v>No encontrado</v>
      </c>
      <c r="C4877" s="15" t="s">
        <v>2323</v>
      </c>
      <c r="D4877" t="str">
        <f>IFERROR(VLOOKUP(C4877,APOYO!J:K,2,FALSE),C4877)</f>
        <v>PUERTO BERRIO</v>
      </c>
      <c r="E4877">
        <v>2019</v>
      </c>
      <c r="F4877">
        <v>1718</v>
      </c>
      <c r="H4877">
        <v>23</v>
      </c>
    </row>
    <row r="4878" spans="1:9" hidden="1" x14ac:dyDescent="0.25">
      <c r="A4878" t="str">
        <f>_xlfn.XLOOKUP(C4878, 'Códigos DANE Municipios'!$B$2:$B$1123, 'Códigos DANE Municipios'!$A$2:$A$1123, "No encontrado")</f>
        <v>No encontrado</v>
      </c>
      <c r="B4878" t="str">
        <f>IFERROR(VLOOKUP(D4878,APOYO!K:L,2,FALSE),A4878)</f>
        <v>15572</v>
      </c>
      <c r="C4878" s="15" t="s">
        <v>2324</v>
      </c>
      <c r="D4878" t="str">
        <f>IFERROR(VLOOKUP(C4878,APOYO!J:K,2,FALSE),C4878)</f>
        <v>PUERTO BOYACÁ</v>
      </c>
      <c r="E4878">
        <v>2019</v>
      </c>
      <c r="H4878">
        <v>31</v>
      </c>
    </row>
    <row r="4879" spans="1:9" hidden="1" x14ac:dyDescent="0.25">
      <c r="A4879" t="str">
        <f>_xlfn.XLOOKUP(C4879, 'Códigos DANE Municipios'!$B$2:$B$1123, 'Códigos DANE Municipios'!$A$2:$A$1123, "No encontrado")</f>
        <v>86569</v>
      </c>
      <c r="B4879" t="str">
        <f>IFERROR(VLOOKUP(D4879,APOYO!K:L,2,FALSE),A4879)</f>
        <v>86569</v>
      </c>
      <c r="C4879" s="15" t="s">
        <v>2091</v>
      </c>
      <c r="D4879" t="str">
        <f>IFERROR(VLOOKUP(C4879,APOYO!J:K,2,FALSE),C4879)</f>
        <v>PUERTO CAICEDO</v>
      </c>
      <c r="E4879">
        <v>2019</v>
      </c>
      <c r="H4879">
        <v>22</v>
      </c>
    </row>
    <row r="4880" spans="1:9" hidden="1" x14ac:dyDescent="0.25">
      <c r="A4880" t="str">
        <f>_xlfn.XLOOKUP(C4880, 'Códigos DANE Municipios'!$B$2:$B$1123, 'Códigos DANE Municipios'!$A$2:$A$1123, "No encontrado")</f>
        <v>99001</v>
      </c>
      <c r="B4880" t="str">
        <f>IFERROR(VLOOKUP(D4880,APOYO!K:L,2,FALSE),A4880)</f>
        <v>99001</v>
      </c>
      <c r="C4880" s="15" t="s">
        <v>2163</v>
      </c>
      <c r="D4880" t="str">
        <f>IFERROR(VLOOKUP(C4880,APOYO!J:K,2,FALSE),C4880)</f>
        <v>PUERTO CARREÑO</v>
      </c>
      <c r="E4880">
        <v>2019</v>
      </c>
      <c r="F4880">
        <v>30752</v>
      </c>
      <c r="G4880">
        <v>0</v>
      </c>
      <c r="H4880">
        <v>96</v>
      </c>
      <c r="I4880">
        <v>1756</v>
      </c>
    </row>
    <row r="4881" spans="1:8" hidden="1" x14ac:dyDescent="0.25">
      <c r="A4881" t="str">
        <f>_xlfn.XLOOKUP(C4881, 'Códigos DANE Municipios'!$B$2:$B$1123, 'Códigos DANE Municipios'!$A$2:$A$1123, "No encontrado")</f>
        <v>08573</v>
      </c>
      <c r="B4881" t="str">
        <f>IFERROR(VLOOKUP(D4881,APOYO!K:L,2,FALSE),A4881)</f>
        <v>08573</v>
      </c>
      <c r="C4881" s="15" t="s">
        <v>288</v>
      </c>
      <c r="D4881" t="str">
        <f>IFERROR(VLOOKUP(C4881,APOYO!J:K,2,FALSE),C4881)</f>
        <v>PUERTO COLOMBIA</v>
      </c>
      <c r="E4881">
        <v>2019</v>
      </c>
      <c r="H4881">
        <v>289</v>
      </c>
    </row>
    <row r="4882" spans="1:8" hidden="1" x14ac:dyDescent="0.25">
      <c r="A4882" t="str">
        <f>_xlfn.XLOOKUP(C4882, 'Códigos DANE Municipios'!$B$2:$B$1123, 'Códigos DANE Municipios'!$A$2:$A$1123, "No encontrado")</f>
        <v>No encontrado</v>
      </c>
      <c r="B4882" t="str">
        <f>IFERROR(VLOOKUP(D4882,APOYO!K:L,2,FALSE),A4882)</f>
        <v>No encontrado</v>
      </c>
      <c r="C4882" s="15" t="s">
        <v>2325</v>
      </c>
      <c r="D4882" t="str">
        <f>IFERROR(VLOOKUP(C4882,APOYO!J:K,2,FALSE),C4882)</f>
        <v>PUERTO CONCOR</v>
      </c>
      <c r="E4882">
        <v>2019</v>
      </c>
      <c r="H4882">
        <v>9</v>
      </c>
    </row>
    <row r="4883" spans="1:8" hidden="1" x14ac:dyDescent="0.25">
      <c r="A4883" t="str">
        <f>_xlfn.XLOOKUP(C4883, 'Códigos DANE Municipios'!$B$2:$B$1123, 'Códigos DANE Municipios'!$A$2:$A$1123, "No encontrado")</f>
        <v>23574</v>
      </c>
      <c r="B4883" t="str">
        <f>IFERROR(VLOOKUP(D4883,APOYO!K:L,2,FALSE),A4883)</f>
        <v>23574</v>
      </c>
      <c r="C4883" s="15" t="s">
        <v>891</v>
      </c>
      <c r="D4883" t="str">
        <f>IFERROR(VLOOKUP(C4883,APOYO!J:K,2,FALSE),C4883)</f>
        <v>PUERTO ESCONDIDO</v>
      </c>
      <c r="E4883">
        <v>2019</v>
      </c>
      <c r="H4883">
        <v>6</v>
      </c>
    </row>
    <row r="4884" spans="1:8" hidden="1" x14ac:dyDescent="0.25">
      <c r="A4884" t="str">
        <f>_xlfn.XLOOKUP(C4884, 'Códigos DANE Municipios'!$B$2:$B$1123, 'Códigos DANE Municipios'!$A$2:$A$1123, "No encontrado")</f>
        <v>No encontrado</v>
      </c>
      <c r="B4884" t="str">
        <f>IFERROR(VLOOKUP(D4884,APOYO!K:L,2,FALSE),A4884)</f>
        <v>No encontrado</v>
      </c>
      <c r="C4884" s="15" t="s">
        <v>2326</v>
      </c>
      <c r="D4884" t="str">
        <f>IFERROR(VLOOKUP(C4884,APOYO!J:K,2,FALSE),C4884)</f>
        <v>PUERTO GAITAN</v>
      </c>
      <c r="E4884">
        <v>2019</v>
      </c>
      <c r="F4884">
        <v>41053</v>
      </c>
      <c r="H4884">
        <v>367</v>
      </c>
    </row>
    <row r="4885" spans="1:8" hidden="1" x14ac:dyDescent="0.25">
      <c r="A4885" t="str">
        <f>_xlfn.XLOOKUP(C4885, 'Códigos DANE Municipios'!$B$2:$B$1123, 'Códigos DANE Municipios'!$A$2:$A$1123, "No encontrado")</f>
        <v>No encontrado</v>
      </c>
      <c r="B4885" t="str">
        <f>IFERROR(VLOOKUP(D4885,APOYO!K:L,2,FALSE),A4885)</f>
        <v>No encontrado</v>
      </c>
      <c r="C4885" s="15" t="s">
        <v>2539</v>
      </c>
      <c r="D4885" t="str">
        <f>IFERROR(VLOOKUP(C4885,APOYO!J:K,2,FALSE),C4885)</f>
        <v>PUERTO GUZMAN</v>
      </c>
      <c r="E4885">
        <v>2019</v>
      </c>
      <c r="H4885">
        <v>8</v>
      </c>
    </row>
    <row r="4886" spans="1:8" hidden="1" x14ac:dyDescent="0.25">
      <c r="A4886" t="str">
        <f>_xlfn.XLOOKUP(C4886, 'Códigos DANE Municipios'!$B$2:$B$1123, 'Códigos DANE Municipios'!$A$2:$A$1123, "No encontrado")</f>
        <v>No encontrado</v>
      </c>
      <c r="B4886" t="str">
        <f>IFERROR(VLOOKUP(D4886,APOYO!K:L,2,FALSE),A4886)</f>
        <v>No encontrado</v>
      </c>
      <c r="C4886" s="15" t="s">
        <v>2327</v>
      </c>
      <c r="D4886" t="str">
        <f>IFERROR(VLOOKUP(C4886,APOYO!J:K,2,FALSE),C4886)</f>
        <v>PUERTO INIRIDA</v>
      </c>
      <c r="E4886">
        <v>2019</v>
      </c>
      <c r="F4886">
        <v>27809</v>
      </c>
      <c r="H4886">
        <v>117</v>
      </c>
    </row>
    <row r="4887" spans="1:8" hidden="1" x14ac:dyDescent="0.25">
      <c r="A4887" t="str">
        <f>_xlfn.XLOOKUP(C4887, 'Códigos DANE Municipios'!$B$2:$B$1123, 'Códigos DANE Municipios'!$A$2:$A$1123, "No encontrado")</f>
        <v>No encontrado</v>
      </c>
      <c r="B4887" t="str">
        <f>IFERROR(VLOOKUP(D4887,APOYO!K:L,2,FALSE),A4887)</f>
        <v>No encontrado</v>
      </c>
      <c r="C4887" s="15" t="s">
        <v>2328</v>
      </c>
      <c r="D4887" t="str">
        <f>IFERROR(VLOOKUP(C4887,APOYO!J:K,2,FALSE),C4887)</f>
        <v>PUERTO LEGUIZA</v>
      </c>
      <c r="E4887">
        <v>2019</v>
      </c>
      <c r="F4887">
        <v>10239</v>
      </c>
      <c r="H4887">
        <v>1038</v>
      </c>
    </row>
    <row r="4888" spans="1:8" hidden="1" x14ac:dyDescent="0.25">
      <c r="A4888" t="str">
        <f>_xlfn.XLOOKUP(C4888, 'Códigos DANE Municipios'!$B$2:$B$1123, 'Códigos DANE Municipios'!$A$2:$A$1123, "No encontrado")</f>
        <v>No encontrado</v>
      </c>
      <c r="B4888" t="str">
        <f>IFERROR(VLOOKUP(D4888,APOYO!K:L,2,FALSE),A4888)</f>
        <v>No encontrado</v>
      </c>
      <c r="C4888" s="15" t="s">
        <v>2329</v>
      </c>
      <c r="D4888" t="str">
        <f>IFERROR(VLOOKUP(C4888,APOYO!J:K,2,FALSE),C4888)</f>
        <v>PUERTO LIBERTAD</v>
      </c>
      <c r="E4888">
        <v>2019</v>
      </c>
      <c r="H4888">
        <v>5</v>
      </c>
    </row>
    <row r="4889" spans="1:8" hidden="1" x14ac:dyDescent="0.25">
      <c r="A4889" t="str">
        <f>_xlfn.XLOOKUP(C4889, 'Códigos DANE Municipios'!$B$2:$B$1123, 'Códigos DANE Municipios'!$A$2:$A$1123, "No encontrado")</f>
        <v>50577</v>
      </c>
      <c r="B4889" t="str">
        <f>IFERROR(VLOOKUP(D4889,APOYO!K:L,2,FALSE),A4889)</f>
        <v>50577</v>
      </c>
      <c r="C4889" s="15" t="s">
        <v>1398</v>
      </c>
      <c r="D4889" t="str">
        <f>IFERROR(VLOOKUP(C4889,APOYO!J:K,2,FALSE),C4889)</f>
        <v>PUERTO LLERAS</v>
      </c>
      <c r="E4889">
        <v>2019</v>
      </c>
      <c r="F4889">
        <v>16</v>
      </c>
      <c r="H4889">
        <v>4</v>
      </c>
    </row>
    <row r="4890" spans="1:8" hidden="1" x14ac:dyDescent="0.25">
      <c r="A4890" t="str">
        <f>_xlfn.XLOOKUP(C4890, 'Códigos DANE Municipios'!$B$2:$B$1123, 'Códigos DANE Municipios'!$A$2:$A$1123, "No encontrado")</f>
        <v>No encontrado</v>
      </c>
      <c r="B4890" t="str">
        <f>IFERROR(VLOOKUP(D4890,APOYO!K:L,2,FALSE),A4890)</f>
        <v>No encontrado</v>
      </c>
      <c r="C4890" s="15" t="s">
        <v>2330</v>
      </c>
      <c r="D4890" t="str">
        <f>IFERROR(VLOOKUP(C4890,APOYO!J:K,2,FALSE),C4890)</f>
        <v>PUERTO LOPEZ</v>
      </c>
      <c r="E4890">
        <v>2019</v>
      </c>
      <c r="F4890">
        <v>614</v>
      </c>
      <c r="H4890">
        <v>38</v>
      </c>
    </row>
    <row r="4891" spans="1:8" hidden="1" x14ac:dyDescent="0.25">
      <c r="A4891" t="str">
        <f>_xlfn.XLOOKUP(C4891, 'Códigos DANE Municipios'!$B$2:$B$1123, 'Códigos DANE Municipios'!$A$2:$A$1123, "No encontrado")</f>
        <v>91540</v>
      </c>
      <c r="B4891" t="str">
        <f>IFERROR(VLOOKUP(D4891,APOYO!K:L,2,FALSE),A4891)</f>
        <v>91540</v>
      </c>
      <c r="C4891" s="15" t="s">
        <v>2123</v>
      </c>
      <c r="D4891" t="str">
        <f>IFERROR(VLOOKUP(C4891,APOYO!J:K,2,FALSE),C4891)</f>
        <v>PUERTO NARIÑO</v>
      </c>
      <c r="E4891">
        <v>2019</v>
      </c>
      <c r="H4891">
        <v>79</v>
      </c>
    </row>
    <row r="4892" spans="1:8" hidden="1" x14ac:dyDescent="0.25">
      <c r="A4892" t="str">
        <f>_xlfn.XLOOKUP(C4892, 'Códigos DANE Municipios'!$B$2:$B$1123, 'Códigos DANE Municipios'!$A$2:$A$1123, "No encontrado")</f>
        <v>68573</v>
      </c>
      <c r="B4892" t="str">
        <f>IFERROR(VLOOKUP(D4892,APOYO!K:L,2,FALSE),A4892)</f>
        <v>68573</v>
      </c>
      <c r="C4892" s="15" t="s">
        <v>1772</v>
      </c>
      <c r="D4892" t="str">
        <f>IFERROR(VLOOKUP(C4892,APOYO!J:K,2,FALSE),C4892)</f>
        <v>PUERTO PARRA</v>
      </c>
      <c r="E4892">
        <v>2019</v>
      </c>
      <c r="H4892">
        <v>7</v>
      </c>
    </row>
    <row r="4893" spans="1:8" hidden="1" x14ac:dyDescent="0.25">
      <c r="A4893" t="str">
        <f>_xlfn.XLOOKUP(C4893, 'Códigos DANE Municipios'!$B$2:$B$1123, 'Códigos DANE Municipios'!$A$2:$A$1123, "No encontrado")</f>
        <v>18592</v>
      </c>
      <c r="B4893" t="str">
        <f>IFERROR(VLOOKUP(D4893,APOYO!K:L,2,FALSE),A4893)</f>
        <v>18592</v>
      </c>
      <c r="C4893" s="15" t="s">
        <v>718</v>
      </c>
      <c r="D4893" t="str">
        <f>IFERROR(VLOOKUP(C4893,APOYO!J:K,2,FALSE),C4893)</f>
        <v>PUERTO RICO</v>
      </c>
      <c r="E4893">
        <v>2019</v>
      </c>
      <c r="F4893">
        <v>6</v>
      </c>
      <c r="H4893">
        <v>15</v>
      </c>
    </row>
    <row r="4894" spans="1:8" hidden="1" x14ac:dyDescent="0.25">
      <c r="A4894" t="str">
        <f>_xlfn.XLOOKUP(C4894, 'Códigos DANE Municipios'!$B$2:$B$1123, 'Códigos DANE Municipios'!$A$2:$A$1123, "No encontrado")</f>
        <v>25572</v>
      </c>
      <c r="B4894" t="str">
        <f>IFERROR(VLOOKUP(D4894,APOYO!K:L,2,FALSE),A4894)</f>
        <v>25572</v>
      </c>
      <c r="C4894" s="15" t="s">
        <v>1049</v>
      </c>
      <c r="D4894" t="str">
        <f>IFERROR(VLOOKUP(C4894,APOYO!J:K,2,FALSE),C4894)</f>
        <v>PUERTO SALGAR</v>
      </c>
      <c r="E4894">
        <v>2019</v>
      </c>
      <c r="F4894">
        <v>8</v>
      </c>
      <c r="H4894">
        <v>32</v>
      </c>
    </row>
    <row r="4895" spans="1:8" hidden="1" x14ac:dyDescent="0.25">
      <c r="A4895" t="str">
        <f>_xlfn.XLOOKUP(C4895, 'Códigos DANE Municipios'!$B$2:$B$1123, 'Códigos DANE Municipios'!$A$2:$A$1123, "No encontrado")</f>
        <v>54553</v>
      </c>
      <c r="B4895" t="str">
        <f>IFERROR(VLOOKUP(D4895,APOYO!K:L,2,FALSE),A4895)</f>
        <v>54553</v>
      </c>
      <c r="C4895" s="15" t="s">
        <v>1583</v>
      </c>
      <c r="D4895" t="str">
        <f>IFERROR(VLOOKUP(C4895,APOYO!J:K,2,FALSE),C4895)</f>
        <v>PUERTO SANTANDER</v>
      </c>
      <c r="E4895">
        <v>2019</v>
      </c>
      <c r="H4895">
        <v>7</v>
      </c>
    </row>
    <row r="4896" spans="1:8" hidden="1" x14ac:dyDescent="0.25">
      <c r="A4896" t="str">
        <f>_xlfn.XLOOKUP(C4896, 'Códigos DANE Municipios'!$B$2:$B$1123, 'Códigos DANE Municipios'!$A$2:$A$1123, "No encontrado")</f>
        <v>19573</v>
      </c>
      <c r="B4896" t="str">
        <f>IFERROR(VLOOKUP(D4896,APOYO!K:L,2,FALSE),A4896)</f>
        <v>19573</v>
      </c>
      <c r="C4896" s="15" t="s">
        <v>779</v>
      </c>
      <c r="D4896" t="str">
        <f>IFERROR(VLOOKUP(C4896,APOYO!J:K,2,FALSE),C4896)</f>
        <v>PUERTO TEJADA</v>
      </c>
      <c r="E4896">
        <v>2019</v>
      </c>
      <c r="H4896">
        <v>78</v>
      </c>
    </row>
    <row r="4897" spans="1:8" hidden="1" x14ac:dyDescent="0.25">
      <c r="A4897" t="str">
        <f>_xlfn.XLOOKUP(C4897, 'Códigos DANE Municipios'!$B$2:$B$1123, 'Códigos DANE Municipios'!$A$2:$A$1123, "No encontrado")</f>
        <v>05591</v>
      </c>
      <c r="B4897" t="str">
        <f>IFERROR(VLOOKUP(D4897,APOYO!K:L,2,FALSE),A4897)</f>
        <v>05591</v>
      </c>
      <c r="C4897" s="15" t="s">
        <v>174</v>
      </c>
      <c r="D4897" t="str">
        <f>IFERROR(VLOOKUP(C4897,APOYO!J:K,2,FALSE),C4897)</f>
        <v>PUERTO TRIUNFO</v>
      </c>
      <c r="E4897">
        <v>2019</v>
      </c>
      <c r="H4897">
        <v>99</v>
      </c>
    </row>
    <row r="4898" spans="1:8" hidden="1" x14ac:dyDescent="0.25">
      <c r="A4898" t="str">
        <f>_xlfn.XLOOKUP(C4898, 'Códigos DANE Municipios'!$B$2:$B$1123, 'Códigos DANE Municipios'!$A$2:$A$1123, "No encontrado")</f>
        <v>68575</v>
      </c>
      <c r="B4898" t="str">
        <f>IFERROR(VLOOKUP(D4898,APOYO!K:L,2,FALSE),A4898)</f>
        <v>68575</v>
      </c>
      <c r="C4898" s="15" t="s">
        <v>1774</v>
      </c>
      <c r="D4898" t="str">
        <f>IFERROR(VLOOKUP(C4898,APOYO!J:K,2,FALSE),C4898)</f>
        <v>PUERTO WILCHES</v>
      </c>
      <c r="E4898">
        <v>2019</v>
      </c>
      <c r="H4898">
        <v>11</v>
      </c>
    </row>
    <row r="4899" spans="1:8" hidden="1" x14ac:dyDescent="0.25">
      <c r="A4899" t="str">
        <f>_xlfn.XLOOKUP(C4899, 'Códigos DANE Municipios'!$B$2:$B$1123, 'Códigos DANE Municipios'!$A$2:$A$1123, "No encontrado")</f>
        <v>52585</v>
      </c>
      <c r="B4899" t="str">
        <f>IFERROR(VLOOKUP(D4899,APOYO!K:L,2,FALSE),A4899)</f>
        <v>52585</v>
      </c>
      <c r="C4899" s="15" t="s">
        <v>1499</v>
      </c>
      <c r="D4899" t="str">
        <f>IFERROR(VLOOKUP(C4899,APOYO!J:K,2,FALSE),C4899)</f>
        <v>PUPIALES</v>
      </c>
      <c r="E4899">
        <v>2019</v>
      </c>
      <c r="H4899">
        <v>1</v>
      </c>
    </row>
    <row r="4900" spans="1:8" hidden="1" x14ac:dyDescent="0.25">
      <c r="A4900" t="str">
        <f>_xlfn.XLOOKUP(C4900, 'Códigos DANE Municipios'!$B$2:$B$1123, 'Códigos DANE Municipios'!$A$2:$A$1123, "No encontrado")</f>
        <v>No encontrado</v>
      </c>
      <c r="B4900" t="str">
        <f>IFERROR(VLOOKUP(D4900,APOYO!K:L,2,FALSE),A4900)</f>
        <v>No encontrado</v>
      </c>
      <c r="C4900" s="15" t="s">
        <v>2331</v>
      </c>
      <c r="D4900" t="str">
        <f>IFERROR(VLOOKUP(C4900,APOYO!J:K,2,FALSE),C4900)</f>
        <v>PURACE</v>
      </c>
      <c r="E4900">
        <v>2019</v>
      </c>
      <c r="H4900">
        <v>0</v>
      </c>
    </row>
    <row r="4901" spans="1:8" hidden="1" x14ac:dyDescent="0.25">
      <c r="A4901" t="str">
        <f>_xlfn.XLOOKUP(C4901, 'Códigos DANE Municipios'!$B$2:$B$1123, 'Códigos DANE Municipios'!$A$2:$A$1123, "No encontrado")</f>
        <v>No encontrado</v>
      </c>
      <c r="B4901" t="str">
        <f>IFERROR(VLOOKUP(D4901,APOYO!K:L,2,FALSE),A4901)</f>
        <v>No encontrado</v>
      </c>
      <c r="C4901" s="15" t="s">
        <v>2332</v>
      </c>
      <c r="D4901" t="str">
        <f>IFERROR(VLOOKUP(C4901,APOYO!J:K,2,FALSE),C4901)</f>
        <v>PURIFICACION</v>
      </c>
      <c r="E4901">
        <v>2019</v>
      </c>
      <c r="H4901">
        <v>10</v>
      </c>
    </row>
    <row r="4902" spans="1:8" hidden="1" x14ac:dyDescent="0.25">
      <c r="A4902" t="str">
        <f>_xlfn.XLOOKUP(C4902, 'Códigos DANE Municipios'!$B$2:$B$1123, 'Códigos DANE Municipios'!$A$2:$A$1123, "No encontrado")</f>
        <v>25592</v>
      </c>
      <c r="B4902" t="str">
        <f>IFERROR(VLOOKUP(D4902,APOYO!K:L,2,FALSE),A4902)</f>
        <v>25592</v>
      </c>
      <c r="C4902" s="15" t="s">
        <v>1053</v>
      </c>
      <c r="D4902" t="str">
        <f>IFERROR(VLOOKUP(C4902,APOYO!J:K,2,FALSE),C4902)</f>
        <v>QUEBRADANEGRA</v>
      </c>
      <c r="E4902">
        <v>2019</v>
      </c>
      <c r="H4902">
        <v>3</v>
      </c>
    </row>
    <row r="4903" spans="1:8" hidden="1" x14ac:dyDescent="0.25">
      <c r="A4903" t="str">
        <f>_xlfn.XLOOKUP(C4903, 'Códigos DANE Municipios'!$B$2:$B$1123, 'Códigos DANE Municipios'!$A$2:$A$1123, "No encontrado")</f>
        <v>25594</v>
      </c>
      <c r="B4903" t="str">
        <f>IFERROR(VLOOKUP(D4903,APOYO!K:L,2,FALSE),A4903)</f>
        <v>25594</v>
      </c>
      <c r="C4903" s="15" t="s">
        <v>1055</v>
      </c>
      <c r="D4903" t="str">
        <f>IFERROR(VLOOKUP(C4903,APOYO!J:K,2,FALSE),C4903)</f>
        <v>QUETAME</v>
      </c>
      <c r="E4903">
        <v>2019</v>
      </c>
    </row>
    <row r="4904" spans="1:8" hidden="1" x14ac:dyDescent="0.25">
      <c r="A4904" t="str">
        <f>_xlfn.XLOOKUP(C4904, 'Códigos DANE Municipios'!$B$2:$B$1123, 'Códigos DANE Municipios'!$A$2:$A$1123, "No encontrado")</f>
        <v>No encontrado</v>
      </c>
      <c r="B4904" t="str">
        <f>IFERROR(VLOOKUP(D4904,APOYO!K:L,2,FALSE),A4904)</f>
        <v>No encontrado</v>
      </c>
      <c r="C4904" s="15" t="s">
        <v>2333</v>
      </c>
      <c r="D4904" t="str">
        <f>IFERROR(VLOOKUP(C4904,APOYO!J:K,2,FALSE),C4904)</f>
        <v>QUIBDO</v>
      </c>
      <c r="E4904">
        <v>2019</v>
      </c>
      <c r="F4904">
        <v>189529</v>
      </c>
      <c r="H4904">
        <v>176</v>
      </c>
    </row>
    <row r="4905" spans="1:8" hidden="1" x14ac:dyDescent="0.25">
      <c r="A4905" t="str">
        <f>_xlfn.XLOOKUP(C4905, 'Códigos DANE Municipios'!$B$2:$B$1123, 'Códigos DANE Municipios'!$A$2:$A$1123, "No encontrado")</f>
        <v>63594</v>
      </c>
      <c r="B4905" t="str">
        <f>IFERROR(VLOOKUP(D4905,APOYO!K:L,2,FALSE),A4905)</f>
        <v>63594</v>
      </c>
      <c r="C4905" s="15" t="s">
        <v>1624</v>
      </c>
      <c r="D4905" t="str">
        <f>IFERROR(VLOOKUP(C4905,APOYO!J:K,2,FALSE),C4905)</f>
        <v>QUIMBAYA</v>
      </c>
      <c r="E4905">
        <v>2019</v>
      </c>
      <c r="H4905">
        <v>738</v>
      </c>
    </row>
    <row r="4906" spans="1:8" hidden="1" x14ac:dyDescent="0.25">
      <c r="A4906" t="str">
        <f>_xlfn.XLOOKUP(C4906, 'Códigos DANE Municipios'!$B$2:$B$1123, 'Códigos DANE Municipios'!$A$2:$A$1123, "No encontrado")</f>
        <v>No encontrado</v>
      </c>
      <c r="B4906" t="str">
        <f>IFERROR(VLOOKUP(D4906,APOYO!K:L,2,FALSE),A4906)</f>
        <v>No encontrado</v>
      </c>
      <c r="C4906" s="15" t="s">
        <v>2334</v>
      </c>
      <c r="D4906" t="str">
        <f>IFERROR(VLOOKUP(C4906,APOYO!J:K,2,FALSE),C4906)</f>
        <v>QUINCHIA</v>
      </c>
      <c r="E4906">
        <v>2019</v>
      </c>
      <c r="H4906">
        <v>32</v>
      </c>
    </row>
    <row r="4907" spans="1:8" hidden="1" x14ac:dyDescent="0.25">
      <c r="A4907" t="str">
        <f>_xlfn.XLOOKUP(C4907, 'Códigos DANE Municipios'!$B$2:$B$1123, 'Códigos DANE Municipios'!$A$2:$A$1123, "No encontrado")</f>
        <v>No encontrado</v>
      </c>
      <c r="B4907" t="str">
        <f>IFERROR(VLOOKUP(D4907,APOYO!K:L,2,FALSE),A4907)</f>
        <v>No encontrado</v>
      </c>
      <c r="C4907" s="15" t="s">
        <v>2335</v>
      </c>
      <c r="D4907" t="str">
        <f>IFERROR(VLOOKUP(C4907,APOYO!J:K,2,FALSE),C4907)</f>
        <v>QUIPAMA</v>
      </c>
      <c r="E4907">
        <v>2019</v>
      </c>
      <c r="F4907">
        <v>49</v>
      </c>
      <c r="H4907">
        <v>1</v>
      </c>
    </row>
    <row r="4908" spans="1:8" hidden="1" x14ac:dyDescent="0.25">
      <c r="A4908" t="str">
        <f>_xlfn.XLOOKUP(C4908, 'Códigos DANE Municipios'!$B$2:$B$1123, 'Códigos DANE Municipios'!$A$2:$A$1123, "No encontrado")</f>
        <v>25596</v>
      </c>
      <c r="B4908" t="str">
        <f>IFERROR(VLOOKUP(D4908,APOYO!K:L,2,FALSE),A4908)</f>
        <v>25596</v>
      </c>
      <c r="C4908" s="15" t="s">
        <v>1057</v>
      </c>
      <c r="D4908" t="str">
        <f>IFERROR(VLOOKUP(C4908,APOYO!J:K,2,FALSE),C4908)</f>
        <v>QUIPILE</v>
      </c>
      <c r="E4908">
        <v>2019</v>
      </c>
      <c r="H4908">
        <v>1</v>
      </c>
    </row>
    <row r="4909" spans="1:8" hidden="1" x14ac:dyDescent="0.25">
      <c r="A4909" t="str">
        <f>_xlfn.XLOOKUP(C4909, 'Códigos DANE Municipios'!$B$2:$B$1123, 'Códigos DANE Municipios'!$A$2:$A$1123, "No encontrado")</f>
        <v>No encontrado</v>
      </c>
      <c r="B4909" t="str">
        <f>IFERROR(VLOOKUP(D4909,APOYO!K:L,2,FALSE),A4909)</f>
        <v>81794</v>
      </c>
      <c r="C4909" s="15" t="s">
        <v>2447</v>
      </c>
      <c r="D4909" t="str">
        <f>IFERROR(VLOOKUP(C4909,APOYO!J:K,2,FALSE),C4909)</f>
        <v>TAME</v>
      </c>
      <c r="E4909">
        <v>2019</v>
      </c>
      <c r="H4909">
        <v>26</v>
      </c>
    </row>
    <row r="4910" spans="1:8" hidden="1" x14ac:dyDescent="0.25">
      <c r="A4910" t="str">
        <f>_xlfn.XLOOKUP(C4910, 'Códigos DANE Municipios'!$B$2:$B$1123, 'Códigos DANE Municipios'!$A$2:$A$1123, "No encontrado")</f>
        <v>54599</v>
      </c>
      <c r="B4910" t="str">
        <f>IFERROR(VLOOKUP(D4910,APOYO!K:L,2,FALSE),A4910)</f>
        <v>54599</v>
      </c>
      <c r="C4910" s="15" t="s">
        <v>1585</v>
      </c>
      <c r="D4910" t="str">
        <f>IFERROR(VLOOKUP(C4910,APOYO!J:K,2,FALSE),C4910)</f>
        <v>RAGONVALIA</v>
      </c>
      <c r="E4910">
        <v>2019</v>
      </c>
      <c r="H4910">
        <v>1</v>
      </c>
    </row>
    <row r="4911" spans="1:8" hidden="1" x14ac:dyDescent="0.25">
      <c r="A4911" t="str">
        <f>_xlfn.XLOOKUP(C4911, 'Códigos DANE Municipios'!$B$2:$B$1123, 'Códigos DANE Municipios'!$A$2:$A$1123, "No encontrado")</f>
        <v>No encontrado</v>
      </c>
      <c r="B4911" t="str">
        <f>IFERROR(VLOOKUP(D4911,APOYO!K:L,2,FALSE),A4911)</f>
        <v>No encontrado</v>
      </c>
      <c r="C4911" s="15" t="s">
        <v>2336</v>
      </c>
      <c r="D4911" t="str">
        <f>IFERROR(VLOOKUP(C4911,APOYO!J:K,2,FALSE),C4911)</f>
        <v>RAMIRIQUI</v>
      </c>
      <c r="E4911">
        <v>2019</v>
      </c>
      <c r="H4911">
        <v>15</v>
      </c>
    </row>
    <row r="4912" spans="1:8" hidden="1" x14ac:dyDescent="0.25">
      <c r="A4912" t="str">
        <f>_xlfn.XLOOKUP(C4912, 'Códigos DANE Municipios'!$B$2:$B$1123, 'Códigos DANE Municipios'!$A$2:$A$1123, "No encontrado")</f>
        <v>No encontrado</v>
      </c>
      <c r="B4912" t="str">
        <f>IFERROR(VLOOKUP(D4912,APOYO!K:L,2,FALSE),A4912)</f>
        <v>No encontrado</v>
      </c>
      <c r="C4912" s="15" t="s">
        <v>2337</v>
      </c>
      <c r="D4912" t="str">
        <f>IFERROR(VLOOKUP(C4912,APOYO!J:K,2,FALSE),C4912)</f>
        <v>RAQUIRA</v>
      </c>
      <c r="E4912">
        <v>2019</v>
      </c>
      <c r="H4912">
        <v>46</v>
      </c>
    </row>
    <row r="4913" spans="1:9" hidden="1" x14ac:dyDescent="0.25">
      <c r="A4913" t="str">
        <f>_xlfn.XLOOKUP(C4913, 'Códigos DANE Municipios'!$B$2:$B$1123, 'Códigos DANE Municipios'!$A$2:$A$1123, "No encontrado")</f>
        <v>05604</v>
      </c>
      <c r="B4913" t="str">
        <f>IFERROR(VLOOKUP(D4913,APOYO!K:L,2,FALSE),A4913)</f>
        <v>05604</v>
      </c>
      <c r="C4913" s="15" t="s">
        <v>176</v>
      </c>
      <c r="D4913" t="str">
        <f>IFERROR(VLOOKUP(C4913,APOYO!J:K,2,FALSE),C4913)</f>
        <v>REMEDIOS</v>
      </c>
      <c r="E4913">
        <v>2019</v>
      </c>
      <c r="F4913">
        <v>533</v>
      </c>
      <c r="H4913">
        <v>8</v>
      </c>
    </row>
    <row r="4914" spans="1:9" hidden="1" x14ac:dyDescent="0.25">
      <c r="A4914" t="str">
        <f>_xlfn.XLOOKUP(C4914, 'Códigos DANE Municipios'!$B$2:$B$1123, 'Códigos DANE Municipios'!$A$2:$A$1123, "No encontrado")</f>
        <v>50606</v>
      </c>
      <c r="B4914" t="str">
        <f>IFERROR(VLOOKUP(D4914,APOYO!K:L,2,FALSE),A4914)</f>
        <v>50606</v>
      </c>
      <c r="C4914" s="15" t="s">
        <v>1401</v>
      </c>
      <c r="D4914" t="str">
        <f>IFERROR(VLOOKUP(C4914,APOYO!J:K,2,FALSE),C4914)</f>
        <v>RESTREPO</v>
      </c>
      <c r="E4914">
        <v>2019</v>
      </c>
      <c r="H4914">
        <v>137</v>
      </c>
    </row>
    <row r="4915" spans="1:9" hidden="1" x14ac:dyDescent="0.25">
      <c r="A4915" t="str">
        <f>_xlfn.XLOOKUP(C4915, 'Códigos DANE Municipios'!$B$2:$B$1123, 'Códigos DANE Municipios'!$A$2:$A$1123, "No encontrado")</f>
        <v>05607</v>
      </c>
      <c r="B4915" t="str">
        <f>IFERROR(VLOOKUP(D4915,APOYO!K:L,2,FALSE),A4915)</f>
        <v>05607</v>
      </c>
      <c r="C4915" s="15" t="s">
        <v>178</v>
      </c>
      <c r="D4915" t="str">
        <f>IFERROR(VLOOKUP(C4915,APOYO!J:K,2,FALSE),C4915)</f>
        <v>RETIRO</v>
      </c>
      <c r="E4915">
        <v>2019</v>
      </c>
      <c r="H4915">
        <v>373</v>
      </c>
    </row>
    <row r="4916" spans="1:9" hidden="1" x14ac:dyDescent="0.25">
      <c r="A4916" t="str">
        <f>_xlfn.XLOOKUP(C4916, 'Códigos DANE Municipios'!$B$2:$B$1123, 'Códigos DANE Municipios'!$A$2:$A$1123, "No encontrado")</f>
        <v>25612</v>
      </c>
      <c r="B4916" t="str">
        <f>IFERROR(VLOOKUP(D4916,APOYO!K:L,2,FALSE),A4916)</f>
        <v>25612</v>
      </c>
      <c r="C4916" s="15" t="s">
        <v>1061</v>
      </c>
      <c r="D4916" t="str">
        <f>IFERROR(VLOOKUP(C4916,APOYO!J:K,2,FALSE),C4916)</f>
        <v>RICAURTE</v>
      </c>
      <c r="E4916">
        <v>2019</v>
      </c>
      <c r="H4916">
        <v>87</v>
      </c>
    </row>
    <row r="4917" spans="1:9" hidden="1" x14ac:dyDescent="0.25">
      <c r="A4917" t="str">
        <f>_xlfn.XLOOKUP(C4917, 'Códigos DANE Municipios'!$B$2:$B$1123, 'Códigos DANE Municipios'!$A$2:$A$1123, "No encontrado")</f>
        <v>No encontrado</v>
      </c>
      <c r="B4917" t="str">
        <f>IFERROR(VLOOKUP(D4917,APOYO!K:L,2,FALSE),A4917)</f>
        <v>No encontrado</v>
      </c>
      <c r="C4917" s="15" t="s">
        <v>2338</v>
      </c>
      <c r="D4917" t="str">
        <f>IFERROR(VLOOKUP(C4917,APOYO!J:K,2,FALSE),C4917)</f>
        <v>RIO DE ORO</v>
      </c>
      <c r="E4917">
        <v>2019</v>
      </c>
      <c r="H4917">
        <v>5</v>
      </c>
    </row>
    <row r="4918" spans="1:9" hidden="1" x14ac:dyDescent="0.25">
      <c r="A4918" t="str">
        <f>_xlfn.XLOOKUP(C4918, 'Códigos DANE Municipios'!$B$2:$B$1123, 'Códigos DANE Municipios'!$A$2:$A$1123, "No encontrado")</f>
        <v>No encontrado</v>
      </c>
      <c r="B4918" t="str">
        <f>IFERROR(VLOOKUP(D4918,APOYO!K:L,2,FALSE),A4918)</f>
        <v>No encontrado</v>
      </c>
      <c r="C4918" s="15" t="s">
        <v>2540</v>
      </c>
      <c r="D4918" t="str">
        <f>IFERROR(VLOOKUP(C4918,APOYO!J:K,2,FALSE),C4918)</f>
        <v>RIO BLANCO</v>
      </c>
      <c r="E4918">
        <v>2019</v>
      </c>
      <c r="H4918">
        <v>3</v>
      </c>
    </row>
    <row r="4919" spans="1:9" hidden="1" x14ac:dyDescent="0.25">
      <c r="A4919" t="str">
        <f>_xlfn.XLOOKUP(C4919, 'Códigos DANE Municipios'!$B$2:$B$1123, 'Códigos DANE Municipios'!$A$2:$A$1123, "No encontrado")</f>
        <v>No encontrado</v>
      </c>
      <c r="B4919" t="str">
        <f>IFERROR(VLOOKUP(D4919,APOYO!K:L,2,FALSE),A4919)</f>
        <v>No encontrado</v>
      </c>
      <c r="C4919" s="15" t="s">
        <v>2339</v>
      </c>
      <c r="D4919" t="str">
        <f>IFERROR(VLOOKUP(C4919,APOYO!J:K,2,FALSE),C4919)</f>
        <v>RIOFRIO</v>
      </c>
      <c r="E4919">
        <v>2019</v>
      </c>
      <c r="H4919">
        <v>44</v>
      </c>
    </row>
    <row r="4920" spans="1:9" hidden="1" x14ac:dyDescent="0.25">
      <c r="A4920" t="str">
        <f>_xlfn.XLOOKUP(C4920, 'Códigos DANE Municipios'!$B$2:$B$1123, 'Códigos DANE Municipios'!$A$2:$A$1123, "No encontrado")</f>
        <v>44001</v>
      </c>
      <c r="B4920" t="str">
        <f>IFERROR(VLOOKUP(D4920,APOYO!K:L,2,FALSE),A4920)</f>
        <v>44001</v>
      </c>
      <c r="C4920" s="15" t="s">
        <v>1272</v>
      </c>
      <c r="D4920" t="str">
        <f>IFERROR(VLOOKUP(C4920,APOYO!J:K,2,FALSE),C4920)</f>
        <v>RIOHACHA</v>
      </c>
      <c r="E4920">
        <v>2019</v>
      </c>
      <c r="F4920">
        <v>123456</v>
      </c>
      <c r="G4920">
        <v>3435</v>
      </c>
      <c r="H4920">
        <v>1912</v>
      </c>
      <c r="I4920">
        <v>17760</v>
      </c>
    </row>
    <row r="4921" spans="1:9" hidden="1" x14ac:dyDescent="0.25">
      <c r="A4921" t="str">
        <f>_xlfn.XLOOKUP(C4921, 'Códigos DANE Municipios'!$B$2:$B$1123, 'Códigos DANE Municipios'!$A$2:$A$1123, "No encontrado")</f>
        <v>05615</v>
      </c>
      <c r="B4921" t="str">
        <f>IFERROR(VLOOKUP(D4921,APOYO!K:L,2,FALSE),A4921)</f>
        <v>05615</v>
      </c>
      <c r="C4921" s="15" t="s">
        <v>180</v>
      </c>
      <c r="D4921" t="str">
        <f>IFERROR(VLOOKUP(C4921,APOYO!J:K,2,FALSE),C4921)</f>
        <v>RIONEGRO</v>
      </c>
      <c r="E4921">
        <v>2019</v>
      </c>
      <c r="F4921">
        <v>3460793</v>
      </c>
      <c r="G4921">
        <v>975682</v>
      </c>
      <c r="H4921">
        <v>4660</v>
      </c>
    </row>
    <row r="4922" spans="1:9" hidden="1" x14ac:dyDescent="0.25">
      <c r="A4922" t="str">
        <f>_xlfn.XLOOKUP(C4922, 'Códigos DANE Municipios'!$B$2:$B$1123, 'Códigos DANE Municipios'!$A$2:$A$1123, "No encontrado")</f>
        <v>17614</v>
      </c>
      <c r="B4922" t="str">
        <f>IFERROR(VLOOKUP(D4922,APOYO!K:L,2,FALSE),A4922)</f>
        <v>17614</v>
      </c>
      <c r="C4922" s="15" t="s">
        <v>680</v>
      </c>
      <c r="D4922" t="str">
        <f>IFERROR(VLOOKUP(C4922,APOYO!J:K,2,FALSE),C4922)</f>
        <v>RIOSUCIO</v>
      </c>
      <c r="E4922">
        <v>2019</v>
      </c>
      <c r="F4922">
        <v>1</v>
      </c>
      <c r="H4922">
        <v>78</v>
      </c>
    </row>
    <row r="4923" spans="1:9" hidden="1" x14ac:dyDescent="0.25">
      <c r="A4923" t="str">
        <f>_xlfn.XLOOKUP(C4923, 'Códigos DANE Municipios'!$B$2:$B$1123, 'Códigos DANE Municipios'!$A$2:$A$1123, "No encontrado")</f>
        <v>17616</v>
      </c>
      <c r="B4923" t="str">
        <f>IFERROR(VLOOKUP(D4923,APOYO!K:L,2,FALSE),A4923)</f>
        <v>17616</v>
      </c>
      <c r="C4923" s="15" t="s">
        <v>682</v>
      </c>
      <c r="D4923" t="str">
        <f>IFERROR(VLOOKUP(C4923,APOYO!J:K,2,FALSE),C4923)</f>
        <v>RISARALDA</v>
      </c>
      <c r="E4923">
        <v>2019</v>
      </c>
      <c r="H4923">
        <v>33</v>
      </c>
    </row>
    <row r="4924" spans="1:9" hidden="1" x14ac:dyDescent="0.25">
      <c r="A4924" t="str">
        <f>_xlfn.XLOOKUP(C4924, 'Códigos DANE Municipios'!$B$2:$B$1123, 'Códigos DANE Municipios'!$A$2:$A$1123, "No encontrado")</f>
        <v>41615</v>
      </c>
      <c r="B4924" t="str">
        <f>IFERROR(VLOOKUP(D4924,APOYO!K:L,2,FALSE),A4924)</f>
        <v>41615</v>
      </c>
      <c r="C4924" s="15" t="s">
        <v>1249</v>
      </c>
      <c r="D4924" t="str">
        <f>IFERROR(VLOOKUP(C4924,APOYO!J:K,2,FALSE),C4924)</f>
        <v>RIVERA</v>
      </c>
      <c r="E4924">
        <v>2019</v>
      </c>
      <c r="H4924">
        <v>30</v>
      </c>
    </row>
    <row r="4925" spans="1:9" hidden="1" x14ac:dyDescent="0.25">
      <c r="A4925" t="str">
        <f>_xlfn.XLOOKUP(C4925, 'Códigos DANE Municipios'!$B$2:$B$1123, 'Códigos DANE Municipios'!$A$2:$A$1123, "No encontrado")</f>
        <v>No encontrado</v>
      </c>
      <c r="B4925" t="str">
        <f>IFERROR(VLOOKUP(D4925,APOYO!K:L,2,FALSE),A4925)</f>
        <v>No encontrado</v>
      </c>
      <c r="C4925" s="15" t="s">
        <v>2340</v>
      </c>
      <c r="D4925" t="str">
        <f>IFERROR(VLOOKUP(C4925,APOYO!J:K,2,FALSE),C4925)</f>
        <v>ROBLES(LA PAZ)</v>
      </c>
      <c r="E4925">
        <v>2019</v>
      </c>
      <c r="H4925">
        <v>16</v>
      </c>
    </row>
    <row r="4926" spans="1:9" hidden="1" x14ac:dyDescent="0.25">
      <c r="A4926" t="str">
        <f>_xlfn.XLOOKUP(C4926, 'Códigos DANE Municipios'!$B$2:$B$1123, 'Códigos DANE Municipios'!$A$2:$A$1123, "No encontrado")</f>
        <v>No encontrado</v>
      </c>
      <c r="B4926" t="str">
        <f>IFERROR(VLOOKUP(D4926,APOYO!K:L,2,FALSE),A4926)</f>
        <v>No encontrado</v>
      </c>
      <c r="C4926" s="15" t="s">
        <v>2341</v>
      </c>
      <c r="D4926" t="str">
        <f>IFERROR(VLOOKUP(C4926,APOYO!J:K,2,FALSE),C4926)</f>
        <v>RONALDILLO</v>
      </c>
      <c r="E4926">
        <v>2019</v>
      </c>
      <c r="F4926">
        <v>127</v>
      </c>
      <c r="H4926">
        <v>697</v>
      </c>
    </row>
    <row r="4927" spans="1:9" hidden="1" x14ac:dyDescent="0.25">
      <c r="A4927" t="str">
        <f>_xlfn.XLOOKUP(C4927, 'Códigos DANE Municipios'!$B$2:$B$1123, 'Códigos DANE Municipios'!$A$2:$A$1123, "No encontrado")</f>
        <v>73622</v>
      </c>
      <c r="B4927" t="str">
        <f>IFERROR(VLOOKUP(D4927,APOYO!K:L,2,FALSE),A4927)</f>
        <v>73622</v>
      </c>
      <c r="C4927" s="15" t="s">
        <v>1937</v>
      </c>
      <c r="D4927" t="str">
        <f>IFERROR(VLOOKUP(C4927,APOYO!J:K,2,FALSE),C4927)</f>
        <v>RONCESVALLES</v>
      </c>
      <c r="E4927">
        <v>2019</v>
      </c>
      <c r="H4927">
        <v>2</v>
      </c>
    </row>
    <row r="4928" spans="1:9" hidden="1" x14ac:dyDescent="0.25">
      <c r="A4928" t="str">
        <f>_xlfn.XLOOKUP(C4928, 'Códigos DANE Municipios'!$B$2:$B$1123, 'Códigos DANE Municipios'!$A$2:$A$1123, "No encontrado")</f>
        <v>73624</v>
      </c>
      <c r="B4928" t="str">
        <f>IFERROR(VLOOKUP(D4928,APOYO!K:L,2,FALSE),A4928)</f>
        <v>73624</v>
      </c>
      <c r="C4928" s="15" t="s">
        <v>1939</v>
      </c>
      <c r="D4928" t="str">
        <f>IFERROR(VLOOKUP(C4928,APOYO!J:K,2,FALSE),C4928)</f>
        <v>ROVIRA</v>
      </c>
      <c r="E4928">
        <v>2019</v>
      </c>
      <c r="H4928">
        <v>5</v>
      </c>
    </row>
    <row r="4929" spans="1:8" hidden="1" x14ac:dyDescent="0.25">
      <c r="A4929" t="str">
        <f>_xlfn.XLOOKUP(C4929, 'Códigos DANE Municipios'!$B$2:$B$1123, 'Códigos DANE Municipios'!$A$2:$A$1123, "No encontrado")</f>
        <v>68655</v>
      </c>
      <c r="B4929" t="str">
        <f>IFERROR(VLOOKUP(D4929,APOYO!K:L,2,FALSE),A4929)</f>
        <v>68655</v>
      </c>
      <c r="C4929" s="15" t="s">
        <v>1777</v>
      </c>
      <c r="D4929" t="str">
        <f>IFERROR(VLOOKUP(C4929,APOYO!J:K,2,FALSE),C4929)</f>
        <v>SABANA DE TORRES</v>
      </c>
      <c r="E4929">
        <v>2019</v>
      </c>
      <c r="H4929">
        <v>12</v>
      </c>
    </row>
    <row r="4930" spans="1:8" hidden="1" x14ac:dyDescent="0.25">
      <c r="A4930" t="str">
        <f>_xlfn.XLOOKUP(C4930, 'Códigos DANE Municipios'!$B$2:$B$1123, 'Códigos DANE Municipios'!$A$2:$A$1123, "No encontrado")</f>
        <v>08634</v>
      </c>
      <c r="B4930" t="str">
        <f>IFERROR(VLOOKUP(D4930,APOYO!K:L,2,FALSE),A4930)</f>
        <v>08634</v>
      </c>
      <c r="C4930" s="15" t="s">
        <v>292</v>
      </c>
      <c r="D4930" t="str">
        <f>IFERROR(VLOOKUP(C4930,APOYO!J:K,2,FALSE),C4930)</f>
        <v>SABANAGRANDE</v>
      </c>
      <c r="E4930">
        <v>2019</v>
      </c>
      <c r="H4930">
        <v>39</v>
      </c>
    </row>
    <row r="4931" spans="1:8" hidden="1" x14ac:dyDescent="0.25">
      <c r="A4931" t="str">
        <f>_xlfn.XLOOKUP(C4931, 'Códigos DANE Municipios'!$B$2:$B$1123, 'Códigos DANE Municipios'!$A$2:$A$1123, "No encontrado")</f>
        <v>05628</v>
      </c>
      <c r="B4931" t="str">
        <f>IFERROR(VLOOKUP(D4931,APOYO!K:L,2,FALSE),A4931)</f>
        <v>05628</v>
      </c>
      <c r="C4931" s="15" t="s">
        <v>182</v>
      </c>
      <c r="D4931" t="str">
        <f>IFERROR(VLOOKUP(C4931,APOYO!J:K,2,FALSE),C4931)</f>
        <v>SABANALARGA</v>
      </c>
      <c r="E4931">
        <v>2019</v>
      </c>
      <c r="H4931">
        <v>130</v>
      </c>
    </row>
    <row r="4932" spans="1:8" hidden="1" x14ac:dyDescent="0.25">
      <c r="A4932" t="str">
        <f>_xlfn.XLOOKUP(C4932, 'Códigos DANE Municipios'!$B$2:$B$1123, 'Códigos DANE Municipios'!$A$2:$A$1123, "No encontrado")</f>
        <v>05631</v>
      </c>
      <c r="B4932" t="str">
        <f>IFERROR(VLOOKUP(D4932,APOYO!K:L,2,FALSE),A4932)</f>
        <v>05631</v>
      </c>
      <c r="C4932" s="15" t="s">
        <v>184</v>
      </c>
      <c r="D4932" t="str">
        <f>IFERROR(VLOOKUP(C4932,APOYO!J:K,2,FALSE),C4932)</f>
        <v>SABANETA</v>
      </c>
      <c r="E4932">
        <v>2019</v>
      </c>
      <c r="H4932">
        <v>1588</v>
      </c>
    </row>
    <row r="4933" spans="1:8" hidden="1" x14ac:dyDescent="0.25">
      <c r="A4933" t="str">
        <f>_xlfn.XLOOKUP(C4933, 'Códigos DANE Municipios'!$B$2:$B$1123, 'Códigos DANE Municipios'!$A$2:$A$1123, "No encontrado")</f>
        <v>No encontrado</v>
      </c>
      <c r="B4933" t="str">
        <f>IFERROR(VLOOKUP(D4933,APOYO!K:L,2,FALSE),A4933)</f>
        <v>15632</v>
      </c>
      <c r="C4933" s="15" t="s">
        <v>2448</v>
      </c>
      <c r="D4933" t="str">
        <f>IFERROR(VLOOKUP(C4933,APOYO!J:K,2,FALSE),C4933)</f>
        <v>SABOYÁ</v>
      </c>
      <c r="E4933">
        <v>2019</v>
      </c>
      <c r="H4933">
        <v>4</v>
      </c>
    </row>
    <row r="4934" spans="1:8" hidden="1" x14ac:dyDescent="0.25">
      <c r="A4934" t="str">
        <f>_xlfn.XLOOKUP(C4934, 'Códigos DANE Municipios'!$B$2:$B$1123, 'Códigos DANE Municipios'!$A$2:$A$1123, "No encontrado")</f>
        <v>No encontrado</v>
      </c>
      <c r="B4934" t="str">
        <f>IFERROR(VLOOKUP(D4934,APOYO!K:L,2,FALSE),A4934)</f>
        <v>15638</v>
      </c>
      <c r="C4934" s="15" t="s">
        <v>2342</v>
      </c>
      <c r="D4934" t="str">
        <f>IFERROR(VLOOKUP(C4934,APOYO!J:K,2,FALSE),C4934)</f>
        <v>SÁCHICA</v>
      </c>
      <c r="E4934">
        <v>2019</v>
      </c>
      <c r="H4934">
        <v>1</v>
      </c>
    </row>
    <row r="4935" spans="1:8" hidden="1" x14ac:dyDescent="0.25">
      <c r="A4935" t="str">
        <f>_xlfn.XLOOKUP(C4935, 'Códigos DANE Municipios'!$B$2:$B$1123, 'Códigos DANE Municipios'!$A$2:$A$1123, "No encontrado")</f>
        <v>No encontrado</v>
      </c>
      <c r="B4935" t="str">
        <f>IFERROR(VLOOKUP(D4935,APOYO!K:L,2,FALSE),A4935)</f>
        <v>No encontrado</v>
      </c>
      <c r="C4935" s="15" t="s">
        <v>2343</v>
      </c>
      <c r="D4935" t="str">
        <f>IFERROR(VLOOKUP(C4935,APOYO!J:K,2,FALSE),C4935)</f>
        <v>SAHAGUN</v>
      </c>
      <c r="E4935">
        <v>2019</v>
      </c>
      <c r="H4935">
        <v>85</v>
      </c>
    </row>
    <row r="4936" spans="1:8" hidden="1" x14ac:dyDescent="0.25">
      <c r="A4936" t="str">
        <f>_xlfn.XLOOKUP(C4936, 'Códigos DANE Municipios'!$B$2:$B$1123, 'Códigos DANE Municipios'!$A$2:$A$1123, "No encontrado")</f>
        <v>41660</v>
      </c>
      <c r="B4936" t="str">
        <f>IFERROR(VLOOKUP(D4936,APOYO!K:L,2,FALSE),A4936)</f>
        <v>41660</v>
      </c>
      <c r="C4936" s="15" t="s">
        <v>1251</v>
      </c>
      <c r="D4936" t="str">
        <f>IFERROR(VLOOKUP(C4936,APOYO!J:K,2,FALSE),C4936)</f>
        <v>SALADOBLANCO</v>
      </c>
      <c r="E4936">
        <v>2019</v>
      </c>
      <c r="H4936">
        <v>1</v>
      </c>
    </row>
    <row r="4937" spans="1:8" hidden="1" x14ac:dyDescent="0.25">
      <c r="A4937" t="str">
        <f>_xlfn.XLOOKUP(C4937, 'Códigos DANE Municipios'!$B$2:$B$1123, 'Códigos DANE Municipios'!$A$2:$A$1123, "No encontrado")</f>
        <v>17653</v>
      </c>
      <c r="B4937" t="str">
        <f>IFERROR(VLOOKUP(D4937,APOYO!K:L,2,FALSE),A4937)</f>
        <v>17653</v>
      </c>
      <c r="C4937" s="15" t="s">
        <v>684</v>
      </c>
      <c r="D4937" t="str">
        <f>IFERROR(VLOOKUP(C4937,APOYO!J:K,2,FALSE),C4937)</f>
        <v>SALAMINA</v>
      </c>
      <c r="E4937">
        <v>2019</v>
      </c>
      <c r="H4937">
        <v>67</v>
      </c>
    </row>
    <row r="4938" spans="1:8" hidden="1" x14ac:dyDescent="0.25">
      <c r="A4938" t="str">
        <f>_xlfn.XLOOKUP(C4938, 'Códigos DANE Municipios'!$B$2:$B$1123, 'Códigos DANE Municipios'!$A$2:$A$1123, "No encontrado")</f>
        <v>54660</v>
      </c>
      <c r="B4938" t="str">
        <f>IFERROR(VLOOKUP(D4938,APOYO!K:L,2,FALSE),A4938)</f>
        <v>54660</v>
      </c>
      <c r="C4938" s="15" t="s">
        <v>1587</v>
      </c>
      <c r="D4938" t="str">
        <f>IFERROR(VLOOKUP(C4938,APOYO!J:K,2,FALSE),C4938)</f>
        <v>SALAZAR</v>
      </c>
      <c r="E4938">
        <v>2019</v>
      </c>
      <c r="H4938">
        <v>4</v>
      </c>
    </row>
    <row r="4939" spans="1:8" hidden="1" x14ac:dyDescent="0.25">
      <c r="A4939" t="str">
        <f>_xlfn.XLOOKUP(C4939, 'Códigos DANE Municipios'!$B$2:$B$1123, 'Códigos DANE Municipios'!$A$2:$A$1123, "No encontrado")</f>
        <v>73671</v>
      </c>
      <c r="B4939" t="str">
        <f>IFERROR(VLOOKUP(D4939,APOYO!K:L,2,FALSE),A4939)</f>
        <v>73671</v>
      </c>
      <c r="C4939" s="15" t="s">
        <v>1941</v>
      </c>
      <c r="D4939" t="str">
        <f>IFERROR(VLOOKUP(C4939,APOYO!J:K,2,FALSE),C4939)</f>
        <v>SALDAÑA</v>
      </c>
      <c r="E4939">
        <v>2019</v>
      </c>
      <c r="F4939">
        <v>56</v>
      </c>
      <c r="H4939">
        <v>10</v>
      </c>
    </row>
    <row r="4940" spans="1:8" hidden="1" x14ac:dyDescent="0.25">
      <c r="A4940" t="str">
        <f>_xlfn.XLOOKUP(C4940, 'Códigos DANE Municipios'!$B$2:$B$1123, 'Códigos DANE Municipios'!$A$2:$A$1123, "No encontrado")</f>
        <v>63690</v>
      </c>
      <c r="B4940" t="str">
        <f>IFERROR(VLOOKUP(D4940,APOYO!K:L,2,FALSE),A4940)</f>
        <v>63690</v>
      </c>
      <c r="C4940" s="15" t="s">
        <v>1626</v>
      </c>
      <c r="D4940" t="str">
        <f>IFERROR(VLOOKUP(C4940,APOYO!J:K,2,FALSE),C4940)</f>
        <v>SALENTO</v>
      </c>
      <c r="E4940">
        <v>2019</v>
      </c>
      <c r="H4940">
        <v>1963</v>
      </c>
    </row>
    <row r="4941" spans="1:8" hidden="1" x14ac:dyDescent="0.25">
      <c r="A4941" t="str">
        <f>_xlfn.XLOOKUP(C4941, 'Códigos DANE Municipios'!$B$2:$B$1123, 'Códigos DANE Municipios'!$A$2:$A$1123, "No encontrado")</f>
        <v>05642</v>
      </c>
      <c r="B4941" t="str">
        <f>IFERROR(VLOOKUP(D4941,APOYO!K:L,2,FALSE),A4941)</f>
        <v>05642</v>
      </c>
      <c r="C4941" s="15" t="s">
        <v>186</v>
      </c>
      <c r="D4941" t="str">
        <f>IFERROR(VLOOKUP(C4941,APOYO!J:K,2,FALSE),C4941)</f>
        <v>SALGAR</v>
      </c>
      <c r="E4941">
        <v>2019</v>
      </c>
      <c r="H4941">
        <v>10</v>
      </c>
    </row>
    <row r="4942" spans="1:8" hidden="1" x14ac:dyDescent="0.25">
      <c r="A4942" t="str">
        <f>_xlfn.XLOOKUP(C4942, 'Códigos DANE Municipios'!$B$2:$B$1123, 'Códigos DANE Municipios'!$A$2:$A$1123, "No encontrado")</f>
        <v>No encontrado</v>
      </c>
      <c r="B4942" t="str">
        <f>IFERROR(VLOOKUP(D4942,APOYO!K:L,2,FALSE),A4942)</f>
        <v>No encontrado</v>
      </c>
      <c r="C4942" s="15" t="s">
        <v>2344</v>
      </c>
      <c r="D4942" t="str">
        <f>IFERROR(VLOOKUP(C4942,APOYO!J:K,2,FALSE),C4942)</f>
        <v>SAMACA</v>
      </c>
      <c r="E4942">
        <v>2019</v>
      </c>
      <c r="H4942">
        <v>14</v>
      </c>
    </row>
    <row r="4943" spans="1:8" hidden="1" x14ac:dyDescent="0.25">
      <c r="A4943" t="str">
        <f>_xlfn.XLOOKUP(C4943, 'Códigos DANE Municipios'!$B$2:$B$1123, 'Códigos DANE Municipios'!$A$2:$A$1123, "No encontrado")</f>
        <v>No encontrado</v>
      </c>
      <c r="B4943" t="str">
        <f>IFERROR(VLOOKUP(D4943,APOYO!K:L,2,FALSE),A4943)</f>
        <v>No encontrado</v>
      </c>
      <c r="C4943" s="15" t="s">
        <v>2345</v>
      </c>
      <c r="D4943" t="str">
        <f>IFERROR(VLOOKUP(C4943,APOYO!J:K,2,FALSE),C4943)</f>
        <v>SAMANA</v>
      </c>
      <c r="E4943">
        <v>2019</v>
      </c>
      <c r="H4943">
        <v>7</v>
      </c>
    </row>
    <row r="4944" spans="1:8" hidden="1" x14ac:dyDescent="0.25">
      <c r="A4944" t="str">
        <f>_xlfn.XLOOKUP(C4944, 'Códigos DANE Municipios'!$B$2:$B$1123, 'Códigos DANE Municipios'!$A$2:$A$1123, "No encontrado")</f>
        <v>52678</v>
      </c>
      <c r="B4944" t="str">
        <f>IFERROR(VLOOKUP(D4944,APOYO!K:L,2,FALSE),A4944)</f>
        <v>52678</v>
      </c>
      <c r="C4944" s="15" t="s">
        <v>1504</v>
      </c>
      <c r="D4944" t="str">
        <f>IFERROR(VLOOKUP(C4944,APOYO!J:K,2,FALSE),C4944)</f>
        <v>SAMANIEGO</v>
      </c>
      <c r="E4944">
        <v>2019</v>
      </c>
      <c r="H4944">
        <v>31</v>
      </c>
    </row>
    <row r="4945" spans="1:8" hidden="1" x14ac:dyDescent="0.25">
      <c r="A4945" t="str">
        <f>_xlfn.XLOOKUP(C4945, 'Códigos DANE Municipios'!$B$2:$B$1123, 'Códigos DANE Municipios'!$A$2:$A$1123, "No encontrado")</f>
        <v>No encontrado</v>
      </c>
      <c r="B4945" t="str">
        <f>IFERROR(VLOOKUP(D4945,APOYO!K:L,2,FALSE),A4945)</f>
        <v>No encontrado</v>
      </c>
      <c r="C4945" s="15" t="s">
        <v>2346</v>
      </c>
      <c r="D4945" t="str">
        <f>IFERROR(VLOOKUP(C4945,APOYO!J:K,2,FALSE),C4945)</f>
        <v>SAMPUES</v>
      </c>
      <c r="E4945">
        <v>2019</v>
      </c>
      <c r="H4945">
        <v>13</v>
      </c>
    </row>
    <row r="4946" spans="1:8" hidden="1" x14ac:dyDescent="0.25">
      <c r="A4946" t="str">
        <f>_xlfn.XLOOKUP(C4946, 'Códigos DANE Municipios'!$B$2:$B$1123, 'Códigos DANE Municipios'!$A$2:$A$1123, "No encontrado")</f>
        <v>No encontrado</v>
      </c>
      <c r="B4946" t="str">
        <f>IFERROR(VLOOKUP(D4946,APOYO!K:L,2,FALSE),A4946)</f>
        <v>No encontrado</v>
      </c>
      <c r="C4946" s="15" t="s">
        <v>2347</v>
      </c>
      <c r="D4946" t="str">
        <f>IFERROR(VLOOKUP(C4946,APOYO!J:K,2,FALSE),C4946)</f>
        <v>SAN AGUSTIN</v>
      </c>
      <c r="E4946">
        <v>2019</v>
      </c>
      <c r="H4946">
        <v>263</v>
      </c>
    </row>
    <row r="4947" spans="1:8" hidden="1" x14ac:dyDescent="0.25">
      <c r="A4947" t="str">
        <f>_xlfn.XLOOKUP(C4947, 'Códigos DANE Municipios'!$B$2:$B$1123, 'Códigos DANE Municipios'!$A$2:$A$1123, "No encontrado")</f>
        <v>20710</v>
      </c>
      <c r="B4947" t="str">
        <f>IFERROR(VLOOKUP(D4947,APOYO!K:L,2,FALSE),A4947)</f>
        <v>20710</v>
      </c>
      <c r="C4947" s="15" t="s">
        <v>850</v>
      </c>
      <c r="D4947" t="str">
        <f>IFERROR(VLOOKUP(C4947,APOYO!J:K,2,FALSE),C4947)</f>
        <v>SAN ALBERTO</v>
      </c>
      <c r="E4947">
        <v>2019</v>
      </c>
      <c r="F4947">
        <v>38</v>
      </c>
      <c r="H4947">
        <v>11</v>
      </c>
    </row>
    <row r="4948" spans="1:8" hidden="1" x14ac:dyDescent="0.25">
      <c r="A4948" t="str">
        <f>_xlfn.XLOOKUP(C4948, 'Códigos DANE Municipios'!$B$2:$B$1123, 'Códigos DANE Municipios'!$A$2:$A$1123, "No encontrado")</f>
        <v>No encontrado</v>
      </c>
      <c r="B4948" t="str">
        <f>IFERROR(VLOOKUP(D4948,APOYO!K:L,2,FALSE),A4948)</f>
        <v>No encontrado</v>
      </c>
      <c r="C4948" s="15" t="s">
        <v>2348</v>
      </c>
      <c r="D4948" t="str">
        <f>IFERROR(VLOOKUP(C4948,APOYO!J:K,2,FALSE),C4948)</f>
        <v>SAN ANDRES</v>
      </c>
      <c r="E4948">
        <v>2019</v>
      </c>
      <c r="F4948">
        <v>1114799</v>
      </c>
      <c r="G4948">
        <v>46108</v>
      </c>
      <c r="H4948">
        <v>94869</v>
      </c>
    </row>
    <row r="4949" spans="1:8" hidden="1" x14ac:dyDescent="0.25">
      <c r="A4949" t="str">
        <f>_xlfn.XLOOKUP(C4949, 'Códigos DANE Municipios'!$B$2:$B$1123, 'Códigos DANE Municipios'!$A$2:$A$1123, "No encontrado")</f>
        <v>No encontrado</v>
      </c>
      <c r="B4949" t="str">
        <f>IFERROR(VLOOKUP(D4949,APOYO!K:L,2,FALSE),A4949)</f>
        <v>No encontrado</v>
      </c>
      <c r="C4949" s="15" t="s">
        <v>2349</v>
      </c>
      <c r="D4949" t="str">
        <f>IFERROR(VLOOKUP(C4949,APOYO!J:K,2,FALSE),C4949)</f>
        <v>SAN ANDRES DE SOTA</v>
      </c>
      <c r="E4949">
        <v>2019</v>
      </c>
      <c r="H4949">
        <v>3</v>
      </c>
    </row>
    <row r="4950" spans="1:8" hidden="1" x14ac:dyDescent="0.25">
      <c r="A4950" t="str">
        <f>_xlfn.XLOOKUP(C4950, 'Códigos DANE Municipios'!$B$2:$B$1123, 'Códigos DANE Municipios'!$A$2:$A$1123, "No encontrado")</f>
        <v>23672</v>
      </c>
      <c r="B4950" t="str">
        <f>IFERROR(VLOOKUP(D4950,APOYO!K:L,2,FALSE),A4950)</f>
        <v>23672</v>
      </c>
      <c r="C4950" s="15" t="s">
        <v>901</v>
      </c>
      <c r="D4950" t="str">
        <f>IFERROR(VLOOKUP(C4950,APOYO!J:K,2,FALSE),C4950)</f>
        <v>SAN ANTERO</v>
      </c>
      <c r="E4950">
        <v>2019</v>
      </c>
      <c r="H4950">
        <v>31</v>
      </c>
    </row>
    <row r="4951" spans="1:8" hidden="1" x14ac:dyDescent="0.25">
      <c r="A4951" t="str">
        <f>_xlfn.XLOOKUP(C4951, 'Códigos DANE Municipios'!$B$2:$B$1123, 'Códigos DANE Municipios'!$A$2:$A$1123, "No encontrado")</f>
        <v>73675</v>
      </c>
      <c r="B4951" t="str">
        <f>IFERROR(VLOOKUP(D4951,APOYO!K:L,2,FALSE),A4951)</f>
        <v>73675</v>
      </c>
      <c r="C4951" s="15" t="s">
        <v>1943</v>
      </c>
      <c r="D4951" t="str">
        <f>IFERROR(VLOOKUP(C4951,APOYO!J:K,2,FALSE),C4951)</f>
        <v>SAN ANTONIO</v>
      </c>
      <c r="E4951">
        <v>2019</v>
      </c>
      <c r="H4951">
        <v>36</v>
      </c>
    </row>
    <row r="4952" spans="1:8" hidden="1" x14ac:dyDescent="0.25">
      <c r="A4952" t="str">
        <f>_xlfn.XLOOKUP(C4952, 'Códigos DANE Municipios'!$B$2:$B$1123, 'Códigos DANE Municipios'!$A$2:$A$1123, "No encontrado")</f>
        <v>25649</v>
      </c>
      <c r="B4952" t="str">
        <f>IFERROR(VLOOKUP(D4952,APOYO!K:L,2,FALSE),A4952)</f>
        <v>25649</v>
      </c>
      <c r="C4952" s="15" t="s">
        <v>1065</v>
      </c>
      <c r="D4952" t="str">
        <f>IFERROR(VLOOKUP(C4952,APOYO!J:K,2,FALSE),C4952)</f>
        <v>SAN BERNARDO</v>
      </c>
      <c r="E4952">
        <v>2019</v>
      </c>
      <c r="H4952">
        <v>5</v>
      </c>
    </row>
    <row r="4953" spans="1:8" hidden="1" x14ac:dyDescent="0.25">
      <c r="A4953" t="str">
        <f>_xlfn.XLOOKUP(C4953, 'Códigos DANE Municipios'!$B$2:$B$1123, 'Códigos DANE Municipios'!$A$2:$A$1123, "No encontrado")</f>
        <v>No encontrado</v>
      </c>
      <c r="B4953" t="str">
        <f>IFERROR(VLOOKUP(D4953,APOYO!K:L,2,FALSE),A4953)</f>
        <v>No encontrado</v>
      </c>
      <c r="C4953" s="15" t="s">
        <v>2350</v>
      </c>
      <c r="D4953" t="str">
        <f>IFERROR(VLOOKUP(C4953,APOYO!J:K,2,FALSE),C4953)</f>
        <v>SAN BERNANDO D</v>
      </c>
      <c r="E4953">
        <v>2019</v>
      </c>
      <c r="H4953">
        <v>20</v>
      </c>
    </row>
    <row r="4954" spans="1:8" hidden="1" x14ac:dyDescent="0.25">
      <c r="A4954" t="str">
        <f>_xlfn.XLOOKUP(C4954, 'Códigos DANE Municipios'!$B$2:$B$1123, 'Códigos DANE Municipios'!$A$2:$A$1123, "No encontrado")</f>
        <v>05649</v>
      </c>
      <c r="B4954" t="str">
        <f>IFERROR(VLOOKUP(D4954,APOYO!K:L,2,FALSE),A4954)</f>
        <v>05649</v>
      </c>
      <c r="C4954" s="15" t="s">
        <v>190</v>
      </c>
      <c r="D4954" t="str">
        <f>IFERROR(VLOOKUP(C4954,APOYO!J:K,2,FALSE),C4954)</f>
        <v>SAN CARLOS</v>
      </c>
      <c r="E4954">
        <v>2019</v>
      </c>
      <c r="H4954">
        <v>27</v>
      </c>
    </row>
    <row r="4955" spans="1:8" hidden="1" x14ac:dyDescent="0.25">
      <c r="A4955" t="str">
        <f>_xlfn.XLOOKUP(C4955, 'Códigos DANE Municipios'!$B$2:$B$1123, 'Códigos DANE Municipios'!$A$2:$A$1123, "No encontrado")</f>
        <v>No encontrado</v>
      </c>
      <c r="B4955" t="str">
        <f>IFERROR(VLOOKUP(D4955,APOYO!K:L,2,FALSE),A4955)</f>
        <v>No encontrado</v>
      </c>
      <c r="C4955" s="15" t="s">
        <v>2351</v>
      </c>
      <c r="D4955" t="str">
        <f>IFERROR(VLOOKUP(C4955,APOYO!J:K,2,FALSE),C4955)</f>
        <v>SAN CARLOS GUA</v>
      </c>
      <c r="E4955">
        <v>2019</v>
      </c>
      <c r="H4955">
        <v>30</v>
      </c>
    </row>
    <row r="4956" spans="1:8" hidden="1" x14ac:dyDescent="0.25">
      <c r="A4956" t="str">
        <f>_xlfn.XLOOKUP(C4956, 'Códigos DANE Municipios'!$B$2:$B$1123, 'Códigos DANE Municipios'!$A$2:$A$1123, "No encontrado")</f>
        <v>20750</v>
      </c>
      <c r="B4956" t="str">
        <f>IFERROR(VLOOKUP(D4956,APOYO!K:L,2,FALSE),A4956)</f>
        <v>20750</v>
      </c>
      <c r="C4956" s="15" t="s">
        <v>852</v>
      </c>
      <c r="D4956" t="str">
        <f>IFERROR(VLOOKUP(C4956,APOYO!J:K,2,FALSE),C4956)</f>
        <v>SAN DIEGO</v>
      </c>
      <c r="E4956">
        <v>2019</v>
      </c>
      <c r="H4956">
        <v>6</v>
      </c>
    </row>
    <row r="4957" spans="1:8" hidden="1" x14ac:dyDescent="0.25">
      <c r="A4957" t="str">
        <f>_xlfn.XLOOKUP(C4957, 'Códigos DANE Municipios'!$B$2:$B$1123, 'Códigos DANE Municipios'!$A$2:$A$1123, "No encontrado")</f>
        <v>13647</v>
      </c>
      <c r="B4957" t="str">
        <f>IFERROR(VLOOKUP(D4957,APOYO!K:L,2,FALSE),A4957)</f>
        <v>13647</v>
      </c>
      <c r="C4957" s="15" t="s">
        <v>365</v>
      </c>
      <c r="D4957" t="str">
        <f>IFERROR(VLOOKUP(C4957,APOYO!J:K,2,FALSE),C4957)</f>
        <v>SAN ESTANISLAO</v>
      </c>
      <c r="E4957">
        <v>2019</v>
      </c>
      <c r="H4957">
        <v>7</v>
      </c>
    </row>
    <row r="4958" spans="1:8" hidden="1" x14ac:dyDescent="0.25">
      <c r="A4958" t="str">
        <f>_xlfn.XLOOKUP(C4958, 'Códigos DANE Municipios'!$B$2:$B$1123, 'Códigos DANE Municipios'!$A$2:$A$1123, "No encontrado")</f>
        <v>05652</v>
      </c>
      <c r="B4958" t="str">
        <f>IFERROR(VLOOKUP(D4958,APOYO!K:L,2,FALSE),A4958)</f>
        <v>05652</v>
      </c>
      <c r="C4958" s="15" t="s">
        <v>192</v>
      </c>
      <c r="D4958" t="str">
        <f>IFERROR(VLOOKUP(C4958,APOYO!J:K,2,FALSE),C4958)</f>
        <v>SAN FRANCISCO</v>
      </c>
      <c r="E4958">
        <v>2019</v>
      </c>
      <c r="H4958">
        <v>55</v>
      </c>
    </row>
    <row r="4959" spans="1:8" hidden="1" x14ac:dyDescent="0.25">
      <c r="A4959" t="str">
        <f>_xlfn.XLOOKUP(C4959, 'Códigos DANE Municipios'!$B$2:$B$1123, 'Códigos DANE Municipios'!$A$2:$A$1123, "No encontrado")</f>
        <v>68679</v>
      </c>
      <c r="B4959" t="str">
        <f>IFERROR(VLOOKUP(D4959,APOYO!K:L,2,FALSE),A4959)</f>
        <v>68679</v>
      </c>
      <c r="C4959" s="15" t="s">
        <v>1783</v>
      </c>
      <c r="D4959" t="str">
        <f>IFERROR(VLOOKUP(C4959,APOYO!J:K,2,FALSE),C4959)</f>
        <v>SAN GIL</v>
      </c>
      <c r="E4959">
        <v>2019</v>
      </c>
      <c r="F4959">
        <v>108</v>
      </c>
      <c r="H4959">
        <v>435</v>
      </c>
    </row>
    <row r="4960" spans="1:8" hidden="1" x14ac:dyDescent="0.25">
      <c r="A4960" t="str">
        <f>_xlfn.XLOOKUP(C4960, 'Códigos DANE Municipios'!$B$2:$B$1123, 'Códigos DANE Municipios'!$A$2:$A$1123, "No encontrado")</f>
        <v>13654</v>
      </c>
      <c r="B4960" t="str">
        <f>IFERROR(VLOOKUP(D4960,APOYO!K:L,2,FALSE),A4960)</f>
        <v>13654</v>
      </c>
      <c r="C4960" s="15" t="s">
        <v>369</v>
      </c>
      <c r="D4960" t="str">
        <f>IFERROR(VLOOKUP(C4960,APOYO!J:K,2,FALSE),C4960)</f>
        <v>SAN JACINTO</v>
      </c>
      <c r="E4960">
        <v>2019</v>
      </c>
      <c r="F4960">
        <v>17</v>
      </c>
      <c r="H4960">
        <v>12</v>
      </c>
    </row>
    <row r="4961" spans="1:9" hidden="1" x14ac:dyDescent="0.25">
      <c r="A4961" t="str">
        <f>_xlfn.XLOOKUP(C4961, 'Códigos DANE Municipios'!$B$2:$B$1123, 'Códigos DANE Municipios'!$A$2:$A$1123, "No encontrado")</f>
        <v>No encontrado</v>
      </c>
      <c r="B4961" t="str">
        <f>IFERROR(VLOOKUP(D4961,APOYO!K:L,2,FALSE),A4961)</f>
        <v>No encontrado</v>
      </c>
      <c r="C4961" s="15" t="s">
        <v>2352</v>
      </c>
      <c r="D4961" t="str">
        <f>IFERROR(VLOOKUP(C4961,APOYO!J:K,2,FALSE),C4961)</f>
        <v>SAN JERONIMO</v>
      </c>
      <c r="E4961">
        <v>2019</v>
      </c>
      <c r="H4961">
        <v>72</v>
      </c>
    </row>
    <row r="4962" spans="1:9" hidden="1" x14ac:dyDescent="0.25">
      <c r="A4962" t="str">
        <f>_xlfn.XLOOKUP(C4962, 'Códigos DANE Municipios'!$B$2:$B$1123, 'Códigos DANE Municipios'!$A$2:$A$1123, "No encontrado")</f>
        <v>No encontrado</v>
      </c>
      <c r="B4962" t="str">
        <f>IFERROR(VLOOKUP(D4962,APOYO!K:L,2,FALSE),A4962)</f>
        <v>17748</v>
      </c>
      <c r="C4962" s="15" t="s">
        <v>2449</v>
      </c>
      <c r="D4962" t="str">
        <f>IFERROR(VLOOKUP(C4962,APOYO!J:K,2,FALSE),C4962)</f>
        <v>SAN JOSÉ</v>
      </c>
      <c r="E4962">
        <v>2019</v>
      </c>
      <c r="H4962">
        <v>5</v>
      </c>
    </row>
    <row r="4963" spans="1:9" hidden="1" x14ac:dyDescent="0.25">
      <c r="A4963" t="str">
        <f>_xlfn.XLOOKUP(C4963, 'Códigos DANE Municipios'!$B$2:$B$1123, 'Códigos DANE Municipios'!$A$2:$A$1123, "No encontrado")</f>
        <v>No encontrado</v>
      </c>
      <c r="B4963" t="str">
        <f>IFERROR(VLOOKUP(D4963,APOYO!K:L,2,FALSE),A4963)</f>
        <v>No encontrado</v>
      </c>
      <c r="C4963" s="15" t="s">
        <v>2541</v>
      </c>
      <c r="D4963" t="str">
        <f>IFERROR(VLOOKUP(C4963,APOYO!J:K,2,FALSE),C4963)</f>
        <v>SAN JOSE DE FRAGUA</v>
      </c>
      <c r="E4963">
        <v>2019</v>
      </c>
      <c r="H4963">
        <v>2</v>
      </c>
    </row>
    <row r="4964" spans="1:9" hidden="1" x14ac:dyDescent="0.25">
      <c r="A4964" t="str">
        <f>_xlfn.XLOOKUP(C4964, 'Códigos DANE Municipios'!$B$2:$B$1123, 'Códigos DANE Municipios'!$A$2:$A$1123, "No encontrado")</f>
        <v>No encontrado</v>
      </c>
      <c r="B4964" t="str">
        <f>IFERROR(VLOOKUP(D4964,APOYO!K:L,2,FALSE),A4964)</f>
        <v>41359</v>
      </c>
      <c r="C4964" s="15" t="s">
        <v>2478</v>
      </c>
      <c r="D4964" t="str">
        <f>IFERROR(VLOOKUP(C4964,APOYO!J:K,2,FALSE),C4964)</f>
        <v>ISNOS</v>
      </c>
      <c r="E4964">
        <v>2019</v>
      </c>
      <c r="H4964">
        <v>5</v>
      </c>
    </row>
    <row r="4965" spans="1:9" hidden="1" x14ac:dyDescent="0.25">
      <c r="A4965" t="str">
        <f>_xlfn.XLOOKUP(C4965, 'Códigos DANE Municipios'!$B$2:$B$1123, 'Códigos DANE Municipios'!$A$2:$A$1123, "No encontrado")</f>
        <v>No encontrado</v>
      </c>
      <c r="B4965" t="str">
        <f>IFERROR(VLOOKUP(D4965,APOYO!K:L,2,FALSE),A4965)</f>
        <v>15664</v>
      </c>
      <c r="C4965" s="15" t="s">
        <v>2479</v>
      </c>
      <c r="D4965" t="str">
        <f>IFERROR(VLOOKUP(C4965,APOYO!J:K,2,FALSE),C4965)</f>
        <v>SAN JOSÉ DE PARE</v>
      </c>
      <c r="E4965">
        <v>2019</v>
      </c>
      <c r="H4965">
        <v>4</v>
      </c>
    </row>
    <row r="4966" spans="1:9" hidden="1" x14ac:dyDescent="0.25">
      <c r="A4966" t="str">
        <f>_xlfn.XLOOKUP(C4966, 'Códigos DANE Municipios'!$B$2:$B$1123, 'Códigos DANE Municipios'!$A$2:$A$1123, "No encontrado")</f>
        <v>No encontrado</v>
      </c>
      <c r="B4966" t="str">
        <f>IFERROR(VLOOKUP(D4966,APOYO!K:L,2,FALSE),A4966)</f>
        <v>No encontrado</v>
      </c>
      <c r="C4966" s="15" t="s">
        <v>2353</v>
      </c>
      <c r="D4966" t="str">
        <f>IFERROR(VLOOKUP(C4966,APOYO!J:K,2,FALSE),C4966)</f>
        <v>SAN JOSE DEL GU</v>
      </c>
      <c r="E4966">
        <v>2019</v>
      </c>
      <c r="F4966">
        <v>18279</v>
      </c>
      <c r="H4966">
        <v>54</v>
      </c>
    </row>
    <row r="4967" spans="1:9" hidden="1" x14ac:dyDescent="0.25">
      <c r="A4967" t="str">
        <f>_xlfn.XLOOKUP(C4967, 'Códigos DANE Municipios'!$B$2:$B$1123, 'Códigos DANE Municipios'!$A$2:$A$1123, "No encontrado")</f>
        <v>No encontrado</v>
      </c>
      <c r="B4967" t="str">
        <f>IFERROR(VLOOKUP(D4967,APOYO!K:L,2,FALSE),A4967)</f>
        <v>No encontrado</v>
      </c>
      <c r="C4967" s="15" t="s">
        <v>2354</v>
      </c>
      <c r="D4967" t="str">
        <f>IFERROR(VLOOKUP(C4967,APOYO!J:K,2,FALSE),C4967)</f>
        <v>SAN JOSE DE URA</v>
      </c>
      <c r="E4967">
        <v>2019</v>
      </c>
    </row>
    <row r="4968" spans="1:9" hidden="1" x14ac:dyDescent="0.25">
      <c r="A4968" t="str">
        <f>_xlfn.XLOOKUP(C4968, 'Códigos DANE Municipios'!$B$2:$B$1123, 'Códigos DANE Municipios'!$A$2:$A$1123, "No encontrado")</f>
        <v>No encontrado</v>
      </c>
      <c r="B4968" t="str">
        <f>IFERROR(VLOOKUP(D4968,APOYO!K:L,2,FALSE),A4968)</f>
        <v>No encontrado</v>
      </c>
      <c r="C4968" s="15" t="s">
        <v>2481</v>
      </c>
      <c r="D4968" t="str">
        <f>IFERROR(VLOOKUP(C4968,APOYO!J:K,2,FALSE),C4968)</f>
        <v>SAN JOSE DE LA MONTAÑA</v>
      </c>
      <c r="E4968">
        <v>2019</v>
      </c>
      <c r="H4968">
        <v>2</v>
      </c>
    </row>
    <row r="4969" spans="1:9" hidden="1" x14ac:dyDescent="0.25">
      <c r="A4969" t="str">
        <f>_xlfn.XLOOKUP(C4969, 'Códigos DANE Municipios'!$B$2:$B$1123, 'Códigos DANE Municipios'!$A$2:$A$1123, "No encontrado")</f>
        <v>50683</v>
      </c>
      <c r="B4969" t="str">
        <f>IFERROR(VLOOKUP(D4969,APOYO!K:L,2,FALSE),A4969)</f>
        <v>50683</v>
      </c>
      <c r="C4969" s="15" t="s">
        <v>1405</v>
      </c>
      <c r="D4969" t="str">
        <f>IFERROR(VLOOKUP(C4969,APOYO!J:K,2,FALSE),C4969)</f>
        <v>SAN JUAN DE ARAMA</v>
      </c>
      <c r="E4969">
        <v>2019</v>
      </c>
      <c r="H4969">
        <v>6</v>
      </c>
    </row>
    <row r="4970" spans="1:9" hidden="1" x14ac:dyDescent="0.25">
      <c r="A4970" t="str">
        <f>_xlfn.XLOOKUP(C4970, 'Códigos DANE Municipios'!$B$2:$B$1123, 'Códigos DANE Municipios'!$A$2:$A$1123, "No encontrado")</f>
        <v>No encontrado</v>
      </c>
      <c r="B4970" t="str">
        <f>IFERROR(VLOOKUP(D4970,APOYO!K:L,2,FALSE),A4970)</f>
        <v>No encontrado</v>
      </c>
      <c r="C4970" s="15" t="s">
        <v>2355</v>
      </c>
      <c r="D4970" t="str">
        <f>IFERROR(VLOOKUP(C4970,APOYO!J:K,2,FALSE),C4970)</f>
        <v>SAN JUAN DEL CE</v>
      </c>
      <c r="E4970">
        <v>2019</v>
      </c>
      <c r="H4970">
        <v>31</v>
      </c>
    </row>
    <row r="4971" spans="1:9" hidden="1" x14ac:dyDescent="0.25">
      <c r="A4971" t="str">
        <f>_xlfn.XLOOKUP(C4971, 'Códigos DANE Municipios'!$B$2:$B$1123, 'Códigos DANE Municipios'!$A$2:$A$1123, "No encontrado")</f>
        <v>25662</v>
      </c>
      <c r="B4971" t="str">
        <f>IFERROR(VLOOKUP(D4971,APOYO!K:L,2,FALSE),A4971)</f>
        <v>25662</v>
      </c>
      <c r="C4971" s="15" t="s">
        <v>1070</v>
      </c>
      <c r="D4971" t="str">
        <f>IFERROR(VLOOKUP(C4971,APOYO!J:K,2,FALSE),C4971)</f>
        <v>SAN JUAN DE RIOSECO</v>
      </c>
      <c r="E4971">
        <v>2019</v>
      </c>
      <c r="H4971">
        <v>4</v>
      </c>
    </row>
    <row r="4972" spans="1:9" hidden="1" x14ac:dyDescent="0.25">
      <c r="A4972" t="str">
        <f>_xlfn.XLOOKUP(C4972, 'Códigos DANE Municipios'!$B$2:$B$1123, 'Códigos DANE Municipios'!$A$2:$A$1123, "No encontrado")</f>
        <v>No encontrado</v>
      </c>
      <c r="B4972" t="str">
        <f>IFERROR(VLOOKUP(D4972,APOYO!K:L,2,FALSE),A4972)</f>
        <v>No encontrado</v>
      </c>
      <c r="C4972" s="15" t="s">
        <v>2542</v>
      </c>
      <c r="D4972" t="str">
        <f>IFERROR(VLOOKUP(C4972,APOYO!J:K,2,FALSE),C4972)</f>
        <v>SAN JUAN DE URUBA</v>
      </c>
      <c r="E4972">
        <v>2019</v>
      </c>
      <c r="H4972">
        <v>4</v>
      </c>
    </row>
    <row r="4973" spans="1:9" hidden="1" x14ac:dyDescent="0.25">
      <c r="A4973" t="str">
        <f>_xlfn.XLOOKUP(C4973, 'Códigos DANE Municipios'!$B$2:$B$1123, 'Códigos DANE Municipios'!$A$2:$A$1123, "No encontrado")</f>
        <v>No encontrado</v>
      </c>
      <c r="B4973" t="str">
        <f>IFERROR(VLOOKUP(D4973,APOYO!K:L,2,FALSE),A4973)</f>
        <v>No encontrado</v>
      </c>
      <c r="C4973" s="15" t="s">
        <v>2356</v>
      </c>
      <c r="D4973" t="str">
        <f>IFERROR(VLOOKUP(C4973,APOYO!J:K,2,FALSE),C4973)</f>
        <v>SAN JUAN NEPO</v>
      </c>
      <c r="E4973">
        <v>2019</v>
      </c>
      <c r="H4973">
        <v>34</v>
      </c>
      <c r="I4973">
        <v>987</v>
      </c>
    </row>
    <row r="4974" spans="1:9" hidden="1" x14ac:dyDescent="0.25">
      <c r="A4974" t="str">
        <f>_xlfn.XLOOKUP(C4974, 'Códigos DANE Municipios'!$B$2:$B$1123, 'Códigos DANE Municipios'!$A$2:$A$1123, "No encontrado")</f>
        <v>52687</v>
      </c>
      <c r="B4974" t="str">
        <f>IFERROR(VLOOKUP(D4974,APOYO!K:L,2,FALSE),A4974)</f>
        <v>52687</v>
      </c>
      <c r="C4974" s="15" t="s">
        <v>1509</v>
      </c>
      <c r="D4974" t="str">
        <f>IFERROR(VLOOKUP(C4974,APOYO!J:K,2,FALSE),C4974)</f>
        <v>SAN LORENZO</v>
      </c>
      <c r="E4974">
        <v>2019</v>
      </c>
      <c r="H4974">
        <v>1</v>
      </c>
    </row>
    <row r="4975" spans="1:9" hidden="1" x14ac:dyDescent="0.25">
      <c r="A4975" t="str">
        <f>_xlfn.XLOOKUP(C4975, 'Códigos DANE Municipios'!$B$2:$B$1123, 'Códigos DANE Municipios'!$A$2:$A$1123, "No encontrado")</f>
        <v>05660</v>
      </c>
      <c r="B4975" t="str">
        <f>IFERROR(VLOOKUP(D4975,APOYO!K:L,2,FALSE),A4975)</f>
        <v>05660</v>
      </c>
      <c r="C4975" s="15" t="s">
        <v>200</v>
      </c>
      <c r="D4975" t="str">
        <f>IFERROR(VLOOKUP(C4975,APOYO!J:K,2,FALSE),C4975)</f>
        <v>SAN LUIS</v>
      </c>
      <c r="E4975">
        <v>2019</v>
      </c>
      <c r="H4975">
        <v>36</v>
      </c>
    </row>
    <row r="4976" spans="1:9" hidden="1" x14ac:dyDescent="0.25">
      <c r="A4976" t="str">
        <f>_xlfn.XLOOKUP(C4976, 'Códigos DANE Municipios'!$B$2:$B$1123, 'Códigos DANE Municipios'!$A$2:$A$1123, "No encontrado")</f>
        <v>No encontrado</v>
      </c>
      <c r="B4976" t="str">
        <f>IFERROR(VLOOKUP(D4976,APOYO!K:L,2,FALSE),A4976)</f>
        <v>No encontrado</v>
      </c>
      <c r="C4976" s="15" t="s">
        <v>2357</v>
      </c>
      <c r="D4976" t="str">
        <f>IFERROR(VLOOKUP(C4976,APOYO!J:K,2,FALSE),C4976)</f>
        <v>SAN LUIS DE GAC</v>
      </c>
      <c r="E4976">
        <v>2019</v>
      </c>
      <c r="H4976">
        <v>2</v>
      </c>
    </row>
    <row r="4977" spans="1:8" hidden="1" x14ac:dyDescent="0.25">
      <c r="A4977" t="str">
        <f>_xlfn.XLOOKUP(C4977, 'Códigos DANE Municipios'!$B$2:$B$1123, 'Códigos DANE Municipios'!$A$2:$A$1123, "No encontrado")</f>
        <v>No encontrado</v>
      </c>
      <c r="B4977" t="str">
        <f>IFERROR(VLOOKUP(D4977,APOYO!K:L,2,FALSE),A4977)</f>
        <v>No encontrado</v>
      </c>
      <c r="C4977" s="15" t="s">
        <v>2358</v>
      </c>
      <c r="D4977" t="str">
        <f>IFERROR(VLOOKUP(C4977,APOYO!J:K,2,FALSE),C4977)</f>
        <v>SAN LUIS DE PALE</v>
      </c>
      <c r="E4977">
        <v>2019</v>
      </c>
      <c r="F4977">
        <v>545</v>
      </c>
    </row>
    <row r="4978" spans="1:8" hidden="1" x14ac:dyDescent="0.25">
      <c r="A4978" t="str">
        <f>_xlfn.XLOOKUP(C4978, 'Códigos DANE Municipios'!$B$2:$B$1123, 'Códigos DANE Municipios'!$A$2:$A$1123, "No encontrado")</f>
        <v>70708</v>
      </c>
      <c r="B4978" t="str">
        <f>IFERROR(VLOOKUP(D4978,APOYO!K:L,2,FALSE),A4978)</f>
        <v>70708</v>
      </c>
      <c r="C4978" s="15" t="s">
        <v>1852</v>
      </c>
      <c r="D4978" t="str">
        <f>IFERROR(VLOOKUP(C4978,APOYO!J:K,2,FALSE),C4978)</f>
        <v>SAN MARCOS</v>
      </c>
      <c r="E4978">
        <v>2019</v>
      </c>
      <c r="F4978">
        <v>32</v>
      </c>
      <c r="H4978">
        <v>16</v>
      </c>
    </row>
    <row r="4979" spans="1:8" hidden="1" x14ac:dyDescent="0.25">
      <c r="A4979" t="str">
        <f>_xlfn.XLOOKUP(C4979, 'Códigos DANE Municipios'!$B$2:$B$1123, 'Códigos DANE Municipios'!$A$2:$A$1123, "No encontrado")</f>
        <v>No encontrado</v>
      </c>
      <c r="B4979" t="str">
        <f>IFERROR(VLOOKUP(D4979,APOYO!K:L,2,FALSE),A4979)</f>
        <v>No encontrado</v>
      </c>
      <c r="C4979" s="15" t="s">
        <v>2359</v>
      </c>
      <c r="D4979" t="str">
        <f>IFERROR(VLOOKUP(C4979,APOYO!J:K,2,FALSE),C4979)</f>
        <v>SAN MARTIN</v>
      </c>
      <c r="E4979">
        <v>2019</v>
      </c>
      <c r="F4979">
        <v>241</v>
      </c>
      <c r="H4979">
        <v>35</v>
      </c>
    </row>
    <row r="4980" spans="1:8" hidden="1" x14ac:dyDescent="0.25">
      <c r="A4980" t="str">
        <f>_xlfn.XLOOKUP(C4980, 'Códigos DANE Municipios'!$B$2:$B$1123, 'Códigos DANE Municipios'!$A$2:$A$1123, "No encontrado")</f>
        <v>68686</v>
      </c>
      <c r="B4980" t="str">
        <f>IFERROR(VLOOKUP(D4980,APOYO!K:L,2,FALSE),A4980)</f>
        <v>68686</v>
      </c>
      <c r="C4980" s="15" t="s">
        <v>1789</v>
      </c>
      <c r="D4980" t="str">
        <f>IFERROR(VLOOKUP(C4980,APOYO!J:K,2,FALSE),C4980)</f>
        <v>SAN MIGUEL</v>
      </c>
      <c r="E4980">
        <v>2019</v>
      </c>
      <c r="H4980">
        <v>38</v>
      </c>
    </row>
    <row r="4981" spans="1:8" hidden="1" x14ac:dyDescent="0.25">
      <c r="A4981" t="str">
        <f>_xlfn.XLOOKUP(C4981, 'Códigos DANE Municipios'!$B$2:$B$1123, 'Códigos DANE Municipios'!$A$2:$A$1123, "No encontrado")</f>
        <v>70713</v>
      </c>
      <c r="B4981" t="str">
        <f>IFERROR(VLOOKUP(D4981,APOYO!K:L,2,FALSE),A4981)</f>
        <v>70713</v>
      </c>
      <c r="C4981" s="15" t="s">
        <v>1854</v>
      </c>
      <c r="D4981" t="str">
        <f>IFERROR(VLOOKUP(C4981,APOYO!J:K,2,FALSE),C4981)</f>
        <v>SAN ONOFRE</v>
      </c>
      <c r="E4981">
        <v>2019</v>
      </c>
      <c r="F4981">
        <v>1178</v>
      </c>
      <c r="H4981">
        <v>37</v>
      </c>
    </row>
    <row r="4982" spans="1:8" hidden="1" x14ac:dyDescent="0.25">
      <c r="A4982" t="str">
        <f>_xlfn.XLOOKUP(C4982, 'Códigos DANE Municipios'!$B$2:$B$1123, 'Códigos DANE Municipios'!$A$2:$A$1123, "No encontrado")</f>
        <v>No encontrado</v>
      </c>
      <c r="B4982" t="str">
        <f>IFERROR(VLOOKUP(D4982,APOYO!K:L,2,FALSE),A4982)</f>
        <v>No encontrado</v>
      </c>
      <c r="C4982" s="15" t="s">
        <v>2543</v>
      </c>
      <c r="D4982" t="str">
        <f>IFERROR(VLOOKUP(C4982,APOYO!J:K,2,FALSE),C4982)</f>
        <v>SAN PABLO BORBUN</v>
      </c>
      <c r="E4982">
        <v>2019</v>
      </c>
      <c r="H4982">
        <v>6</v>
      </c>
    </row>
    <row r="4983" spans="1:8" hidden="1" x14ac:dyDescent="0.25">
      <c r="A4983" t="str">
        <f>_xlfn.XLOOKUP(C4983, 'Códigos DANE Municipios'!$B$2:$B$1123, 'Códigos DANE Municipios'!$A$2:$A$1123, "No encontrado")</f>
        <v>13670</v>
      </c>
      <c r="B4983" t="str">
        <f>IFERROR(VLOOKUP(D4983,APOYO!K:L,2,FALSE),A4983)</f>
        <v>13670</v>
      </c>
      <c r="C4983" s="15" t="s">
        <v>377</v>
      </c>
      <c r="D4983" t="str">
        <f>IFERROR(VLOOKUP(C4983,APOYO!J:K,2,FALSE),C4983)</f>
        <v>SAN PABLO</v>
      </c>
      <c r="E4983">
        <v>2019</v>
      </c>
      <c r="H4983">
        <v>8</v>
      </c>
    </row>
    <row r="4984" spans="1:8" hidden="1" x14ac:dyDescent="0.25">
      <c r="A4984" t="str">
        <f>_xlfn.XLOOKUP(C4984, 'Códigos DANE Municipios'!$B$2:$B$1123, 'Códigos DANE Municipios'!$A$2:$A$1123, "No encontrado")</f>
        <v>70717</v>
      </c>
      <c r="B4984" t="str">
        <f>IFERROR(VLOOKUP(D4984,APOYO!K:L,2,FALSE),A4984)</f>
        <v>70717</v>
      </c>
      <c r="C4984" s="15" t="s">
        <v>1856</v>
      </c>
      <c r="D4984" t="str">
        <f>IFERROR(VLOOKUP(C4984,APOYO!J:K,2,FALSE),C4984)</f>
        <v>SAN PEDRO</v>
      </c>
      <c r="E4984">
        <v>2019</v>
      </c>
      <c r="H4984">
        <v>6</v>
      </c>
    </row>
    <row r="4985" spans="1:8" hidden="1" x14ac:dyDescent="0.25">
      <c r="A4985" t="str">
        <f>_xlfn.XLOOKUP(C4985, 'Códigos DANE Municipios'!$B$2:$B$1123, 'Códigos DANE Municipios'!$A$2:$A$1123, "No encontrado")</f>
        <v>No encontrado</v>
      </c>
      <c r="B4985" t="str">
        <f>IFERROR(VLOOKUP(D4985,APOYO!K:L,2,FALSE),A4985)</f>
        <v>05665</v>
      </c>
      <c r="C4985" s="15" t="s">
        <v>2450</v>
      </c>
      <c r="D4985" t="str">
        <f>IFERROR(VLOOKUP(C4985,APOYO!J:K,2,FALSE),C4985)</f>
        <v>SAN PEDRO DE URABÁ</v>
      </c>
      <c r="E4985">
        <v>2019</v>
      </c>
      <c r="H4985">
        <v>5</v>
      </c>
    </row>
    <row r="4986" spans="1:8" hidden="1" x14ac:dyDescent="0.25">
      <c r="A4986" t="str">
        <f>_xlfn.XLOOKUP(C4986, 'Códigos DANE Municipios'!$B$2:$B$1123, 'Códigos DANE Municipios'!$A$2:$A$1123, "No encontrado")</f>
        <v>05667</v>
      </c>
      <c r="B4986" t="str">
        <f>IFERROR(VLOOKUP(D4986,APOYO!K:L,2,FALSE),A4986)</f>
        <v>05667</v>
      </c>
      <c r="C4986" s="15" t="s">
        <v>206</v>
      </c>
      <c r="D4986" t="str">
        <f>IFERROR(VLOOKUP(C4986,APOYO!J:K,2,FALSE),C4986)</f>
        <v>SAN RAFAEL</v>
      </c>
      <c r="E4986">
        <v>2019</v>
      </c>
      <c r="H4986">
        <v>52</v>
      </c>
    </row>
    <row r="4987" spans="1:8" hidden="1" x14ac:dyDescent="0.25">
      <c r="A4987" t="str">
        <f>_xlfn.XLOOKUP(C4987, 'Códigos DANE Municipios'!$B$2:$B$1123, 'Códigos DANE Municipios'!$A$2:$A$1123, "No encontrado")</f>
        <v>05670</v>
      </c>
      <c r="B4987" t="str">
        <f>IFERROR(VLOOKUP(D4987,APOYO!K:L,2,FALSE),A4987)</f>
        <v>05670</v>
      </c>
      <c r="C4987" s="15" t="s">
        <v>208</v>
      </c>
      <c r="D4987" t="str">
        <f>IFERROR(VLOOKUP(C4987,APOYO!J:K,2,FALSE),C4987)</f>
        <v>SAN ROQUE</v>
      </c>
      <c r="E4987">
        <v>2019</v>
      </c>
      <c r="H4987">
        <v>7</v>
      </c>
    </row>
    <row r="4988" spans="1:8" hidden="1" x14ac:dyDescent="0.25">
      <c r="A4988" t="str">
        <f>_xlfn.XLOOKUP(C4988, 'Códigos DANE Municipios'!$B$2:$B$1123, 'Códigos DANE Municipios'!$A$2:$A$1123, "No encontrado")</f>
        <v>No encontrado</v>
      </c>
      <c r="B4988" t="str">
        <f>IFERROR(VLOOKUP(D4988,APOYO!K:L,2,FALSE),A4988)</f>
        <v>No encontrado</v>
      </c>
      <c r="C4988" s="15" t="s">
        <v>2361</v>
      </c>
      <c r="D4988" t="str">
        <f>IFERROR(VLOOKUP(C4988,APOYO!J:K,2,FALSE),C4988)</f>
        <v>SAN SEBASTIAN</v>
      </c>
      <c r="E4988">
        <v>2019</v>
      </c>
    </row>
    <row r="4989" spans="1:8" hidden="1" x14ac:dyDescent="0.25">
      <c r="A4989" t="str">
        <f>_xlfn.XLOOKUP(C4989, 'Códigos DANE Municipios'!$B$2:$B$1123, 'Códigos DANE Municipios'!$A$2:$A$1123, "No encontrado")</f>
        <v>No encontrado</v>
      </c>
      <c r="B4989" t="str">
        <f>IFERROR(VLOOKUP(D4989,APOYO!K:L,2,FALSE),A4989)</f>
        <v>No encontrado</v>
      </c>
      <c r="C4989" s="15" t="s">
        <v>2362</v>
      </c>
      <c r="D4989" t="str">
        <f>IFERROR(VLOOKUP(C4989,APOYO!J:K,2,FALSE),C4989)</f>
        <v>SAN SEBASTIAN BUE</v>
      </c>
      <c r="E4989">
        <v>2019</v>
      </c>
      <c r="H4989">
        <v>46</v>
      </c>
    </row>
    <row r="4990" spans="1:8" hidden="1" x14ac:dyDescent="0.25">
      <c r="A4990" t="str">
        <f>_xlfn.XLOOKUP(C4990, 'Códigos DANE Municipios'!$B$2:$B$1123, 'Códigos DANE Municipios'!$A$2:$A$1123, "No encontrado")</f>
        <v>No encontrado</v>
      </c>
      <c r="B4990" t="str">
        <f>IFERROR(VLOOKUP(D4990,APOYO!K:L,2,FALSE),A4990)</f>
        <v>No encontrado</v>
      </c>
      <c r="C4990" s="15" t="s">
        <v>2363</v>
      </c>
      <c r="D4990" t="str">
        <f>IFERROR(VLOOKUP(C4990,APOYO!J:K,2,FALSE),C4990)</f>
        <v>SAN VICENTE</v>
      </c>
      <c r="E4990">
        <v>2019</v>
      </c>
      <c r="H4990">
        <v>11</v>
      </c>
    </row>
    <row r="4991" spans="1:8" hidden="1" x14ac:dyDescent="0.25">
      <c r="A4991" t="str">
        <f>_xlfn.XLOOKUP(C4991, 'Códigos DANE Municipios'!$B$2:$B$1123, 'Códigos DANE Municipios'!$A$2:$A$1123, "No encontrado")</f>
        <v>No encontrado</v>
      </c>
      <c r="B4991" t="str">
        <f>IFERROR(VLOOKUP(D4991,APOYO!K:L,2,FALSE),A4991)</f>
        <v>68689</v>
      </c>
      <c r="C4991" s="15" t="s">
        <v>2451</v>
      </c>
      <c r="D4991" t="str">
        <f>IFERROR(VLOOKUP(C4991,APOYO!J:K,2,FALSE),C4991)</f>
        <v>SAN VICENTE DE CHUCURÍ</v>
      </c>
      <c r="E4991">
        <v>2019</v>
      </c>
      <c r="F4991">
        <v>36</v>
      </c>
      <c r="H4991">
        <v>1</v>
      </c>
    </row>
    <row r="4992" spans="1:8" hidden="1" x14ac:dyDescent="0.25">
      <c r="A4992" t="str">
        <f>_xlfn.XLOOKUP(C4992, 'Códigos DANE Municipios'!$B$2:$B$1123, 'Códigos DANE Municipios'!$A$2:$A$1123, "No encontrado")</f>
        <v>No encontrado</v>
      </c>
      <c r="B4992" t="str">
        <f>IFERROR(VLOOKUP(D4992,APOYO!K:L,2,FALSE),A4992)</f>
        <v>18753</v>
      </c>
      <c r="C4992" s="15" t="s">
        <v>2452</v>
      </c>
      <c r="D4992" t="str">
        <f>IFERROR(VLOOKUP(C4992,APOYO!J:K,2,FALSE),C4992)</f>
        <v>SAN VICENTE DEL CAGUÁN</v>
      </c>
      <c r="E4992">
        <v>2019</v>
      </c>
      <c r="F4992">
        <v>3748</v>
      </c>
      <c r="H4992">
        <v>19</v>
      </c>
    </row>
    <row r="4993" spans="1:9" hidden="1" x14ac:dyDescent="0.25">
      <c r="A4993" t="str">
        <f>_xlfn.XLOOKUP(C4993, 'Códigos DANE Municipios'!$B$2:$B$1123, 'Códigos DANE Municipios'!$A$2:$A$1123, "No encontrado")</f>
        <v>No encontrado</v>
      </c>
      <c r="B4993" t="str">
        <f>IFERROR(VLOOKUP(D4993,APOYO!K:L,2,FALSE),A4993)</f>
        <v>No encontrado</v>
      </c>
      <c r="C4993" s="15" t="s">
        <v>2366</v>
      </c>
      <c r="D4993" t="str">
        <f>IFERROR(VLOOKUP(C4993,APOYO!J:K,2,FALSE),C4993)</f>
        <v>SANDONA</v>
      </c>
      <c r="E4993">
        <v>2019</v>
      </c>
      <c r="H4993">
        <v>15</v>
      </c>
    </row>
    <row r="4994" spans="1:9" hidden="1" x14ac:dyDescent="0.25">
      <c r="A4994" t="str">
        <f>_xlfn.XLOOKUP(C4994, 'Códigos DANE Municipios'!$B$2:$B$1123, 'Códigos DANE Municipios'!$A$2:$A$1123, "No encontrado")</f>
        <v>47707</v>
      </c>
      <c r="B4994" t="str">
        <f>IFERROR(VLOOKUP(D4994,APOYO!K:L,2,FALSE),A4994)</f>
        <v>47707</v>
      </c>
      <c r="C4994" s="15" t="s">
        <v>1346</v>
      </c>
      <c r="D4994" t="str">
        <f>IFERROR(VLOOKUP(C4994,APOYO!J:K,2,FALSE),C4994)</f>
        <v>SANTA ANA</v>
      </c>
      <c r="E4994">
        <v>2019</v>
      </c>
      <c r="H4994">
        <v>209</v>
      </c>
    </row>
    <row r="4995" spans="1:9" hidden="1" x14ac:dyDescent="0.25">
      <c r="A4995" t="str">
        <f>_xlfn.XLOOKUP(C4995, 'Códigos DANE Municipios'!$B$2:$B$1123, 'Códigos DANE Municipios'!$A$2:$A$1123, "No encontrado")</f>
        <v>No encontrado</v>
      </c>
      <c r="B4995" t="str">
        <f>IFERROR(VLOOKUP(D4995,APOYO!K:L,2,FALSE),A4995)</f>
        <v>No encontrado</v>
      </c>
      <c r="C4995" s="15" t="s">
        <v>2367</v>
      </c>
      <c r="D4995" t="str">
        <f>IFERROR(VLOOKUP(C4995,APOYO!J:K,2,FALSE),C4995)</f>
        <v>SANTA BARBARA</v>
      </c>
      <c r="E4995">
        <v>2019</v>
      </c>
      <c r="H4995">
        <v>9</v>
      </c>
    </row>
    <row r="4996" spans="1:9" hidden="1" x14ac:dyDescent="0.25">
      <c r="A4996" t="str">
        <f>_xlfn.XLOOKUP(C4996, 'Códigos DANE Municipios'!$B$2:$B$1123, 'Códigos DANE Municipios'!$A$2:$A$1123, "No encontrado")</f>
        <v>13673</v>
      </c>
      <c r="B4996" t="str">
        <f>IFERROR(VLOOKUP(D4996,APOYO!K:L,2,FALSE),A4996)</f>
        <v>13673</v>
      </c>
      <c r="C4996" s="15" t="s">
        <v>379</v>
      </c>
      <c r="D4996" t="str">
        <f>IFERROR(VLOOKUP(C4996,APOYO!J:K,2,FALSE),C4996)</f>
        <v>SANTA CATALINA</v>
      </c>
      <c r="E4996">
        <v>2019</v>
      </c>
      <c r="H4996">
        <v>6</v>
      </c>
    </row>
    <row r="4997" spans="1:9" hidden="1" x14ac:dyDescent="0.25">
      <c r="A4997" t="str">
        <f>_xlfn.XLOOKUP(C4997, 'Códigos DANE Municipios'!$B$2:$B$1123, 'Códigos DANE Municipios'!$A$2:$A$1123, "No encontrado")</f>
        <v>73686</v>
      </c>
      <c r="B4997" t="str">
        <f>IFERROR(VLOOKUP(D4997,APOYO!K:L,2,FALSE),A4997)</f>
        <v>73686</v>
      </c>
      <c r="C4997" s="15" t="s">
        <v>1946</v>
      </c>
      <c r="D4997" t="str">
        <f>IFERROR(VLOOKUP(C4997,APOYO!J:K,2,FALSE),C4997)</f>
        <v>SANTA ISABEL</v>
      </c>
      <c r="E4997">
        <v>2019</v>
      </c>
      <c r="H4997">
        <v>2</v>
      </c>
    </row>
    <row r="4998" spans="1:9" hidden="1" x14ac:dyDescent="0.25">
      <c r="A4998" t="str">
        <f>_xlfn.XLOOKUP(C4998, 'Códigos DANE Municipios'!$B$2:$B$1123, 'Códigos DANE Municipios'!$A$2:$A$1123, "No encontrado")</f>
        <v>No encontrado</v>
      </c>
      <c r="B4998" t="str">
        <f>IFERROR(VLOOKUP(D4998,APOYO!K:L,2,FALSE),A4998)</f>
        <v>No encontrado</v>
      </c>
      <c r="C4998" s="15" t="s">
        <v>2368</v>
      </c>
      <c r="D4998" t="str">
        <f>IFERROR(VLOOKUP(C4998,APOYO!J:K,2,FALSE),C4998)</f>
        <v>SANTA MARIA</v>
      </c>
      <c r="E4998">
        <v>2019</v>
      </c>
      <c r="H4998">
        <v>28</v>
      </c>
    </row>
    <row r="4999" spans="1:9" hidden="1" x14ac:dyDescent="0.25">
      <c r="A4999" t="str">
        <f>_xlfn.XLOOKUP(C4999, 'Códigos DANE Municipios'!$B$2:$B$1123, 'Códigos DANE Municipios'!$A$2:$A$1123, "No encontrado")</f>
        <v>47001</v>
      </c>
      <c r="B4999" t="str">
        <f>IFERROR(VLOOKUP(D4999,APOYO!K:L,2,FALSE),A4999)</f>
        <v>47001</v>
      </c>
      <c r="C4999" s="15" t="s">
        <v>1300</v>
      </c>
      <c r="D4999" t="str">
        <f>IFERROR(VLOOKUP(C4999,APOYO!J:K,2,FALSE),C4999)</f>
        <v>SANTA MARTA</v>
      </c>
      <c r="E4999">
        <v>2019</v>
      </c>
      <c r="F4999">
        <v>1138246</v>
      </c>
      <c r="G4999">
        <v>16880</v>
      </c>
      <c r="H4999">
        <v>30949</v>
      </c>
      <c r="I4999">
        <v>482434</v>
      </c>
    </row>
    <row r="5000" spans="1:9" hidden="1" x14ac:dyDescent="0.25">
      <c r="A5000" t="str">
        <f>_xlfn.XLOOKUP(C5000, 'Códigos DANE Municipios'!$B$2:$B$1123, 'Códigos DANE Municipios'!$A$2:$A$1123, "No encontrado")</f>
        <v>13683</v>
      </c>
      <c r="B5000" t="str">
        <f>IFERROR(VLOOKUP(D5000,APOYO!K:L,2,FALSE),A5000)</f>
        <v>13683</v>
      </c>
      <c r="C5000" s="15" t="s">
        <v>381</v>
      </c>
      <c r="D5000" t="str">
        <f>IFERROR(VLOOKUP(C5000,APOYO!J:K,2,FALSE),C5000)</f>
        <v>SANTA ROSA</v>
      </c>
      <c r="E5000">
        <v>2019</v>
      </c>
      <c r="H5000">
        <v>6</v>
      </c>
    </row>
    <row r="5001" spans="1:9" hidden="1" x14ac:dyDescent="0.25">
      <c r="A5001" t="str">
        <f>_xlfn.XLOOKUP(C5001, 'Códigos DANE Municipios'!$B$2:$B$1123, 'Códigos DANE Municipios'!$A$2:$A$1123, "No encontrado")</f>
        <v>66682</v>
      </c>
      <c r="B5001" t="str">
        <f>IFERROR(VLOOKUP(D5001,APOYO!K:L,2,FALSE),A5001)</f>
        <v>66682</v>
      </c>
      <c r="C5001" s="15" t="s">
        <v>1651</v>
      </c>
      <c r="D5001" t="str">
        <f>IFERROR(VLOOKUP(C5001,APOYO!J:K,2,FALSE),C5001)</f>
        <v>SANTA ROSA DE CABAL</v>
      </c>
      <c r="E5001">
        <v>2019</v>
      </c>
      <c r="H5001">
        <v>963</v>
      </c>
    </row>
    <row r="5002" spans="1:9" hidden="1" x14ac:dyDescent="0.25">
      <c r="A5002" t="str">
        <f>_xlfn.XLOOKUP(C5002, 'Códigos DANE Municipios'!$B$2:$B$1123, 'Códigos DANE Municipios'!$A$2:$A$1123, "No encontrado")</f>
        <v>No encontrado</v>
      </c>
      <c r="B5002" t="str">
        <f>IFERROR(VLOOKUP(D5002,APOYO!K:L,2,FALSE),A5002)</f>
        <v>15693</v>
      </c>
      <c r="C5002" s="15" t="s">
        <v>2453</v>
      </c>
      <c r="D5002" t="str">
        <f>IFERROR(VLOOKUP(C5002,APOYO!J:K,2,FALSE),C5002)</f>
        <v>SANTA ROSA DE VITERBO</v>
      </c>
      <c r="E5002">
        <v>2019</v>
      </c>
      <c r="H5002">
        <v>9</v>
      </c>
    </row>
    <row r="5003" spans="1:9" hidden="1" x14ac:dyDescent="0.25">
      <c r="A5003" t="str">
        <f>_xlfn.XLOOKUP(C5003, 'Códigos DANE Municipios'!$B$2:$B$1123, 'Códigos DANE Municipios'!$A$2:$A$1123, "No encontrado")</f>
        <v>13688</v>
      </c>
      <c r="B5003" t="str">
        <f>IFERROR(VLOOKUP(D5003,APOYO!K:L,2,FALSE),A5003)</f>
        <v>13688</v>
      </c>
      <c r="C5003" s="15" t="s">
        <v>383</v>
      </c>
      <c r="D5003" t="str">
        <f>IFERROR(VLOOKUP(C5003,APOYO!J:K,2,FALSE),C5003)</f>
        <v>SANTA ROSA DEL SUR</v>
      </c>
      <c r="E5003">
        <v>2019</v>
      </c>
      <c r="F5003">
        <v>873</v>
      </c>
      <c r="H5003">
        <v>3</v>
      </c>
    </row>
    <row r="5004" spans="1:9" hidden="1" x14ac:dyDescent="0.25">
      <c r="A5004" t="str">
        <f>_xlfn.XLOOKUP(C5004, 'Códigos DANE Municipios'!$B$2:$B$1123, 'Códigos DANE Municipios'!$A$2:$A$1123, "No encontrado")</f>
        <v>No encontrado</v>
      </c>
      <c r="B5004" t="str">
        <f>IFERROR(VLOOKUP(D5004,APOYO!K:L,2,FALSE),A5004)</f>
        <v>15696</v>
      </c>
      <c r="C5004" t="s">
        <v>2485</v>
      </c>
      <c r="D5004" t="str">
        <f>IFERROR(VLOOKUP(C5004,APOYO!J:K,2,FALSE),C5004)</f>
        <v>SANTA SOFÍA</v>
      </c>
      <c r="E5004">
        <v>2019</v>
      </c>
      <c r="H5004">
        <v>4</v>
      </c>
    </row>
    <row r="5005" spans="1:9" hidden="1" x14ac:dyDescent="0.25">
      <c r="A5005" t="str">
        <f>_xlfn.XLOOKUP(C5005, 'Códigos DANE Municipios'!$B$2:$B$1123, 'Códigos DANE Municipios'!$A$2:$A$1123, "No encontrado")</f>
        <v>15686</v>
      </c>
      <c r="B5005" t="str">
        <f>IFERROR(VLOOKUP(D5005,APOYO!K:L,2,FALSE),A5005)</f>
        <v>15686</v>
      </c>
      <c r="C5005" s="15" t="s">
        <v>572</v>
      </c>
      <c r="D5005" t="str">
        <f>IFERROR(VLOOKUP(C5005,APOYO!J:K,2,FALSE),C5005)</f>
        <v>SANTANA</v>
      </c>
      <c r="E5005">
        <v>2019</v>
      </c>
      <c r="H5005">
        <v>5</v>
      </c>
    </row>
    <row r="5006" spans="1:9" hidden="1" x14ac:dyDescent="0.25">
      <c r="A5006" t="str">
        <f>_xlfn.XLOOKUP(C5006, 'Códigos DANE Municipios'!$B$2:$B$1123, 'Códigos DANE Municipios'!$A$2:$A$1123, "No encontrado")</f>
        <v>No encontrado</v>
      </c>
      <c r="B5006" t="str">
        <f>IFERROR(VLOOKUP(D5006,APOYO!K:L,2,FALSE),A5006)</f>
        <v>No encontrado</v>
      </c>
      <c r="C5006" s="15" t="s">
        <v>2372</v>
      </c>
      <c r="D5006" t="str">
        <f>IFERROR(VLOOKUP(C5006,APOYO!J:K,2,FALSE),C5006)</f>
        <v>SANTANDER DE Q</v>
      </c>
      <c r="E5006">
        <v>2019</v>
      </c>
      <c r="H5006">
        <v>189</v>
      </c>
    </row>
    <row r="5007" spans="1:9" hidden="1" x14ac:dyDescent="0.25">
      <c r="A5007" t="str">
        <f>_xlfn.XLOOKUP(C5007, 'Códigos DANE Municipios'!$B$2:$B$1123, 'Códigos DANE Municipios'!$A$2:$A$1123, "No encontrado")</f>
        <v>No encontrado</v>
      </c>
      <c r="B5007" t="str">
        <f>IFERROR(VLOOKUP(D5007,APOYO!K:L,2,FALSE),A5007)</f>
        <v>No encontrado</v>
      </c>
      <c r="C5007" s="15" t="s">
        <v>2373</v>
      </c>
      <c r="D5007" t="str">
        <f>IFERROR(VLOOKUP(C5007,APOYO!J:K,2,FALSE),C5007)</f>
        <v>SANTO TOMAS</v>
      </c>
      <c r="E5007">
        <v>2019</v>
      </c>
      <c r="H5007">
        <v>74</v>
      </c>
    </row>
    <row r="5008" spans="1:9" hidden="1" x14ac:dyDescent="0.25">
      <c r="A5008" t="str">
        <f>_xlfn.XLOOKUP(C5008, 'Códigos DANE Municipios'!$B$2:$B$1123, 'Códigos DANE Municipios'!$A$2:$A$1123, "No encontrado")</f>
        <v>66687</v>
      </c>
      <c r="B5008" t="str">
        <f>IFERROR(VLOOKUP(D5008,APOYO!K:L,2,FALSE),A5008)</f>
        <v>66687</v>
      </c>
      <c r="C5008" s="15" t="s">
        <v>1653</v>
      </c>
      <c r="D5008" t="str">
        <f>IFERROR(VLOOKUP(C5008,APOYO!J:K,2,FALSE),C5008)</f>
        <v>SANTUARIO</v>
      </c>
      <c r="E5008">
        <v>2019</v>
      </c>
      <c r="H5008">
        <v>141</v>
      </c>
    </row>
    <row r="5009" spans="1:8" hidden="1" x14ac:dyDescent="0.25">
      <c r="A5009" t="str">
        <f>_xlfn.XLOOKUP(C5009, 'Códigos DANE Municipios'!$B$2:$B$1123, 'Códigos DANE Municipios'!$A$2:$A$1123, "No encontrado")</f>
        <v>81736</v>
      </c>
      <c r="B5009" t="str">
        <f>IFERROR(VLOOKUP(D5009,APOYO!K:L,2,FALSE),A5009)</f>
        <v>81736</v>
      </c>
      <c r="C5009" s="15" t="s">
        <v>2044</v>
      </c>
      <c r="D5009" t="str">
        <f>IFERROR(VLOOKUP(C5009,APOYO!J:K,2,FALSE),C5009)</f>
        <v>SARAVENA</v>
      </c>
      <c r="E5009">
        <v>2019</v>
      </c>
      <c r="F5009">
        <v>14763</v>
      </c>
      <c r="H5009">
        <v>36</v>
      </c>
    </row>
    <row r="5010" spans="1:8" hidden="1" x14ac:dyDescent="0.25">
      <c r="A5010" t="str">
        <f>_xlfn.XLOOKUP(C5010, 'Códigos DANE Municipios'!$B$2:$B$1123, 'Códigos DANE Municipios'!$A$2:$A$1123, "No encontrado")</f>
        <v>54720</v>
      </c>
      <c r="B5010" t="str">
        <f>IFERROR(VLOOKUP(D5010,APOYO!K:L,2,FALSE),A5010)</f>
        <v>54720</v>
      </c>
      <c r="C5010" s="15" t="s">
        <v>1594</v>
      </c>
      <c r="D5010" t="str">
        <f>IFERROR(VLOOKUP(C5010,APOYO!J:K,2,FALSE),C5010)</f>
        <v>SARDINATA</v>
      </c>
      <c r="E5010">
        <v>2019</v>
      </c>
      <c r="H5010">
        <v>2</v>
      </c>
    </row>
    <row r="5011" spans="1:8" hidden="1" x14ac:dyDescent="0.25">
      <c r="A5011" t="str">
        <f>_xlfn.XLOOKUP(C5011, 'Códigos DANE Municipios'!$B$2:$B$1123, 'Códigos DANE Municipios'!$A$2:$A$1123, "No encontrado")</f>
        <v>25718</v>
      </c>
      <c r="B5011" t="str">
        <f>IFERROR(VLOOKUP(D5011,APOYO!K:L,2,FALSE),A5011)</f>
        <v>25718</v>
      </c>
      <c r="C5011" s="15" t="s">
        <v>1072</v>
      </c>
      <c r="D5011" t="str">
        <f>IFERROR(VLOOKUP(C5011,APOYO!J:K,2,FALSE),C5011)</f>
        <v>SASAIMA</v>
      </c>
      <c r="E5011">
        <v>2019</v>
      </c>
      <c r="H5011">
        <v>64</v>
      </c>
    </row>
    <row r="5012" spans="1:8" hidden="1" x14ac:dyDescent="0.25">
      <c r="A5012" t="str">
        <f>_xlfn.XLOOKUP(C5012, 'Códigos DANE Municipios'!$B$2:$B$1123, 'Códigos DANE Municipios'!$A$2:$A$1123, "No encontrado")</f>
        <v>05736</v>
      </c>
      <c r="B5012" t="str">
        <f>IFERROR(VLOOKUP(D5012,APOYO!K:L,2,FALSE),A5012)</f>
        <v>05736</v>
      </c>
      <c r="C5012" s="15" t="s">
        <v>220</v>
      </c>
      <c r="D5012" t="str">
        <f>IFERROR(VLOOKUP(C5012,APOYO!J:K,2,FALSE),C5012)</f>
        <v>SEGOVIA</v>
      </c>
      <c r="E5012">
        <v>2019</v>
      </c>
      <c r="H5012">
        <v>66</v>
      </c>
    </row>
    <row r="5013" spans="1:8" hidden="1" x14ac:dyDescent="0.25">
      <c r="A5013" t="str">
        <f>_xlfn.XLOOKUP(C5013, 'Códigos DANE Municipios'!$B$2:$B$1123, 'Códigos DANE Municipios'!$A$2:$A$1123, "No encontrado")</f>
        <v>No encontrado</v>
      </c>
      <c r="B5013" t="str">
        <f>IFERROR(VLOOKUP(D5013,APOYO!K:L,2,FALSE),A5013)</f>
        <v>No encontrado</v>
      </c>
      <c r="C5013" s="15" t="s">
        <v>2374</v>
      </c>
      <c r="D5013" t="str">
        <f>IFERROR(VLOOKUP(C5013,APOYO!J:K,2,FALSE),C5013)</f>
        <v>SESQUILE</v>
      </c>
      <c r="E5013">
        <v>2019</v>
      </c>
      <c r="H5013">
        <v>45</v>
      </c>
    </row>
    <row r="5014" spans="1:8" hidden="1" x14ac:dyDescent="0.25">
      <c r="A5014" t="str">
        <f>_xlfn.XLOOKUP(C5014, 'Códigos DANE Municipios'!$B$2:$B$1123, 'Códigos DANE Municipios'!$A$2:$A$1123, "No encontrado")</f>
        <v>76736</v>
      </c>
      <c r="B5014" t="str">
        <f>IFERROR(VLOOKUP(D5014,APOYO!K:L,2,FALSE),A5014)</f>
        <v>76736</v>
      </c>
      <c r="C5014" s="15" t="s">
        <v>2014</v>
      </c>
      <c r="D5014" t="str">
        <f>IFERROR(VLOOKUP(C5014,APOYO!J:K,2,FALSE),C5014)</f>
        <v>SEVILLA</v>
      </c>
      <c r="E5014">
        <v>2019</v>
      </c>
      <c r="H5014">
        <v>221</v>
      </c>
    </row>
    <row r="5015" spans="1:8" hidden="1" x14ac:dyDescent="0.25">
      <c r="C5015" s="15" t="s">
        <v>584</v>
      </c>
      <c r="E5015">
        <v>2019</v>
      </c>
      <c r="H5015">
        <v>4</v>
      </c>
    </row>
    <row r="5016" spans="1:8" hidden="1" x14ac:dyDescent="0.25">
      <c r="A5016" t="str">
        <f>_xlfn.XLOOKUP(C5016, 'Códigos DANE Municipios'!$B$2:$B$1123, 'Códigos DANE Municipios'!$A$2:$A$1123, "No encontrado")</f>
        <v>No encontrado</v>
      </c>
      <c r="B5016" t="str">
        <f>IFERROR(VLOOKUP(D5016,APOYO!K:L,2,FALSE),A5016)</f>
        <v>No encontrado</v>
      </c>
      <c r="C5016" s="15" t="s">
        <v>2375</v>
      </c>
      <c r="D5016" t="str">
        <f>IFERROR(VLOOKUP(C5016,APOYO!J:K,2,FALSE),C5016)</f>
        <v>SIBATE</v>
      </c>
      <c r="E5016">
        <v>2019</v>
      </c>
      <c r="H5016">
        <v>45</v>
      </c>
    </row>
    <row r="5017" spans="1:8" hidden="1" x14ac:dyDescent="0.25">
      <c r="A5017" t="str">
        <f>_xlfn.XLOOKUP(C5017, 'Códigos DANE Municipios'!$B$2:$B$1123, 'Códigos DANE Municipios'!$A$2:$A$1123, "No encontrado")</f>
        <v>86749</v>
      </c>
      <c r="B5017" t="str">
        <f>IFERROR(VLOOKUP(D5017,APOYO!K:L,2,FALSE),A5017)</f>
        <v>86749</v>
      </c>
      <c r="C5017" s="15" t="s">
        <v>2097</v>
      </c>
      <c r="D5017" t="str">
        <f>IFERROR(VLOOKUP(C5017,APOYO!J:K,2,FALSE),C5017)</f>
        <v>SIBUNDOY</v>
      </c>
      <c r="E5017">
        <v>2019</v>
      </c>
      <c r="H5017">
        <v>41</v>
      </c>
    </row>
    <row r="5018" spans="1:8" hidden="1" x14ac:dyDescent="0.25">
      <c r="C5018" s="15" t="s">
        <v>1596</v>
      </c>
      <c r="H5018">
        <v>1</v>
      </c>
    </row>
    <row r="5019" spans="1:8" hidden="1" x14ac:dyDescent="0.25">
      <c r="A5019" t="str">
        <f>_xlfn.XLOOKUP(C5019, 'Códigos DANE Municipios'!$B$2:$B$1123, 'Códigos DANE Municipios'!$A$2:$A$1123, "No encontrado")</f>
        <v>25743</v>
      </c>
      <c r="B5019" t="str">
        <f>IFERROR(VLOOKUP(D5019,APOYO!K:L,2,FALSE),A5019)</f>
        <v>25743</v>
      </c>
      <c r="C5019" s="15" t="s">
        <v>1078</v>
      </c>
      <c r="D5019" t="str">
        <f>IFERROR(VLOOKUP(C5019,APOYO!J:K,2,FALSE),C5019)</f>
        <v>SILVANIA</v>
      </c>
      <c r="E5019">
        <v>2019</v>
      </c>
      <c r="H5019">
        <v>149</v>
      </c>
    </row>
    <row r="5020" spans="1:8" hidden="1" x14ac:dyDescent="0.25">
      <c r="A5020" t="str">
        <f>_xlfn.XLOOKUP(C5020, 'Códigos DANE Municipios'!$B$2:$B$1123, 'Códigos DANE Municipios'!$A$2:$A$1123, "No encontrado")</f>
        <v>19743</v>
      </c>
      <c r="B5020" t="str">
        <f>IFERROR(VLOOKUP(D5020,APOYO!K:L,2,FALSE),A5020)</f>
        <v>19743</v>
      </c>
      <c r="C5020" s="15" t="s">
        <v>790</v>
      </c>
      <c r="D5020" t="str">
        <f>IFERROR(VLOOKUP(C5020,APOYO!J:K,2,FALSE),C5020)</f>
        <v>SILVIA</v>
      </c>
      <c r="E5020">
        <v>2019</v>
      </c>
      <c r="H5020">
        <v>20</v>
      </c>
    </row>
    <row r="5021" spans="1:8" hidden="1" x14ac:dyDescent="0.25">
      <c r="C5021" s="15" t="s">
        <v>1796</v>
      </c>
      <c r="H5021">
        <v>6</v>
      </c>
    </row>
    <row r="5022" spans="1:8" hidden="1" x14ac:dyDescent="0.25">
      <c r="A5022" t="str">
        <f>_xlfn.XLOOKUP(C5022, 'Códigos DANE Municipios'!$B$2:$B$1123, 'Códigos DANE Municipios'!$A$2:$A$1123, "No encontrado")</f>
        <v>25745</v>
      </c>
      <c r="B5022" t="str">
        <f>IFERROR(VLOOKUP(D5022,APOYO!K:L,2,FALSE),A5022)</f>
        <v>25745</v>
      </c>
      <c r="C5022" s="15" t="s">
        <v>1080</v>
      </c>
      <c r="D5022" t="str">
        <f>IFERROR(VLOOKUP(C5022,APOYO!J:K,2,FALSE),C5022)</f>
        <v>SIMIJACA</v>
      </c>
      <c r="E5022">
        <v>2019</v>
      </c>
      <c r="H5022">
        <v>41</v>
      </c>
    </row>
    <row r="5023" spans="1:8" hidden="1" x14ac:dyDescent="0.25">
      <c r="A5023" t="str">
        <f>_xlfn.XLOOKUP(C5023, 'Códigos DANE Municipios'!$B$2:$B$1123, 'Códigos DANE Municipios'!$A$2:$A$1123, "No encontrado")</f>
        <v>No encontrado</v>
      </c>
      <c r="B5023" t="str">
        <f>IFERROR(VLOOKUP(D5023,APOYO!K:L,2,FALSE),A5023)</f>
        <v>No encontrado</v>
      </c>
      <c r="C5023" s="15" t="s">
        <v>2376</v>
      </c>
      <c r="D5023" t="str">
        <f>IFERROR(VLOOKUP(C5023,APOYO!J:K,2,FALSE),C5023)</f>
        <v>SINCE</v>
      </c>
      <c r="E5023">
        <v>2019</v>
      </c>
      <c r="H5023">
        <v>2</v>
      </c>
    </row>
    <row r="5024" spans="1:8" hidden="1" x14ac:dyDescent="0.25">
      <c r="A5024" t="str">
        <f>_xlfn.XLOOKUP(C5024, 'Códigos DANE Municipios'!$B$2:$B$1123, 'Códigos DANE Municipios'!$A$2:$A$1123, "No encontrado")</f>
        <v>70001</v>
      </c>
      <c r="B5024" t="str">
        <f>IFERROR(VLOOKUP(D5024,APOYO!K:L,2,FALSE),A5024)</f>
        <v>70001</v>
      </c>
      <c r="C5024" s="15" t="s">
        <v>1816</v>
      </c>
      <c r="D5024" t="str">
        <f>IFERROR(VLOOKUP(C5024,APOYO!J:K,2,FALSE),C5024)</f>
        <v>SINCELEJO</v>
      </c>
      <c r="E5024">
        <v>2019</v>
      </c>
      <c r="H5024">
        <v>802</v>
      </c>
    </row>
    <row r="5025" spans="1:9" hidden="1" x14ac:dyDescent="0.25">
      <c r="A5025" t="str">
        <f>_xlfn.XLOOKUP(C5025, 'Códigos DANE Municipios'!$B$2:$B$1123, 'Códigos DANE Municipios'!$A$2:$A$1123, "No encontrado")</f>
        <v>47745</v>
      </c>
      <c r="B5025" t="str">
        <f>IFERROR(VLOOKUP(D5025,APOYO!K:L,2,FALSE),A5025)</f>
        <v>47745</v>
      </c>
      <c r="C5025" s="15" t="s">
        <v>1350</v>
      </c>
      <c r="D5025" t="str">
        <f>IFERROR(VLOOKUP(C5025,APOYO!J:K,2,FALSE),C5025)</f>
        <v>SITIONUEVO</v>
      </c>
      <c r="E5025">
        <v>2019</v>
      </c>
      <c r="H5025">
        <v>6</v>
      </c>
    </row>
    <row r="5026" spans="1:9" hidden="1" x14ac:dyDescent="0.25">
      <c r="A5026" t="str">
        <f>_xlfn.XLOOKUP(C5026, 'Códigos DANE Municipios'!$B$2:$B$1123, 'Códigos DANE Municipios'!$A$2:$A$1123, "No encontrado")</f>
        <v>25754</v>
      </c>
      <c r="B5026" t="str">
        <f>IFERROR(VLOOKUP(D5026,APOYO!K:L,2,FALSE),A5026)</f>
        <v>25754</v>
      </c>
      <c r="C5026" s="15" t="s">
        <v>1082</v>
      </c>
      <c r="D5026" t="str">
        <f>IFERROR(VLOOKUP(C5026,APOYO!J:K,2,FALSE),C5026)</f>
        <v>SOACHA</v>
      </c>
      <c r="E5026">
        <v>2019</v>
      </c>
      <c r="H5026">
        <v>529</v>
      </c>
    </row>
    <row r="5027" spans="1:9" hidden="1" x14ac:dyDescent="0.25">
      <c r="C5027" s="15" t="s">
        <v>2486</v>
      </c>
      <c r="E5027">
        <v>2019</v>
      </c>
      <c r="H5027">
        <v>10</v>
      </c>
    </row>
    <row r="5028" spans="1:9" hidden="1" x14ac:dyDescent="0.25">
      <c r="A5028" t="str">
        <f>_xlfn.XLOOKUP(C5028, 'Códigos DANE Municipios'!$B$2:$B$1123, 'Códigos DANE Municipios'!$A$2:$A$1123, "No encontrado")</f>
        <v>15757</v>
      </c>
      <c r="B5028" t="str">
        <f>IFERROR(VLOOKUP(D5028,APOYO!K:L,2,FALSE),A5028)</f>
        <v>15757</v>
      </c>
      <c r="C5028" s="15" t="s">
        <v>590</v>
      </c>
      <c r="D5028" t="str">
        <f>IFERROR(VLOOKUP(C5028,APOYO!J:K,2,FALSE),C5028)</f>
        <v>SOCHA</v>
      </c>
      <c r="E5028">
        <v>2019</v>
      </c>
      <c r="H5028">
        <v>3</v>
      </c>
      <c r="I5028">
        <v>0</v>
      </c>
    </row>
    <row r="5029" spans="1:9" hidden="1" x14ac:dyDescent="0.25">
      <c r="A5029" t="str">
        <f>_xlfn.XLOOKUP(C5029, 'Códigos DANE Municipios'!$B$2:$B$1123, 'Códigos DANE Municipios'!$A$2:$A$1123, "No encontrado")</f>
        <v>68755</v>
      </c>
      <c r="B5029" t="str">
        <f>IFERROR(VLOOKUP(D5029,APOYO!K:L,2,FALSE),A5029)</f>
        <v>68755</v>
      </c>
      <c r="C5029" s="15" t="s">
        <v>1798</v>
      </c>
      <c r="D5029" t="str">
        <f>IFERROR(VLOOKUP(C5029,APOYO!J:K,2,FALSE),C5029)</f>
        <v>SOCORRO</v>
      </c>
      <c r="E5029">
        <v>2019</v>
      </c>
      <c r="H5029">
        <v>123</v>
      </c>
    </row>
    <row r="5030" spans="1:9" hidden="1" x14ac:dyDescent="0.25">
      <c r="A5030" t="str">
        <f>_xlfn.XLOOKUP(C5030, 'Códigos DANE Municipios'!$B$2:$B$1123, 'Códigos DANE Municipios'!$A$2:$A$1123, "No encontrado")</f>
        <v>15759</v>
      </c>
      <c r="B5030" t="str">
        <f>IFERROR(VLOOKUP(D5030,APOYO!K:L,2,FALSE),A5030)</f>
        <v>15759</v>
      </c>
      <c r="C5030" s="15" t="s">
        <v>592</v>
      </c>
      <c r="D5030" t="str">
        <f>IFERROR(VLOOKUP(C5030,APOYO!J:K,2,FALSE),C5030)</f>
        <v>SOGAMOSO</v>
      </c>
      <c r="E5030">
        <v>2019</v>
      </c>
      <c r="H5030">
        <v>651</v>
      </c>
    </row>
    <row r="5031" spans="1:9" hidden="1" x14ac:dyDescent="0.25">
      <c r="A5031" t="str">
        <f>_xlfn.XLOOKUP(C5031, 'Códigos DANE Municipios'!$B$2:$B$1123, 'Códigos DANE Municipios'!$A$2:$A$1123, "No encontrado")</f>
        <v>18756</v>
      </c>
      <c r="B5031" t="str">
        <f>IFERROR(VLOOKUP(D5031,APOYO!K:L,2,FALSE),A5031)</f>
        <v>18756</v>
      </c>
      <c r="C5031" s="15" t="s">
        <v>724</v>
      </c>
      <c r="D5031" t="str">
        <f>IFERROR(VLOOKUP(C5031,APOYO!J:K,2,FALSE),C5031)</f>
        <v>SOLANO</v>
      </c>
      <c r="E5031">
        <v>2019</v>
      </c>
      <c r="H5031">
        <v>1202</v>
      </c>
    </row>
    <row r="5032" spans="1:9" hidden="1" x14ac:dyDescent="0.25">
      <c r="A5032" t="str">
        <f>_xlfn.XLOOKUP(C5032, 'Códigos DANE Municipios'!$B$2:$B$1123, 'Códigos DANE Municipios'!$A$2:$A$1123, "No encontrado")</f>
        <v>08758</v>
      </c>
      <c r="B5032" t="str">
        <f>IFERROR(VLOOKUP(D5032,APOYO!K:L,2,FALSE),A5032)</f>
        <v>08758</v>
      </c>
      <c r="C5032" s="15" t="s">
        <v>299</v>
      </c>
      <c r="D5032" t="str">
        <f>IFERROR(VLOOKUP(C5032,APOYO!J:K,2,FALSE),C5032)</f>
        <v>SOLEDAD</v>
      </c>
      <c r="E5032">
        <v>2019</v>
      </c>
      <c r="H5032">
        <v>326</v>
      </c>
    </row>
    <row r="5033" spans="1:9" hidden="1" x14ac:dyDescent="0.25">
      <c r="A5033" t="str">
        <f>_xlfn.XLOOKUP(C5033, 'Códigos DANE Municipios'!$B$2:$B$1123, 'Códigos DANE Municipios'!$A$2:$A$1123, "No encontrado")</f>
        <v>15761</v>
      </c>
      <c r="B5033" t="str">
        <f>IFERROR(VLOOKUP(D5033,APOYO!K:L,2,FALSE),A5033)</f>
        <v>15761</v>
      </c>
      <c r="C5033" s="15" t="s">
        <v>594</v>
      </c>
      <c r="D5033" t="str">
        <f>IFERROR(VLOOKUP(C5033,APOYO!J:K,2,FALSE),C5033)</f>
        <v>SOMONDOCO</v>
      </c>
      <c r="E5033">
        <v>2019</v>
      </c>
      <c r="H5033">
        <v>5</v>
      </c>
    </row>
    <row r="5034" spans="1:9" hidden="1" x14ac:dyDescent="0.25">
      <c r="A5034" t="str">
        <f>_xlfn.XLOOKUP(C5034, 'Códigos DANE Municipios'!$B$2:$B$1123, 'Códigos DANE Municipios'!$A$2:$A$1123, "No encontrado")</f>
        <v>No encontrado</v>
      </c>
      <c r="B5034" t="str">
        <f>IFERROR(VLOOKUP(D5034,APOYO!K:L,2,FALSE),A5034)</f>
        <v>No encontrado</v>
      </c>
      <c r="C5034" s="15" t="s">
        <v>2377</v>
      </c>
      <c r="D5034" t="str">
        <f>IFERROR(VLOOKUP(C5034,APOYO!J:K,2,FALSE),C5034)</f>
        <v>SONSON</v>
      </c>
      <c r="E5034">
        <v>2019</v>
      </c>
      <c r="H5034">
        <v>34</v>
      </c>
    </row>
    <row r="5035" spans="1:9" hidden="1" x14ac:dyDescent="0.25">
      <c r="A5035" t="str">
        <f>_xlfn.XLOOKUP(C5035, 'Códigos DANE Municipios'!$B$2:$B$1123, 'Códigos DANE Municipios'!$A$2:$A$1123, "No encontrado")</f>
        <v>No encontrado</v>
      </c>
      <c r="B5035" t="str">
        <f>IFERROR(VLOOKUP(D5035,APOYO!K:L,2,FALSE),A5035)</f>
        <v>No encontrado</v>
      </c>
      <c r="C5035" s="15" t="s">
        <v>2378</v>
      </c>
      <c r="D5035" t="str">
        <f>IFERROR(VLOOKUP(C5035,APOYO!J:K,2,FALSE),C5035)</f>
        <v>SOPETRAN</v>
      </c>
      <c r="E5035">
        <v>2019</v>
      </c>
      <c r="H5035">
        <v>13</v>
      </c>
    </row>
    <row r="5036" spans="1:9" hidden="1" x14ac:dyDescent="0.25">
      <c r="A5036" t="str">
        <f>_xlfn.XLOOKUP(C5036, 'Códigos DANE Municipios'!$B$2:$B$1123, 'Códigos DANE Municipios'!$A$2:$A$1123, "No encontrado")</f>
        <v>No encontrado</v>
      </c>
      <c r="B5036" t="str">
        <f>IFERROR(VLOOKUP(D5036,APOYO!K:L,2,FALSE),A5036)</f>
        <v>No encontrado</v>
      </c>
      <c r="C5036" s="15" t="s">
        <v>2379</v>
      </c>
      <c r="D5036" t="str">
        <f>IFERROR(VLOOKUP(C5036,APOYO!J:K,2,FALSE),C5036)</f>
        <v>SOPO</v>
      </c>
      <c r="E5036">
        <v>2019</v>
      </c>
      <c r="H5036">
        <v>338</v>
      </c>
    </row>
    <row r="5037" spans="1:9" hidden="1" x14ac:dyDescent="0.25">
      <c r="A5037" t="str">
        <f>_xlfn.XLOOKUP(C5037, 'Códigos DANE Municipios'!$B$2:$B$1123, 'Códigos DANE Municipios'!$A$2:$A$1123, "No encontrado")</f>
        <v>15762</v>
      </c>
      <c r="B5037" t="str">
        <f>IFERROR(VLOOKUP(D5037,APOYO!K:L,2,FALSE),A5037)</f>
        <v>15762</v>
      </c>
      <c r="C5037" s="15" t="s">
        <v>596</v>
      </c>
      <c r="D5037" t="str">
        <f>IFERROR(VLOOKUP(C5037,APOYO!J:K,2,FALSE),C5037)</f>
        <v>SORA</v>
      </c>
      <c r="E5037">
        <v>2019</v>
      </c>
      <c r="H5037">
        <v>1</v>
      </c>
    </row>
    <row r="5038" spans="1:9" hidden="1" x14ac:dyDescent="0.25">
      <c r="C5038" s="15" t="s">
        <v>2517</v>
      </c>
      <c r="E5038">
        <v>2019</v>
      </c>
      <c r="H5038">
        <v>2</v>
      </c>
    </row>
    <row r="5039" spans="1:9" hidden="1" x14ac:dyDescent="0.25">
      <c r="A5039" t="str">
        <f>_xlfn.XLOOKUP(C5039, 'Códigos DANE Municipios'!$B$2:$B$1123, 'Códigos DANE Municipios'!$A$2:$A$1123, "No encontrado")</f>
        <v>No encontrado</v>
      </c>
      <c r="B5039" t="str">
        <f>IFERROR(VLOOKUP(D5039,APOYO!K:L,2,FALSE),A5039)</f>
        <v>No encontrado</v>
      </c>
      <c r="C5039" s="15" t="s">
        <v>2380</v>
      </c>
      <c r="D5039" t="str">
        <f>IFERROR(VLOOKUP(C5039,APOYO!J:K,2,FALSE),C5039)</f>
        <v>SOTAQUIRA</v>
      </c>
      <c r="E5039">
        <v>2019</v>
      </c>
      <c r="H5039">
        <v>2</v>
      </c>
    </row>
    <row r="5040" spans="1:9" hidden="1" x14ac:dyDescent="0.25">
      <c r="A5040" t="str">
        <f>_xlfn.XLOOKUP(C5040, 'Códigos DANE Municipios'!$B$2:$B$1123, 'Códigos DANE Municipios'!$A$2:$A$1123, "No encontrado")</f>
        <v>No encontrado</v>
      </c>
      <c r="B5040" t="str">
        <f>IFERROR(VLOOKUP(D5040,APOYO!K:L,2,FALSE),A5040)</f>
        <v>No encontrado</v>
      </c>
      <c r="C5040" s="15" t="s">
        <v>2381</v>
      </c>
      <c r="D5040" t="str">
        <f>IFERROR(VLOOKUP(C5040,APOYO!J:K,2,FALSE),C5040)</f>
        <v>STA ROSA DE OSOS</v>
      </c>
      <c r="E5040">
        <v>2019</v>
      </c>
      <c r="H5040">
        <v>53</v>
      </c>
    </row>
    <row r="5041" spans="1:8" hidden="1" x14ac:dyDescent="0.25">
      <c r="A5041" t="str">
        <f>_xlfn.XLOOKUP(C5041, 'Códigos DANE Municipios'!$B$2:$B$1123, 'Códigos DANE Municipios'!$A$2:$A$1123, "No encontrado")</f>
        <v>68770</v>
      </c>
      <c r="B5041" t="str">
        <f>IFERROR(VLOOKUP(D5041,APOYO!K:L,2,FALSE),A5041)</f>
        <v>68770</v>
      </c>
      <c r="C5041" s="15" t="s">
        <v>1800</v>
      </c>
      <c r="D5041" t="str">
        <f>IFERROR(VLOOKUP(C5041,APOYO!J:K,2,FALSE),C5041)</f>
        <v>SUAITA</v>
      </c>
      <c r="E5041">
        <v>2019</v>
      </c>
      <c r="H5041">
        <v>7</v>
      </c>
    </row>
    <row r="5042" spans="1:8" hidden="1" x14ac:dyDescent="0.25">
      <c r="A5042" t="str">
        <f>_xlfn.XLOOKUP(C5042, 'Códigos DANE Municipios'!$B$2:$B$1123, 'Códigos DANE Municipios'!$A$2:$A$1123, "No encontrado")</f>
        <v>08770</v>
      </c>
      <c r="B5042" t="str">
        <f>IFERROR(VLOOKUP(D5042,APOYO!K:L,2,FALSE),A5042)</f>
        <v>08770</v>
      </c>
      <c r="C5042" s="15" t="s">
        <v>301</v>
      </c>
      <c r="D5042" t="str">
        <f>IFERROR(VLOOKUP(C5042,APOYO!J:K,2,FALSE),C5042)</f>
        <v>SUAN</v>
      </c>
      <c r="E5042">
        <v>2019</v>
      </c>
      <c r="H5042">
        <v>12</v>
      </c>
    </row>
    <row r="5043" spans="1:8" hidden="1" x14ac:dyDescent="0.25">
      <c r="A5043" t="str">
        <f>_xlfn.XLOOKUP(C5043, 'Códigos DANE Municipios'!$B$2:$B$1123, 'Códigos DANE Municipios'!$A$2:$A$1123, "No encontrado")</f>
        <v>41770</v>
      </c>
      <c r="B5043" t="str">
        <f>IFERROR(VLOOKUP(D5043,APOYO!K:L,2,FALSE),A5043)</f>
        <v>41770</v>
      </c>
      <c r="C5043" s="15" t="s">
        <v>1256</v>
      </c>
      <c r="D5043" t="str">
        <f>IFERROR(VLOOKUP(C5043,APOYO!J:K,2,FALSE),C5043)</f>
        <v>SUAZA</v>
      </c>
      <c r="E5043">
        <v>2019</v>
      </c>
      <c r="H5043">
        <v>2</v>
      </c>
    </row>
    <row r="5044" spans="1:8" hidden="1" x14ac:dyDescent="0.25">
      <c r="A5044" t="str">
        <f>_xlfn.XLOOKUP(C5044, 'Códigos DANE Municipios'!$B$2:$B$1123, 'Códigos DANE Municipios'!$A$2:$A$1123, "No encontrado")</f>
        <v>25769</v>
      </c>
      <c r="B5044" t="str">
        <f>IFERROR(VLOOKUP(D5044,APOYO!K:L,2,FALSE),A5044)</f>
        <v>25769</v>
      </c>
      <c r="C5044" s="15" t="s">
        <v>1086</v>
      </c>
      <c r="D5044" t="str">
        <f>IFERROR(VLOOKUP(C5044,APOYO!J:K,2,FALSE),C5044)</f>
        <v>SUBACHOQUE</v>
      </c>
      <c r="E5044">
        <v>2019</v>
      </c>
      <c r="H5044">
        <v>141</v>
      </c>
    </row>
    <row r="5045" spans="1:8" hidden="1" x14ac:dyDescent="0.25">
      <c r="A5045" t="str">
        <f>_xlfn.XLOOKUP(C5045, 'Códigos DANE Municipios'!$B$2:$B$1123, 'Códigos DANE Municipios'!$A$2:$A$1123, "No encontrado")</f>
        <v>19785</v>
      </c>
      <c r="B5045" t="str">
        <f>IFERROR(VLOOKUP(D5045,APOYO!K:L,2,FALSE),A5045)</f>
        <v>19785</v>
      </c>
      <c r="C5045" s="15" t="s">
        <v>796</v>
      </c>
      <c r="D5045" t="str">
        <f>IFERROR(VLOOKUP(C5045,APOYO!J:K,2,FALSE),C5045)</f>
        <v>SUCRE</v>
      </c>
      <c r="E5045">
        <v>2019</v>
      </c>
    </row>
    <row r="5046" spans="1:8" hidden="1" x14ac:dyDescent="0.25">
      <c r="A5046" t="str">
        <f>_xlfn.XLOOKUP(C5046, 'Códigos DANE Municipios'!$B$2:$B$1123, 'Códigos DANE Municipios'!$A$2:$A$1123, "No encontrado")</f>
        <v>25772</v>
      </c>
      <c r="B5046" t="str">
        <f>IFERROR(VLOOKUP(D5046,APOYO!K:L,2,FALSE),A5046)</f>
        <v>25772</v>
      </c>
      <c r="C5046" s="15" t="s">
        <v>1088</v>
      </c>
      <c r="D5046" t="str">
        <f>IFERROR(VLOOKUP(C5046,APOYO!J:K,2,FALSE),C5046)</f>
        <v>SUESCA</v>
      </c>
      <c r="E5046">
        <v>2019</v>
      </c>
      <c r="H5046">
        <v>108</v>
      </c>
    </row>
    <row r="5047" spans="1:8" hidden="1" x14ac:dyDescent="0.25">
      <c r="C5047" s="15" t="s">
        <v>2488</v>
      </c>
      <c r="H5047">
        <v>3</v>
      </c>
    </row>
    <row r="5048" spans="1:8" hidden="1" x14ac:dyDescent="0.25">
      <c r="A5048" t="str">
        <f>_xlfn.XLOOKUP(C5048, 'Códigos DANE Municipios'!$B$2:$B$1123, 'Códigos DANE Municipios'!$A$2:$A$1123, "No encontrado")</f>
        <v>No encontrado</v>
      </c>
      <c r="B5048" t="str">
        <f>IFERROR(VLOOKUP(D5048,APOYO!K:L,2,FALSE),A5048)</f>
        <v>No encontrado</v>
      </c>
      <c r="C5048" s="15" t="s">
        <v>2382</v>
      </c>
      <c r="D5048" t="str">
        <f>IFERROR(VLOOKUP(C5048,APOYO!J:K,2,FALSE),C5048)</f>
        <v>SUPIA</v>
      </c>
      <c r="E5048">
        <v>2019</v>
      </c>
      <c r="H5048">
        <v>74</v>
      </c>
    </row>
    <row r="5049" spans="1:8" hidden="1" x14ac:dyDescent="0.25">
      <c r="A5049" t="str">
        <f>_xlfn.XLOOKUP(C5049, 'Códigos DANE Municipios'!$B$2:$B$1123, 'Códigos DANE Municipios'!$A$2:$A$1123, "No encontrado")</f>
        <v>25779</v>
      </c>
      <c r="B5049" t="str">
        <f>IFERROR(VLOOKUP(D5049,APOYO!K:L,2,FALSE),A5049)</f>
        <v>25779</v>
      </c>
      <c r="C5049" s="15" t="s">
        <v>1092</v>
      </c>
      <c r="D5049" t="str">
        <f>IFERROR(VLOOKUP(C5049,APOYO!J:K,2,FALSE),C5049)</f>
        <v>SUSA</v>
      </c>
      <c r="E5049">
        <v>2019</v>
      </c>
      <c r="H5049">
        <v>6</v>
      </c>
    </row>
    <row r="5050" spans="1:8" hidden="1" x14ac:dyDescent="0.25">
      <c r="A5050" t="str">
        <f>_xlfn.XLOOKUP(C5050, 'Códigos DANE Municipios'!$B$2:$B$1123, 'Códigos DANE Municipios'!$A$2:$A$1123, "No encontrado")</f>
        <v>No encontrado</v>
      </c>
      <c r="B5050" t="str">
        <f>IFERROR(VLOOKUP(D5050,APOYO!K:L,2,FALSE),A5050)</f>
        <v>No encontrado</v>
      </c>
      <c r="C5050" s="15" t="s">
        <v>2383</v>
      </c>
      <c r="D5050" t="str">
        <f>IFERROR(VLOOKUP(C5050,APOYO!J:K,2,FALSE),C5050)</f>
        <v>SUTAMARCHAN</v>
      </c>
      <c r="E5050">
        <v>2019</v>
      </c>
      <c r="H5050">
        <v>2</v>
      </c>
    </row>
    <row r="5051" spans="1:8" hidden="1" x14ac:dyDescent="0.25">
      <c r="C5051" s="15" t="s">
        <v>2547</v>
      </c>
      <c r="H5051">
        <v>2</v>
      </c>
    </row>
    <row r="5052" spans="1:8" hidden="1" x14ac:dyDescent="0.25">
      <c r="A5052" t="str">
        <f>_xlfn.XLOOKUP(C5052, 'Códigos DANE Municipios'!$B$2:$B$1123, 'Códigos DANE Municipios'!$A$2:$A$1123, "No encontrado")</f>
        <v>15778</v>
      </c>
      <c r="B5052" t="str">
        <f>IFERROR(VLOOKUP(D5052,APOYO!K:L,2,FALSE),A5052)</f>
        <v>15778</v>
      </c>
      <c r="C5052" s="15" t="s">
        <v>606</v>
      </c>
      <c r="D5052" t="str">
        <f>IFERROR(VLOOKUP(C5052,APOYO!J:K,2,FALSE),C5052)</f>
        <v>SUTATENZA</v>
      </c>
      <c r="E5052">
        <v>2019</v>
      </c>
      <c r="H5052">
        <v>2</v>
      </c>
    </row>
    <row r="5053" spans="1:8" hidden="1" x14ac:dyDescent="0.25">
      <c r="A5053" t="str">
        <f>_xlfn.XLOOKUP(C5053, 'Códigos DANE Municipios'!$B$2:$B$1123, 'Códigos DANE Municipios'!$A$2:$A$1123, "No encontrado")</f>
        <v>25785</v>
      </c>
      <c r="B5053" t="str">
        <f>IFERROR(VLOOKUP(D5053,APOYO!K:L,2,FALSE),A5053)</f>
        <v>25785</v>
      </c>
      <c r="C5053" s="15" t="s">
        <v>1096</v>
      </c>
      <c r="D5053" t="str">
        <f>IFERROR(VLOOKUP(C5053,APOYO!J:K,2,FALSE),C5053)</f>
        <v>TABIO</v>
      </c>
      <c r="E5053">
        <v>2019</v>
      </c>
      <c r="H5053">
        <v>291</v>
      </c>
    </row>
    <row r="5054" spans="1:8" hidden="1" x14ac:dyDescent="0.25">
      <c r="C5054" s="15" t="s">
        <v>2491</v>
      </c>
      <c r="H5054">
        <v>4</v>
      </c>
    </row>
    <row r="5055" spans="1:8" hidden="1" x14ac:dyDescent="0.25">
      <c r="C5055" s="15" t="s">
        <v>389</v>
      </c>
      <c r="H5055">
        <v>1</v>
      </c>
    </row>
    <row r="5056" spans="1:8" hidden="1" x14ac:dyDescent="0.25">
      <c r="A5056" t="str">
        <f>_xlfn.XLOOKUP(C5056, 'Códigos DANE Municipios'!$B$2:$B$1123, 'Códigos DANE Municipios'!$A$2:$A$1123, "No encontrado")</f>
        <v>No encontrado</v>
      </c>
      <c r="B5056" t="str">
        <f>IFERROR(VLOOKUP(D5056,APOYO!K:L,2,FALSE),A5056)</f>
        <v>No encontrado</v>
      </c>
      <c r="C5056" s="15" t="s">
        <v>2384</v>
      </c>
      <c r="D5056" t="str">
        <f>IFERROR(VLOOKUP(C5056,APOYO!J:K,2,FALSE),C5056)</f>
        <v>TAMARA</v>
      </c>
      <c r="E5056">
        <v>2019</v>
      </c>
      <c r="F5056">
        <v>2</v>
      </c>
      <c r="H5056">
        <v>1</v>
      </c>
    </row>
    <row r="5057" spans="1:8" hidden="1" x14ac:dyDescent="0.25">
      <c r="A5057" t="str">
        <f>_xlfn.XLOOKUP(C5057, 'Códigos DANE Municipios'!$B$2:$B$1123, 'Códigos DANE Municipios'!$A$2:$A$1123, "No encontrado")</f>
        <v>81794</v>
      </c>
      <c r="B5057" t="str">
        <f>IFERROR(VLOOKUP(D5057,APOYO!K:L,2,FALSE),A5057)</f>
        <v>81794</v>
      </c>
      <c r="C5057" s="15" t="s">
        <v>2046</v>
      </c>
      <c r="D5057" t="str">
        <f>IFERROR(VLOOKUP(C5057,APOYO!J:K,2,FALSE),C5057)</f>
        <v>TAME</v>
      </c>
      <c r="E5057">
        <v>2019</v>
      </c>
      <c r="F5057">
        <v>3432</v>
      </c>
      <c r="H5057">
        <v>47</v>
      </c>
    </row>
    <row r="5058" spans="1:8" hidden="1" x14ac:dyDescent="0.25">
      <c r="C5058" s="15" t="s">
        <v>2492</v>
      </c>
      <c r="H5058">
        <v>4</v>
      </c>
    </row>
    <row r="5059" spans="1:8" hidden="1" x14ac:dyDescent="0.25">
      <c r="A5059" t="str">
        <f>_xlfn.XLOOKUP(C5059, 'Códigos DANE Municipios'!$B$2:$B$1123, 'Códigos DANE Municipios'!$A$2:$A$1123, "No encontrado")</f>
        <v>52786</v>
      </c>
      <c r="B5059" t="str">
        <f>IFERROR(VLOOKUP(D5059,APOYO!K:L,2,FALSE),A5059)</f>
        <v>52786</v>
      </c>
      <c r="C5059" s="15" t="s">
        <v>1519</v>
      </c>
      <c r="D5059" t="str">
        <f>IFERROR(VLOOKUP(C5059,APOYO!J:K,2,FALSE),C5059)</f>
        <v>TAMINANGO</v>
      </c>
      <c r="E5059">
        <v>2019</v>
      </c>
      <c r="H5059">
        <v>1</v>
      </c>
    </row>
    <row r="5060" spans="1:8" hidden="1" x14ac:dyDescent="0.25">
      <c r="C5060" s="15" t="s">
        <v>2493</v>
      </c>
      <c r="H5060">
        <v>9</v>
      </c>
    </row>
    <row r="5061" spans="1:8" hidden="1" x14ac:dyDescent="0.25">
      <c r="A5061" t="str">
        <f>_xlfn.XLOOKUP(C5061, 'Códigos DANE Municipios'!$B$2:$B$1123, 'Códigos DANE Municipios'!$A$2:$A$1123, "No encontrado")</f>
        <v>41791</v>
      </c>
      <c r="B5061" t="str">
        <f>IFERROR(VLOOKUP(D5061,APOYO!K:L,2,FALSE),A5061)</f>
        <v>41791</v>
      </c>
      <c r="C5061" s="15" t="s">
        <v>1258</v>
      </c>
      <c r="D5061" t="str">
        <f>IFERROR(VLOOKUP(C5061,APOYO!J:K,2,FALSE),C5061)</f>
        <v>TARQUI</v>
      </c>
      <c r="E5061">
        <v>2019</v>
      </c>
      <c r="H5061">
        <v>3</v>
      </c>
    </row>
    <row r="5062" spans="1:8" hidden="1" x14ac:dyDescent="0.25">
      <c r="A5062" t="str">
        <f>_xlfn.XLOOKUP(C5062, 'Códigos DANE Municipios'!$B$2:$B$1123, 'Códigos DANE Municipios'!$A$2:$A$1123, "No encontrado")</f>
        <v>85410</v>
      </c>
      <c r="B5062" t="str">
        <f>IFERROR(VLOOKUP(D5062,APOYO!K:L,2,FALSE),A5062)</f>
        <v>85410</v>
      </c>
      <c r="C5062" s="15" t="s">
        <v>2079</v>
      </c>
      <c r="D5062" t="str">
        <f>IFERROR(VLOOKUP(C5062,APOYO!J:K,2,FALSE),C5062)</f>
        <v>TAURAMENA</v>
      </c>
      <c r="E5062">
        <v>2019</v>
      </c>
      <c r="F5062">
        <v>1</v>
      </c>
      <c r="H5062">
        <v>19</v>
      </c>
    </row>
    <row r="5063" spans="1:8" hidden="1" x14ac:dyDescent="0.25">
      <c r="A5063" t="str">
        <f>_xlfn.XLOOKUP(C5063, 'Códigos DANE Municipios'!$B$2:$B$1123, 'Códigos DANE Municipios'!$A$2:$A$1123, "No encontrado")</f>
        <v>41799</v>
      </c>
      <c r="B5063" t="str">
        <f>IFERROR(VLOOKUP(D5063,APOYO!K:L,2,FALSE),A5063)</f>
        <v>41799</v>
      </c>
      <c r="C5063" s="15" t="s">
        <v>1262</v>
      </c>
      <c r="D5063" t="str">
        <f>IFERROR(VLOOKUP(C5063,APOYO!J:K,2,FALSE),C5063)</f>
        <v>TELLO</v>
      </c>
      <c r="E5063">
        <v>2019</v>
      </c>
    </row>
    <row r="5064" spans="1:8" hidden="1" x14ac:dyDescent="0.25">
      <c r="A5064" t="str">
        <f>_xlfn.XLOOKUP(C5064, 'Códigos DANE Municipios'!$B$2:$B$1123, 'Códigos DANE Municipios'!$A$2:$A$1123, "No encontrado")</f>
        <v>25797</v>
      </c>
      <c r="B5064" t="str">
        <f>IFERROR(VLOOKUP(D5064,APOYO!K:L,2,FALSE),A5064)</f>
        <v>25797</v>
      </c>
      <c r="C5064" s="15" t="s">
        <v>1100</v>
      </c>
      <c r="D5064" t="str">
        <f>IFERROR(VLOOKUP(C5064,APOYO!J:K,2,FALSE),C5064)</f>
        <v>TENA</v>
      </c>
      <c r="E5064">
        <v>2019</v>
      </c>
      <c r="H5064">
        <v>8</v>
      </c>
    </row>
    <row r="5065" spans="1:8" hidden="1" x14ac:dyDescent="0.25">
      <c r="A5065" t="str">
        <f>_xlfn.XLOOKUP(C5065, 'Códigos DANE Municipios'!$B$2:$B$1123, 'Códigos DANE Municipios'!$A$2:$A$1123, "No encontrado")</f>
        <v>25799</v>
      </c>
      <c r="B5065" t="str">
        <f>IFERROR(VLOOKUP(D5065,APOYO!K:L,2,FALSE),A5065)</f>
        <v>25799</v>
      </c>
      <c r="C5065" s="15" t="s">
        <v>1102</v>
      </c>
      <c r="D5065" t="str">
        <f>IFERROR(VLOOKUP(C5065,APOYO!J:K,2,FALSE),C5065)</f>
        <v>TENJO</v>
      </c>
      <c r="E5065">
        <v>2019</v>
      </c>
      <c r="H5065">
        <v>200</v>
      </c>
    </row>
    <row r="5066" spans="1:8" hidden="1" x14ac:dyDescent="0.25">
      <c r="A5066" t="str">
        <f>_xlfn.XLOOKUP(C5066, 'Códigos DANE Municipios'!$B$2:$B$1123, 'Códigos DANE Municipios'!$A$2:$A$1123, "No encontrado")</f>
        <v>15798</v>
      </c>
      <c r="B5066" t="str">
        <f>IFERROR(VLOOKUP(D5066,APOYO!K:L,2,FALSE),A5066)</f>
        <v>15798</v>
      </c>
      <c r="C5066" s="15" t="s">
        <v>610</v>
      </c>
      <c r="D5066" t="str">
        <f>IFERROR(VLOOKUP(C5066,APOYO!J:K,2,FALSE),C5066)</f>
        <v>TENZA</v>
      </c>
      <c r="E5066">
        <v>2019</v>
      </c>
      <c r="H5066">
        <v>5</v>
      </c>
    </row>
    <row r="5067" spans="1:8" hidden="1" x14ac:dyDescent="0.25">
      <c r="A5067" t="str">
        <f>_xlfn.XLOOKUP(C5067, 'Códigos DANE Municipios'!$B$2:$B$1123, 'Códigos DANE Municipios'!$A$2:$A$1123, "No encontrado")</f>
        <v>41801</v>
      </c>
      <c r="B5067" t="str">
        <f>IFERROR(VLOOKUP(D5067,APOYO!K:L,2,FALSE),A5067)</f>
        <v>41801</v>
      </c>
      <c r="C5067" s="15" t="s">
        <v>1264</v>
      </c>
      <c r="D5067" t="str">
        <f>IFERROR(VLOOKUP(C5067,APOYO!J:K,2,FALSE),C5067)</f>
        <v>TERUEL</v>
      </c>
      <c r="E5067">
        <v>2019</v>
      </c>
    </row>
    <row r="5068" spans="1:8" hidden="1" x14ac:dyDescent="0.25">
      <c r="A5068" t="str">
        <f>_xlfn.XLOOKUP(C5068, 'Códigos DANE Municipios'!$B$2:$B$1123, 'Códigos DANE Municipios'!$A$2:$A$1123, "No encontrado")</f>
        <v>41797</v>
      </c>
      <c r="B5068" t="str">
        <f>IFERROR(VLOOKUP(D5068,APOYO!K:L,2,FALSE),A5068)</f>
        <v>41797</v>
      </c>
      <c r="C5068" s="15" t="s">
        <v>1260</v>
      </c>
      <c r="D5068" t="str">
        <f>IFERROR(VLOOKUP(C5068,APOYO!J:K,2,FALSE),C5068)</f>
        <v>TESALIA</v>
      </c>
      <c r="E5068">
        <v>2019</v>
      </c>
      <c r="H5068">
        <v>6</v>
      </c>
    </row>
    <row r="5069" spans="1:8" hidden="1" x14ac:dyDescent="0.25">
      <c r="A5069" t="str">
        <f>_xlfn.XLOOKUP(C5069, 'Códigos DANE Municipios'!$B$2:$B$1123, 'Códigos DANE Municipios'!$A$2:$A$1123, "No encontrado")</f>
        <v>25805</v>
      </c>
      <c r="B5069" t="str">
        <f>IFERROR(VLOOKUP(D5069,APOYO!K:L,2,FALSE),A5069)</f>
        <v>25805</v>
      </c>
      <c r="C5069" s="15" t="s">
        <v>1104</v>
      </c>
      <c r="D5069" t="str">
        <f>IFERROR(VLOOKUP(C5069,APOYO!J:K,2,FALSE),C5069)</f>
        <v>TIBACUY</v>
      </c>
      <c r="E5069">
        <v>2019</v>
      </c>
      <c r="H5069">
        <v>6</v>
      </c>
    </row>
    <row r="5070" spans="1:8" hidden="1" x14ac:dyDescent="0.25">
      <c r="A5070" t="str">
        <f>_xlfn.XLOOKUP(C5070, 'Códigos DANE Municipios'!$B$2:$B$1123, 'Códigos DANE Municipios'!$A$2:$A$1123, "No encontrado")</f>
        <v>No encontrado</v>
      </c>
      <c r="B5070" t="str">
        <f>IFERROR(VLOOKUP(D5070,APOYO!K:L,2,FALSE),A5070)</f>
        <v>No encontrado</v>
      </c>
      <c r="C5070" s="15" t="s">
        <v>2385</v>
      </c>
      <c r="D5070" t="str">
        <f>IFERROR(VLOOKUP(C5070,APOYO!J:K,2,FALSE),C5070)</f>
        <v>TIBANA</v>
      </c>
      <c r="E5070">
        <v>2019</v>
      </c>
      <c r="H5070">
        <v>3</v>
      </c>
    </row>
    <row r="5071" spans="1:8" hidden="1" x14ac:dyDescent="0.25">
      <c r="A5071" t="str">
        <f>_xlfn.XLOOKUP(C5071, 'Códigos DANE Municipios'!$B$2:$B$1123, 'Códigos DANE Municipios'!$A$2:$A$1123, "No encontrado")</f>
        <v>15806</v>
      </c>
      <c r="B5071" t="str">
        <f>IFERROR(VLOOKUP(D5071,APOYO!K:L,2,FALSE),A5071)</f>
        <v>15806</v>
      </c>
      <c r="C5071" s="15" t="s">
        <v>614</v>
      </c>
      <c r="D5071" t="str">
        <f>IFERROR(VLOOKUP(C5071,APOYO!J:K,2,FALSE),C5071)</f>
        <v>TIBASOSA</v>
      </c>
      <c r="E5071">
        <v>2019</v>
      </c>
      <c r="H5071">
        <v>42</v>
      </c>
    </row>
    <row r="5072" spans="1:8" hidden="1" x14ac:dyDescent="0.25">
      <c r="A5072" t="str">
        <f>_xlfn.XLOOKUP(C5072, 'Códigos DANE Municipios'!$B$2:$B$1123, 'Códigos DANE Municipios'!$A$2:$A$1123, "No encontrado")</f>
        <v>25807</v>
      </c>
      <c r="B5072" t="str">
        <f>IFERROR(VLOOKUP(D5072,APOYO!K:L,2,FALSE),A5072)</f>
        <v>25807</v>
      </c>
      <c r="C5072" s="15" t="s">
        <v>1106</v>
      </c>
      <c r="D5072" t="str">
        <f>IFERROR(VLOOKUP(C5072,APOYO!J:K,2,FALSE),C5072)</f>
        <v>TIBIRITA</v>
      </c>
      <c r="E5072">
        <v>2019</v>
      </c>
      <c r="H5072">
        <v>1</v>
      </c>
    </row>
    <row r="5073" spans="1:9" hidden="1" x14ac:dyDescent="0.25">
      <c r="A5073" t="str">
        <f>_xlfn.XLOOKUP(C5073, 'Códigos DANE Municipios'!$B$2:$B$1123, 'Códigos DANE Municipios'!$A$2:$A$1123, "No encontrado")</f>
        <v>No encontrado</v>
      </c>
      <c r="B5073" t="str">
        <f>IFERROR(VLOOKUP(D5073,APOYO!K:L,2,FALSE),A5073)</f>
        <v>No encontrado</v>
      </c>
      <c r="C5073" s="15" t="s">
        <v>2386</v>
      </c>
      <c r="D5073" t="str">
        <f>IFERROR(VLOOKUP(C5073,APOYO!J:K,2,FALSE),C5073)</f>
        <v>TIBU</v>
      </c>
      <c r="E5073">
        <v>2019</v>
      </c>
      <c r="F5073">
        <v>1420</v>
      </c>
      <c r="H5073">
        <v>6</v>
      </c>
    </row>
    <row r="5074" spans="1:9" hidden="1" x14ac:dyDescent="0.25">
      <c r="A5074" t="str">
        <f>_xlfn.XLOOKUP(C5074, 'Códigos DANE Municipios'!$B$2:$B$1123, 'Códigos DANE Municipios'!$A$2:$A$1123, "No encontrado")</f>
        <v>23807</v>
      </c>
      <c r="B5074" t="str">
        <f>IFERROR(VLOOKUP(D5074,APOYO!K:L,2,FALSE),A5074)</f>
        <v>23807</v>
      </c>
      <c r="C5074" s="15" t="s">
        <v>910</v>
      </c>
      <c r="D5074" t="str">
        <f>IFERROR(VLOOKUP(C5074,APOYO!J:K,2,FALSE),C5074)</f>
        <v>TIERRALTA</v>
      </c>
      <c r="E5074">
        <v>2019</v>
      </c>
      <c r="H5074">
        <v>12</v>
      </c>
    </row>
    <row r="5075" spans="1:9" hidden="1" x14ac:dyDescent="0.25">
      <c r="A5075" t="str">
        <f>_xlfn.XLOOKUP(C5075, 'Códigos DANE Municipios'!$B$2:$B$1123, 'Códigos DANE Municipios'!$A$2:$A$1123, "No encontrado")</f>
        <v>No encontrado</v>
      </c>
      <c r="B5075" t="str">
        <f>IFERROR(VLOOKUP(D5075,APOYO!K:L,2,FALSE),A5075)</f>
        <v>No encontrado</v>
      </c>
      <c r="C5075" s="15" t="s">
        <v>2387</v>
      </c>
      <c r="D5075" t="str">
        <f>IFERROR(VLOOKUP(C5075,APOYO!J:K,2,FALSE),C5075)</f>
        <v>TIMANA</v>
      </c>
      <c r="E5075">
        <v>2019</v>
      </c>
      <c r="H5075">
        <v>18</v>
      </c>
    </row>
    <row r="5076" spans="1:9" hidden="1" x14ac:dyDescent="0.25">
      <c r="A5076" t="str">
        <f>_xlfn.XLOOKUP(C5076, 'Códigos DANE Municipios'!$B$2:$B$1123, 'Códigos DANE Municipios'!$A$2:$A$1123, "No encontrado")</f>
        <v>No encontrado</v>
      </c>
      <c r="B5076" t="str">
        <f>IFERROR(VLOOKUP(D5076,APOYO!K:L,2,FALSE),A5076)</f>
        <v>No encontrado</v>
      </c>
      <c r="C5076" s="15" t="s">
        <v>2388</v>
      </c>
      <c r="D5076" t="str">
        <f>IFERROR(VLOOKUP(C5076,APOYO!J:K,2,FALSE),C5076)</f>
        <v>TIMBIO</v>
      </c>
      <c r="E5076">
        <v>2019</v>
      </c>
      <c r="H5076">
        <v>52</v>
      </c>
    </row>
    <row r="5077" spans="1:9" hidden="1" x14ac:dyDescent="0.25">
      <c r="A5077" t="str">
        <f>_xlfn.XLOOKUP(C5077, 'Códigos DANE Municipios'!$B$2:$B$1123, 'Códigos DANE Municipios'!$A$2:$A$1123, "No encontrado")</f>
        <v>No encontrado</v>
      </c>
      <c r="B5077" t="str">
        <f>IFERROR(VLOOKUP(D5077,APOYO!K:L,2,FALSE),A5077)</f>
        <v>No encontrado</v>
      </c>
      <c r="C5077" s="15" t="s">
        <v>2389</v>
      </c>
      <c r="D5077" t="str">
        <f>IFERROR(VLOOKUP(C5077,APOYO!J:K,2,FALSE),C5077)</f>
        <v>TIMBIQUI</v>
      </c>
      <c r="E5077">
        <v>2019</v>
      </c>
      <c r="F5077">
        <v>6248</v>
      </c>
      <c r="H5077">
        <v>1</v>
      </c>
    </row>
    <row r="5078" spans="1:9" hidden="1" x14ac:dyDescent="0.25">
      <c r="A5078" t="str">
        <f>_xlfn.XLOOKUP(C5078, 'Códigos DANE Municipios'!$B$2:$B$1123, 'Códigos DANE Municipios'!$A$2:$A$1123, "No encontrado")</f>
        <v>No encontrado</v>
      </c>
      <c r="B5078" t="str">
        <f>IFERROR(VLOOKUP(D5078,APOYO!K:L,2,FALSE),A5078)</f>
        <v>No encontrado</v>
      </c>
      <c r="C5078" s="15" t="s">
        <v>2390</v>
      </c>
      <c r="D5078" t="str">
        <f>IFERROR(VLOOKUP(C5078,APOYO!J:K,2,FALSE),C5078)</f>
        <v>TINJACA</v>
      </c>
      <c r="E5078">
        <v>2019</v>
      </c>
      <c r="H5078">
        <v>3</v>
      </c>
    </row>
    <row r="5079" spans="1:9" hidden="1" x14ac:dyDescent="0.25">
      <c r="A5079" t="str">
        <f>_xlfn.XLOOKUP(C5079, 'Códigos DANE Municipios'!$B$2:$B$1123, 'Códigos DANE Municipios'!$A$2:$A$1123, "No encontrado")</f>
        <v>No encontrado</v>
      </c>
      <c r="B5079" t="str">
        <f>IFERROR(VLOOKUP(D5079,APOYO!K:L,2,FALSE),A5079)</f>
        <v>No encontrado</v>
      </c>
      <c r="C5079" s="15" t="s">
        <v>2391</v>
      </c>
      <c r="D5079" t="str">
        <f>IFERROR(VLOOKUP(C5079,APOYO!J:K,2,FALSE),C5079)</f>
        <v>TITIRIBI</v>
      </c>
      <c r="E5079">
        <v>2019</v>
      </c>
      <c r="H5079">
        <v>10</v>
      </c>
    </row>
    <row r="5080" spans="1:9" hidden="1" x14ac:dyDescent="0.25">
      <c r="A5080" t="str">
        <f>_xlfn.XLOOKUP(C5080, 'Códigos DANE Municipios'!$B$2:$B$1123, 'Códigos DANE Municipios'!$A$2:$A$1123, "No encontrado")</f>
        <v>15814</v>
      </c>
      <c r="B5080" t="str">
        <f>IFERROR(VLOOKUP(D5080,APOYO!K:L,2,FALSE),A5080)</f>
        <v>15814</v>
      </c>
      <c r="C5080" s="15" t="s">
        <v>620</v>
      </c>
      <c r="D5080" t="str">
        <f>IFERROR(VLOOKUP(C5080,APOYO!J:K,2,FALSE),C5080)</f>
        <v>TOCA</v>
      </c>
      <c r="E5080">
        <v>2019</v>
      </c>
      <c r="H5080">
        <v>1</v>
      </c>
    </row>
    <row r="5081" spans="1:9" hidden="1" x14ac:dyDescent="0.25">
      <c r="A5081" t="str">
        <f>_xlfn.XLOOKUP(C5081, 'Códigos DANE Municipios'!$B$2:$B$1123, 'Códigos DANE Municipios'!$A$2:$A$1123, "No encontrado")</f>
        <v>25815</v>
      </c>
      <c r="B5081" t="str">
        <f>IFERROR(VLOOKUP(D5081,APOYO!K:L,2,FALSE),A5081)</f>
        <v>25815</v>
      </c>
      <c r="C5081" s="15" t="s">
        <v>1108</v>
      </c>
      <c r="D5081" t="str">
        <f>IFERROR(VLOOKUP(C5081,APOYO!J:K,2,FALSE),C5081)</f>
        <v>TOCAIMA</v>
      </c>
      <c r="E5081">
        <v>2019</v>
      </c>
      <c r="H5081">
        <v>40</v>
      </c>
    </row>
    <row r="5082" spans="1:9" hidden="1" x14ac:dyDescent="0.25">
      <c r="A5082" t="str">
        <f>_xlfn.XLOOKUP(C5082, 'Códigos DANE Municipios'!$B$2:$B$1123, 'Códigos DANE Municipios'!$A$2:$A$1123, "No encontrado")</f>
        <v>No encontrado</v>
      </c>
      <c r="B5082" t="str">
        <f>IFERROR(VLOOKUP(D5082,APOYO!K:L,2,FALSE),A5082)</f>
        <v>No encontrado</v>
      </c>
      <c r="C5082" s="15" t="s">
        <v>2392</v>
      </c>
      <c r="D5082" t="str">
        <f>IFERROR(VLOOKUP(C5082,APOYO!J:K,2,FALSE),C5082)</f>
        <v>TOCANCIPA</v>
      </c>
      <c r="E5082">
        <v>2019</v>
      </c>
      <c r="H5082">
        <v>811</v>
      </c>
    </row>
    <row r="5083" spans="1:9" hidden="1" x14ac:dyDescent="0.25">
      <c r="C5083" s="15" t="s">
        <v>2495</v>
      </c>
      <c r="E5083">
        <v>2019</v>
      </c>
      <c r="H5083">
        <v>1</v>
      </c>
    </row>
    <row r="5084" spans="1:9" hidden="1" x14ac:dyDescent="0.25">
      <c r="A5084" t="str">
        <f>_xlfn.XLOOKUP(C5084, 'Códigos DANE Municipios'!$B$2:$B$1123, 'Códigos DANE Municipios'!$A$2:$A$1123, "No encontrado")</f>
        <v>05819</v>
      </c>
      <c r="B5084" t="str">
        <f>IFERROR(VLOOKUP(D5084,APOYO!K:L,2,FALSE),A5084)</f>
        <v>05819</v>
      </c>
      <c r="C5084" s="15" t="s">
        <v>234</v>
      </c>
      <c r="D5084" t="str">
        <f>IFERROR(VLOOKUP(C5084,APOYO!J:K,2,FALSE),C5084)</f>
        <v>TOLEDO</v>
      </c>
      <c r="E5084">
        <v>2019</v>
      </c>
      <c r="H5084">
        <v>5</v>
      </c>
      <c r="I5084">
        <v>0</v>
      </c>
    </row>
    <row r="5085" spans="1:9" hidden="1" x14ac:dyDescent="0.25">
      <c r="A5085" t="str">
        <f>_xlfn.XLOOKUP(C5085, 'Códigos DANE Municipios'!$B$2:$B$1123, 'Códigos DANE Municipios'!$A$2:$A$1123, "No encontrado")</f>
        <v>No encontrado</v>
      </c>
      <c r="B5085" t="str">
        <f>IFERROR(VLOOKUP(D5085,APOYO!K:L,2,FALSE),A5085)</f>
        <v>No encontrado</v>
      </c>
      <c r="C5085" s="15" t="s">
        <v>2393</v>
      </c>
      <c r="D5085" t="str">
        <f>IFERROR(VLOOKUP(C5085,APOYO!J:K,2,FALSE),C5085)</f>
        <v>TOLU</v>
      </c>
      <c r="E5085">
        <v>2019</v>
      </c>
      <c r="H5085">
        <v>25</v>
      </c>
    </row>
    <row r="5086" spans="1:9" hidden="1" x14ac:dyDescent="0.25">
      <c r="A5086" t="str">
        <f>_xlfn.XLOOKUP(C5086, 'Códigos DANE Municipios'!$B$2:$B$1123, 'Códigos DANE Municipios'!$A$2:$A$1123, "No encontrado")</f>
        <v>No encontrado</v>
      </c>
      <c r="B5086" t="str">
        <f>IFERROR(VLOOKUP(D5086,APOYO!K:L,2,FALSE),A5086)</f>
        <v>No encontrado</v>
      </c>
      <c r="C5086" s="15" t="s">
        <v>2394</v>
      </c>
      <c r="D5086" t="str">
        <f>IFERROR(VLOOKUP(C5086,APOYO!J:K,2,FALSE),C5086)</f>
        <v>TOLUVIEJO</v>
      </c>
      <c r="E5086">
        <v>2019</v>
      </c>
      <c r="F5086">
        <v>2397</v>
      </c>
      <c r="H5086">
        <v>120</v>
      </c>
    </row>
    <row r="5087" spans="1:9" hidden="1" x14ac:dyDescent="0.25">
      <c r="A5087" t="str">
        <f>_xlfn.XLOOKUP(C5087, 'Códigos DANE Municipios'!$B$2:$B$1123, 'Códigos DANE Municipios'!$A$2:$A$1123, "No encontrado")</f>
        <v>68820</v>
      </c>
      <c r="B5087" t="str">
        <f>IFERROR(VLOOKUP(D5087,APOYO!K:L,2,FALSE),A5087)</f>
        <v>68820</v>
      </c>
      <c r="C5087" s="15" t="s">
        <v>1805</v>
      </c>
      <c r="D5087" t="str">
        <f>IFERROR(VLOOKUP(C5087,APOYO!J:K,2,FALSE),C5087)</f>
        <v>TONA</v>
      </c>
      <c r="E5087">
        <v>2019</v>
      </c>
    </row>
    <row r="5088" spans="1:9" hidden="1" x14ac:dyDescent="0.25">
      <c r="A5088" t="str">
        <f>_xlfn.XLOOKUP(C5088, 'Códigos DANE Municipios'!$B$2:$B$1123, 'Códigos DANE Municipios'!$A$2:$A$1123, "No encontrado")</f>
        <v>76823</v>
      </c>
      <c r="B5088" t="str">
        <f>IFERROR(VLOOKUP(D5088,APOYO!K:L,2,FALSE),A5088)</f>
        <v>76823</v>
      </c>
      <c r="C5088" s="15" t="s">
        <v>2016</v>
      </c>
      <c r="D5088" t="str">
        <f>IFERROR(VLOOKUP(C5088,APOYO!J:K,2,FALSE),C5088)</f>
        <v>TORO</v>
      </c>
      <c r="E5088">
        <v>2019</v>
      </c>
      <c r="H5088">
        <v>64</v>
      </c>
    </row>
    <row r="5089" spans="1:8" hidden="1" x14ac:dyDescent="0.25">
      <c r="C5089" s="15" t="s">
        <v>2548</v>
      </c>
      <c r="E5089">
        <v>2019</v>
      </c>
      <c r="H5089">
        <v>7</v>
      </c>
    </row>
    <row r="5090" spans="1:8" hidden="1" x14ac:dyDescent="0.25">
      <c r="A5090" t="str">
        <f>_xlfn.XLOOKUP(C5090, 'Códigos DANE Municipios'!$B$2:$B$1123, 'Códigos DANE Municipios'!$A$2:$A$1123, "No encontrado")</f>
        <v>No encontrado</v>
      </c>
      <c r="B5090" t="str">
        <f>IFERROR(VLOOKUP(D5090,APOYO!K:L,2,FALSE),A5090)</f>
        <v>No encontrado</v>
      </c>
      <c r="C5090" s="15" t="s">
        <v>2395</v>
      </c>
      <c r="D5090" t="str">
        <f>IFERROR(VLOOKUP(C5090,APOYO!J:K,2,FALSE),C5090)</f>
        <v>TOTORO</v>
      </c>
      <c r="E5090">
        <v>2019</v>
      </c>
    </row>
    <row r="5091" spans="1:8" hidden="1" x14ac:dyDescent="0.25">
      <c r="A5091" t="str">
        <f>_xlfn.XLOOKUP(C5091, 'Códigos DANE Municipios'!$B$2:$B$1123, 'Códigos DANE Municipios'!$A$2:$A$1123, "No encontrado")</f>
        <v>85430</v>
      </c>
      <c r="B5091" t="str">
        <f>IFERROR(VLOOKUP(D5091,APOYO!K:L,2,FALSE),A5091)</f>
        <v>85430</v>
      </c>
      <c r="C5091" s="15" t="s">
        <v>2081</v>
      </c>
      <c r="D5091" t="str">
        <f>IFERROR(VLOOKUP(C5091,APOYO!J:K,2,FALSE),C5091)</f>
        <v>TRINIDAD</v>
      </c>
      <c r="E5091">
        <v>2019</v>
      </c>
      <c r="F5091">
        <v>1583</v>
      </c>
      <c r="H5091">
        <v>5</v>
      </c>
    </row>
    <row r="5092" spans="1:8" hidden="1" x14ac:dyDescent="0.25">
      <c r="A5092" t="str">
        <f>_xlfn.XLOOKUP(C5092, 'Códigos DANE Municipios'!$B$2:$B$1123, 'Códigos DANE Municipios'!$A$2:$A$1123, "No encontrado")</f>
        <v>76828</v>
      </c>
      <c r="B5092" t="str">
        <f>IFERROR(VLOOKUP(D5092,APOYO!K:L,2,FALSE),A5092)</f>
        <v>76828</v>
      </c>
      <c r="C5092" s="15" t="s">
        <v>2018</v>
      </c>
      <c r="D5092" t="str">
        <f>IFERROR(VLOOKUP(C5092,APOYO!J:K,2,FALSE),C5092)</f>
        <v>TRUJILLO</v>
      </c>
      <c r="E5092">
        <v>2019</v>
      </c>
      <c r="H5092">
        <v>73</v>
      </c>
    </row>
    <row r="5093" spans="1:8" hidden="1" x14ac:dyDescent="0.25">
      <c r="A5093" t="str">
        <f>_xlfn.XLOOKUP(C5093, 'Códigos DANE Municipios'!$B$2:$B$1123, 'Códigos DANE Municipios'!$A$2:$A$1123, "No encontrado")</f>
        <v>No encontrado</v>
      </c>
      <c r="B5093" t="str">
        <f>IFERROR(VLOOKUP(D5093,APOYO!K:L,2,FALSE),A5093)</f>
        <v>No encontrado</v>
      </c>
      <c r="C5093" s="15" t="s">
        <v>2396</v>
      </c>
      <c r="D5093" t="str">
        <f>IFERROR(VLOOKUP(C5093,APOYO!J:K,2,FALSE),C5093)</f>
        <v>TUBARA</v>
      </c>
      <c r="E5093">
        <v>2019</v>
      </c>
      <c r="F5093">
        <v>3</v>
      </c>
      <c r="H5093">
        <v>48</v>
      </c>
    </row>
    <row r="5094" spans="1:8" hidden="1" x14ac:dyDescent="0.25">
      <c r="C5094" s="15" t="s">
        <v>2496</v>
      </c>
      <c r="H5094">
        <v>2</v>
      </c>
    </row>
    <row r="5095" spans="1:8" hidden="1" x14ac:dyDescent="0.25">
      <c r="A5095" t="str">
        <f>_xlfn.XLOOKUP(C5095, 'Códigos DANE Municipios'!$B$2:$B$1123, 'Códigos DANE Municipios'!$A$2:$A$1123, "No encontrado")</f>
        <v>No encontrado</v>
      </c>
      <c r="B5095" t="str">
        <f>IFERROR(VLOOKUP(D5095,APOYO!K:L,2,FALSE),A5095)</f>
        <v>No encontrado</v>
      </c>
      <c r="C5095" s="15" t="s">
        <v>2397</v>
      </c>
      <c r="D5095" t="str">
        <f>IFERROR(VLOOKUP(C5095,APOYO!J:K,2,FALSE),C5095)</f>
        <v>TULUA</v>
      </c>
      <c r="E5095">
        <v>2019</v>
      </c>
      <c r="H5095">
        <v>2530</v>
      </c>
    </row>
    <row r="5096" spans="1:8" hidden="1" x14ac:dyDescent="0.25">
      <c r="A5096" t="str">
        <f>_xlfn.XLOOKUP(C5096, 'Códigos DANE Municipios'!$B$2:$B$1123, 'Códigos DANE Municipios'!$A$2:$A$1123, "No encontrado")</f>
        <v>No encontrado</v>
      </c>
      <c r="B5096" t="str">
        <f>IFERROR(VLOOKUP(D5096,APOYO!K:L,2,FALSE),A5096)</f>
        <v>No encontrado</v>
      </c>
      <c r="C5096" s="15" t="s">
        <v>2398</v>
      </c>
      <c r="D5096" t="str">
        <f>IFERROR(VLOOKUP(C5096,APOYO!J:K,2,FALSE),C5096)</f>
        <v>TUMACO</v>
      </c>
      <c r="E5096">
        <v>2019</v>
      </c>
      <c r="F5096">
        <v>67318</v>
      </c>
      <c r="G5096">
        <v>55</v>
      </c>
      <c r="H5096">
        <v>581</v>
      </c>
    </row>
    <row r="5097" spans="1:8" hidden="1" x14ac:dyDescent="0.25">
      <c r="A5097" t="str">
        <f>_xlfn.XLOOKUP(C5097, 'Códigos DANE Municipios'!$B$2:$B$1123, 'Códigos DANE Municipios'!$A$2:$A$1123, "No encontrado")</f>
        <v>15001</v>
      </c>
      <c r="B5097" t="str">
        <f>IFERROR(VLOOKUP(D5097,APOYO!K:L,2,FALSE),A5097)</f>
        <v>15001</v>
      </c>
      <c r="C5097" s="15" t="s">
        <v>401</v>
      </c>
      <c r="D5097" t="str">
        <f>IFERROR(VLOOKUP(C5097,APOYO!J:K,2,FALSE),C5097)</f>
        <v>TUNJA</v>
      </c>
      <c r="E5097">
        <v>2019</v>
      </c>
      <c r="H5097">
        <v>2086</v>
      </c>
    </row>
    <row r="5098" spans="1:8" hidden="1" x14ac:dyDescent="0.25">
      <c r="A5098" t="str">
        <f>_xlfn.XLOOKUP(C5098, 'Códigos DANE Municipios'!$B$2:$B$1123, 'Códigos DANE Municipios'!$A$2:$A$1123, "No encontrado")</f>
        <v>No encontrado</v>
      </c>
      <c r="B5098" t="str">
        <f>IFERROR(VLOOKUP(D5098,APOYO!K:L,2,FALSE),A5098)</f>
        <v>No encontrado</v>
      </c>
      <c r="C5098" s="15" t="s">
        <v>2399</v>
      </c>
      <c r="D5098" t="str">
        <f>IFERROR(VLOOKUP(C5098,APOYO!J:K,2,FALSE),C5098)</f>
        <v>TUQUERRES</v>
      </c>
      <c r="E5098">
        <v>2019</v>
      </c>
      <c r="H5098">
        <v>36</v>
      </c>
    </row>
    <row r="5099" spans="1:8" hidden="1" x14ac:dyDescent="0.25">
      <c r="A5099" t="str">
        <f>_xlfn.XLOOKUP(C5099, 'Códigos DANE Municipios'!$B$2:$B$1123, 'Códigos DANE Municipios'!$A$2:$A$1123, "No encontrado")</f>
        <v>13836</v>
      </c>
      <c r="B5099" t="str">
        <f>IFERROR(VLOOKUP(D5099,APOYO!K:L,2,FALSE),A5099)</f>
        <v>13836</v>
      </c>
      <c r="C5099" s="15" t="s">
        <v>393</v>
      </c>
      <c r="D5099" t="str">
        <f>IFERROR(VLOOKUP(C5099,APOYO!J:K,2,FALSE),C5099)</f>
        <v>TURBACO</v>
      </c>
      <c r="E5099">
        <v>2019</v>
      </c>
      <c r="H5099">
        <v>136</v>
      </c>
    </row>
    <row r="5100" spans="1:8" hidden="1" x14ac:dyDescent="0.25">
      <c r="A5100" t="str">
        <f>_xlfn.XLOOKUP(C5100, 'Códigos DANE Municipios'!$B$2:$B$1123, 'Códigos DANE Municipios'!$A$2:$A$1123, "No encontrado")</f>
        <v>No encontrado</v>
      </c>
      <c r="B5100" t="str">
        <f>IFERROR(VLOOKUP(D5100,APOYO!K:L,2,FALSE),A5100)</f>
        <v>No encontrado</v>
      </c>
      <c r="C5100" s="15" t="s">
        <v>2400</v>
      </c>
      <c r="D5100" t="str">
        <f>IFERROR(VLOOKUP(C5100,APOYO!J:K,2,FALSE),C5100)</f>
        <v>TRUBANA</v>
      </c>
      <c r="E5100">
        <v>2019</v>
      </c>
      <c r="H5100">
        <v>5</v>
      </c>
    </row>
    <row r="5101" spans="1:8" hidden="1" x14ac:dyDescent="0.25">
      <c r="A5101" t="str">
        <f>_xlfn.XLOOKUP(C5101, 'Códigos DANE Municipios'!$B$2:$B$1123, 'Códigos DANE Municipios'!$A$2:$A$1123, "No encontrado")</f>
        <v>05837</v>
      </c>
      <c r="B5101" t="str">
        <f>IFERROR(VLOOKUP(D5101,APOYO!K:L,2,FALSE),A5101)</f>
        <v>05837</v>
      </c>
      <c r="C5101" s="15" t="s">
        <v>236</v>
      </c>
      <c r="D5101" t="str">
        <f>IFERROR(VLOOKUP(C5101,APOYO!J:K,2,FALSE),C5101)</f>
        <v>TURBO</v>
      </c>
      <c r="E5101">
        <v>2019</v>
      </c>
      <c r="H5101">
        <v>104</v>
      </c>
    </row>
    <row r="5102" spans="1:8" hidden="1" x14ac:dyDescent="0.25">
      <c r="A5102" t="str">
        <f>_xlfn.XLOOKUP(C5102, 'Códigos DANE Municipios'!$B$2:$B$1123, 'Códigos DANE Municipios'!$A$2:$A$1123, "No encontrado")</f>
        <v>No encontrado</v>
      </c>
      <c r="B5102" t="str">
        <f>IFERROR(VLOOKUP(D5102,APOYO!K:L,2,FALSE),A5102)</f>
        <v>No encontrado</v>
      </c>
      <c r="C5102" s="15" t="s">
        <v>2401</v>
      </c>
      <c r="D5102" t="str">
        <f>IFERROR(VLOOKUP(C5102,APOYO!J:K,2,FALSE),C5102)</f>
        <v>TURMEQUE</v>
      </c>
      <c r="E5102">
        <v>2019</v>
      </c>
      <c r="H5102">
        <v>5</v>
      </c>
    </row>
    <row r="5103" spans="1:8" hidden="1" x14ac:dyDescent="0.25">
      <c r="A5103" t="str">
        <f>_xlfn.XLOOKUP(C5103, 'Códigos DANE Municipios'!$B$2:$B$1123, 'Códigos DANE Municipios'!$A$2:$A$1123, "No encontrado")</f>
        <v>15837</v>
      </c>
      <c r="B5103" t="str">
        <f>IFERROR(VLOOKUP(D5103,APOYO!K:L,2,FALSE),A5103)</f>
        <v>15837</v>
      </c>
      <c r="C5103" s="15" t="s">
        <v>632</v>
      </c>
      <c r="D5103" t="str">
        <f>IFERROR(VLOOKUP(C5103,APOYO!J:K,2,FALSE),C5103)</f>
        <v>TUTA</v>
      </c>
      <c r="E5103">
        <v>2019</v>
      </c>
      <c r="H5103">
        <v>13</v>
      </c>
    </row>
    <row r="5104" spans="1:8" hidden="1" x14ac:dyDescent="0.25">
      <c r="A5104" t="str">
        <f>_xlfn.XLOOKUP(C5104, 'Códigos DANE Municipios'!$B$2:$B$1123, 'Códigos DANE Municipios'!$A$2:$A$1123, "No encontrado")</f>
        <v>No encontrado</v>
      </c>
      <c r="B5104" t="str">
        <f>IFERROR(VLOOKUP(D5104,APOYO!K:L,2,FALSE),A5104)</f>
        <v>No encontrado</v>
      </c>
      <c r="C5104" s="15" t="s">
        <v>2402</v>
      </c>
      <c r="D5104" t="str">
        <f>IFERROR(VLOOKUP(C5104,APOYO!J:K,2,FALSE),C5104)</f>
        <v>UBALA</v>
      </c>
      <c r="E5104">
        <v>2019</v>
      </c>
      <c r="H5104">
        <v>2</v>
      </c>
    </row>
    <row r="5105" spans="1:9" hidden="1" x14ac:dyDescent="0.25">
      <c r="A5105" t="str">
        <f>_xlfn.XLOOKUP(C5105, 'Códigos DANE Municipios'!$B$2:$B$1123, 'Códigos DANE Municipios'!$A$2:$A$1123, "No encontrado")</f>
        <v>25841</v>
      </c>
      <c r="B5105" t="str">
        <f>IFERROR(VLOOKUP(D5105,APOYO!K:L,2,FALSE),A5105)</f>
        <v>25841</v>
      </c>
      <c r="C5105" s="15" t="s">
        <v>1116</v>
      </c>
      <c r="D5105" t="str">
        <f>IFERROR(VLOOKUP(C5105,APOYO!J:K,2,FALSE),C5105)</f>
        <v>UBAQUE</v>
      </c>
      <c r="E5105">
        <v>2019</v>
      </c>
      <c r="H5105">
        <v>61</v>
      </c>
    </row>
    <row r="5106" spans="1:9" hidden="1" x14ac:dyDescent="0.25">
      <c r="A5106" t="str">
        <f>_xlfn.XLOOKUP(C5106, 'Códigos DANE Municipios'!$B$2:$B$1123, 'Códigos DANE Municipios'!$A$2:$A$1123, "No encontrado")</f>
        <v>No encontrado</v>
      </c>
      <c r="B5106" t="str">
        <f>IFERROR(VLOOKUP(D5106,APOYO!K:L,2,FALSE),A5106)</f>
        <v>No encontrado</v>
      </c>
      <c r="C5106" s="15" t="s">
        <v>2403</v>
      </c>
      <c r="D5106" t="str">
        <f>IFERROR(VLOOKUP(C5106,APOYO!J:K,2,FALSE),C5106)</f>
        <v>UBATE</v>
      </c>
      <c r="E5106">
        <v>2019</v>
      </c>
      <c r="H5106">
        <v>17</v>
      </c>
    </row>
    <row r="5107" spans="1:9" hidden="1" x14ac:dyDescent="0.25">
      <c r="A5107" t="str">
        <f>_xlfn.XLOOKUP(C5107, 'Códigos DANE Municipios'!$B$2:$B$1123, 'Códigos DANE Municipios'!$A$2:$A$1123, "No encontrado")</f>
        <v>76845</v>
      </c>
      <c r="B5107" t="str">
        <f>IFERROR(VLOOKUP(D5107,APOYO!K:L,2,FALSE),A5107)</f>
        <v>76845</v>
      </c>
      <c r="C5107" s="15" t="s">
        <v>2022</v>
      </c>
      <c r="D5107" t="str">
        <f>IFERROR(VLOOKUP(C5107,APOYO!J:K,2,FALSE),C5107)</f>
        <v>ULLOA</v>
      </c>
      <c r="E5107">
        <v>2019</v>
      </c>
      <c r="H5107">
        <v>20</v>
      </c>
    </row>
    <row r="5108" spans="1:9" hidden="1" x14ac:dyDescent="0.25">
      <c r="A5108" t="str">
        <f>_xlfn.XLOOKUP(C5108, 'Códigos DANE Municipios'!$B$2:$B$1123, 'Códigos DANE Municipios'!$A$2:$A$1123, "No encontrado")</f>
        <v>No encontrado</v>
      </c>
      <c r="B5108" t="str">
        <f>IFERROR(VLOOKUP(D5108,APOYO!K:L,2,FALSE),A5108)</f>
        <v>No encontrado</v>
      </c>
      <c r="C5108" s="15" t="s">
        <v>2404</v>
      </c>
      <c r="D5108" t="str">
        <f>IFERROR(VLOOKUP(C5108,APOYO!J:K,2,FALSE),C5108)</f>
        <v>UMBITA</v>
      </c>
      <c r="E5108">
        <v>2019</v>
      </c>
      <c r="H5108">
        <v>1</v>
      </c>
    </row>
    <row r="5109" spans="1:9" hidden="1" x14ac:dyDescent="0.25">
      <c r="A5109" t="str">
        <f>_xlfn.XLOOKUP(C5109, 'Códigos DANE Municipios'!$B$2:$B$1123, 'Códigos DANE Municipios'!$A$2:$A$1123, "No encontrado")</f>
        <v>25845</v>
      </c>
      <c r="B5109" t="str">
        <f>IFERROR(VLOOKUP(D5109,APOYO!K:L,2,FALSE),A5109)</f>
        <v>25845</v>
      </c>
      <c r="C5109" s="15" t="s">
        <v>1120</v>
      </c>
      <c r="D5109" t="str">
        <f>IFERROR(VLOOKUP(C5109,APOYO!J:K,2,FALSE),C5109)</f>
        <v>UNE</v>
      </c>
      <c r="E5109">
        <v>2019</v>
      </c>
      <c r="H5109">
        <v>1</v>
      </c>
    </row>
    <row r="5110" spans="1:9" hidden="1" x14ac:dyDescent="0.25">
      <c r="A5110" t="str">
        <f>_xlfn.XLOOKUP(C5110, 'Códigos DANE Municipios'!$B$2:$B$1123, 'Códigos DANE Municipios'!$A$2:$A$1123, "No encontrado")</f>
        <v>No encontrado</v>
      </c>
      <c r="B5110" t="str">
        <f>IFERROR(VLOOKUP(D5110,APOYO!K:L,2,FALSE),A5110)</f>
        <v>No encontrado</v>
      </c>
      <c r="C5110" s="15" t="s">
        <v>2405</v>
      </c>
      <c r="D5110" t="str">
        <f>IFERROR(VLOOKUP(C5110,APOYO!J:K,2,FALSE),C5110)</f>
        <v>UNGUIA</v>
      </c>
      <c r="E5110">
        <v>2019</v>
      </c>
    </row>
    <row r="5111" spans="1:9" hidden="1" x14ac:dyDescent="0.25">
      <c r="A5111" t="str">
        <f>_xlfn.XLOOKUP(C5111, 'Códigos DANE Municipios'!$B$2:$B$1123, 'Códigos DANE Municipios'!$A$2:$A$1123, "No encontrado")</f>
        <v>44847</v>
      </c>
      <c r="B5111" t="str">
        <f>IFERROR(VLOOKUP(D5111,APOYO!K:L,2,FALSE),A5111)</f>
        <v>44847</v>
      </c>
      <c r="C5111" s="15" t="s">
        <v>1295</v>
      </c>
      <c r="D5111" t="str">
        <f>IFERROR(VLOOKUP(C5111,APOYO!J:K,2,FALSE),C5111)</f>
        <v>URIBIA</v>
      </c>
      <c r="E5111">
        <v>2019</v>
      </c>
      <c r="F5111">
        <v>10308</v>
      </c>
      <c r="H5111">
        <v>27</v>
      </c>
      <c r="I5111">
        <v>1374</v>
      </c>
    </row>
    <row r="5112" spans="1:9" hidden="1" x14ac:dyDescent="0.25">
      <c r="A5112" t="str">
        <f>_xlfn.XLOOKUP(C5112, 'Códigos DANE Municipios'!$B$2:$B$1123, 'Códigos DANE Municipios'!$A$2:$A$1123, "No encontrado")</f>
        <v>05847</v>
      </c>
      <c r="B5112" t="str">
        <f>IFERROR(VLOOKUP(D5112,APOYO!K:L,2,FALSE),A5112)</f>
        <v>05847</v>
      </c>
      <c r="C5112" s="15" t="s">
        <v>240</v>
      </c>
      <c r="D5112" t="str">
        <f>IFERROR(VLOOKUP(C5112,APOYO!J:K,2,FALSE),C5112)</f>
        <v>URRAO</v>
      </c>
      <c r="E5112">
        <v>2019</v>
      </c>
      <c r="F5112">
        <v>2649</v>
      </c>
      <c r="H5112">
        <v>17</v>
      </c>
    </row>
    <row r="5113" spans="1:9" hidden="1" x14ac:dyDescent="0.25">
      <c r="A5113" t="str">
        <f>_xlfn.XLOOKUP(C5113, 'Códigos DANE Municipios'!$B$2:$B$1123, 'Códigos DANE Municipios'!$A$2:$A$1123, "No encontrado")</f>
        <v>44855</v>
      </c>
      <c r="B5113" t="str">
        <f>IFERROR(VLOOKUP(D5113,APOYO!K:L,2,FALSE),A5113)</f>
        <v>44855</v>
      </c>
      <c r="C5113" s="15" t="s">
        <v>1297</v>
      </c>
      <c r="D5113" t="str">
        <f>IFERROR(VLOOKUP(C5113,APOYO!J:K,2,FALSE),C5113)</f>
        <v>URUMITA</v>
      </c>
      <c r="E5113">
        <v>2019</v>
      </c>
      <c r="H5113">
        <v>6</v>
      </c>
    </row>
    <row r="5114" spans="1:9" hidden="1" x14ac:dyDescent="0.25">
      <c r="A5114" t="str">
        <f>_xlfn.XLOOKUP(C5114, 'Códigos DANE Municipios'!$B$2:$B$1123, 'Códigos DANE Municipios'!$A$2:$A$1123, "No encontrado")</f>
        <v>No encontrado</v>
      </c>
      <c r="B5114" t="str">
        <f>IFERROR(VLOOKUP(D5114,APOYO!K:L,2,FALSE),A5114)</f>
        <v>No encontrado</v>
      </c>
      <c r="C5114" s="15" t="s">
        <v>2406</v>
      </c>
      <c r="D5114" t="str">
        <f>IFERROR(VLOOKUP(C5114,APOYO!J:K,2,FALSE),C5114)</f>
        <v>USIACURI</v>
      </c>
      <c r="E5114">
        <v>2019</v>
      </c>
      <c r="H5114">
        <v>4</v>
      </c>
    </row>
    <row r="5115" spans="1:9" hidden="1" x14ac:dyDescent="0.25">
      <c r="A5115" t="str">
        <f>_xlfn.XLOOKUP(C5115, 'Códigos DANE Municipios'!$B$2:$B$1123, 'Códigos DANE Municipios'!$A$2:$A$1123, "No encontrado")</f>
        <v>No encontrado</v>
      </c>
      <c r="B5115" t="str">
        <f>IFERROR(VLOOKUP(D5115,APOYO!K:L,2,FALSE),A5115)</f>
        <v>No encontrado</v>
      </c>
      <c r="C5115" s="15" t="s">
        <v>2407</v>
      </c>
      <c r="D5115" t="str">
        <f>IFERROR(VLOOKUP(C5115,APOYO!J:K,2,FALSE),C5115)</f>
        <v>UTICA</v>
      </c>
      <c r="E5115">
        <v>2019</v>
      </c>
      <c r="H5115">
        <v>1</v>
      </c>
    </row>
    <row r="5116" spans="1:9" hidden="1" x14ac:dyDescent="0.25">
      <c r="C5116" s="15" t="s">
        <v>2549</v>
      </c>
      <c r="E5116">
        <v>2019</v>
      </c>
      <c r="H5116">
        <v>2</v>
      </c>
    </row>
    <row r="5117" spans="1:9" hidden="1" x14ac:dyDescent="0.25">
      <c r="A5117" t="str">
        <f>_xlfn.XLOOKUP(C5117, 'Códigos DANE Municipios'!$B$2:$B$1123, 'Códigos DANE Municipios'!$A$2:$A$1123, "No encontrado")</f>
        <v>23855</v>
      </c>
      <c r="B5117" t="str">
        <f>IFERROR(VLOOKUP(D5117,APOYO!K:L,2,FALSE),A5117)</f>
        <v>23855</v>
      </c>
      <c r="C5117" s="15" t="s">
        <v>914</v>
      </c>
      <c r="D5117" t="str">
        <f>IFERROR(VLOOKUP(C5117,APOYO!J:K,2,FALSE),C5117)</f>
        <v>VALENCIA</v>
      </c>
      <c r="E5117">
        <v>2019</v>
      </c>
      <c r="H5117">
        <v>6</v>
      </c>
    </row>
    <row r="5118" spans="1:9" hidden="1" x14ac:dyDescent="0.25">
      <c r="C5118" s="15" t="s">
        <v>2550</v>
      </c>
      <c r="E5118">
        <v>2019</v>
      </c>
      <c r="H5118">
        <v>146</v>
      </c>
    </row>
    <row r="5119" spans="1:9" hidden="1" x14ac:dyDescent="0.25">
      <c r="A5119" t="str">
        <f>_xlfn.XLOOKUP(C5119, 'Códigos DANE Municipios'!$B$2:$B$1123, 'Códigos DANE Municipios'!$A$2:$A$1123, "No encontrado")</f>
        <v>No encontrado</v>
      </c>
      <c r="B5119" t="str">
        <f>IFERROR(VLOOKUP(D5119,APOYO!K:L,2,FALSE),A5119)</f>
        <v>No encontrado</v>
      </c>
      <c r="C5119" s="15" t="s">
        <v>2408</v>
      </c>
      <c r="D5119" t="str">
        <f>IFERROR(VLOOKUP(C5119,APOYO!J:K,2,FALSE),C5119)</f>
        <v>VALLE SAN JOSE</v>
      </c>
      <c r="E5119">
        <v>2019</v>
      </c>
      <c r="H5119">
        <v>3</v>
      </c>
    </row>
    <row r="5120" spans="1:9" hidden="1" x14ac:dyDescent="0.25">
      <c r="A5120" t="str">
        <f>_xlfn.XLOOKUP(C5120, 'Códigos DANE Municipios'!$B$2:$B$1123, 'Códigos DANE Municipios'!$A$2:$A$1123, "No encontrado")</f>
        <v>20001</v>
      </c>
      <c r="B5120" t="str">
        <f>IFERROR(VLOOKUP(D5120,APOYO!K:L,2,FALSE),A5120)</f>
        <v>20001</v>
      </c>
      <c r="C5120" s="15" t="s">
        <v>808</v>
      </c>
      <c r="D5120" t="str">
        <f>IFERROR(VLOOKUP(C5120,APOYO!J:K,2,FALSE),C5120)</f>
        <v>VALLEDUPAR</v>
      </c>
      <c r="E5120">
        <v>2019</v>
      </c>
      <c r="F5120">
        <v>221823</v>
      </c>
      <c r="G5120">
        <v>4523</v>
      </c>
      <c r="H5120">
        <v>2669</v>
      </c>
    </row>
    <row r="5121" spans="1:9" hidden="1" x14ac:dyDescent="0.25">
      <c r="C5121" s="15" t="s">
        <v>2498</v>
      </c>
      <c r="E5121">
        <v>2019</v>
      </c>
      <c r="H5121">
        <v>2</v>
      </c>
    </row>
    <row r="5122" spans="1:9" hidden="1" x14ac:dyDescent="0.25">
      <c r="C5122" s="15" t="s">
        <v>2551</v>
      </c>
      <c r="E5122">
        <v>2019</v>
      </c>
      <c r="H5122">
        <v>11</v>
      </c>
    </row>
    <row r="5123" spans="1:9" hidden="1" x14ac:dyDescent="0.25">
      <c r="A5123" t="str">
        <f>_xlfn.XLOOKUP(C5123, 'Códigos DANE Municipios'!$B$2:$B$1123, 'Códigos DANE Municipios'!$A$2:$A$1123, "No encontrado")</f>
        <v>No encontrado</v>
      </c>
      <c r="B5123" t="str">
        <f>IFERROR(VLOOKUP(D5123,APOYO!K:L,2,FALSE),A5123)</f>
        <v>No encontrado</v>
      </c>
      <c r="C5123" s="15" t="s">
        <v>2409</v>
      </c>
      <c r="D5123" t="str">
        <f>IFERROR(VLOOKUP(C5123,APOYO!J:K,2,FALSE),C5123)</f>
        <v>VELEZ</v>
      </c>
      <c r="E5123">
        <v>2019</v>
      </c>
      <c r="H5123">
        <v>24</v>
      </c>
    </row>
    <row r="5124" spans="1:9" hidden="1" x14ac:dyDescent="0.25">
      <c r="A5124" t="str">
        <f>_xlfn.XLOOKUP(C5124, 'Códigos DANE Municipios'!$B$2:$B$1123, 'Códigos DANE Municipios'!$A$2:$A$1123, "No encontrado")</f>
        <v>73861</v>
      </c>
      <c r="B5124" t="str">
        <f>IFERROR(VLOOKUP(D5124,APOYO!K:L,2,FALSE),A5124)</f>
        <v>73861</v>
      </c>
      <c r="C5124" s="15" t="s">
        <v>1951</v>
      </c>
      <c r="D5124" t="str">
        <f>IFERROR(VLOOKUP(C5124,APOYO!J:K,2,FALSE),C5124)</f>
        <v>VENADILLO</v>
      </c>
      <c r="E5124">
        <v>2019</v>
      </c>
      <c r="H5124">
        <v>1</v>
      </c>
    </row>
    <row r="5125" spans="1:9" hidden="1" x14ac:dyDescent="0.25">
      <c r="A5125" t="str">
        <f>_xlfn.XLOOKUP(C5125, 'Códigos DANE Municipios'!$B$2:$B$1123, 'Códigos DANE Municipios'!$A$2:$A$1123, "No encontrado")</f>
        <v>05861</v>
      </c>
      <c r="B5125" t="str">
        <f>IFERROR(VLOOKUP(D5125,APOYO!K:L,2,FALSE),A5125)</f>
        <v>05861</v>
      </c>
      <c r="C5125" s="15" t="s">
        <v>248</v>
      </c>
      <c r="D5125" t="str">
        <f>IFERROR(VLOOKUP(C5125,APOYO!J:K,2,FALSE),C5125)</f>
        <v>VENECIA</v>
      </c>
      <c r="E5125">
        <v>2019</v>
      </c>
      <c r="H5125">
        <v>21</v>
      </c>
    </row>
    <row r="5126" spans="1:9" hidden="1" x14ac:dyDescent="0.25">
      <c r="A5126" t="str">
        <f>_xlfn.XLOOKUP(C5126, 'Códigos DANE Municipios'!$B$2:$B$1123, 'Códigos DANE Municipios'!$A$2:$A$1123, "No encontrado")</f>
        <v>15861</v>
      </c>
      <c r="B5126" t="str">
        <f>IFERROR(VLOOKUP(D5126,APOYO!K:L,2,FALSE),A5126)</f>
        <v>15861</v>
      </c>
      <c r="C5126" s="15" t="s">
        <v>638</v>
      </c>
      <c r="D5126" t="str">
        <f>IFERROR(VLOOKUP(C5126,APOYO!J:K,2,FALSE),C5126)</f>
        <v>VENTAQUEMADA</v>
      </c>
      <c r="E5126">
        <v>2019</v>
      </c>
      <c r="H5126">
        <v>4</v>
      </c>
    </row>
    <row r="5127" spans="1:9" hidden="1" x14ac:dyDescent="0.25">
      <c r="A5127" t="str">
        <f>_xlfn.XLOOKUP(C5127, 'Códigos DANE Municipios'!$B$2:$B$1123, 'Códigos DANE Municipios'!$A$2:$A$1123, "No encontrado")</f>
        <v>76863</v>
      </c>
      <c r="B5127" t="str">
        <f>IFERROR(VLOOKUP(D5127,APOYO!K:L,2,FALSE),A5127)</f>
        <v>76863</v>
      </c>
      <c r="C5127" s="15" t="s">
        <v>2024</v>
      </c>
      <c r="D5127" t="str">
        <f>IFERROR(VLOOKUP(C5127,APOYO!J:K,2,FALSE),C5127)</f>
        <v>VERSALLES</v>
      </c>
      <c r="E5127">
        <v>2019</v>
      </c>
      <c r="H5127">
        <v>15</v>
      </c>
    </row>
    <row r="5128" spans="1:9" hidden="1" x14ac:dyDescent="0.25">
      <c r="C5128" s="15" t="s">
        <v>1811</v>
      </c>
      <c r="E5128">
        <v>2019</v>
      </c>
      <c r="H5128">
        <v>1</v>
      </c>
    </row>
    <row r="5129" spans="1:9" hidden="1" x14ac:dyDescent="0.25">
      <c r="A5129" t="str">
        <f>_xlfn.XLOOKUP(C5129, 'Códigos DANE Municipios'!$B$2:$B$1123, 'Códigos DANE Municipios'!$A$2:$A$1123, "No encontrado")</f>
        <v>No encontrado</v>
      </c>
      <c r="B5129" t="str">
        <f>IFERROR(VLOOKUP(D5129,APOYO!K:L,2,FALSE),A5129)</f>
        <v>No encontrado</v>
      </c>
      <c r="C5129" s="15" t="s">
        <v>2410</v>
      </c>
      <c r="D5129" t="str">
        <f>IFERROR(VLOOKUP(C5129,APOYO!J:K,2,FALSE),C5129)</f>
        <v>VIANI</v>
      </c>
      <c r="E5129">
        <v>2019</v>
      </c>
      <c r="H5129">
        <v>6</v>
      </c>
    </row>
    <row r="5130" spans="1:9" hidden="1" x14ac:dyDescent="0.25">
      <c r="A5130" t="str">
        <f>_xlfn.XLOOKUP(C5130, 'Códigos DANE Municipios'!$B$2:$B$1123, 'Códigos DANE Municipios'!$A$2:$A$1123, "No encontrado")</f>
        <v>17867</v>
      </c>
      <c r="B5130" t="str">
        <f>IFERROR(VLOOKUP(D5130,APOYO!K:L,2,FALSE),A5130)</f>
        <v>17867</v>
      </c>
      <c r="C5130" s="15" t="s">
        <v>692</v>
      </c>
      <c r="D5130" t="str">
        <f>IFERROR(VLOOKUP(C5130,APOYO!J:K,2,FALSE),C5130)</f>
        <v>VICTORIA</v>
      </c>
      <c r="E5130">
        <v>2019</v>
      </c>
      <c r="H5130">
        <v>9</v>
      </c>
    </row>
    <row r="5131" spans="1:9" hidden="1" x14ac:dyDescent="0.25">
      <c r="A5131" t="str">
        <f>_xlfn.XLOOKUP(C5131, 'Códigos DANE Municipios'!$B$2:$B$1123, 'Códigos DANE Municipios'!$A$2:$A$1123, "No encontrado")</f>
        <v>76869</v>
      </c>
      <c r="B5131" t="str">
        <f>IFERROR(VLOOKUP(D5131,APOYO!K:L,2,FALSE),A5131)</f>
        <v>76869</v>
      </c>
      <c r="C5131" s="15" t="s">
        <v>2026</v>
      </c>
      <c r="D5131" t="str">
        <f>IFERROR(VLOOKUP(C5131,APOYO!J:K,2,FALSE),C5131)</f>
        <v>VIJES</v>
      </c>
      <c r="E5131">
        <v>2019</v>
      </c>
      <c r="H5131">
        <v>22</v>
      </c>
    </row>
    <row r="5132" spans="1:9" hidden="1" x14ac:dyDescent="0.25">
      <c r="A5132" t="str">
        <f>_xlfn.XLOOKUP(C5132, 'Códigos DANE Municipios'!$B$2:$B$1123, 'Códigos DANE Municipios'!$A$2:$A$1123, "No encontrado")</f>
        <v>15407</v>
      </c>
      <c r="B5132" t="str">
        <f>IFERROR(VLOOKUP(D5132,APOYO!K:L,2,FALSE),A5132)</f>
        <v>15407</v>
      </c>
      <c r="C5132" s="15" t="s">
        <v>498</v>
      </c>
      <c r="D5132" t="str">
        <f>IFERROR(VLOOKUP(C5132,APOYO!J:K,2,FALSE),C5132)</f>
        <v>VILLA DE LEYVA</v>
      </c>
      <c r="E5132">
        <v>2019</v>
      </c>
      <c r="H5132">
        <v>1332</v>
      </c>
      <c r="I5132">
        <v>7069</v>
      </c>
    </row>
    <row r="5133" spans="1:9" hidden="1" x14ac:dyDescent="0.25">
      <c r="A5133" t="str">
        <f>_xlfn.XLOOKUP(C5133, 'Códigos DANE Municipios'!$B$2:$B$1123, 'Códigos DANE Municipios'!$A$2:$A$1123, "No encontrado")</f>
        <v>19845</v>
      </c>
      <c r="B5133" t="str">
        <f>IFERROR(VLOOKUP(D5133,APOYO!K:L,2,FALSE),A5133)</f>
        <v>19845</v>
      </c>
      <c r="C5133" s="15" t="s">
        <v>806</v>
      </c>
      <c r="D5133" t="str">
        <f>IFERROR(VLOOKUP(C5133,APOYO!J:K,2,FALSE),C5133)</f>
        <v>VILLA RICA</v>
      </c>
      <c r="E5133">
        <v>2019</v>
      </c>
      <c r="H5133">
        <v>14</v>
      </c>
    </row>
    <row r="5134" spans="1:9" hidden="1" x14ac:dyDescent="0.25">
      <c r="A5134" t="str">
        <f>_xlfn.XLOOKUP(C5134, 'Códigos DANE Municipios'!$B$2:$B$1123, 'Códigos DANE Municipios'!$A$2:$A$1123, "No encontrado")</f>
        <v>No encontrado</v>
      </c>
      <c r="B5134" t="str">
        <f>IFERROR(VLOOKUP(D5134,APOYO!K:L,2,FALSE),A5134)</f>
        <v>No encontrado</v>
      </c>
      <c r="C5134" s="15" t="s">
        <v>2411</v>
      </c>
      <c r="D5134" t="str">
        <f>IFERROR(VLOOKUP(C5134,APOYO!J:K,2,FALSE),C5134)</f>
        <v>VILLA ROSARIO</v>
      </c>
      <c r="E5134">
        <v>2019</v>
      </c>
      <c r="H5134">
        <v>207</v>
      </c>
    </row>
    <row r="5135" spans="1:9" hidden="1" x14ac:dyDescent="0.25">
      <c r="A5135" t="str">
        <f>_xlfn.XLOOKUP(C5135, 'Códigos DANE Municipios'!$B$2:$B$1123, 'Códigos DANE Municipios'!$A$2:$A$1123, "No encontrado")</f>
        <v>No encontrado</v>
      </c>
      <c r="B5135" t="str">
        <f>IFERROR(VLOOKUP(D5135,APOYO!K:L,2,FALSE),A5135)</f>
        <v>No encontrado</v>
      </c>
      <c r="C5135" s="15" t="s">
        <v>2412</v>
      </c>
      <c r="D5135" t="str">
        <f>IFERROR(VLOOKUP(C5135,APOYO!J:K,2,FALSE),C5135)</f>
        <v>VILLAGARZON</v>
      </c>
      <c r="E5135">
        <v>2019</v>
      </c>
      <c r="F5135">
        <v>15875</v>
      </c>
      <c r="H5135">
        <v>75</v>
      </c>
    </row>
    <row r="5136" spans="1:9" hidden="1" x14ac:dyDescent="0.25">
      <c r="A5136" t="str">
        <f>_xlfn.XLOOKUP(C5136, 'Códigos DANE Municipios'!$B$2:$B$1123, 'Códigos DANE Municipios'!$A$2:$A$1123, "No encontrado")</f>
        <v>No encontrado</v>
      </c>
      <c r="B5136" t="str">
        <f>IFERROR(VLOOKUP(D5136,APOYO!K:L,2,FALSE),A5136)</f>
        <v>No encontrado</v>
      </c>
      <c r="C5136" s="15" t="s">
        <v>2413</v>
      </c>
      <c r="D5136" t="str">
        <f>IFERROR(VLOOKUP(C5136,APOYO!J:K,2,FALSE),C5136)</f>
        <v>VILLAMARIA</v>
      </c>
      <c r="E5136">
        <v>2019</v>
      </c>
      <c r="H5136">
        <v>105</v>
      </c>
    </row>
    <row r="5137" spans="1:8" hidden="1" x14ac:dyDescent="0.25">
      <c r="A5137" t="str">
        <f>_xlfn.XLOOKUP(C5137, 'Códigos DANE Municipios'!$B$2:$B$1123, 'Códigos DANE Municipios'!$A$2:$A$1123, "No encontrado")</f>
        <v>13873</v>
      </c>
      <c r="B5137" t="str">
        <f>IFERROR(VLOOKUP(D5137,APOYO!K:L,2,FALSE),A5137)</f>
        <v>13873</v>
      </c>
      <c r="C5137" s="15" t="s">
        <v>397</v>
      </c>
      <c r="D5137" t="str">
        <f>IFERROR(VLOOKUP(C5137,APOYO!J:K,2,FALSE),C5137)</f>
        <v>VILLANUEVA</v>
      </c>
      <c r="E5137">
        <v>2019</v>
      </c>
      <c r="F5137">
        <v>1460</v>
      </c>
      <c r="H5137">
        <v>54</v>
      </c>
    </row>
    <row r="5138" spans="1:8" hidden="1" x14ac:dyDescent="0.25">
      <c r="A5138" t="str">
        <f>_xlfn.XLOOKUP(C5138, 'Códigos DANE Municipios'!$B$2:$B$1123, 'Códigos DANE Municipios'!$A$2:$A$1123, "No encontrado")</f>
        <v>No encontrado</v>
      </c>
      <c r="B5138" t="str">
        <f>IFERROR(VLOOKUP(D5138,APOYO!K:L,2,FALSE),A5138)</f>
        <v>No encontrado</v>
      </c>
      <c r="C5138" s="15" t="s">
        <v>2414</v>
      </c>
      <c r="D5138" t="str">
        <f>IFERROR(VLOOKUP(C5138,APOYO!J:K,2,FALSE),C5138)</f>
        <v>VILLAPINZON</v>
      </c>
      <c r="E5138">
        <v>2019</v>
      </c>
      <c r="H5138">
        <v>30</v>
      </c>
    </row>
    <row r="5139" spans="1:8" hidden="1" x14ac:dyDescent="0.25">
      <c r="A5139" t="str">
        <f>_xlfn.XLOOKUP(C5139, 'Códigos DANE Municipios'!$B$2:$B$1123, 'Códigos DANE Municipios'!$A$2:$A$1123, "No encontrado")</f>
        <v>50001</v>
      </c>
      <c r="B5139" t="str">
        <f>IFERROR(VLOOKUP(D5139,APOYO!K:L,2,FALSE),A5139)</f>
        <v>50001</v>
      </c>
      <c r="C5139" s="15" t="s">
        <v>1358</v>
      </c>
      <c r="D5139" t="str">
        <f>IFERROR(VLOOKUP(C5139,APOYO!J:K,2,FALSE),C5139)</f>
        <v>VILLAVICENCIO</v>
      </c>
      <c r="E5139">
        <v>2019</v>
      </c>
      <c r="F5139">
        <v>244114</v>
      </c>
      <c r="G5139">
        <v>669</v>
      </c>
      <c r="H5139">
        <v>3790</v>
      </c>
    </row>
    <row r="5140" spans="1:8" hidden="1" x14ac:dyDescent="0.25">
      <c r="A5140" t="str">
        <f>_xlfn.XLOOKUP(C5140, 'Códigos DANE Municipios'!$B$2:$B$1123, 'Códigos DANE Municipios'!$A$2:$A$1123, "No encontrado")</f>
        <v>41872</v>
      </c>
      <c r="B5140" t="str">
        <f>IFERROR(VLOOKUP(D5140,APOYO!K:L,2,FALSE),A5140)</f>
        <v>41872</v>
      </c>
      <c r="C5140" s="15" t="s">
        <v>1268</v>
      </c>
      <c r="D5140" t="str">
        <f>IFERROR(VLOOKUP(C5140,APOYO!J:K,2,FALSE),C5140)</f>
        <v>VILLAVIEJA</v>
      </c>
      <c r="E5140">
        <v>2019</v>
      </c>
      <c r="H5140">
        <v>34</v>
      </c>
    </row>
    <row r="5141" spans="1:8" hidden="1" x14ac:dyDescent="0.25">
      <c r="A5141" t="str">
        <f>_xlfn.XLOOKUP(C5141, 'Códigos DANE Municipios'!$B$2:$B$1123, 'Códigos DANE Municipios'!$A$2:$A$1123, "No encontrado")</f>
        <v>25875</v>
      </c>
      <c r="B5141" t="str">
        <f>IFERROR(VLOOKUP(D5141,APOYO!K:L,2,FALSE),A5141)</f>
        <v>25875</v>
      </c>
      <c r="C5141" s="15" t="s">
        <v>1132</v>
      </c>
      <c r="D5141" t="str">
        <f>IFERROR(VLOOKUP(C5141,APOYO!J:K,2,FALSE),C5141)</f>
        <v>VILLETA</v>
      </c>
      <c r="E5141">
        <v>2019</v>
      </c>
      <c r="H5141">
        <v>191</v>
      </c>
    </row>
    <row r="5142" spans="1:8" hidden="1" x14ac:dyDescent="0.25">
      <c r="A5142" t="str">
        <f>_xlfn.XLOOKUP(C5142, 'Códigos DANE Municipios'!$B$2:$B$1123, 'Códigos DANE Municipios'!$A$2:$A$1123, "No encontrado")</f>
        <v>No encontrado</v>
      </c>
      <c r="B5142" t="str">
        <f>IFERROR(VLOOKUP(D5142,APOYO!K:L,2,FALSE),A5142)</f>
        <v>No encontrado</v>
      </c>
      <c r="C5142" s="15" t="s">
        <v>2415</v>
      </c>
      <c r="D5142" t="str">
        <f>IFERROR(VLOOKUP(C5142,APOYO!J:K,2,FALSE),C5142)</f>
        <v>VIOTA</v>
      </c>
      <c r="E5142">
        <v>2019</v>
      </c>
      <c r="H5142">
        <v>6</v>
      </c>
    </row>
    <row r="5143" spans="1:8" hidden="1" x14ac:dyDescent="0.25">
      <c r="A5143" t="str">
        <f>_xlfn.XLOOKUP(C5143, 'Códigos DANE Municipios'!$B$2:$B$1123, 'Códigos DANE Municipios'!$A$2:$A$1123, "No encontrado")</f>
        <v>No encontrado</v>
      </c>
      <c r="B5143" t="str">
        <f>IFERROR(VLOOKUP(D5143,APOYO!K:L,2,FALSE),A5143)</f>
        <v>No encontrado</v>
      </c>
      <c r="C5143" s="15" t="s">
        <v>2416</v>
      </c>
      <c r="D5143" t="str">
        <f>IFERROR(VLOOKUP(C5143,APOYO!J:K,2,FALSE),C5143)</f>
        <v>VIRACACHA</v>
      </c>
      <c r="E5143">
        <v>2019</v>
      </c>
      <c r="H5143">
        <v>3</v>
      </c>
    </row>
    <row r="5144" spans="1:8" hidden="1" x14ac:dyDescent="0.25">
      <c r="A5144" t="str">
        <f>_xlfn.XLOOKUP(C5144, 'Códigos DANE Municipios'!$B$2:$B$1123, 'Códigos DANE Municipios'!$A$2:$A$1123, "No encontrado")</f>
        <v>No encontrado</v>
      </c>
      <c r="B5144" t="str">
        <f>IFERROR(VLOOKUP(D5144,APOYO!K:L,2,FALSE),A5144)</f>
        <v>No encontrado</v>
      </c>
      <c r="C5144" s="15" t="s">
        <v>2417</v>
      </c>
      <c r="D5144" t="str">
        <f>IFERROR(VLOOKUP(C5144,APOYO!J:K,2,FALSE),C5144)</f>
        <v>VISTA HERMOSA</v>
      </c>
      <c r="E5144">
        <v>2019</v>
      </c>
      <c r="H5144">
        <v>15</v>
      </c>
    </row>
    <row r="5145" spans="1:8" hidden="1" x14ac:dyDescent="0.25">
      <c r="A5145" t="str">
        <f>_xlfn.XLOOKUP(C5145, 'Códigos DANE Municipios'!$B$2:$B$1123, 'Códigos DANE Municipios'!$A$2:$A$1123, "No encontrado")</f>
        <v>17877</v>
      </c>
      <c r="B5145" t="str">
        <f>IFERROR(VLOOKUP(D5145,APOYO!K:L,2,FALSE),A5145)</f>
        <v>17877</v>
      </c>
      <c r="C5145" s="15" t="s">
        <v>696</v>
      </c>
      <c r="D5145" t="str">
        <f>IFERROR(VLOOKUP(C5145,APOYO!J:K,2,FALSE),C5145)</f>
        <v>VITERBO</v>
      </c>
      <c r="E5145">
        <v>2019</v>
      </c>
      <c r="H5145">
        <v>136</v>
      </c>
    </row>
    <row r="5146" spans="1:8" hidden="1" x14ac:dyDescent="0.25">
      <c r="A5146" t="str">
        <f>_xlfn.XLOOKUP(C5146, 'Códigos DANE Municipios'!$B$2:$B$1123, 'Códigos DANE Municipios'!$A$2:$A$1123, "No encontrado")</f>
        <v>No encontrado</v>
      </c>
      <c r="B5146" t="str">
        <f>IFERROR(VLOOKUP(D5146,APOYO!K:L,2,FALSE),A5146)</f>
        <v>No encontrado</v>
      </c>
      <c r="C5146" s="15" t="s">
        <v>2418</v>
      </c>
      <c r="D5146" t="str">
        <f>IFERROR(VLOOKUP(C5146,APOYO!J:K,2,FALSE),C5146)</f>
        <v>YAGUARA</v>
      </c>
      <c r="E5146">
        <v>2019</v>
      </c>
      <c r="H5146">
        <v>2</v>
      </c>
    </row>
    <row r="5147" spans="1:8" hidden="1" x14ac:dyDescent="0.25">
      <c r="A5147" t="str">
        <f>_xlfn.XLOOKUP(C5147, 'Códigos DANE Municipios'!$B$2:$B$1123, 'Códigos DANE Municipios'!$A$2:$A$1123, "No encontrado")</f>
        <v>05887</v>
      </c>
      <c r="B5147" t="str">
        <f>IFERROR(VLOOKUP(D5147,APOYO!K:L,2,FALSE),A5147)</f>
        <v>05887</v>
      </c>
      <c r="C5147" s="15" t="s">
        <v>254</v>
      </c>
      <c r="D5147" t="str">
        <f>IFERROR(VLOOKUP(C5147,APOYO!J:K,2,FALSE),C5147)</f>
        <v>YARUMAL</v>
      </c>
      <c r="E5147">
        <v>2019</v>
      </c>
      <c r="H5147">
        <v>25</v>
      </c>
    </row>
    <row r="5148" spans="1:8" hidden="1" x14ac:dyDescent="0.25">
      <c r="A5148" t="str">
        <f>_xlfn.XLOOKUP(C5148, 'Códigos DANE Municipios'!$B$2:$B$1123, 'Códigos DANE Municipios'!$A$2:$A$1123, "No encontrado")</f>
        <v>No encontrado</v>
      </c>
      <c r="B5148" t="str">
        <f>IFERROR(VLOOKUP(D5148,APOYO!K:L,2,FALSE),A5148)</f>
        <v>No encontrado</v>
      </c>
      <c r="C5148" s="15" t="s">
        <v>2419</v>
      </c>
      <c r="D5148" t="str">
        <f>IFERROR(VLOOKUP(C5148,APOYO!J:K,2,FALSE),C5148)</f>
        <v>YOLOMBO</v>
      </c>
      <c r="E5148">
        <v>2019</v>
      </c>
      <c r="H5148">
        <v>15</v>
      </c>
    </row>
    <row r="5149" spans="1:8" hidden="1" x14ac:dyDescent="0.25">
      <c r="A5149" t="str">
        <f>_xlfn.XLOOKUP(C5149, 'Códigos DANE Municipios'!$B$2:$B$1123, 'Códigos DANE Municipios'!$A$2:$A$1123, "No encontrado")</f>
        <v>No encontrado</v>
      </c>
      <c r="B5149" t="str">
        <f>IFERROR(VLOOKUP(D5149,APOYO!K:L,2,FALSE),A5149)</f>
        <v>No encontrado</v>
      </c>
      <c r="C5149" s="15" t="s">
        <v>2420</v>
      </c>
      <c r="D5149" t="str">
        <f>IFERROR(VLOOKUP(C5149,APOYO!J:K,2,FALSE),C5149)</f>
        <v>YONDO</v>
      </c>
      <c r="E5149">
        <v>2019</v>
      </c>
      <c r="H5149">
        <v>7</v>
      </c>
    </row>
    <row r="5150" spans="1:8" hidden="1" x14ac:dyDescent="0.25">
      <c r="A5150" t="str">
        <f>_xlfn.XLOOKUP(C5150, 'Códigos DANE Municipios'!$B$2:$B$1123, 'Códigos DANE Municipios'!$A$2:$A$1123, "No encontrado")</f>
        <v>85001</v>
      </c>
      <c r="B5150" t="str">
        <f>IFERROR(VLOOKUP(D5150,APOYO!K:L,2,FALSE),A5150)</f>
        <v>85001</v>
      </c>
      <c r="C5150" s="15" t="s">
        <v>2048</v>
      </c>
      <c r="D5150" t="str">
        <f>IFERROR(VLOOKUP(C5150,APOYO!J:K,2,FALSE),C5150)</f>
        <v>YOPAL</v>
      </c>
      <c r="E5150">
        <v>2019</v>
      </c>
      <c r="F5150">
        <v>160732</v>
      </c>
      <c r="G5150">
        <v>239</v>
      </c>
      <c r="H5150">
        <v>722</v>
      </c>
    </row>
    <row r="5151" spans="1:8" hidden="1" x14ac:dyDescent="0.25">
      <c r="A5151" t="str">
        <f>_xlfn.XLOOKUP(C5151, 'Códigos DANE Municipios'!$B$2:$B$1123, 'Códigos DANE Municipios'!$A$2:$A$1123, "No encontrado")</f>
        <v>76890</v>
      </c>
      <c r="B5151" t="str">
        <f>IFERROR(VLOOKUP(D5151,APOYO!K:L,2,FALSE),A5151)</f>
        <v>76890</v>
      </c>
      <c r="C5151" s="15" t="s">
        <v>2028</v>
      </c>
      <c r="D5151" t="str">
        <f>IFERROR(VLOOKUP(C5151,APOYO!J:K,2,FALSE),C5151)</f>
        <v>YOTOCO</v>
      </c>
      <c r="E5151">
        <v>2019</v>
      </c>
      <c r="H5151">
        <v>63</v>
      </c>
    </row>
    <row r="5152" spans="1:8" hidden="1" x14ac:dyDescent="0.25">
      <c r="A5152" t="str">
        <f>_xlfn.XLOOKUP(C5152, 'Códigos DANE Municipios'!$B$2:$B$1123, 'Códigos DANE Municipios'!$A$2:$A$1123, "No encontrado")</f>
        <v>76892</v>
      </c>
      <c r="B5152" t="str">
        <f>IFERROR(VLOOKUP(D5152,APOYO!K:L,2,FALSE),A5152)</f>
        <v>76892</v>
      </c>
      <c r="C5152" s="15" t="s">
        <v>2030</v>
      </c>
      <c r="D5152" t="str">
        <f>IFERROR(VLOOKUP(C5152,APOYO!J:K,2,FALSE),C5152)</f>
        <v>YUMBO</v>
      </c>
      <c r="E5152">
        <v>2019</v>
      </c>
      <c r="H5152">
        <v>587</v>
      </c>
    </row>
    <row r="5153" spans="1:11" hidden="1" x14ac:dyDescent="0.25">
      <c r="A5153" t="str">
        <f>_xlfn.XLOOKUP(C5153, 'Códigos DANE Municipios'!$B$2:$B$1123, 'Códigos DANE Municipios'!$A$2:$A$1123, "No encontrado")</f>
        <v>68895</v>
      </c>
      <c r="B5153" t="str">
        <f>IFERROR(VLOOKUP(D5153,APOYO!K:L,2,FALSE),A5153)</f>
        <v>68895</v>
      </c>
      <c r="C5153" s="15" t="s">
        <v>1814</v>
      </c>
      <c r="D5153" t="str">
        <f>IFERROR(VLOOKUP(C5153,APOYO!J:K,2,FALSE),C5153)</f>
        <v>ZAPATOCA</v>
      </c>
      <c r="E5153">
        <v>2019</v>
      </c>
      <c r="H5153">
        <v>57</v>
      </c>
    </row>
    <row r="5154" spans="1:11" hidden="1" x14ac:dyDescent="0.25">
      <c r="A5154" t="str">
        <f>_xlfn.XLOOKUP(C5154, 'Códigos DANE Municipios'!$B$2:$B$1123, 'Códigos DANE Municipios'!$A$2:$A$1123, "No encontrado")</f>
        <v>05895</v>
      </c>
      <c r="B5154" t="str">
        <f>IFERROR(VLOOKUP(D5154,APOYO!K:L,2,FALSE),A5154)</f>
        <v>05895</v>
      </c>
      <c r="C5154" s="15" t="s">
        <v>260</v>
      </c>
      <c r="D5154" t="str">
        <f>IFERROR(VLOOKUP(C5154,APOYO!J:K,2,FALSE),C5154)</f>
        <v>ZARAGOZA</v>
      </c>
      <c r="E5154">
        <v>2019</v>
      </c>
      <c r="H5154">
        <v>1</v>
      </c>
    </row>
    <row r="5155" spans="1:11" hidden="1" x14ac:dyDescent="0.25">
      <c r="A5155" t="str">
        <f>_xlfn.XLOOKUP(C5155, 'Códigos DANE Municipios'!$B$2:$B$1123, 'Códigos DANE Municipios'!$A$2:$A$1123, "No encontrado")</f>
        <v>76895</v>
      </c>
      <c r="B5155" t="str">
        <f>IFERROR(VLOOKUP(D5155,APOYO!K:L,2,FALSE),A5155)</f>
        <v>76895</v>
      </c>
      <c r="C5155" s="15" t="s">
        <v>2032</v>
      </c>
      <c r="D5155" t="str">
        <f>IFERROR(VLOOKUP(C5155,APOYO!J:K,2,FALSE),C5155)</f>
        <v>ZARZAL</v>
      </c>
      <c r="E5155">
        <v>2019</v>
      </c>
      <c r="H5155">
        <v>223</v>
      </c>
    </row>
    <row r="5156" spans="1:11" hidden="1" x14ac:dyDescent="0.25">
      <c r="A5156" t="str">
        <f>_xlfn.XLOOKUP(C5156, 'Códigos DANE Municipios'!$B$2:$B$1123, 'Códigos DANE Municipios'!$A$2:$A$1123, "No encontrado")</f>
        <v>15897</v>
      </c>
      <c r="B5156" t="str">
        <f>IFERROR(VLOOKUP(D5156,APOYO!K:L,2,FALSE),A5156)</f>
        <v>15897</v>
      </c>
      <c r="C5156" s="15" t="s">
        <v>642</v>
      </c>
      <c r="D5156" t="str">
        <f>IFERROR(VLOOKUP(C5156,APOYO!J:K,2,FALSE),C5156)</f>
        <v>ZETAQUIRA</v>
      </c>
      <c r="E5156">
        <v>2019</v>
      </c>
      <c r="H5156">
        <v>4</v>
      </c>
    </row>
    <row r="5157" spans="1:11" hidden="1" x14ac:dyDescent="0.25">
      <c r="A5157" t="str">
        <f>_xlfn.XLOOKUP(C5157, 'Códigos DANE Municipios'!$B$2:$B$1123, 'Códigos DANE Municipios'!$A$2:$A$1123, "No encontrado")</f>
        <v>No encontrado</v>
      </c>
      <c r="B5157" t="str">
        <f>IFERROR(VLOOKUP(D5157,APOYO!K:L,2,FALSE),A5157)</f>
        <v>No encontrado</v>
      </c>
      <c r="C5157" s="15" t="s">
        <v>2421</v>
      </c>
      <c r="D5157" t="str">
        <f>IFERROR(VLOOKUP(C5157,APOYO!J:K,2,FALSE),C5157)</f>
        <v>ZIPACON</v>
      </c>
      <c r="E5157">
        <v>2019</v>
      </c>
      <c r="H5157">
        <v>66</v>
      </c>
    </row>
    <row r="5158" spans="1:11" hidden="1" x14ac:dyDescent="0.25">
      <c r="A5158" t="str">
        <f>_xlfn.XLOOKUP(C5158, 'Códigos DANE Municipios'!$B$2:$B$1123, 'Códigos DANE Municipios'!$A$2:$A$1123, "No encontrado")</f>
        <v>No encontrado</v>
      </c>
      <c r="B5158" t="str">
        <f>IFERROR(VLOOKUP(D5158,APOYO!K:L,2,FALSE),A5158)</f>
        <v>No encontrado</v>
      </c>
      <c r="C5158" s="15" t="s">
        <v>2422</v>
      </c>
      <c r="D5158" t="str">
        <f>IFERROR(VLOOKUP(C5158,APOYO!J:K,2,FALSE),C5158)</f>
        <v>ZIPAQUIRA</v>
      </c>
      <c r="E5158">
        <v>2019</v>
      </c>
      <c r="H5158">
        <v>1173</v>
      </c>
    </row>
    <row r="5159" spans="1:11" hidden="1" x14ac:dyDescent="0.25">
      <c r="A5159" t="str">
        <f>_xlfn.XLOOKUP(C5159, 'Códigos DANE Municipios'!$B$2:$B$1123, 'Códigos DANE Municipios'!$A$2:$A$1123, "No encontrado")</f>
        <v>47980</v>
      </c>
      <c r="B5159" t="str">
        <f>IFERROR(VLOOKUP(D5159,APOYO!K:L,2,FALSE),A5159)</f>
        <v>47980</v>
      </c>
      <c r="C5159" t="s">
        <v>1356</v>
      </c>
      <c r="D5159" t="str">
        <f>IFERROR(VLOOKUP(C5159,APOYO!J:K,2,FALSE),C5159)</f>
        <v>ZONA BANANERA</v>
      </c>
      <c r="E5159">
        <v>2019</v>
      </c>
      <c r="H5159">
        <v>5</v>
      </c>
    </row>
    <row r="5160" spans="1:11" x14ac:dyDescent="0.25">
      <c r="A5160" t="str">
        <f>_xlfn.XLOOKUP(C5160, 'Códigos DANE Municipios'!$B$2:$B$1123, 'Códigos DANE Municipios'!$A$2:$A$1123, "No encontrado")</f>
        <v>20570</v>
      </c>
      <c r="B5160" t="str">
        <f>IFERROR(VLOOKUP(D5160,APOYO!K:L,2,FALSE),A5160)</f>
        <v>20570</v>
      </c>
      <c r="C5160" t="s">
        <v>844</v>
      </c>
      <c r="D5160" t="str">
        <f>IFERROR(VLOOKUP(C5160,APOYO!J:K,2,FALSE),C5160)</f>
        <v>PUEBLO BELLO</v>
      </c>
      <c r="E5160" s="7">
        <v>2020</v>
      </c>
      <c r="H5160" s="7">
        <v>1</v>
      </c>
    </row>
    <row r="5161" spans="1:11" x14ac:dyDescent="0.25">
      <c r="A5161" t="str">
        <f>_xlfn.XLOOKUP(C5161, 'Códigos DANE Municipios'!$B$2:$B$1123, 'Códigos DANE Municipios'!$A$2:$A$1123, "No encontrado")</f>
        <v>44378</v>
      </c>
      <c r="B5161" t="str">
        <f>IFERROR(VLOOKUP(D5161,APOYO!K:L,2,FALSE),A5161)</f>
        <v>44378</v>
      </c>
      <c r="C5161" t="s">
        <v>1285</v>
      </c>
      <c r="D5161" t="str">
        <f>IFERROR(VLOOKUP(C5161,APOYO!J:K,2,FALSE),C5161)</f>
        <v>HATONUEVO</v>
      </c>
      <c r="E5161" s="7">
        <v>2020</v>
      </c>
      <c r="H5161" s="7">
        <v>6</v>
      </c>
    </row>
    <row r="5162" spans="1:11" x14ac:dyDescent="0.25">
      <c r="A5162" t="str">
        <f>_xlfn.XLOOKUP(C5162, 'Códigos DANE Municipios'!$B$2:$B$1123, 'Códigos DANE Municipios'!$A$2:$A$1123, "No encontrado")</f>
        <v>99624</v>
      </c>
      <c r="B5162" t="str">
        <f>IFERROR(VLOOKUP(D5162,APOYO!K:L,2,FALSE),A5162)</f>
        <v>99624</v>
      </c>
      <c r="C5162" t="s">
        <v>2167</v>
      </c>
      <c r="D5162" t="str">
        <f>IFERROR(VLOOKUP(C5162,APOYO!J:K,2,FALSE),C5162)</f>
        <v>SANTA ROSALÍA</v>
      </c>
      <c r="E5162" s="7">
        <v>2020</v>
      </c>
      <c r="H5162" s="7">
        <v>562</v>
      </c>
    </row>
    <row r="5163" spans="1:11" x14ac:dyDescent="0.25">
      <c r="A5163" t="str">
        <f>_xlfn.XLOOKUP(C5163, 'Códigos DANE Municipios'!$B$2:$B$1123, 'Códigos DANE Municipios'!$A$2:$A$1123, "No encontrado")</f>
        <v>05002</v>
      </c>
      <c r="B5163" t="str">
        <f>IFERROR(VLOOKUP(D5163,APOYO!K:L,2,FALSE),A5163)</f>
        <v>05002</v>
      </c>
      <c r="C5163" t="s">
        <v>14</v>
      </c>
      <c r="D5163" t="str">
        <f>IFERROR(VLOOKUP(C5163,APOYO!J:K,2,FALSE),C5163)</f>
        <v>ABEJORRAL</v>
      </c>
      <c r="E5163" s="7">
        <v>2020</v>
      </c>
      <c r="H5163" s="16">
        <v>396</v>
      </c>
    </row>
    <row r="5164" spans="1:11" x14ac:dyDescent="0.25">
      <c r="A5164" t="str">
        <f>_xlfn.XLOOKUP(C5164, 'Códigos DANE Municipios'!$B$2:$B$1123, 'Códigos DANE Municipios'!$A$2:$A$1123, "No encontrado")</f>
        <v>54003</v>
      </c>
      <c r="B5164" t="str">
        <f>IFERROR(VLOOKUP(D5164,APOYO!K:L,2,FALSE),A5164)</f>
        <v>54003</v>
      </c>
      <c r="C5164" t="s">
        <v>1531</v>
      </c>
      <c r="D5164" t="str">
        <f>IFERROR(VLOOKUP(C5164,APOYO!J:K,2,FALSE),C5164)</f>
        <v>ÁBREGO</v>
      </c>
      <c r="E5164" s="7">
        <v>2020</v>
      </c>
      <c r="H5164" s="16">
        <v>34</v>
      </c>
    </row>
    <row r="5165" spans="1:11" x14ac:dyDescent="0.25">
      <c r="A5165" t="str">
        <f>_xlfn.XLOOKUP(C5165, 'Códigos DANE Municipios'!$B$2:$B$1123, 'Códigos DANE Municipios'!$A$2:$A$1123, "No encontrado")</f>
        <v>05004</v>
      </c>
      <c r="B5165" t="str">
        <f>IFERROR(VLOOKUP(D5165,APOYO!K:L,2,FALSE),A5165)</f>
        <v>05004</v>
      </c>
      <c r="C5165" t="s">
        <v>16</v>
      </c>
      <c r="D5165" t="str">
        <f>IFERROR(VLOOKUP(C5165,APOYO!J:K,2,FALSE),C5165)</f>
        <v>ABRIAQUÍ</v>
      </c>
      <c r="E5165" s="7">
        <v>2020</v>
      </c>
      <c r="H5165" s="16">
        <v>7</v>
      </c>
    </row>
    <row r="5166" spans="1:11" x14ac:dyDescent="0.25">
      <c r="A5166" t="str">
        <f>_xlfn.XLOOKUP(C5166, 'Códigos DANE Municipios'!$B$2:$B$1123, 'Códigos DANE Municipios'!$A$2:$A$1123, "No encontrado")</f>
        <v>50006</v>
      </c>
      <c r="B5166" t="str">
        <f>IFERROR(VLOOKUP(D5166,APOYO!K:L,2,FALSE),A5166)</f>
        <v>50006</v>
      </c>
      <c r="C5166" t="s">
        <v>1360</v>
      </c>
      <c r="D5166" t="str">
        <f>IFERROR(VLOOKUP(C5166,APOYO!J:K,2,FALSE),C5166)</f>
        <v>ACACÍAS</v>
      </c>
      <c r="E5166" s="7">
        <v>2020</v>
      </c>
      <c r="H5166" s="16">
        <v>73</v>
      </c>
    </row>
    <row r="5167" spans="1:11" x14ac:dyDescent="0.25">
      <c r="A5167" t="str">
        <f>_xlfn.XLOOKUP(C5167, 'Códigos DANE Municipios'!$B$2:$B$1123, 'Códigos DANE Municipios'!$A$2:$A$1123, "No encontrado")</f>
        <v>27006</v>
      </c>
      <c r="B5167" t="str">
        <f>IFERROR(VLOOKUP(D5167,APOYO!K:L,2,FALSE),A5167)</f>
        <v>27006</v>
      </c>
      <c r="C5167" t="s">
        <v>1144</v>
      </c>
      <c r="D5167" t="str">
        <f>IFERROR(VLOOKUP(C5167,APOYO!J:K,2,FALSE),C5167)</f>
        <v>ACANDÍ</v>
      </c>
      <c r="E5167" s="7">
        <v>2020</v>
      </c>
      <c r="F5167">
        <v>2824</v>
      </c>
      <c r="H5167" s="16">
        <v>645</v>
      </c>
      <c r="J5167" s="7"/>
      <c r="K5167" s="7"/>
    </row>
    <row r="5168" spans="1:11" x14ac:dyDescent="0.25">
      <c r="A5168" t="str">
        <f>_xlfn.XLOOKUP(C5168, 'Códigos DANE Municipios'!$B$2:$B$1123, 'Códigos DANE Municipios'!$A$2:$A$1123, "No encontrado")</f>
        <v>41006</v>
      </c>
      <c r="B5168" t="str">
        <f>IFERROR(VLOOKUP(D5168,APOYO!K:L,2,FALSE),A5168)</f>
        <v>41006</v>
      </c>
      <c r="C5168" t="s">
        <v>1203</v>
      </c>
      <c r="D5168" t="str">
        <f>IFERROR(VLOOKUP(C5168,APOYO!J:K,2,FALSE),C5168)</f>
        <v>ACEVEDO</v>
      </c>
      <c r="E5168" s="7">
        <v>2020</v>
      </c>
      <c r="H5168" s="16">
        <v>17</v>
      </c>
      <c r="I5168">
        <v>32</v>
      </c>
    </row>
    <row r="5169" spans="1:8" x14ac:dyDescent="0.25">
      <c r="A5169" t="str">
        <f>_xlfn.XLOOKUP(C5169, 'Códigos DANE Municipios'!$B$2:$B$1123, 'Códigos DANE Municipios'!$A$2:$A$1123, "No encontrado")</f>
        <v>13006</v>
      </c>
      <c r="B5169" t="str">
        <f>IFERROR(VLOOKUP(D5169,APOYO!K:L,2,FALSE),A5169)</f>
        <v>13006</v>
      </c>
      <c r="C5169" t="s">
        <v>311</v>
      </c>
      <c r="D5169" t="str">
        <f>IFERROR(VLOOKUP(C5169,APOYO!J:K,2,FALSE),C5169)</f>
        <v>ACHÍ</v>
      </c>
      <c r="E5169" s="7">
        <v>2020</v>
      </c>
      <c r="H5169" s="16">
        <v>288</v>
      </c>
    </row>
    <row r="5170" spans="1:8" x14ac:dyDescent="0.25">
      <c r="A5170" t="str">
        <f>_xlfn.XLOOKUP(C5170, 'Códigos DANE Municipios'!$B$2:$B$1123, 'Códigos DANE Municipios'!$A$2:$A$1123, "No encontrado")</f>
        <v>41013</v>
      </c>
      <c r="B5170" t="str">
        <f>IFERROR(VLOOKUP(D5170,APOYO!K:L,2,FALSE),A5170)</f>
        <v>41013</v>
      </c>
      <c r="C5170" t="s">
        <v>1205</v>
      </c>
      <c r="D5170" t="str">
        <f>IFERROR(VLOOKUP(C5170,APOYO!J:K,2,FALSE),C5170)</f>
        <v>AGRADO</v>
      </c>
      <c r="E5170" s="7">
        <v>2020</v>
      </c>
      <c r="H5170" s="16">
        <v>2</v>
      </c>
    </row>
    <row r="5171" spans="1:8" x14ac:dyDescent="0.25">
      <c r="A5171" t="str">
        <f>_xlfn.XLOOKUP(C5171, 'Códigos DANE Municipios'!$B$2:$B$1123, 'Códigos DANE Municipios'!$A$2:$A$1123, "No encontrado")</f>
        <v>25001</v>
      </c>
      <c r="B5171" t="str">
        <f>IFERROR(VLOOKUP(D5171,APOYO!K:L,2,FALSE),A5171)</f>
        <v>25001</v>
      </c>
      <c r="C5171" t="s">
        <v>916</v>
      </c>
      <c r="D5171" t="str">
        <f>IFERROR(VLOOKUP(C5171,APOYO!J:K,2,FALSE),C5171)</f>
        <v>AGUA DE DIOS</v>
      </c>
      <c r="E5171" s="7">
        <v>2020</v>
      </c>
      <c r="H5171" s="16">
        <v>37</v>
      </c>
    </row>
    <row r="5172" spans="1:8" x14ac:dyDescent="0.25">
      <c r="A5172" t="str">
        <f>_xlfn.XLOOKUP(C5172, 'Códigos DANE Municipios'!$B$2:$B$1123, 'Códigos DANE Municipios'!$A$2:$A$1123, "No encontrado")</f>
        <v>20011</v>
      </c>
      <c r="B5172" t="str">
        <f>IFERROR(VLOOKUP(D5172,APOYO!K:L,2,FALSE),A5172)</f>
        <v>20011</v>
      </c>
      <c r="C5172" t="s">
        <v>810</v>
      </c>
      <c r="D5172" t="str">
        <f>IFERROR(VLOOKUP(C5172,APOYO!J:K,2,FALSE),C5172)</f>
        <v>AGUACHICA</v>
      </c>
      <c r="E5172" s="7">
        <v>2020</v>
      </c>
      <c r="F5172">
        <v>2105</v>
      </c>
      <c r="H5172" s="16">
        <v>73</v>
      </c>
    </row>
    <row r="5173" spans="1:8" x14ac:dyDescent="0.25">
      <c r="A5173" t="str">
        <f>_xlfn.XLOOKUP(C5173, 'Códigos DANE Municipios'!$B$2:$B$1123, 'Códigos DANE Municipios'!$A$2:$A$1123, "No encontrado")</f>
        <v>68013</v>
      </c>
      <c r="B5173" t="str">
        <f>IFERROR(VLOOKUP(D5173,APOYO!K:L,2,FALSE),A5173)</f>
        <v>68013</v>
      </c>
      <c r="C5173" t="s">
        <v>1657</v>
      </c>
      <c r="D5173" t="str">
        <f>IFERROR(VLOOKUP(C5173,APOYO!J:K,2,FALSE),C5173)</f>
        <v>AGUADA</v>
      </c>
      <c r="E5173" s="7">
        <v>2020</v>
      </c>
      <c r="H5173" s="16">
        <v>20</v>
      </c>
    </row>
    <row r="5174" spans="1:8" x14ac:dyDescent="0.25">
      <c r="A5174" t="str">
        <f>_xlfn.XLOOKUP(C5174, 'Códigos DANE Municipios'!$B$2:$B$1123, 'Códigos DANE Municipios'!$A$2:$A$1123, "No encontrado")</f>
        <v>17013</v>
      </c>
      <c r="B5174" t="str">
        <f>IFERROR(VLOOKUP(D5174,APOYO!K:L,2,FALSE),A5174)</f>
        <v>17013</v>
      </c>
      <c r="C5174" t="s">
        <v>646</v>
      </c>
      <c r="D5174" t="str">
        <f>IFERROR(VLOOKUP(C5174,APOYO!J:K,2,FALSE),C5174)</f>
        <v>AGUADAS</v>
      </c>
      <c r="E5174" s="7">
        <v>2020</v>
      </c>
      <c r="H5174" s="16">
        <v>20</v>
      </c>
    </row>
    <row r="5175" spans="1:8" x14ac:dyDescent="0.25">
      <c r="A5175" t="str">
        <f>_xlfn.XLOOKUP(C5175, 'Códigos DANE Municipios'!$B$2:$B$1123, 'Códigos DANE Municipios'!$A$2:$A$1123, "No encontrado")</f>
        <v>85010</v>
      </c>
      <c r="B5175" t="str">
        <f>IFERROR(VLOOKUP(D5175,APOYO!K:L,2,FALSE),A5175)</f>
        <v>85010</v>
      </c>
      <c r="C5175" t="s">
        <v>2050</v>
      </c>
      <c r="D5175" t="str">
        <f>IFERROR(VLOOKUP(C5175,APOYO!J:K,2,FALSE),C5175)</f>
        <v>AGUAZUL</v>
      </c>
      <c r="E5175" s="7">
        <v>2020</v>
      </c>
      <c r="F5175">
        <v>98</v>
      </c>
      <c r="H5175" s="16">
        <v>14</v>
      </c>
    </row>
    <row r="5176" spans="1:8" x14ac:dyDescent="0.25">
      <c r="A5176" t="str">
        <f>_xlfn.XLOOKUP(C5176, 'Códigos DANE Municipios'!$B$2:$B$1123, 'Códigos DANE Municipios'!$A$2:$A$1123, "No encontrado")</f>
        <v>20013</v>
      </c>
      <c r="B5176" t="str">
        <f>IFERROR(VLOOKUP(D5176,APOYO!K:L,2,FALSE),A5176)</f>
        <v>20013</v>
      </c>
      <c r="C5176" t="s">
        <v>812</v>
      </c>
      <c r="D5176" t="str">
        <f>IFERROR(VLOOKUP(C5176,APOYO!J:K,2,FALSE),C5176)</f>
        <v>AGUSTÍN CODAZZI</v>
      </c>
      <c r="E5176" s="7">
        <v>2020</v>
      </c>
      <c r="F5176">
        <v>61</v>
      </c>
      <c r="H5176" s="16">
        <v>8</v>
      </c>
    </row>
    <row r="5177" spans="1:8" x14ac:dyDescent="0.25">
      <c r="A5177" t="str">
        <f>_xlfn.XLOOKUP(C5177, 'Códigos DANE Municipios'!$B$2:$B$1123, 'Códigos DANE Municipios'!$A$2:$A$1123, "No encontrado")</f>
        <v>41016</v>
      </c>
      <c r="B5177" t="str">
        <f>IFERROR(VLOOKUP(D5177,APOYO!K:L,2,FALSE),A5177)</f>
        <v>41016</v>
      </c>
      <c r="C5177" t="s">
        <v>1207</v>
      </c>
      <c r="D5177" t="str">
        <f>IFERROR(VLOOKUP(C5177,APOYO!J:K,2,FALSE),C5177)</f>
        <v>AIPE</v>
      </c>
      <c r="E5177" s="7">
        <v>2020</v>
      </c>
      <c r="H5177" s="16">
        <v>7</v>
      </c>
    </row>
    <row r="5178" spans="1:8" x14ac:dyDescent="0.25">
      <c r="A5178" t="str">
        <f>_xlfn.XLOOKUP(C5178, 'Códigos DANE Municipios'!$B$2:$B$1123, 'Códigos DANE Municipios'!$A$2:$A$1123, "No encontrado")</f>
        <v>25019</v>
      </c>
      <c r="B5178" t="str">
        <f>IFERROR(VLOOKUP(D5178,APOYO!K:L,2,FALSE),A5178)</f>
        <v>25019</v>
      </c>
      <c r="C5178" t="s">
        <v>918</v>
      </c>
      <c r="D5178" t="str">
        <f>IFERROR(VLOOKUP(C5178,APOYO!J:K,2,FALSE),C5178)</f>
        <v>ALBÁN</v>
      </c>
      <c r="E5178" s="7">
        <v>2020</v>
      </c>
      <c r="H5178" s="16">
        <v>7</v>
      </c>
    </row>
    <row r="5179" spans="1:8" x14ac:dyDescent="0.25">
      <c r="A5179" t="str">
        <f>_xlfn.XLOOKUP(C5179, 'Códigos DANE Municipios'!$B$2:$B$1123, 'Códigos DANE Municipios'!$A$2:$A$1123, "No encontrado")</f>
        <v>18029</v>
      </c>
      <c r="B5179" t="str">
        <f>IFERROR(VLOOKUP(D5179,APOYO!K:L,2,FALSE),A5179)</f>
        <v>18029</v>
      </c>
      <c r="C5179" t="s">
        <v>700</v>
      </c>
      <c r="D5179" t="str">
        <f>IFERROR(VLOOKUP(C5179,APOYO!J:K,2,FALSE),C5179)</f>
        <v>ALBANIA</v>
      </c>
      <c r="E5179" s="7">
        <v>2020</v>
      </c>
      <c r="H5179" s="16">
        <v>41</v>
      </c>
    </row>
    <row r="5180" spans="1:8" x14ac:dyDescent="0.25">
      <c r="A5180" t="str">
        <f>_xlfn.XLOOKUP(C5180, 'Códigos DANE Municipios'!$B$2:$B$1123, 'Códigos DANE Municipios'!$A$2:$A$1123, "No encontrado")</f>
        <v>76020</v>
      </c>
      <c r="B5180" t="str">
        <f>IFERROR(VLOOKUP(D5180,APOYO!K:L,2,FALSE),A5180)</f>
        <v>76020</v>
      </c>
      <c r="C5180" t="s">
        <v>1959</v>
      </c>
      <c r="D5180" t="str">
        <f>IFERROR(VLOOKUP(C5180,APOYO!J:K,2,FALSE),C5180)</f>
        <v>ALCALÁ</v>
      </c>
      <c r="E5180" s="7">
        <v>2020</v>
      </c>
      <c r="H5180" s="16">
        <v>200</v>
      </c>
    </row>
    <row r="5181" spans="1:8" x14ac:dyDescent="0.25">
      <c r="A5181" t="str">
        <f>_xlfn.XLOOKUP(C5181, 'Códigos DANE Municipios'!$B$2:$B$1123, 'Códigos DANE Municipios'!$A$2:$A$1123, "No encontrado")</f>
        <v>05021</v>
      </c>
      <c r="B5181" t="str">
        <f>IFERROR(VLOOKUP(D5181,APOYO!K:L,2,FALSE),A5181)</f>
        <v>05021</v>
      </c>
      <c r="C5181" t="s">
        <v>18</v>
      </c>
      <c r="D5181" t="str">
        <f>IFERROR(VLOOKUP(C5181,APOYO!J:K,2,FALSE),C5181)</f>
        <v>ALEJANDRÍA</v>
      </c>
      <c r="E5181" s="7">
        <v>2020</v>
      </c>
      <c r="H5181" s="16">
        <v>8</v>
      </c>
    </row>
    <row r="5182" spans="1:8" x14ac:dyDescent="0.25">
      <c r="A5182" t="str">
        <f>_xlfn.XLOOKUP(C5182, 'Códigos DANE Municipios'!$B$2:$B$1123, 'Códigos DANE Municipios'!$A$2:$A$1123, "No encontrado")</f>
        <v>41020</v>
      </c>
      <c r="B5182" t="str">
        <f>IFERROR(VLOOKUP(D5182,APOYO!K:L,2,FALSE),A5182)</f>
        <v>41020</v>
      </c>
      <c r="C5182" t="s">
        <v>1209</v>
      </c>
      <c r="D5182" t="str">
        <f>IFERROR(VLOOKUP(C5182,APOYO!J:K,2,FALSE),C5182)</f>
        <v>ALGECIRAS</v>
      </c>
      <c r="E5182" s="7">
        <v>2020</v>
      </c>
      <c r="H5182" s="16">
        <v>7</v>
      </c>
    </row>
    <row r="5183" spans="1:8" x14ac:dyDescent="0.25">
      <c r="A5183" t="str">
        <f>_xlfn.XLOOKUP(C5183, 'Códigos DANE Municipios'!$B$2:$B$1123, 'Códigos DANE Municipios'!$A$2:$A$1123, "No encontrado")</f>
        <v>73024</v>
      </c>
      <c r="B5183" t="str">
        <f>IFERROR(VLOOKUP(D5183,APOYO!K:L,2,FALSE),A5183)</f>
        <v>73024</v>
      </c>
      <c r="C5183" t="s">
        <v>1867</v>
      </c>
      <c r="D5183" t="str">
        <f>IFERROR(VLOOKUP(C5183,APOYO!J:K,2,FALSE),C5183)</f>
        <v>ALPUJARRA</v>
      </c>
      <c r="E5183" s="7">
        <v>2020</v>
      </c>
      <c r="H5183" s="16">
        <v>8</v>
      </c>
    </row>
    <row r="5184" spans="1:8" x14ac:dyDescent="0.25">
      <c r="A5184" t="str">
        <f>_xlfn.XLOOKUP(C5184, 'Códigos DANE Municipios'!$B$2:$B$1123, 'Códigos DANE Municipios'!$A$2:$A$1123, "No encontrado")</f>
        <v>41026</v>
      </c>
      <c r="B5184" t="str">
        <f>IFERROR(VLOOKUP(D5184,APOYO!K:L,2,FALSE),A5184)</f>
        <v>41026</v>
      </c>
      <c r="C5184" t="s">
        <v>1211</v>
      </c>
      <c r="D5184" t="str">
        <f>IFERROR(VLOOKUP(C5184,APOYO!J:K,2,FALSE),C5184)</f>
        <v>ALTAMIRA</v>
      </c>
      <c r="E5184" s="7">
        <v>2020</v>
      </c>
      <c r="H5184" s="16">
        <v>1</v>
      </c>
    </row>
    <row r="5185" spans="1:8" x14ac:dyDescent="0.25">
      <c r="A5185" t="str">
        <f>_xlfn.XLOOKUP(C5185, 'Códigos DANE Municipios'!$B$2:$B$1123, 'Códigos DANE Municipios'!$A$2:$A$1123, "No encontrado")</f>
        <v>73026</v>
      </c>
      <c r="B5185" t="str">
        <f>IFERROR(VLOOKUP(D5185,APOYO!K:L,2,FALSE),A5185)</f>
        <v>73026</v>
      </c>
      <c r="C5185" t="s">
        <v>1869</v>
      </c>
      <c r="D5185" t="str">
        <f>IFERROR(VLOOKUP(C5185,APOYO!J:K,2,FALSE),C5185)</f>
        <v>ALVARADO</v>
      </c>
      <c r="E5185" s="7">
        <v>2020</v>
      </c>
      <c r="H5185" s="16">
        <v>5</v>
      </c>
    </row>
    <row r="5186" spans="1:8" x14ac:dyDescent="0.25">
      <c r="A5186" t="str">
        <f>_xlfn.XLOOKUP(C5186, 'Códigos DANE Municipios'!$B$2:$B$1123, 'Códigos DANE Municipios'!$A$2:$A$1123, "No encontrado")</f>
        <v>05030</v>
      </c>
      <c r="B5186" t="str">
        <f>IFERROR(VLOOKUP(D5186,APOYO!K:L,2,FALSE),A5186)</f>
        <v>05030</v>
      </c>
      <c r="C5186" t="s">
        <v>20</v>
      </c>
      <c r="D5186" t="str">
        <f>IFERROR(VLOOKUP(C5186,APOYO!J:K,2,FALSE),C5186)</f>
        <v>AMAGÁ</v>
      </c>
      <c r="E5186" s="7">
        <v>2020</v>
      </c>
      <c r="H5186" s="16">
        <v>18</v>
      </c>
    </row>
    <row r="5187" spans="1:8" x14ac:dyDescent="0.25">
      <c r="A5187" t="str">
        <f>_xlfn.XLOOKUP(C5187, 'Códigos DANE Municipios'!$B$2:$B$1123, 'Códigos DANE Municipios'!$A$2:$A$1123, "No encontrado")</f>
        <v>05031</v>
      </c>
      <c r="B5187" t="str">
        <f>IFERROR(VLOOKUP(D5187,APOYO!K:L,2,FALSE),A5187)</f>
        <v>05031</v>
      </c>
      <c r="C5187" t="s">
        <v>22</v>
      </c>
      <c r="D5187" t="str">
        <f>IFERROR(VLOOKUP(C5187,APOYO!J:K,2,FALSE),C5187)</f>
        <v>AMALFI</v>
      </c>
      <c r="E5187" s="7">
        <v>2020</v>
      </c>
      <c r="F5187">
        <v>5</v>
      </c>
      <c r="H5187" s="16">
        <v>7</v>
      </c>
    </row>
    <row r="5188" spans="1:8" x14ac:dyDescent="0.25">
      <c r="A5188" t="str">
        <f>_xlfn.XLOOKUP(C5188, 'Códigos DANE Municipios'!$B$2:$B$1123, 'Códigos DANE Municipios'!$A$2:$A$1123, "No encontrado")</f>
        <v>73030</v>
      </c>
      <c r="B5188" t="str">
        <f>IFERROR(VLOOKUP(D5188,APOYO!K:L,2,FALSE),A5188)</f>
        <v>73030</v>
      </c>
      <c r="C5188" t="s">
        <v>1871</v>
      </c>
      <c r="D5188" t="str">
        <f>IFERROR(VLOOKUP(C5188,APOYO!J:K,2,FALSE),C5188)</f>
        <v>AMBALEMA</v>
      </c>
      <c r="E5188" s="7">
        <v>2020</v>
      </c>
    </row>
    <row r="5189" spans="1:8" x14ac:dyDescent="0.25">
      <c r="A5189" t="str">
        <f>_xlfn.XLOOKUP(C5189, 'Códigos DANE Municipios'!$B$2:$B$1123, 'Códigos DANE Municipios'!$A$2:$A$1123, "No encontrado")</f>
        <v>25035</v>
      </c>
      <c r="B5189" t="str">
        <f>IFERROR(VLOOKUP(D5189,APOYO!K:L,2,FALSE),A5189)</f>
        <v>25035</v>
      </c>
      <c r="C5189" t="s">
        <v>920</v>
      </c>
      <c r="D5189" t="str">
        <f>IFERROR(VLOOKUP(C5189,APOYO!J:K,2,FALSE),C5189)</f>
        <v>ANAPOIMA</v>
      </c>
      <c r="E5189" s="7">
        <v>2020</v>
      </c>
      <c r="H5189">
        <v>85</v>
      </c>
    </row>
    <row r="5190" spans="1:8" x14ac:dyDescent="0.25">
      <c r="A5190" t="str">
        <f>_xlfn.XLOOKUP(C5190, 'Códigos DANE Municipios'!$B$2:$B$1123, 'Códigos DANE Municipios'!$A$2:$A$1123, "No encontrado")</f>
        <v>76036</v>
      </c>
      <c r="B5190" t="str">
        <f>IFERROR(VLOOKUP(D5190,APOYO!K:L,2,FALSE),A5190)</f>
        <v>76036</v>
      </c>
      <c r="C5190" t="s">
        <v>1961</v>
      </c>
      <c r="D5190" t="str">
        <f>IFERROR(VLOOKUP(C5190,APOYO!J:K,2,FALSE),C5190)</f>
        <v>ANDALUCÍA</v>
      </c>
      <c r="E5190" s="7">
        <v>2020</v>
      </c>
      <c r="H5190">
        <v>55</v>
      </c>
    </row>
    <row r="5191" spans="1:8" x14ac:dyDescent="0.25">
      <c r="A5191" t="str">
        <f>_xlfn.XLOOKUP(C5191, 'Códigos DANE Municipios'!$B$2:$B$1123, 'Códigos DANE Municipios'!$A$2:$A$1123, "No encontrado")</f>
        <v>05034</v>
      </c>
      <c r="B5191" t="str">
        <f>IFERROR(VLOOKUP(D5191,APOYO!K:L,2,FALSE),A5191)</f>
        <v>05034</v>
      </c>
      <c r="C5191" t="s">
        <v>24</v>
      </c>
      <c r="D5191" t="str">
        <f>IFERROR(VLOOKUP(C5191,APOYO!J:K,2,FALSE),C5191)</f>
        <v>ANDES</v>
      </c>
      <c r="E5191" s="7">
        <v>2020</v>
      </c>
      <c r="H5191">
        <v>15</v>
      </c>
    </row>
    <row r="5192" spans="1:8" x14ac:dyDescent="0.25">
      <c r="A5192" t="str">
        <f>_xlfn.XLOOKUP(C5192, 'Códigos DANE Municipios'!$B$2:$B$1123, 'Códigos DANE Municipios'!$A$2:$A$1123, "No encontrado")</f>
        <v>05036</v>
      </c>
      <c r="B5192" t="str">
        <f>IFERROR(VLOOKUP(D5192,APOYO!K:L,2,FALSE),A5192)</f>
        <v>05036</v>
      </c>
      <c r="C5192" t="s">
        <v>26</v>
      </c>
      <c r="D5192" t="str">
        <f>IFERROR(VLOOKUP(C5192,APOYO!J:K,2,FALSE),C5192)</f>
        <v>ANGELÓPOLIS</v>
      </c>
      <c r="E5192" s="7">
        <v>2020</v>
      </c>
      <c r="H5192">
        <v>1</v>
      </c>
    </row>
    <row r="5193" spans="1:8" x14ac:dyDescent="0.25">
      <c r="A5193" t="str">
        <f>_xlfn.XLOOKUP(C5193, 'Códigos DANE Municipios'!$B$2:$B$1123, 'Códigos DANE Municipios'!$A$2:$A$1123, "No encontrado")</f>
        <v>05038</v>
      </c>
      <c r="B5193" t="str">
        <f>IFERROR(VLOOKUP(D5193,APOYO!K:L,2,FALSE),A5193)</f>
        <v>05038</v>
      </c>
      <c r="C5193" t="s">
        <v>28</v>
      </c>
      <c r="D5193" t="str">
        <f>IFERROR(VLOOKUP(C5193,APOYO!J:K,2,FALSE),C5193)</f>
        <v>ANGOSTURA</v>
      </c>
      <c r="E5193" s="7">
        <v>2020</v>
      </c>
      <c r="H5193">
        <v>2</v>
      </c>
    </row>
    <row r="5194" spans="1:8" x14ac:dyDescent="0.25">
      <c r="A5194" t="str">
        <f>_xlfn.XLOOKUP(C5194, 'Códigos DANE Municipios'!$B$2:$B$1123, 'Códigos DANE Municipios'!$A$2:$A$1123, "No encontrado")</f>
        <v>25040</v>
      </c>
      <c r="B5194" t="str">
        <f>IFERROR(VLOOKUP(D5194,APOYO!K:L,2,FALSE),A5194)</f>
        <v>25040</v>
      </c>
      <c r="C5194" t="s">
        <v>922</v>
      </c>
      <c r="D5194" t="str">
        <f>IFERROR(VLOOKUP(C5194,APOYO!J:K,2,FALSE),C5194)</f>
        <v>ANOLAIMA</v>
      </c>
      <c r="E5194" s="7">
        <v>2020</v>
      </c>
      <c r="H5194">
        <v>20</v>
      </c>
    </row>
    <row r="5195" spans="1:8" x14ac:dyDescent="0.25">
      <c r="A5195" t="str">
        <f>_xlfn.XLOOKUP(C5195, 'Códigos DANE Municipios'!$B$2:$B$1123, 'Códigos DANE Municipios'!$A$2:$A$1123, "No encontrado")</f>
        <v>05040</v>
      </c>
      <c r="B5195" t="str">
        <f>IFERROR(VLOOKUP(D5195,APOYO!K:L,2,FALSE),A5195)</f>
        <v>05040</v>
      </c>
      <c r="C5195" t="s">
        <v>30</v>
      </c>
      <c r="D5195" t="str">
        <f>IFERROR(VLOOKUP(C5195,APOYO!J:K,2,FALSE),C5195)</f>
        <v>ANORÍ</v>
      </c>
      <c r="E5195" s="7">
        <v>2020</v>
      </c>
      <c r="H5195">
        <v>3</v>
      </c>
    </row>
    <row r="5196" spans="1:8" x14ac:dyDescent="0.25">
      <c r="A5196" t="str">
        <f>_xlfn.XLOOKUP(C5196, 'Códigos DANE Municipios'!$B$2:$B$1123, 'Códigos DANE Municipios'!$A$2:$A$1123, "No encontrado")</f>
        <v>17042</v>
      </c>
      <c r="B5196" t="str">
        <f>IFERROR(VLOOKUP(D5196,APOYO!K:L,2,FALSE),A5196)</f>
        <v>17042</v>
      </c>
      <c r="C5196" t="s">
        <v>648</v>
      </c>
      <c r="D5196" t="str">
        <f>IFERROR(VLOOKUP(C5196,APOYO!J:K,2,FALSE),C5196)</f>
        <v>ANSERMA</v>
      </c>
      <c r="E5196" s="7">
        <v>2020</v>
      </c>
      <c r="H5196">
        <v>62</v>
      </c>
    </row>
    <row r="5197" spans="1:8" x14ac:dyDescent="0.25">
      <c r="A5197" t="str">
        <f>_xlfn.XLOOKUP(C5197, 'Códigos DANE Municipios'!$B$2:$B$1123, 'Códigos DANE Municipios'!$A$2:$A$1123, "No encontrado")</f>
        <v>76041</v>
      </c>
      <c r="B5197" t="str">
        <f>IFERROR(VLOOKUP(D5197,APOYO!K:L,2,FALSE),A5197)</f>
        <v>76041</v>
      </c>
      <c r="C5197" t="s">
        <v>1963</v>
      </c>
      <c r="D5197" t="str">
        <f>IFERROR(VLOOKUP(C5197,APOYO!J:K,2,FALSE),C5197)</f>
        <v>ANSERMANUEVO</v>
      </c>
      <c r="E5197" s="7">
        <v>2020</v>
      </c>
      <c r="H5197">
        <v>18</v>
      </c>
    </row>
    <row r="5198" spans="1:8" x14ac:dyDescent="0.25">
      <c r="A5198" t="str">
        <f>_xlfn.XLOOKUP(C5198, 'Códigos DANE Municipios'!$B$2:$B$1123, 'Códigos DANE Municipios'!$A$2:$A$1123, "No encontrado")</f>
        <v>05042</v>
      </c>
      <c r="B5198" t="str">
        <f>IFERROR(VLOOKUP(D5198,APOYO!K:L,2,FALSE),A5198)</f>
        <v>05042</v>
      </c>
      <c r="C5198" t="s">
        <v>32</v>
      </c>
      <c r="D5198" t="str">
        <f>IFERROR(VLOOKUP(C5198,APOYO!J:K,2,FALSE),C5198)</f>
        <v>SANTA FÉ DE ANTIOQUIA</v>
      </c>
      <c r="E5198" s="7">
        <v>2020</v>
      </c>
      <c r="H5198">
        <v>90</v>
      </c>
    </row>
    <row r="5199" spans="1:8" x14ac:dyDescent="0.25">
      <c r="A5199" t="str">
        <f>_xlfn.XLOOKUP(C5199, 'Códigos DANE Municipios'!$B$2:$B$1123, 'Códigos DANE Municipios'!$A$2:$A$1123, "No encontrado")</f>
        <v>05044</v>
      </c>
      <c r="B5199" t="str">
        <f>IFERROR(VLOOKUP(D5199,APOYO!K:L,2,FALSE),A5199)</f>
        <v>05044</v>
      </c>
      <c r="C5199" t="s">
        <v>34</v>
      </c>
      <c r="D5199" t="str">
        <f>IFERROR(VLOOKUP(C5199,APOYO!J:K,2,FALSE),C5199)</f>
        <v>ANZÁ</v>
      </c>
      <c r="E5199" s="7">
        <v>2020</v>
      </c>
      <c r="H5199">
        <v>2</v>
      </c>
    </row>
    <row r="5200" spans="1:8" x14ac:dyDescent="0.25">
      <c r="A5200" t="str">
        <f>_xlfn.XLOOKUP(C5200, 'Códigos DANE Municipios'!$B$2:$B$1123, 'Códigos DANE Municipios'!$A$2:$A$1123, "No encontrado")</f>
        <v>73043</v>
      </c>
      <c r="B5200" t="str">
        <f>IFERROR(VLOOKUP(D5200,APOYO!K:L,2,FALSE),A5200)</f>
        <v>73043</v>
      </c>
      <c r="C5200" t="s">
        <v>1873</v>
      </c>
      <c r="D5200" t="str">
        <f>IFERROR(VLOOKUP(C5200,APOYO!J:K,2,FALSE),C5200)</f>
        <v>ANZOÁTEGUI</v>
      </c>
      <c r="E5200" s="7">
        <v>2020</v>
      </c>
      <c r="H5200">
        <v>1</v>
      </c>
    </row>
    <row r="5201" spans="1:8" x14ac:dyDescent="0.25">
      <c r="A5201" t="str">
        <f>_xlfn.XLOOKUP(C5201, 'Códigos DANE Municipios'!$B$2:$B$1123, 'Códigos DANE Municipios'!$A$2:$A$1123, "No encontrado")</f>
        <v>05045</v>
      </c>
      <c r="B5201" t="str">
        <f>IFERROR(VLOOKUP(D5201,APOYO!K:L,2,FALSE),A5201)</f>
        <v>05045</v>
      </c>
      <c r="C5201" t="s">
        <v>36</v>
      </c>
      <c r="D5201" t="str">
        <f>IFERROR(VLOOKUP(C5201,APOYO!J:K,2,FALSE),C5201)</f>
        <v>APARTADÓ</v>
      </c>
      <c r="E5201" s="7">
        <v>2020</v>
      </c>
      <c r="F5201">
        <v>10</v>
      </c>
      <c r="H5201">
        <v>96</v>
      </c>
    </row>
    <row r="5202" spans="1:8" x14ac:dyDescent="0.25">
      <c r="A5202" t="str">
        <f>_xlfn.XLOOKUP(C5202, 'Códigos DANE Municipios'!$B$2:$B$1123, 'Códigos DANE Municipios'!$A$2:$A$1123, "No encontrado")</f>
        <v>66045</v>
      </c>
      <c r="B5202" t="str">
        <f>IFERROR(VLOOKUP(D5202,APOYO!K:L,2,FALSE),A5202)</f>
        <v>66045</v>
      </c>
      <c r="C5202" t="s">
        <v>1630</v>
      </c>
      <c r="D5202" t="str">
        <f>IFERROR(VLOOKUP(C5202,APOYO!J:K,2,FALSE),C5202)</f>
        <v>APÍA</v>
      </c>
      <c r="E5202" s="7">
        <v>2020</v>
      </c>
      <c r="H5202">
        <v>36</v>
      </c>
    </row>
    <row r="5203" spans="1:8" x14ac:dyDescent="0.25">
      <c r="A5203" t="str">
        <f>_xlfn.XLOOKUP(C5203, 'Códigos DANE Municipios'!$B$2:$B$1123, 'Códigos DANE Municipios'!$A$2:$A$1123, "No encontrado")</f>
        <v>15047</v>
      </c>
      <c r="B5203" t="str">
        <f>IFERROR(VLOOKUP(D5203,APOYO!K:L,2,FALSE),A5203)</f>
        <v>15047</v>
      </c>
      <c r="C5203" t="s">
        <v>405</v>
      </c>
      <c r="D5203" t="str">
        <f>IFERROR(VLOOKUP(C5203,APOYO!J:K,2,FALSE),C5203)</f>
        <v>AQUITANIA</v>
      </c>
      <c r="E5203" s="7">
        <v>2020</v>
      </c>
      <c r="H5203">
        <v>5</v>
      </c>
    </row>
    <row r="5204" spans="1:8" x14ac:dyDescent="0.25">
      <c r="A5204" t="str">
        <f>_xlfn.XLOOKUP(C5204, 'Códigos DANE Municipios'!$B$2:$B$1123, 'Códigos DANE Municipios'!$A$2:$A$1123, "No encontrado")</f>
        <v>47053</v>
      </c>
      <c r="B5204" t="str">
        <f>IFERROR(VLOOKUP(D5204,APOYO!K:L,2,FALSE),A5204)</f>
        <v>47053</v>
      </c>
      <c r="C5204" t="s">
        <v>1304</v>
      </c>
      <c r="D5204" t="str">
        <f>IFERROR(VLOOKUP(C5204,APOYO!J:K,2,FALSE),C5204)</f>
        <v>ARACATACA</v>
      </c>
      <c r="E5204" s="7">
        <v>2020</v>
      </c>
      <c r="H5204">
        <v>5</v>
      </c>
    </row>
    <row r="5205" spans="1:8" x14ac:dyDescent="0.25">
      <c r="A5205" t="str">
        <f>_xlfn.XLOOKUP(C5205, 'Códigos DANE Municipios'!$B$2:$B$1123, 'Códigos DANE Municipios'!$A$2:$A$1123, "No encontrado")</f>
        <v>17050</v>
      </c>
      <c r="B5205" t="str">
        <f>IFERROR(VLOOKUP(D5205,APOYO!K:L,2,FALSE),A5205)</f>
        <v>17050</v>
      </c>
      <c r="C5205" t="s">
        <v>650</v>
      </c>
      <c r="D5205" t="str">
        <f>IFERROR(VLOOKUP(C5205,APOYO!J:K,2,FALSE),C5205)</f>
        <v>ARANZAZU</v>
      </c>
      <c r="E5205" s="7">
        <v>2020</v>
      </c>
      <c r="H5205">
        <v>20</v>
      </c>
    </row>
    <row r="5206" spans="1:8" x14ac:dyDescent="0.25">
      <c r="A5206" t="str">
        <f>_xlfn.XLOOKUP(C5206, 'Códigos DANE Municipios'!$B$2:$B$1123, 'Códigos DANE Municipios'!$A$2:$A$1123, "No encontrado")</f>
        <v>68051</v>
      </c>
      <c r="B5206" t="str">
        <f>IFERROR(VLOOKUP(D5206,APOYO!K:L,2,FALSE),A5206)</f>
        <v>68051</v>
      </c>
      <c r="C5206" t="s">
        <v>1660</v>
      </c>
      <c r="D5206" t="str">
        <f>IFERROR(VLOOKUP(C5206,APOYO!J:K,2,FALSE),C5206)</f>
        <v>ARATOCA</v>
      </c>
      <c r="E5206" s="7">
        <v>2020</v>
      </c>
      <c r="H5206">
        <v>1</v>
      </c>
    </row>
    <row r="5207" spans="1:8" x14ac:dyDescent="0.25">
      <c r="A5207" t="str">
        <f>_xlfn.XLOOKUP(C5207, 'Códigos DANE Municipios'!$B$2:$B$1123, 'Códigos DANE Municipios'!$A$2:$A$1123, "No encontrado")</f>
        <v>81001</v>
      </c>
      <c r="B5207" t="str">
        <f>IFERROR(VLOOKUP(D5207,APOYO!K:L,2,FALSE),A5207)</f>
        <v>81001</v>
      </c>
      <c r="C5207" t="s">
        <v>2034</v>
      </c>
      <c r="D5207" t="str">
        <f>IFERROR(VLOOKUP(C5207,APOYO!J:K,2,FALSE),C5207)</f>
        <v>ARAUCA</v>
      </c>
      <c r="E5207" s="7">
        <v>2020</v>
      </c>
      <c r="F5207">
        <v>23037</v>
      </c>
      <c r="G5207">
        <v>2</v>
      </c>
      <c r="H5207">
        <v>134</v>
      </c>
    </row>
    <row r="5208" spans="1:8" x14ac:dyDescent="0.25">
      <c r="A5208" t="str">
        <f>_xlfn.XLOOKUP(C5208, 'Códigos DANE Municipios'!$B$2:$B$1123, 'Códigos DANE Municipios'!$A$2:$A$1123, "No encontrado")</f>
        <v>81065</v>
      </c>
      <c r="B5208" t="str">
        <f>IFERROR(VLOOKUP(D5208,APOYO!K:L,2,FALSE),A5208)</f>
        <v>81065</v>
      </c>
      <c r="C5208" t="s">
        <v>2036</v>
      </c>
      <c r="D5208" t="str">
        <f>IFERROR(VLOOKUP(C5208,APOYO!J:K,2,FALSE),C5208)</f>
        <v>ARAUQUITA</v>
      </c>
      <c r="E5208" s="7">
        <v>2020</v>
      </c>
      <c r="F5208">
        <v>2</v>
      </c>
      <c r="H5208">
        <v>16</v>
      </c>
    </row>
    <row r="5209" spans="1:8" x14ac:dyDescent="0.25">
      <c r="A5209" t="str">
        <f>_xlfn.XLOOKUP(C5209, 'Códigos DANE Municipios'!$B$2:$B$1123, 'Códigos DANE Municipios'!$A$2:$A$1123, "No encontrado")</f>
        <v>25053</v>
      </c>
      <c r="B5209" t="str">
        <f>IFERROR(VLOOKUP(D5209,APOYO!K:L,2,FALSE),A5209)</f>
        <v>25053</v>
      </c>
      <c r="C5209" t="s">
        <v>924</v>
      </c>
      <c r="D5209" t="str">
        <f>IFERROR(VLOOKUP(C5209,APOYO!J:K,2,FALSE),C5209)</f>
        <v>ARBELÁEZ</v>
      </c>
      <c r="E5209" s="7">
        <v>2020</v>
      </c>
      <c r="H5209">
        <v>20</v>
      </c>
    </row>
    <row r="5210" spans="1:8" x14ac:dyDescent="0.25">
      <c r="A5210" t="str">
        <f>_xlfn.XLOOKUP(C5210, 'Códigos DANE Municipios'!$B$2:$B$1123, 'Códigos DANE Municipios'!$A$2:$A$1123, "No encontrado")</f>
        <v>52051</v>
      </c>
      <c r="B5210" t="str">
        <f>IFERROR(VLOOKUP(D5210,APOYO!K:L,2,FALSE),A5210)</f>
        <v>52051</v>
      </c>
      <c r="C5210" t="s">
        <v>1419</v>
      </c>
      <c r="D5210" t="str">
        <f>IFERROR(VLOOKUP(C5210,APOYO!J:K,2,FALSE),C5210)</f>
        <v>ARBOLEDA</v>
      </c>
      <c r="E5210" s="7">
        <v>2020</v>
      </c>
    </row>
    <row r="5211" spans="1:8" x14ac:dyDescent="0.25">
      <c r="A5211" t="str">
        <f>_xlfn.XLOOKUP(C5211, 'Códigos DANE Municipios'!$B$2:$B$1123, 'Códigos DANE Municipios'!$A$2:$A$1123, "No encontrado")</f>
        <v>54051</v>
      </c>
      <c r="B5211" t="str">
        <f>IFERROR(VLOOKUP(D5211,APOYO!K:L,2,FALSE),A5211)</f>
        <v>54051</v>
      </c>
      <c r="C5211" t="s">
        <v>1533</v>
      </c>
      <c r="D5211" t="str">
        <f>IFERROR(VLOOKUP(C5211,APOYO!J:K,2,FALSE),C5211)</f>
        <v>ARBOLEDAS</v>
      </c>
      <c r="E5211" s="7">
        <v>2020</v>
      </c>
    </row>
    <row r="5212" spans="1:8" x14ac:dyDescent="0.25">
      <c r="A5212" t="str">
        <f>_xlfn.XLOOKUP(C5212, 'Códigos DANE Municipios'!$B$2:$B$1123, 'Códigos DANE Municipios'!$A$2:$A$1123, "No encontrado")</f>
        <v>05051</v>
      </c>
      <c r="B5212" t="str">
        <f>IFERROR(VLOOKUP(D5212,APOYO!K:L,2,FALSE),A5212)</f>
        <v>05051</v>
      </c>
      <c r="C5212" t="s">
        <v>38</v>
      </c>
      <c r="D5212" t="str">
        <f>IFERROR(VLOOKUP(C5212,APOYO!J:K,2,FALSE),C5212)</f>
        <v>ARBOLETES</v>
      </c>
      <c r="E5212" s="7">
        <v>2020</v>
      </c>
      <c r="H5212">
        <v>4</v>
      </c>
    </row>
    <row r="5213" spans="1:8" x14ac:dyDescent="0.25">
      <c r="A5213" t="str">
        <f>_xlfn.XLOOKUP(C5213, 'Códigos DANE Municipios'!$B$2:$B$1123, 'Códigos DANE Municipios'!$A$2:$A$1123, "No encontrado")</f>
        <v>15051</v>
      </c>
      <c r="B5213" t="str">
        <f>IFERROR(VLOOKUP(D5213,APOYO!K:L,2,FALSE),A5213)</f>
        <v>15051</v>
      </c>
      <c r="C5213" t="s">
        <v>407</v>
      </c>
      <c r="D5213" t="str">
        <f>IFERROR(VLOOKUP(C5213,APOYO!J:K,2,FALSE),C5213)</f>
        <v>ARCABUCO</v>
      </c>
      <c r="E5213" s="7">
        <v>2020</v>
      </c>
      <c r="H5213">
        <v>7</v>
      </c>
    </row>
    <row r="5214" spans="1:8" x14ac:dyDescent="0.25">
      <c r="A5214" t="str">
        <f>_xlfn.XLOOKUP(C5214, 'Códigos DANE Municipios'!$B$2:$B$1123, 'Códigos DANE Municipios'!$A$2:$A$1123, "No encontrado")</f>
        <v>05055</v>
      </c>
      <c r="B5214" t="str">
        <f>IFERROR(VLOOKUP(D5214,APOYO!K:L,2,FALSE),A5214)</f>
        <v>05055</v>
      </c>
      <c r="C5214" t="s">
        <v>40</v>
      </c>
      <c r="D5214" t="str">
        <f>IFERROR(VLOOKUP(C5214,APOYO!J:K,2,FALSE),C5214)</f>
        <v>ARGELIA</v>
      </c>
      <c r="E5214" s="7">
        <v>2020</v>
      </c>
      <c r="H5214">
        <v>7</v>
      </c>
    </row>
    <row r="5215" spans="1:8" x14ac:dyDescent="0.25">
      <c r="A5215" t="str">
        <f>_xlfn.XLOOKUP(C5215, 'Códigos DANE Municipios'!$B$2:$B$1123, 'Códigos DANE Municipios'!$A$2:$A$1123, "No encontrado")</f>
        <v>47058</v>
      </c>
      <c r="B5215" t="str">
        <f>IFERROR(VLOOKUP(D5215,APOYO!K:L,2,FALSE),A5215)</f>
        <v>47058</v>
      </c>
      <c r="C5215" t="s">
        <v>1306</v>
      </c>
      <c r="D5215" t="str">
        <f>IFERROR(VLOOKUP(C5215,APOYO!J:K,2,FALSE),C5215)</f>
        <v>ARIGUANÍ</v>
      </c>
      <c r="E5215" s="7">
        <v>2020</v>
      </c>
      <c r="H5215">
        <v>28</v>
      </c>
    </row>
    <row r="5216" spans="1:8" x14ac:dyDescent="0.25">
      <c r="A5216" t="str">
        <f>_xlfn.XLOOKUP(C5216, 'Códigos DANE Municipios'!$B$2:$B$1123, 'Códigos DANE Municipios'!$A$2:$A$1123, "No encontrado")</f>
        <v>13052</v>
      </c>
      <c r="B5216" t="str">
        <f>IFERROR(VLOOKUP(D5216,APOYO!K:L,2,FALSE),A5216)</f>
        <v>13052</v>
      </c>
      <c r="C5216" t="s">
        <v>317</v>
      </c>
      <c r="D5216" t="str">
        <f>IFERROR(VLOOKUP(C5216,APOYO!J:K,2,FALSE),C5216)</f>
        <v>ARJONA</v>
      </c>
      <c r="E5216" s="7">
        <v>2020</v>
      </c>
      <c r="H5216">
        <v>21</v>
      </c>
    </row>
    <row r="5217" spans="1:8" x14ac:dyDescent="0.25">
      <c r="A5217" t="str">
        <f>_xlfn.XLOOKUP(C5217, 'Códigos DANE Municipios'!$B$2:$B$1123, 'Códigos DANE Municipios'!$A$2:$A$1123, "No encontrado")</f>
        <v>05059</v>
      </c>
      <c r="B5217" t="str">
        <f>IFERROR(VLOOKUP(D5217,APOYO!K:L,2,FALSE),A5217)</f>
        <v>05059</v>
      </c>
      <c r="C5217" t="s">
        <v>42</v>
      </c>
      <c r="D5217" t="str">
        <f>IFERROR(VLOOKUP(C5217,APOYO!J:K,2,FALSE),C5217)</f>
        <v>ARMENIA</v>
      </c>
      <c r="E5217" s="7">
        <v>2020</v>
      </c>
      <c r="F5217">
        <v>65533</v>
      </c>
      <c r="G5217">
        <v>12470</v>
      </c>
      <c r="H5217">
        <v>4087</v>
      </c>
    </row>
    <row r="5218" spans="1:8" x14ac:dyDescent="0.25">
      <c r="A5218" t="str">
        <f>_xlfn.XLOOKUP(C5218, 'Códigos DANE Municipios'!$B$2:$B$1123, 'Códigos DANE Municipios'!$A$2:$A$1123, "No encontrado")</f>
        <v>73055</v>
      </c>
      <c r="B5218" t="str">
        <f>IFERROR(VLOOKUP(D5218,APOYO!K:L,2,FALSE),A5218)</f>
        <v>73055</v>
      </c>
      <c r="C5218" t="s">
        <v>1875</v>
      </c>
      <c r="D5218" t="str">
        <f>IFERROR(VLOOKUP(C5218,APOYO!J:K,2,FALSE),C5218)</f>
        <v>ARMERO GUAYABAL</v>
      </c>
      <c r="E5218" s="7">
        <v>2020</v>
      </c>
      <c r="H5218">
        <v>8</v>
      </c>
    </row>
    <row r="5219" spans="1:8" x14ac:dyDescent="0.25">
      <c r="A5219" t="str">
        <f>_xlfn.XLOOKUP(C5219, 'Códigos DANE Municipios'!$B$2:$B$1123, 'Códigos DANE Municipios'!$A$2:$A$1123, "No encontrado")</f>
        <v>20032</v>
      </c>
      <c r="B5219" t="str">
        <f>IFERROR(VLOOKUP(D5219,APOYO!K:L,2,FALSE),A5219)</f>
        <v>20032</v>
      </c>
      <c r="C5219" t="s">
        <v>814</v>
      </c>
      <c r="D5219" t="str">
        <f>IFERROR(VLOOKUP(C5219,APOYO!J:K,2,FALSE),C5219)</f>
        <v>ASTREA</v>
      </c>
      <c r="E5219" s="7">
        <v>2020</v>
      </c>
    </row>
    <row r="5220" spans="1:8" x14ac:dyDescent="0.25">
      <c r="A5220" t="str">
        <f>_xlfn.XLOOKUP(C5220, 'Códigos DANE Municipios'!$B$2:$B$1123, 'Códigos DANE Municipios'!$A$2:$A$1123, "No encontrado")</f>
        <v>23068</v>
      </c>
      <c r="B5220" t="str">
        <f>IFERROR(VLOOKUP(D5220,APOYO!K:L,2,FALSE),A5220)</f>
        <v>23068</v>
      </c>
      <c r="C5220" t="s">
        <v>860</v>
      </c>
      <c r="D5220" t="str">
        <f>IFERROR(VLOOKUP(C5220,APOYO!J:K,2,FALSE),C5220)</f>
        <v>AYAPEL</v>
      </c>
      <c r="E5220" s="7">
        <v>2020</v>
      </c>
      <c r="F5220">
        <v>10</v>
      </c>
      <c r="H5220">
        <v>5</v>
      </c>
    </row>
    <row r="5221" spans="1:8" x14ac:dyDescent="0.25">
      <c r="A5221" t="str">
        <f>_xlfn.XLOOKUP(C5221, 'Códigos DANE Municipios'!$B$2:$B$1123, 'Códigos DANE Municipios'!$A$2:$A$1123, "No encontrado")</f>
        <v>27073</v>
      </c>
      <c r="B5221" t="str">
        <f>IFERROR(VLOOKUP(D5221,APOYO!K:L,2,FALSE),A5221)</f>
        <v>27073</v>
      </c>
      <c r="C5221" t="s">
        <v>1150</v>
      </c>
      <c r="D5221" t="str">
        <f>IFERROR(VLOOKUP(C5221,APOYO!J:K,2,FALSE),C5221)</f>
        <v>BAGADÓ</v>
      </c>
      <c r="E5221" s="7">
        <v>2020</v>
      </c>
    </row>
    <row r="5222" spans="1:8" x14ac:dyDescent="0.25">
      <c r="A5222" t="str">
        <f>_xlfn.XLOOKUP(C5222, 'Códigos DANE Municipios'!$B$2:$B$1123, 'Códigos DANE Municipios'!$A$2:$A$1123, "No encontrado")</f>
        <v>27075</v>
      </c>
      <c r="B5222" t="str">
        <f>IFERROR(VLOOKUP(D5222,APOYO!K:L,2,FALSE),A5222)</f>
        <v>27075</v>
      </c>
      <c r="C5222" t="s">
        <v>1152</v>
      </c>
      <c r="D5222" t="str">
        <f>IFERROR(VLOOKUP(C5222,APOYO!J:K,2,FALSE),C5222)</f>
        <v>BAHÍA SOLANO</v>
      </c>
      <c r="E5222" s="7">
        <v>2020</v>
      </c>
      <c r="F5222">
        <v>15828</v>
      </c>
      <c r="H5222">
        <v>57</v>
      </c>
    </row>
    <row r="5223" spans="1:8" x14ac:dyDescent="0.25">
      <c r="A5223" t="str">
        <f>_xlfn.XLOOKUP(C5223, 'Códigos DANE Municipios'!$B$2:$B$1123, 'Códigos DANE Municipios'!$A$2:$A$1123, "No encontrado")</f>
        <v>27077</v>
      </c>
      <c r="B5223" t="str">
        <f>IFERROR(VLOOKUP(D5223,APOYO!K:L,2,FALSE),A5223)</f>
        <v>27077</v>
      </c>
      <c r="C5223" t="s">
        <v>1154</v>
      </c>
      <c r="D5223" t="str">
        <f>IFERROR(VLOOKUP(C5223,APOYO!J:K,2,FALSE),C5223)</f>
        <v>BAJO BAUDÓ</v>
      </c>
      <c r="E5223" s="7">
        <v>2020</v>
      </c>
      <c r="H5223">
        <v>1459</v>
      </c>
    </row>
    <row r="5224" spans="1:8" x14ac:dyDescent="0.25">
      <c r="A5224" t="str">
        <f>_xlfn.XLOOKUP(C5224, 'Códigos DANE Municipios'!$B$2:$B$1123, 'Códigos DANE Municipios'!$A$2:$A$1123, "No encontrado")</f>
        <v>19075</v>
      </c>
      <c r="B5224" t="str">
        <f>IFERROR(VLOOKUP(D5224,APOYO!K:L,2,FALSE),A5224)</f>
        <v>19075</v>
      </c>
      <c r="C5224" t="s">
        <v>734</v>
      </c>
      <c r="D5224" t="str">
        <f>IFERROR(VLOOKUP(C5224,APOYO!J:K,2,FALSE),C5224)</f>
        <v>BALBOA</v>
      </c>
      <c r="E5224" s="7">
        <v>2020</v>
      </c>
      <c r="H5224">
        <v>11</v>
      </c>
    </row>
    <row r="5225" spans="1:8" x14ac:dyDescent="0.25">
      <c r="A5225" t="str">
        <f>_xlfn.XLOOKUP(C5225, 'Códigos DANE Municipios'!$B$2:$B$1123, 'Códigos DANE Municipios'!$A$2:$A$1123, "No encontrado")</f>
        <v>08078</v>
      </c>
      <c r="B5225" t="str">
        <f>IFERROR(VLOOKUP(D5225,APOYO!K:L,2,FALSE),A5225)</f>
        <v>08078</v>
      </c>
      <c r="C5225" t="s">
        <v>264</v>
      </c>
      <c r="D5225" t="str">
        <f>IFERROR(VLOOKUP(C5225,APOYO!J:K,2,FALSE),C5225)</f>
        <v>BARANOA</v>
      </c>
      <c r="E5225" s="7">
        <v>2020</v>
      </c>
      <c r="H5225">
        <v>125</v>
      </c>
    </row>
    <row r="5226" spans="1:8" x14ac:dyDescent="0.25">
      <c r="A5226" t="str">
        <f>_xlfn.XLOOKUP(C5226, 'Códigos DANE Municipios'!$B$2:$B$1123, 'Códigos DANE Municipios'!$A$2:$A$1123, "No encontrado")</f>
        <v>41078</v>
      </c>
      <c r="B5226" t="str">
        <f>IFERROR(VLOOKUP(D5226,APOYO!K:L,2,FALSE),A5226)</f>
        <v>41078</v>
      </c>
      <c r="C5226" t="s">
        <v>1213</v>
      </c>
      <c r="D5226" t="str">
        <f>IFERROR(VLOOKUP(C5226,APOYO!J:K,2,FALSE),C5226)</f>
        <v>BARAYA</v>
      </c>
      <c r="E5226" s="7">
        <v>2020</v>
      </c>
    </row>
    <row r="5227" spans="1:8" x14ac:dyDescent="0.25">
      <c r="A5227" t="str">
        <f>_xlfn.XLOOKUP(C5227, 'Códigos DANE Municipios'!$B$2:$B$1123, 'Códigos DANE Municipios'!$A$2:$A$1123, "No encontrado")</f>
        <v>52079</v>
      </c>
      <c r="B5227" t="str">
        <f>IFERROR(VLOOKUP(D5227,APOYO!K:L,2,FALSE),A5227)</f>
        <v>52079</v>
      </c>
      <c r="C5227" t="s">
        <v>1421</v>
      </c>
      <c r="D5227" t="str">
        <f>IFERROR(VLOOKUP(C5227,APOYO!J:K,2,FALSE),C5227)</f>
        <v>BARBACOAS</v>
      </c>
      <c r="E5227" s="7">
        <v>2020</v>
      </c>
      <c r="H5227">
        <v>17</v>
      </c>
    </row>
    <row r="5228" spans="1:8" x14ac:dyDescent="0.25">
      <c r="A5228" t="str">
        <f>_xlfn.XLOOKUP(C5228, 'Códigos DANE Municipios'!$B$2:$B$1123, 'Códigos DANE Municipios'!$A$2:$A$1123, "No encontrado")</f>
        <v>05079</v>
      </c>
      <c r="B5228" t="str">
        <f>IFERROR(VLOOKUP(D5228,APOYO!K:L,2,FALSE),A5228)</f>
        <v>05079</v>
      </c>
      <c r="C5228" t="s">
        <v>44</v>
      </c>
      <c r="D5228" t="str">
        <f>IFERROR(VLOOKUP(C5228,APOYO!J:K,2,FALSE),C5228)</f>
        <v>BARBOSA</v>
      </c>
      <c r="E5228" s="7">
        <v>2020</v>
      </c>
      <c r="H5228">
        <v>151</v>
      </c>
    </row>
    <row r="5229" spans="1:8" x14ac:dyDescent="0.25">
      <c r="A5229" t="str">
        <f>_xlfn.XLOOKUP(C5229, 'Códigos DANE Municipios'!$B$2:$B$1123, 'Códigos DANE Municipios'!$A$2:$A$1123, "No encontrado")</f>
        <v>68079</v>
      </c>
      <c r="B5229" t="str">
        <f>IFERROR(VLOOKUP(D5229,APOYO!K:L,2,FALSE),A5229)</f>
        <v>68079</v>
      </c>
      <c r="C5229" t="s">
        <v>1663</v>
      </c>
      <c r="D5229" t="str">
        <f>IFERROR(VLOOKUP(C5229,APOYO!J:K,2,FALSE),C5229)</f>
        <v>BARICHARA</v>
      </c>
      <c r="E5229" s="7">
        <v>2020</v>
      </c>
      <c r="H5229">
        <v>42</v>
      </c>
    </row>
    <row r="5230" spans="1:8" x14ac:dyDescent="0.25">
      <c r="A5230" t="str">
        <f>_xlfn.XLOOKUP(C5230, 'Códigos DANE Municipios'!$B$2:$B$1123, 'Códigos DANE Municipios'!$A$2:$A$1123, "No encontrado")</f>
        <v>50110</v>
      </c>
      <c r="B5230" t="str">
        <f>IFERROR(VLOOKUP(D5230,APOYO!K:L,2,FALSE),A5230)</f>
        <v>50110</v>
      </c>
      <c r="C5230" t="s">
        <v>1362</v>
      </c>
      <c r="D5230" t="str">
        <f>IFERROR(VLOOKUP(C5230,APOYO!J:K,2,FALSE),C5230)</f>
        <v>BARRANCA DE UPÍA</v>
      </c>
      <c r="E5230" s="7">
        <v>2020</v>
      </c>
      <c r="H5230">
        <v>2</v>
      </c>
    </row>
    <row r="5231" spans="1:8" x14ac:dyDescent="0.25">
      <c r="A5231" t="str">
        <f>_xlfn.XLOOKUP(C5231, 'Códigos DANE Municipios'!$B$2:$B$1123, 'Códigos DANE Municipios'!$A$2:$A$1123, "No encontrado")</f>
        <v>68081</v>
      </c>
      <c r="B5231" t="str">
        <f>IFERROR(VLOOKUP(D5231,APOYO!K:L,2,FALSE),A5231)</f>
        <v>68081</v>
      </c>
      <c r="C5231" t="s">
        <v>1665</v>
      </c>
      <c r="D5231" t="str">
        <f>IFERROR(VLOOKUP(C5231,APOYO!J:K,2,FALSE),C5231)</f>
        <v>BARRANCABERMEJA</v>
      </c>
      <c r="E5231" s="7">
        <v>2020</v>
      </c>
      <c r="F5231">
        <v>20806</v>
      </c>
      <c r="G5231">
        <v>210</v>
      </c>
      <c r="H5231">
        <v>252</v>
      </c>
    </row>
    <row r="5232" spans="1:8" x14ac:dyDescent="0.25">
      <c r="A5232" t="str">
        <f>_xlfn.XLOOKUP(C5232, 'Códigos DANE Municipios'!$B$2:$B$1123, 'Códigos DANE Municipios'!$A$2:$A$1123, "No encontrado")</f>
        <v>44078</v>
      </c>
      <c r="B5232" t="str">
        <f>IFERROR(VLOOKUP(D5232,APOYO!K:L,2,FALSE),A5232)</f>
        <v>44078</v>
      </c>
      <c r="C5232" t="s">
        <v>1275</v>
      </c>
      <c r="D5232" t="str">
        <f>IFERROR(VLOOKUP(C5232,APOYO!J:K,2,FALSE),C5232)</f>
        <v>BARRANCAS</v>
      </c>
      <c r="E5232" s="7">
        <v>2020</v>
      </c>
      <c r="H5232">
        <v>7</v>
      </c>
    </row>
    <row r="5233" spans="1:9" x14ac:dyDescent="0.25">
      <c r="A5233" t="str">
        <f>_xlfn.XLOOKUP(C5233, 'Códigos DANE Municipios'!$B$2:$B$1123, 'Códigos DANE Municipios'!$A$2:$A$1123, "No encontrado")</f>
        <v>08001</v>
      </c>
      <c r="B5233" t="str">
        <f>IFERROR(VLOOKUP(D5233,APOYO!K:L,2,FALSE),A5233)</f>
        <v>08001</v>
      </c>
      <c r="C5233" t="s">
        <v>262</v>
      </c>
      <c r="D5233" t="str">
        <f>IFERROR(VLOOKUP(C5233,APOYO!J:K,2,FALSE),C5233)</f>
        <v>BARRANQUILLA</v>
      </c>
      <c r="E5233" s="7">
        <v>2020</v>
      </c>
      <c r="F5233">
        <v>447250</v>
      </c>
      <c r="G5233">
        <v>57334</v>
      </c>
      <c r="H5233">
        <v>22198</v>
      </c>
    </row>
    <row r="5234" spans="1:9" x14ac:dyDescent="0.25">
      <c r="A5234" t="str">
        <f>_xlfn.XLOOKUP(C5234, 'Códigos DANE Municipios'!$B$2:$B$1123, 'Códigos DANE Municipios'!$A$2:$A$1123, "No encontrado")</f>
        <v>17088</v>
      </c>
      <c r="B5234" t="str">
        <f>IFERROR(VLOOKUP(D5234,APOYO!K:L,2,FALSE),A5234)</f>
        <v>17088</v>
      </c>
      <c r="C5234" t="s">
        <v>652</v>
      </c>
      <c r="D5234" t="str">
        <f>IFERROR(VLOOKUP(C5234,APOYO!J:K,2,FALSE),C5234)</f>
        <v>BELALCÁZAR</v>
      </c>
      <c r="E5234" s="7">
        <v>2020</v>
      </c>
      <c r="H5234">
        <v>4</v>
      </c>
    </row>
    <row r="5235" spans="1:9" x14ac:dyDescent="0.25">
      <c r="A5235" t="str">
        <f>_xlfn.XLOOKUP(C5235, 'Códigos DANE Municipios'!$B$2:$B$1123, 'Códigos DANE Municipios'!$A$2:$A$1123, "No encontrado")</f>
        <v>15087</v>
      </c>
      <c r="B5235" t="str">
        <f>IFERROR(VLOOKUP(D5235,APOYO!K:L,2,FALSE),A5235)</f>
        <v>15087</v>
      </c>
      <c r="C5235" t="s">
        <v>409</v>
      </c>
      <c r="D5235" t="str">
        <f>IFERROR(VLOOKUP(C5235,APOYO!J:K,2,FALSE),C5235)</f>
        <v>BELÉN</v>
      </c>
      <c r="E5235" s="7">
        <v>2020</v>
      </c>
      <c r="H5235">
        <v>8</v>
      </c>
    </row>
    <row r="5236" spans="1:9" x14ac:dyDescent="0.25">
      <c r="A5236" t="str">
        <f>_xlfn.XLOOKUP(C5236, 'Códigos DANE Municipios'!$B$2:$B$1123, 'Códigos DANE Municipios'!$A$2:$A$1123, "No encontrado")</f>
        <v>18094</v>
      </c>
      <c r="B5236" t="str">
        <f>IFERROR(VLOOKUP(D5236,APOYO!K:L,2,FALSE),A5236)</f>
        <v>18094</v>
      </c>
      <c r="C5236" t="s">
        <v>702</v>
      </c>
      <c r="D5236" t="str">
        <f>IFERROR(VLOOKUP(C5236,APOYO!J:K,2,FALSE),C5236)</f>
        <v>BELÉN DE LOS ANDAQUÍES</v>
      </c>
      <c r="E5236" s="7">
        <v>2020</v>
      </c>
      <c r="H5236">
        <v>2</v>
      </c>
    </row>
    <row r="5237" spans="1:9" x14ac:dyDescent="0.25">
      <c r="A5237" t="str">
        <f>_xlfn.XLOOKUP(C5237, 'Códigos DANE Municipios'!$B$2:$B$1123, 'Códigos DANE Municipios'!$A$2:$A$1123, "No encontrado")</f>
        <v>66088</v>
      </c>
      <c r="B5237" t="str">
        <f>IFERROR(VLOOKUP(D5237,APOYO!K:L,2,FALSE),A5237)</f>
        <v>66088</v>
      </c>
      <c r="C5237" t="s">
        <v>1633</v>
      </c>
      <c r="D5237" t="str">
        <f>IFERROR(VLOOKUP(C5237,APOYO!J:K,2,FALSE),C5237)</f>
        <v>BELÉN DE UMBRÍA</v>
      </c>
      <c r="E5237" s="7">
        <v>2020</v>
      </c>
      <c r="H5237">
        <v>60</v>
      </c>
    </row>
    <row r="5238" spans="1:9" x14ac:dyDescent="0.25">
      <c r="A5238" t="str">
        <f>_xlfn.XLOOKUP(C5238, 'Códigos DANE Municipios'!$B$2:$B$1123, 'Códigos DANE Municipios'!$A$2:$A$1123, "No encontrado")</f>
        <v>05088</v>
      </c>
      <c r="B5238" t="str">
        <f>IFERROR(VLOOKUP(D5238,APOYO!K:L,2,FALSE),A5238)</f>
        <v>05088</v>
      </c>
      <c r="C5238" t="s">
        <v>48</v>
      </c>
      <c r="D5238" t="str">
        <f>IFERROR(VLOOKUP(C5238,APOYO!J:K,2,FALSE),C5238)</f>
        <v>BELLO</v>
      </c>
      <c r="E5238" s="7">
        <v>2020</v>
      </c>
      <c r="H5238">
        <v>1094</v>
      </c>
    </row>
    <row r="5239" spans="1:9" x14ac:dyDescent="0.25">
      <c r="A5239" t="str">
        <f>_xlfn.XLOOKUP(C5239, 'Códigos DANE Municipios'!$B$2:$B$1123, 'Códigos DANE Municipios'!$A$2:$A$1123, "No encontrado")</f>
        <v>05086</v>
      </c>
      <c r="B5239" t="str">
        <f>IFERROR(VLOOKUP(D5239,APOYO!K:L,2,FALSE),A5239)</f>
        <v>05086</v>
      </c>
      <c r="C5239" t="s">
        <v>46</v>
      </c>
      <c r="D5239" t="str">
        <f>IFERROR(VLOOKUP(C5239,APOYO!J:K,2,FALSE),C5239)</f>
        <v>BELMIRA</v>
      </c>
      <c r="E5239" s="7">
        <v>2020</v>
      </c>
    </row>
    <row r="5240" spans="1:9" x14ac:dyDescent="0.25">
      <c r="A5240" t="str">
        <f>_xlfn.XLOOKUP(C5240, 'Códigos DANE Municipios'!$B$2:$B$1123, 'Códigos DANE Municipios'!$A$2:$A$1123, "No encontrado")</f>
        <v>25086</v>
      </c>
      <c r="B5240" t="str">
        <f>IFERROR(VLOOKUP(D5240,APOYO!K:L,2,FALSE),A5240)</f>
        <v>25086</v>
      </c>
      <c r="C5240" t="s">
        <v>926</v>
      </c>
      <c r="D5240" t="str">
        <f>IFERROR(VLOOKUP(C5240,APOYO!J:K,2,FALSE),C5240)</f>
        <v>BELTRÁN</v>
      </c>
      <c r="E5240" s="7">
        <v>2020</v>
      </c>
    </row>
    <row r="5241" spans="1:9" x14ac:dyDescent="0.25">
      <c r="A5241" t="str">
        <f>_xlfn.XLOOKUP(C5241, 'Códigos DANE Municipios'!$B$2:$B$1123, 'Códigos DANE Municipios'!$A$2:$A$1123, "No encontrado")</f>
        <v>15090</v>
      </c>
      <c r="B5241" t="str">
        <f>IFERROR(VLOOKUP(D5241,APOYO!K:L,2,FALSE),A5241)</f>
        <v>15090</v>
      </c>
      <c r="C5241" t="s">
        <v>411</v>
      </c>
      <c r="D5241" t="str">
        <f>IFERROR(VLOOKUP(C5241,APOYO!J:K,2,FALSE),C5241)</f>
        <v>BERBEO</v>
      </c>
      <c r="E5241" s="7">
        <v>2020</v>
      </c>
    </row>
    <row r="5242" spans="1:9" x14ac:dyDescent="0.25">
      <c r="A5242" t="str">
        <f>_xlfn.XLOOKUP(C5242, 'Códigos DANE Municipios'!$B$2:$B$1123, 'Códigos DANE Municipios'!$A$2:$A$1123, "No encontrado")</f>
        <v>05091</v>
      </c>
      <c r="B5242" t="str">
        <f>IFERROR(VLOOKUP(D5242,APOYO!K:L,2,FALSE),A5242)</f>
        <v>05091</v>
      </c>
      <c r="C5242" t="s">
        <v>50</v>
      </c>
      <c r="D5242" t="str">
        <f>IFERROR(VLOOKUP(C5242,APOYO!J:K,2,FALSE),C5242)</f>
        <v>BETANIA</v>
      </c>
      <c r="E5242" s="7">
        <v>2020</v>
      </c>
    </row>
    <row r="5243" spans="1:9" x14ac:dyDescent="0.25">
      <c r="A5243" t="str">
        <f>_xlfn.XLOOKUP(C5243, 'Códigos DANE Municipios'!$B$2:$B$1123, 'Códigos DANE Municipios'!$A$2:$A$1123, "No encontrado")</f>
        <v>05093</v>
      </c>
      <c r="B5243" t="str">
        <f>IFERROR(VLOOKUP(D5243,APOYO!K:L,2,FALSE),A5243)</f>
        <v>05093</v>
      </c>
      <c r="C5243" t="s">
        <v>52</v>
      </c>
      <c r="D5243" t="str">
        <f>IFERROR(VLOOKUP(C5243,APOYO!J:K,2,FALSE),C5243)</f>
        <v>BETULIA</v>
      </c>
      <c r="E5243" s="7">
        <v>2020</v>
      </c>
      <c r="H5243">
        <v>3</v>
      </c>
    </row>
    <row r="5244" spans="1:9" x14ac:dyDescent="0.25">
      <c r="A5244" t="str">
        <f>_xlfn.XLOOKUP(C5244, 'Códigos DANE Municipios'!$B$2:$B$1123, 'Códigos DANE Municipios'!$A$2:$A$1123, "No encontrado")</f>
        <v>25095</v>
      </c>
      <c r="B5244" t="str">
        <f>IFERROR(VLOOKUP(D5244,APOYO!K:L,2,FALSE),A5244)</f>
        <v>25095</v>
      </c>
      <c r="C5244" t="s">
        <v>928</v>
      </c>
      <c r="D5244" t="str">
        <f>IFERROR(VLOOKUP(C5244,APOYO!J:K,2,FALSE),C5244)</f>
        <v>BITUIMA</v>
      </c>
      <c r="E5244" s="7">
        <v>2020</v>
      </c>
    </row>
    <row r="5245" spans="1:9" x14ac:dyDescent="0.25">
      <c r="A5245" t="str">
        <f>_xlfn.XLOOKUP(C5245, 'Códigos DANE Municipios'!$B$2:$B$1123, 'Códigos DANE Municipios'!$A$2:$A$1123, "No encontrado")</f>
        <v>15097</v>
      </c>
      <c r="B5245" t="str">
        <f>IFERROR(VLOOKUP(D5245,APOYO!K:L,2,FALSE),A5245)</f>
        <v>15097</v>
      </c>
      <c r="C5245" t="s">
        <v>415</v>
      </c>
      <c r="D5245" t="str">
        <f>IFERROR(VLOOKUP(C5245,APOYO!J:K,2,FALSE),C5245)</f>
        <v>BOAVITA</v>
      </c>
      <c r="E5245" s="7">
        <v>2020</v>
      </c>
    </row>
    <row r="5246" spans="1:9" x14ac:dyDescent="0.25">
      <c r="A5246" t="str">
        <f>_xlfn.XLOOKUP(C5246, 'Códigos DANE Municipios'!$B$2:$B$1123, 'Códigos DANE Municipios'!$A$2:$A$1123, "No encontrado")</f>
        <v>54099</v>
      </c>
      <c r="B5246" t="str">
        <f>IFERROR(VLOOKUP(D5246,APOYO!K:L,2,FALSE),A5246)</f>
        <v>54099</v>
      </c>
      <c r="C5246" t="s">
        <v>1535</v>
      </c>
      <c r="D5246" t="str">
        <f>IFERROR(VLOOKUP(C5246,APOYO!J:K,2,FALSE),C5246)</f>
        <v>BOCHALEMA</v>
      </c>
      <c r="E5246" s="7">
        <v>2020</v>
      </c>
      <c r="H5246">
        <v>2</v>
      </c>
    </row>
    <row r="5247" spans="1:9" x14ac:dyDescent="0.25">
      <c r="A5247" t="str">
        <f>_xlfn.XLOOKUP(C5247, 'Códigos DANE Municipios'!$B$2:$B$1123, 'Códigos DANE Municipios'!$A$2:$A$1123, "No encontrado")</f>
        <v>11001</v>
      </c>
      <c r="B5247" t="str">
        <f>IFERROR(VLOOKUP(D5247,APOYO!K:L,2,FALSE),A5247)</f>
        <v>11001</v>
      </c>
      <c r="C5247" t="s">
        <v>307</v>
      </c>
      <c r="D5247" t="str">
        <f>IFERROR(VLOOKUP(C5247,APOYO!J:K,2,FALSE),C5247)</f>
        <v>BOGOTÁ, D.C.</v>
      </c>
      <c r="E5247" s="7">
        <v>2020</v>
      </c>
      <c r="F5247">
        <v>3193954</v>
      </c>
      <c r="G5247">
        <v>1178679</v>
      </c>
      <c r="H5247">
        <v>322939</v>
      </c>
      <c r="I5247">
        <v>5670</v>
      </c>
    </row>
    <row r="5248" spans="1:9" x14ac:dyDescent="0.25">
      <c r="A5248" t="str">
        <f>_xlfn.XLOOKUP(C5248, 'Códigos DANE Municipios'!$B$2:$B$1123, 'Códigos DANE Municipios'!$A$2:$A$1123, "No encontrado")</f>
        <v>25099</v>
      </c>
      <c r="B5248" t="str">
        <f>IFERROR(VLOOKUP(D5248,APOYO!K:L,2,FALSE),A5248)</f>
        <v>25099</v>
      </c>
      <c r="C5248" t="s">
        <v>930</v>
      </c>
      <c r="D5248" t="str">
        <f>IFERROR(VLOOKUP(C5248,APOYO!J:K,2,FALSE),C5248)</f>
        <v>BOJACÁ</v>
      </c>
      <c r="E5248" s="7">
        <v>2020</v>
      </c>
      <c r="H5248">
        <v>15</v>
      </c>
    </row>
    <row r="5249" spans="1:9" x14ac:dyDescent="0.25">
      <c r="A5249" t="str">
        <f>_xlfn.XLOOKUP(C5249, 'Códigos DANE Municipios'!$B$2:$B$1123, 'Códigos DANE Municipios'!$A$2:$A$1123, "No encontrado")</f>
        <v>19100</v>
      </c>
      <c r="B5249" t="str">
        <f>IFERROR(VLOOKUP(D5249,APOYO!K:L,2,FALSE),A5249)</f>
        <v>19100</v>
      </c>
      <c r="C5249" t="s">
        <v>736</v>
      </c>
      <c r="D5249" t="str">
        <f>IFERROR(VLOOKUP(C5249,APOYO!J:K,2,FALSE),C5249)</f>
        <v>BOLÍVAR</v>
      </c>
      <c r="E5249" s="7">
        <v>2020</v>
      </c>
      <c r="H5249">
        <v>35</v>
      </c>
    </row>
    <row r="5250" spans="1:9" x14ac:dyDescent="0.25">
      <c r="A5250" t="str">
        <f>_xlfn.XLOOKUP(C5250, 'Códigos DANE Municipios'!$B$2:$B$1123, 'Códigos DANE Municipios'!$A$2:$A$1123, "No encontrado")</f>
        <v>20060</v>
      </c>
      <c r="B5250" t="str">
        <f>IFERROR(VLOOKUP(D5250,APOYO!K:L,2,FALSE),A5250)</f>
        <v>20060</v>
      </c>
      <c r="C5250" t="s">
        <v>818</v>
      </c>
      <c r="D5250" t="str">
        <f>IFERROR(VLOOKUP(C5250,APOYO!J:K,2,FALSE),C5250)</f>
        <v>BOSCONIA</v>
      </c>
      <c r="E5250" s="7">
        <v>2020</v>
      </c>
      <c r="F5250">
        <v>271</v>
      </c>
      <c r="H5250">
        <v>34</v>
      </c>
    </row>
    <row r="5251" spans="1:9" x14ac:dyDescent="0.25">
      <c r="A5251" t="str">
        <f>_xlfn.XLOOKUP(C5251, 'Códigos DANE Municipios'!$B$2:$B$1123, 'Códigos DANE Municipios'!$A$2:$A$1123, "No encontrado")</f>
        <v>15104</v>
      </c>
      <c r="B5251" t="str">
        <f>IFERROR(VLOOKUP(D5251,APOYO!K:L,2,FALSE),A5251)</f>
        <v>15104</v>
      </c>
      <c r="C5251" t="s">
        <v>417</v>
      </c>
      <c r="D5251" t="str">
        <f>IFERROR(VLOOKUP(C5251,APOYO!J:K,2,FALSE),C5251)</f>
        <v>BOYACÁ</v>
      </c>
      <c r="E5251" s="7">
        <v>2020</v>
      </c>
      <c r="H5251">
        <v>15</v>
      </c>
    </row>
    <row r="5252" spans="1:9" x14ac:dyDescent="0.25">
      <c r="A5252" t="str">
        <f>_xlfn.XLOOKUP(C5252, 'Códigos DANE Municipios'!$B$2:$B$1123, 'Códigos DANE Municipios'!$A$2:$A$1123, "No encontrado")</f>
        <v>05107</v>
      </c>
      <c r="B5252" t="str">
        <f>IFERROR(VLOOKUP(D5252,APOYO!K:L,2,FALSE),A5252)</f>
        <v>05107</v>
      </c>
      <c r="C5252" t="s">
        <v>56</v>
      </c>
      <c r="D5252" t="str">
        <f>IFERROR(VLOOKUP(C5252,APOYO!J:K,2,FALSE),C5252)</f>
        <v>BRICEÑO</v>
      </c>
      <c r="E5252" s="7">
        <v>2020</v>
      </c>
      <c r="H5252">
        <v>1</v>
      </c>
    </row>
    <row r="5253" spans="1:9" x14ac:dyDescent="0.25">
      <c r="A5253" t="s">
        <v>418</v>
      </c>
      <c r="B5253" t="s">
        <v>418</v>
      </c>
      <c r="C5253" t="s">
        <v>56</v>
      </c>
      <c r="D5253" t="str">
        <f>IFERROR(VLOOKUP(C5253,APOYO!J:K,2,FALSE),C5253)</f>
        <v>BRICEÑO</v>
      </c>
      <c r="E5253" s="7">
        <v>2020</v>
      </c>
      <c r="H5253">
        <v>1</v>
      </c>
    </row>
    <row r="5254" spans="1:9" x14ac:dyDescent="0.25">
      <c r="A5254" t="str">
        <f>_xlfn.XLOOKUP(C5254, 'Códigos DANE Municipios'!$B$2:$B$1123, 'Códigos DANE Municipios'!$A$2:$A$1123, "No encontrado")</f>
        <v>68001</v>
      </c>
      <c r="B5254" t="str">
        <f>IFERROR(VLOOKUP(D5254,APOYO!K:L,2,FALSE),A5254)</f>
        <v>68001</v>
      </c>
      <c r="C5254" t="s">
        <v>1655</v>
      </c>
      <c r="D5254" t="str">
        <f>IFERROR(VLOOKUP(C5254,APOYO!J:K,2,FALSE),C5254)</f>
        <v>BUCARAMANGA</v>
      </c>
      <c r="E5254" s="7">
        <v>2020</v>
      </c>
      <c r="F5254">
        <v>293114</v>
      </c>
      <c r="G5254">
        <v>13625</v>
      </c>
      <c r="H5254">
        <v>5338</v>
      </c>
    </row>
    <row r="5255" spans="1:9" x14ac:dyDescent="0.25">
      <c r="A5255" t="str">
        <f>_xlfn.XLOOKUP(C5255, 'Códigos DANE Municipios'!$B$2:$B$1123, 'Códigos DANE Municipios'!$A$2:$A$1123, "No encontrado")</f>
        <v>76109</v>
      </c>
      <c r="B5255" t="str">
        <f>IFERROR(VLOOKUP(D5255,APOYO!K:L,2,FALSE),A5255)</f>
        <v>76109</v>
      </c>
      <c r="C5255" t="s">
        <v>1967</v>
      </c>
      <c r="D5255" t="str">
        <f>IFERROR(VLOOKUP(C5255,APOYO!J:K,2,FALSE),C5255)</f>
        <v>BUENAVENTURA</v>
      </c>
      <c r="E5255" s="7">
        <v>2020</v>
      </c>
      <c r="F5255">
        <v>2519</v>
      </c>
      <c r="H5255">
        <v>421</v>
      </c>
      <c r="I5255">
        <v>78</v>
      </c>
    </row>
    <row r="5256" spans="1:9" x14ac:dyDescent="0.25">
      <c r="A5256" t="str">
        <f>_xlfn.XLOOKUP(C5256, 'Códigos DANE Municipios'!$B$2:$B$1123, 'Códigos DANE Municipios'!$A$2:$A$1123, "No encontrado")</f>
        <v>15109</v>
      </c>
      <c r="B5256" t="str">
        <f>IFERROR(VLOOKUP(D5256,APOYO!K:L,2,FALSE),A5256)</f>
        <v>15109</v>
      </c>
      <c r="C5256" t="s">
        <v>420</v>
      </c>
      <c r="D5256" t="str">
        <f>IFERROR(VLOOKUP(C5256,APOYO!J:K,2,FALSE),C5256)</f>
        <v>BUENAVISTA</v>
      </c>
      <c r="E5256" s="7">
        <v>2020</v>
      </c>
      <c r="H5256">
        <v>11</v>
      </c>
    </row>
    <row r="5257" spans="1:9" x14ac:dyDescent="0.25">
      <c r="A5257" t="str">
        <f>_xlfn.XLOOKUP(C5257, 'Códigos DANE Municipios'!$B$2:$B$1123, 'Códigos DANE Municipios'!$A$2:$A$1123, "No encontrado")</f>
        <v>19110</v>
      </c>
      <c r="B5257" t="str">
        <f>IFERROR(VLOOKUP(D5257,APOYO!K:L,2,FALSE),A5257)</f>
        <v>19110</v>
      </c>
      <c r="C5257" t="s">
        <v>738</v>
      </c>
      <c r="D5257" t="str">
        <f>IFERROR(VLOOKUP(C5257,APOYO!J:K,2,FALSE),C5257)</f>
        <v>BUENOS AIRES</v>
      </c>
      <c r="E5257" s="7">
        <v>2020</v>
      </c>
      <c r="H5257">
        <v>11</v>
      </c>
    </row>
    <row r="5258" spans="1:9" x14ac:dyDescent="0.25">
      <c r="A5258" t="str">
        <f>_xlfn.XLOOKUP(C5258, 'Códigos DANE Municipios'!$B$2:$B$1123, 'Códigos DANE Municipios'!$A$2:$A$1123, "No encontrado")</f>
        <v>52110</v>
      </c>
      <c r="B5258" t="str">
        <f>IFERROR(VLOOKUP(D5258,APOYO!K:L,2,FALSE),A5258)</f>
        <v>52110</v>
      </c>
      <c r="C5258" t="s">
        <v>1424</v>
      </c>
      <c r="D5258" t="str">
        <f>IFERROR(VLOOKUP(C5258,APOYO!J:K,2,FALSE),C5258)</f>
        <v>BUESACO</v>
      </c>
      <c r="E5258" s="7">
        <v>2020</v>
      </c>
      <c r="H5258">
        <v>5</v>
      </c>
    </row>
    <row r="5259" spans="1:9" x14ac:dyDescent="0.25">
      <c r="A5259" t="str">
        <f>_xlfn.XLOOKUP(C5259, 'Códigos DANE Municipios'!$B$2:$B$1123, 'Códigos DANE Municipios'!$A$2:$A$1123, "No encontrado")</f>
        <v>76111</v>
      </c>
      <c r="B5259" t="str">
        <f>IFERROR(VLOOKUP(D5259,APOYO!K:L,2,FALSE),A5259)</f>
        <v>76111</v>
      </c>
      <c r="C5259" t="s">
        <v>1969</v>
      </c>
      <c r="D5259" t="str">
        <f>IFERROR(VLOOKUP(C5259,APOYO!J:K,2,FALSE),C5259)</f>
        <v>GUADALAJARA DE BUGA</v>
      </c>
      <c r="E5259" s="7">
        <v>2020</v>
      </c>
      <c r="H5259">
        <v>348</v>
      </c>
    </row>
    <row r="5260" spans="1:9" x14ac:dyDescent="0.25">
      <c r="A5260" t="str">
        <f>_xlfn.XLOOKUP(C5260, 'Códigos DANE Municipios'!$B$2:$B$1123, 'Códigos DANE Municipios'!$A$2:$A$1123, "No encontrado")</f>
        <v>76113</v>
      </c>
      <c r="B5260" t="str">
        <f>IFERROR(VLOOKUP(D5260,APOYO!K:L,2,FALSE),A5260)</f>
        <v>76113</v>
      </c>
      <c r="C5260" t="s">
        <v>1971</v>
      </c>
      <c r="D5260" t="str">
        <f>IFERROR(VLOOKUP(C5260,APOYO!J:K,2,FALSE),C5260)</f>
        <v>BUGALAGRANDE</v>
      </c>
      <c r="E5260" s="7">
        <v>2020</v>
      </c>
      <c r="H5260">
        <v>284</v>
      </c>
    </row>
    <row r="5261" spans="1:9" x14ac:dyDescent="0.25">
      <c r="A5261" t="str">
        <f>_xlfn.XLOOKUP(C5261, 'Códigos DANE Municipios'!$B$2:$B$1123, 'Códigos DANE Municipios'!$A$2:$A$1123, "No encontrado")</f>
        <v>05113</v>
      </c>
      <c r="B5261" t="str">
        <f>IFERROR(VLOOKUP(D5261,APOYO!K:L,2,FALSE),A5261)</f>
        <v>05113</v>
      </c>
      <c r="C5261" t="s">
        <v>58</v>
      </c>
      <c r="D5261" t="str">
        <f>IFERROR(VLOOKUP(C5261,APOYO!J:K,2,FALSE),C5261)</f>
        <v>BURITICÁ</v>
      </c>
      <c r="E5261" s="7">
        <v>2020</v>
      </c>
      <c r="H5261">
        <v>47</v>
      </c>
    </row>
    <row r="5262" spans="1:9" x14ac:dyDescent="0.25">
      <c r="A5262" t="str">
        <f>_xlfn.XLOOKUP(C5262, 'Códigos DANE Municipios'!$B$2:$B$1123, 'Códigos DANE Municipios'!$A$2:$A$1123, "No encontrado")</f>
        <v>25120</v>
      </c>
      <c r="B5262" t="str">
        <f>IFERROR(VLOOKUP(D5262,APOYO!K:L,2,FALSE),A5262)</f>
        <v>25120</v>
      </c>
      <c r="C5262" t="s">
        <v>932</v>
      </c>
      <c r="D5262" t="str">
        <f>IFERROR(VLOOKUP(C5262,APOYO!J:K,2,FALSE),C5262)</f>
        <v>CABRERA</v>
      </c>
      <c r="E5262" s="7">
        <v>2020</v>
      </c>
      <c r="H5262">
        <v>1</v>
      </c>
    </row>
    <row r="5263" spans="1:9" x14ac:dyDescent="0.25">
      <c r="A5263" t="str">
        <f>_xlfn.XLOOKUP(C5263, 'Códigos DANE Municipios'!$B$2:$B$1123, 'Códigos DANE Municipios'!$A$2:$A$1123, "No encontrado")</f>
        <v>50124</v>
      </c>
      <c r="B5263" t="str">
        <f>IFERROR(VLOOKUP(D5263,APOYO!K:L,2,FALSE),A5263)</f>
        <v>50124</v>
      </c>
      <c r="C5263" t="s">
        <v>1364</v>
      </c>
      <c r="D5263" t="str">
        <f>IFERROR(VLOOKUP(C5263,APOYO!J:K,2,FALSE),C5263)</f>
        <v>CABUYARO</v>
      </c>
      <c r="E5263" s="7">
        <v>2020</v>
      </c>
      <c r="H5263">
        <v>1</v>
      </c>
    </row>
    <row r="5264" spans="1:9" x14ac:dyDescent="0.25">
      <c r="A5264" t="str">
        <f>_xlfn.XLOOKUP(C5264, 'Códigos DANE Municipios'!$B$2:$B$1123, 'Códigos DANE Municipios'!$A$2:$A$1123, "No encontrado")</f>
        <v>05120</v>
      </c>
      <c r="B5264" t="str">
        <f>IFERROR(VLOOKUP(D5264,APOYO!K:L,2,FALSE),A5264)</f>
        <v>05120</v>
      </c>
      <c r="C5264" t="s">
        <v>60</v>
      </c>
      <c r="D5264" t="str">
        <f>IFERROR(VLOOKUP(C5264,APOYO!J:K,2,FALSE),C5264)</f>
        <v>CÁCERES</v>
      </c>
      <c r="E5264" s="7">
        <v>2020</v>
      </c>
    </row>
    <row r="5265" spans="1:8" x14ac:dyDescent="0.25">
      <c r="A5265" t="str">
        <f>_xlfn.XLOOKUP(C5265, 'Códigos DANE Municipios'!$B$2:$B$1123, 'Códigos DANE Municipios'!$A$2:$A$1123, "No encontrado")</f>
        <v>25123</v>
      </c>
      <c r="B5265" t="str">
        <f>IFERROR(VLOOKUP(D5265,APOYO!K:L,2,FALSE),A5265)</f>
        <v>25123</v>
      </c>
      <c r="C5265" t="s">
        <v>934</v>
      </c>
      <c r="D5265" t="str">
        <f>IFERROR(VLOOKUP(C5265,APOYO!J:K,2,FALSE),C5265)</f>
        <v>CACHIPAY</v>
      </c>
      <c r="E5265" s="7">
        <v>2020</v>
      </c>
      <c r="H5265">
        <v>15</v>
      </c>
    </row>
    <row r="5266" spans="1:8" x14ac:dyDescent="0.25">
      <c r="A5266" t="str">
        <f>_xlfn.XLOOKUP(C5266, 'Códigos DANE Municipios'!$B$2:$B$1123, 'Códigos DANE Municipios'!$A$2:$A$1123, "No encontrado")</f>
        <v>54128</v>
      </c>
      <c r="B5266" t="str">
        <f>IFERROR(VLOOKUP(D5266,APOYO!K:L,2,FALSE),A5266)</f>
        <v>54128</v>
      </c>
      <c r="C5266" t="s">
        <v>1541</v>
      </c>
      <c r="D5266" t="str">
        <f>IFERROR(VLOOKUP(C5266,APOYO!J:K,2,FALSE),C5266)</f>
        <v>CÁCHIRA</v>
      </c>
      <c r="E5266" s="7">
        <v>2020</v>
      </c>
      <c r="H5266">
        <v>2</v>
      </c>
    </row>
    <row r="5267" spans="1:8" x14ac:dyDescent="0.25">
      <c r="A5267" t="str">
        <f>_xlfn.XLOOKUP(C5267, 'Códigos DANE Municipios'!$B$2:$B$1123, 'Códigos DANE Municipios'!$A$2:$A$1123, "No encontrado")</f>
        <v>54125</v>
      </c>
      <c r="B5267" t="str">
        <f>IFERROR(VLOOKUP(D5267,APOYO!K:L,2,FALSE),A5267)</f>
        <v>54125</v>
      </c>
      <c r="C5267" t="s">
        <v>1539</v>
      </c>
      <c r="D5267" t="str">
        <f>IFERROR(VLOOKUP(C5267,APOYO!J:K,2,FALSE),C5267)</f>
        <v>CÁCOTA</v>
      </c>
      <c r="E5267" s="7">
        <v>2020</v>
      </c>
      <c r="H5267">
        <v>26</v>
      </c>
    </row>
    <row r="5268" spans="1:8" x14ac:dyDescent="0.25">
      <c r="A5268" t="str">
        <f>_xlfn.XLOOKUP(C5268, 'Códigos DANE Municipios'!$B$2:$B$1123, 'Códigos DANE Municipios'!$A$2:$A$1123, "No encontrado")</f>
        <v>05125</v>
      </c>
      <c r="B5268" t="str">
        <f>IFERROR(VLOOKUP(D5268,APOYO!K:L,2,FALSE),A5268)</f>
        <v>05125</v>
      </c>
      <c r="C5268" t="s">
        <v>62</v>
      </c>
      <c r="D5268" t="str">
        <f>IFERROR(VLOOKUP(C5268,APOYO!J:K,2,FALSE),C5268)</f>
        <v>CAICEDO</v>
      </c>
      <c r="E5268" s="7">
        <v>2020</v>
      </c>
      <c r="H5268">
        <v>6</v>
      </c>
    </row>
    <row r="5269" spans="1:8" x14ac:dyDescent="0.25">
      <c r="A5269" t="str">
        <f>_xlfn.XLOOKUP(C5269, 'Códigos DANE Municipios'!$B$2:$B$1123, 'Códigos DANE Municipios'!$A$2:$A$1123, "No encontrado")</f>
        <v>76122</v>
      </c>
      <c r="B5269" t="str">
        <f>IFERROR(VLOOKUP(D5269,APOYO!K:L,2,FALSE),A5269)</f>
        <v>76122</v>
      </c>
      <c r="C5269" t="s">
        <v>1973</v>
      </c>
      <c r="D5269" t="str">
        <f>IFERROR(VLOOKUP(C5269,APOYO!J:K,2,FALSE),C5269)</f>
        <v>CAICEDONIA</v>
      </c>
      <c r="E5269" s="7">
        <v>2020</v>
      </c>
      <c r="H5269">
        <v>129</v>
      </c>
    </row>
    <row r="5270" spans="1:8" x14ac:dyDescent="0.25">
      <c r="A5270" t="str">
        <f>_xlfn.XLOOKUP(C5270, 'Códigos DANE Municipios'!$B$2:$B$1123, 'Códigos DANE Municipios'!$A$2:$A$1123, "No encontrado")</f>
        <v>73124</v>
      </c>
      <c r="B5270" t="str">
        <f>IFERROR(VLOOKUP(D5270,APOYO!K:L,2,FALSE),A5270)</f>
        <v>73124</v>
      </c>
      <c r="C5270" t="s">
        <v>1879</v>
      </c>
      <c r="D5270" t="str">
        <f>IFERROR(VLOOKUP(C5270,APOYO!J:K,2,FALSE),C5270)</f>
        <v>CAJAMARCA</v>
      </c>
      <c r="E5270" s="7">
        <v>2020</v>
      </c>
      <c r="H5270">
        <v>17</v>
      </c>
    </row>
    <row r="5271" spans="1:8" x14ac:dyDescent="0.25">
      <c r="A5271" t="str">
        <f>_xlfn.XLOOKUP(C5271, 'Códigos DANE Municipios'!$B$2:$B$1123, 'Códigos DANE Municipios'!$A$2:$A$1123, "No encontrado")</f>
        <v>19130</v>
      </c>
      <c r="B5271" t="str">
        <f>IFERROR(VLOOKUP(D5271,APOYO!K:L,2,FALSE),A5271)</f>
        <v>19130</v>
      </c>
      <c r="C5271" t="s">
        <v>740</v>
      </c>
      <c r="D5271" t="str">
        <f>IFERROR(VLOOKUP(C5271,APOYO!J:K,2,FALSE),C5271)</f>
        <v>CAJIBÍO</v>
      </c>
      <c r="E5271" s="7">
        <v>2020</v>
      </c>
      <c r="H5271">
        <v>19</v>
      </c>
    </row>
    <row r="5272" spans="1:8" x14ac:dyDescent="0.25">
      <c r="A5272" t="str">
        <f>_xlfn.XLOOKUP(C5272, 'Códigos DANE Municipios'!$B$2:$B$1123, 'Códigos DANE Municipios'!$A$2:$A$1123, "No encontrado")</f>
        <v>25126</v>
      </c>
      <c r="B5272" t="str">
        <f>IFERROR(VLOOKUP(D5272,APOYO!K:L,2,FALSE),A5272)</f>
        <v>25126</v>
      </c>
      <c r="C5272" t="s">
        <v>936</v>
      </c>
      <c r="D5272" t="str">
        <f>IFERROR(VLOOKUP(C5272,APOYO!J:K,2,FALSE),C5272)</f>
        <v>CAJICÁ</v>
      </c>
      <c r="E5272" s="7">
        <v>2020</v>
      </c>
      <c r="H5272">
        <v>528</v>
      </c>
    </row>
    <row r="5273" spans="1:8" x14ac:dyDescent="0.25">
      <c r="A5273" t="str">
        <f>_xlfn.XLOOKUP(C5273, 'Códigos DANE Municipios'!$B$2:$B$1123, 'Códigos DANE Municipios'!$A$2:$A$1123, "No encontrado")</f>
        <v>13140</v>
      </c>
      <c r="B5273" t="str">
        <f>IFERROR(VLOOKUP(D5273,APOYO!K:L,2,FALSE),A5273)</f>
        <v>13140</v>
      </c>
      <c r="C5273" t="s">
        <v>323</v>
      </c>
      <c r="D5273" t="str">
        <f>IFERROR(VLOOKUP(C5273,APOYO!J:K,2,FALSE),C5273)</f>
        <v>CALAMAR</v>
      </c>
      <c r="E5273" s="7">
        <v>2020</v>
      </c>
      <c r="H5273">
        <v>1</v>
      </c>
    </row>
    <row r="5274" spans="1:8" x14ac:dyDescent="0.25">
      <c r="A5274" t="str">
        <f>_xlfn.XLOOKUP(C5274, 'Códigos DANE Municipios'!$B$2:$B$1123, 'Códigos DANE Municipios'!$A$2:$A$1123, "No encontrado")</f>
        <v>63130</v>
      </c>
      <c r="B5274" t="str">
        <f>IFERROR(VLOOKUP(D5274,APOYO!K:L,2,FALSE),A5274)</f>
        <v>63130</v>
      </c>
      <c r="C5274" t="s">
        <v>1609</v>
      </c>
      <c r="D5274" t="str">
        <f>IFERROR(VLOOKUP(C5274,APOYO!J:K,2,FALSE),C5274)</f>
        <v>CALARCÁ</v>
      </c>
      <c r="E5274" s="7">
        <v>2020</v>
      </c>
      <c r="H5274">
        <v>172</v>
      </c>
    </row>
    <row r="5275" spans="1:8" x14ac:dyDescent="0.25">
      <c r="A5275" t="str">
        <f>_xlfn.XLOOKUP(C5275, 'Códigos DANE Municipios'!$B$2:$B$1123, 'Códigos DANE Municipios'!$A$2:$A$1123, "No encontrado")</f>
        <v>05129</v>
      </c>
      <c r="B5275" t="str">
        <f>IFERROR(VLOOKUP(D5275,APOYO!K:L,2,FALSE),A5275)</f>
        <v>05129</v>
      </c>
      <c r="C5275" t="s">
        <v>64</v>
      </c>
      <c r="D5275" t="str">
        <f>IFERROR(VLOOKUP(C5275,APOYO!J:K,2,FALSE),C5275)</f>
        <v>CALDAS</v>
      </c>
      <c r="E5275" s="7">
        <v>2020</v>
      </c>
      <c r="H5275">
        <v>82</v>
      </c>
    </row>
    <row r="5276" spans="1:8" x14ac:dyDescent="0.25">
      <c r="A5276" t="str">
        <f>_xlfn.XLOOKUP(C5276, 'Códigos DANE Municipios'!$B$2:$B$1123, 'Códigos DANE Municipios'!$A$2:$A$1123, "No encontrado")</f>
        <v>19137</v>
      </c>
      <c r="B5276" t="str">
        <f>IFERROR(VLOOKUP(D5276,APOYO!K:L,2,FALSE),A5276)</f>
        <v>19137</v>
      </c>
      <c r="C5276" t="s">
        <v>742</v>
      </c>
      <c r="D5276" t="str">
        <f>IFERROR(VLOOKUP(C5276,APOYO!J:K,2,FALSE),C5276)</f>
        <v>CALDONO</v>
      </c>
      <c r="E5276" s="7">
        <v>2020</v>
      </c>
      <c r="H5276">
        <v>17</v>
      </c>
    </row>
    <row r="5277" spans="1:8" x14ac:dyDescent="0.25">
      <c r="A5277" t="str">
        <f>_xlfn.XLOOKUP(C5277, 'Códigos DANE Municipios'!$B$2:$B$1123, 'Códigos DANE Municipios'!$A$2:$A$1123, "No encontrado")</f>
        <v>76001</v>
      </c>
      <c r="B5277" t="str">
        <f>IFERROR(VLOOKUP(D5277,APOYO!K:L,2,FALSE),A5277)</f>
        <v>76001</v>
      </c>
      <c r="C5277" t="s">
        <v>1957</v>
      </c>
      <c r="D5277" t="str">
        <f>IFERROR(VLOOKUP(C5277,APOYO!J:K,2,FALSE),C5277)</f>
        <v>CALI</v>
      </c>
      <c r="E5277" s="7">
        <v>2020</v>
      </c>
      <c r="F5277">
        <v>783987</v>
      </c>
      <c r="G5277">
        <v>166757</v>
      </c>
      <c r="H5277">
        <v>49345</v>
      </c>
    </row>
    <row r="5278" spans="1:8" x14ac:dyDescent="0.25">
      <c r="A5278" t="str">
        <f>_xlfn.XLOOKUP(C5278, 'Códigos DANE Municipios'!$B$2:$B$1123, 'Códigos DANE Municipios'!$A$2:$A$1123, "No encontrado")</f>
        <v>68132</v>
      </c>
      <c r="B5278" t="str">
        <f>IFERROR(VLOOKUP(D5278,APOYO!K:L,2,FALSE),A5278)</f>
        <v>68132</v>
      </c>
      <c r="C5278" t="s">
        <v>1670</v>
      </c>
      <c r="D5278" t="str">
        <f>IFERROR(VLOOKUP(C5278,APOYO!J:K,2,FALSE),C5278)</f>
        <v>CALIFORNIA</v>
      </c>
      <c r="E5278" s="7">
        <v>2020</v>
      </c>
    </row>
    <row r="5279" spans="1:8" x14ac:dyDescent="0.25">
      <c r="A5279" t="str">
        <f>_xlfn.XLOOKUP(C5279, 'Códigos DANE Municipios'!$B$2:$B$1123, 'Códigos DANE Municipios'!$A$2:$A$1123, "No encontrado")</f>
        <v>76126</v>
      </c>
      <c r="B5279" t="str">
        <f>IFERROR(VLOOKUP(D5279,APOYO!K:L,2,FALSE),A5279)</f>
        <v>76126</v>
      </c>
      <c r="C5279" t="s">
        <v>1975</v>
      </c>
      <c r="D5279" t="str">
        <f>IFERROR(VLOOKUP(C5279,APOYO!J:K,2,FALSE),C5279)</f>
        <v>CALIMA</v>
      </c>
      <c r="E5279" s="7">
        <v>2020</v>
      </c>
      <c r="F5279">
        <v>7</v>
      </c>
      <c r="G5279">
        <v>8</v>
      </c>
      <c r="H5279">
        <v>79</v>
      </c>
    </row>
    <row r="5280" spans="1:8" x14ac:dyDescent="0.25">
      <c r="A5280" t="str">
        <f>_xlfn.XLOOKUP(C5280, 'Códigos DANE Municipios'!$B$2:$B$1123, 'Códigos DANE Municipios'!$A$2:$A$1123, "No encontrado")</f>
        <v>19142</v>
      </c>
      <c r="B5280" t="str">
        <f>IFERROR(VLOOKUP(D5280,APOYO!K:L,2,FALSE),A5280)</f>
        <v>19142</v>
      </c>
      <c r="C5280" t="s">
        <v>744</v>
      </c>
      <c r="D5280" t="str">
        <f>IFERROR(VLOOKUP(C5280,APOYO!J:K,2,FALSE),C5280)</f>
        <v>CALOTO</v>
      </c>
      <c r="E5280" s="7">
        <v>2020</v>
      </c>
      <c r="F5280">
        <v>2</v>
      </c>
      <c r="H5280">
        <v>14</v>
      </c>
    </row>
    <row r="5281" spans="1:9" x14ac:dyDescent="0.25">
      <c r="A5281" t="str">
        <f>_xlfn.XLOOKUP(C5281, 'Códigos DANE Municipios'!$B$2:$B$1123, 'Códigos DANE Municipios'!$A$2:$A$1123, "No encontrado")</f>
        <v>41132</v>
      </c>
      <c r="B5281" t="str">
        <f>IFERROR(VLOOKUP(D5281,APOYO!K:L,2,FALSE),A5281)</f>
        <v>41132</v>
      </c>
      <c r="C5281" t="s">
        <v>1215</v>
      </c>
      <c r="D5281" t="str">
        <f>IFERROR(VLOOKUP(C5281,APOYO!J:K,2,FALSE),C5281)</f>
        <v>CAMPOALEGRE</v>
      </c>
      <c r="E5281" s="7">
        <v>2020</v>
      </c>
      <c r="H5281">
        <v>10</v>
      </c>
    </row>
    <row r="5282" spans="1:9" x14ac:dyDescent="0.25">
      <c r="A5282" t="str">
        <f>_xlfn.XLOOKUP(C5282, 'Códigos DANE Municipios'!$B$2:$B$1123, 'Códigos DANE Municipios'!$A$2:$A$1123, "No encontrado")</f>
        <v>08141</v>
      </c>
      <c r="B5282" t="str">
        <f>IFERROR(VLOOKUP(D5282,APOYO!K:L,2,FALSE),A5282)</f>
        <v>08141</v>
      </c>
      <c r="C5282" t="s">
        <v>268</v>
      </c>
      <c r="D5282" t="str">
        <f>IFERROR(VLOOKUP(C5282,APOYO!J:K,2,FALSE),C5282)</f>
        <v>CANDELARIA</v>
      </c>
      <c r="E5282" s="7">
        <v>2020</v>
      </c>
      <c r="F5282">
        <v>241</v>
      </c>
      <c r="H5282">
        <v>99</v>
      </c>
    </row>
    <row r="5283" spans="1:9" x14ac:dyDescent="0.25">
      <c r="A5283" t="str">
        <f>_xlfn.XLOOKUP(C5283, 'Códigos DANE Municipios'!$B$2:$B$1123, 'Códigos DANE Municipios'!$A$2:$A$1123, "No encontrado")</f>
        <v>13160</v>
      </c>
      <c r="B5283" t="str">
        <f>IFERROR(VLOOKUP(D5283,APOYO!K:L,2,FALSE),A5283)</f>
        <v>13160</v>
      </c>
      <c r="C5283" t="s">
        <v>325</v>
      </c>
      <c r="D5283" t="str">
        <f>IFERROR(VLOOKUP(C5283,APOYO!J:K,2,FALSE),C5283)</f>
        <v>CANTAGALLO</v>
      </c>
      <c r="E5283" s="7">
        <v>2020</v>
      </c>
      <c r="H5283">
        <v>12</v>
      </c>
    </row>
    <row r="5284" spans="1:9" x14ac:dyDescent="0.25">
      <c r="A5284" t="str">
        <f>_xlfn.XLOOKUP(C5284, 'Códigos DANE Municipios'!$B$2:$B$1123, 'Códigos DANE Municipios'!$A$2:$A$1123, "No encontrado")</f>
        <v>05138</v>
      </c>
      <c r="B5284" t="str">
        <f>IFERROR(VLOOKUP(D5284,APOYO!K:L,2,FALSE),A5284)</f>
        <v>05138</v>
      </c>
      <c r="C5284" t="s">
        <v>68</v>
      </c>
      <c r="D5284" t="str">
        <f>IFERROR(VLOOKUP(C5284,APOYO!J:K,2,FALSE),C5284)</f>
        <v>CAÑASGORDAS</v>
      </c>
      <c r="E5284" s="7">
        <v>2020</v>
      </c>
      <c r="H5284">
        <v>3</v>
      </c>
    </row>
    <row r="5285" spans="1:9" x14ac:dyDescent="0.25">
      <c r="A5285" t="str">
        <f>_xlfn.XLOOKUP(C5285, 'Códigos DANE Municipios'!$B$2:$B$1123, 'Códigos DANE Municipios'!$A$2:$A$1123, "No encontrado")</f>
        <v>25148</v>
      </c>
      <c r="B5285" t="str">
        <f>IFERROR(VLOOKUP(D5285,APOYO!K:L,2,FALSE),A5285)</f>
        <v>25148</v>
      </c>
      <c r="C5285" t="s">
        <v>938</v>
      </c>
      <c r="D5285" t="str">
        <f>IFERROR(VLOOKUP(C5285,APOYO!J:K,2,FALSE),C5285)</f>
        <v>CAPARRAPÍ</v>
      </c>
      <c r="E5285" s="7">
        <v>2020</v>
      </c>
      <c r="H5285">
        <v>1</v>
      </c>
    </row>
    <row r="5286" spans="1:9" x14ac:dyDescent="0.25">
      <c r="A5286" t="str">
        <f>_xlfn.XLOOKUP(C5286, 'Códigos DANE Municipios'!$B$2:$B$1123, 'Códigos DANE Municipios'!$A$2:$A$1123, "No encontrado")</f>
        <v>68147</v>
      </c>
      <c r="B5286" t="str">
        <f>IFERROR(VLOOKUP(D5286,APOYO!K:L,2,FALSE),A5286)</f>
        <v>68147</v>
      </c>
      <c r="C5286" t="s">
        <v>1672</v>
      </c>
      <c r="D5286" t="str">
        <f>IFERROR(VLOOKUP(C5286,APOYO!J:K,2,FALSE),C5286)</f>
        <v>CAPITANEJO</v>
      </c>
      <c r="E5286" s="7">
        <v>2020</v>
      </c>
      <c r="H5286">
        <v>1</v>
      </c>
    </row>
    <row r="5287" spans="1:9" x14ac:dyDescent="0.25">
      <c r="A5287" t="str">
        <f>_xlfn.XLOOKUP(C5287, 'Códigos DANE Municipios'!$B$2:$B$1123, 'Códigos DANE Municipios'!$A$2:$A$1123, "No encontrado")</f>
        <v>25151</v>
      </c>
      <c r="B5287" t="str">
        <f>IFERROR(VLOOKUP(D5287,APOYO!K:L,2,FALSE),A5287)</f>
        <v>25151</v>
      </c>
      <c r="C5287" t="s">
        <v>940</v>
      </c>
      <c r="D5287" t="str">
        <f>IFERROR(VLOOKUP(C5287,APOYO!J:K,2,FALSE),C5287)</f>
        <v>CÁQUEZA</v>
      </c>
      <c r="E5287" s="7">
        <v>2020</v>
      </c>
      <c r="H5287">
        <v>14</v>
      </c>
    </row>
    <row r="5288" spans="1:9" x14ac:dyDescent="0.25">
      <c r="A5288" t="str">
        <f>_xlfn.XLOOKUP(C5288, 'Códigos DANE Municipios'!$B$2:$B$1123, 'Códigos DANE Municipios'!$A$2:$A$1123, "No encontrado")</f>
        <v>05142</v>
      </c>
      <c r="B5288" t="str">
        <f>IFERROR(VLOOKUP(D5288,APOYO!K:L,2,FALSE),A5288)</f>
        <v>05142</v>
      </c>
      <c r="C5288" t="s">
        <v>70</v>
      </c>
      <c r="D5288" t="str">
        <f>IFERROR(VLOOKUP(C5288,APOYO!J:K,2,FALSE),C5288)</f>
        <v>CARACOLÍ</v>
      </c>
      <c r="E5288" s="7">
        <v>2020</v>
      </c>
    </row>
    <row r="5289" spans="1:9" x14ac:dyDescent="0.25">
      <c r="A5289" t="str">
        <f>_xlfn.XLOOKUP(C5289, 'Códigos DANE Municipios'!$B$2:$B$1123, 'Códigos DANE Municipios'!$A$2:$A$1123, "No encontrado")</f>
        <v>05145</v>
      </c>
      <c r="B5289" t="str">
        <f>IFERROR(VLOOKUP(D5289,APOYO!K:L,2,FALSE),A5289)</f>
        <v>05145</v>
      </c>
      <c r="C5289" t="s">
        <v>72</v>
      </c>
      <c r="D5289" t="str">
        <f>IFERROR(VLOOKUP(C5289,APOYO!J:K,2,FALSE),C5289)</f>
        <v>CARAMANTA</v>
      </c>
      <c r="E5289" s="7">
        <v>2020</v>
      </c>
      <c r="H5289">
        <v>3</v>
      </c>
    </row>
    <row r="5290" spans="1:9" x14ac:dyDescent="0.25">
      <c r="A5290" t="str">
        <f>_xlfn.XLOOKUP(C5290, 'Códigos DANE Municipios'!$B$2:$B$1123, 'Códigos DANE Municipios'!$A$2:$A$1123, "No encontrado")</f>
        <v>05147</v>
      </c>
      <c r="B5290" t="str">
        <f>IFERROR(VLOOKUP(D5290,APOYO!K:L,2,FALSE),A5290)</f>
        <v>05147</v>
      </c>
      <c r="C5290" t="s">
        <v>74</v>
      </c>
      <c r="D5290" t="str">
        <f>IFERROR(VLOOKUP(C5290,APOYO!J:K,2,FALSE),C5290)</f>
        <v>CAREPA</v>
      </c>
      <c r="E5290" s="7">
        <v>2020</v>
      </c>
      <c r="F5290">
        <v>44691</v>
      </c>
      <c r="H5290">
        <v>9</v>
      </c>
    </row>
    <row r="5291" spans="1:9" x14ac:dyDescent="0.25">
      <c r="A5291" t="str">
        <f>_xlfn.XLOOKUP(C5291, 'Códigos DANE Municipios'!$B$2:$B$1123, 'Códigos DANE Municipios'!$A$2:$A$1123, "No encontrado")</f>
        <v>73148</v>
      </c>
      <c r="B5291" t="str">
        <f>IFERROR(VLOOKUP(D5291,APOYO!K:L,2,FALSE),A5291)</f>
        <v>73148</v>
      </c>
      <c r="C5291" t="s">
        <v>1881</v>
      </c>
      <c r="D5291" t="str">
        <f>IFERROR(VLOOKUP(C5291,APOYO!J:K,2,FALSE),C5291)</f>
        <v>CARMEN DE APICALÁ</v>
      </c>
      <c r="E5291" s="7">
        <v>2020</v>
      </c>
      <c r="H5291">
        <v>8</v>
      </c>
    </row>
    <row r="5292" spans="1:9" x14ac:dyDescent="0.25">
      <c r="A5292" t="str">
        <f>_xlfn.XLOOKUP(C5292, 'Códigos DANE Municipios'!$B$2:$B$1123, 'Códigos DANE Municipios'!$A$2:$A$1123, "No encontrado")</f>
        <v>25154</v>
      </c>
      <c r="B5292" t="str">
        <f>IFERROR(VLOOKUP(D5292,APOYO!K:L,2,FALSE),A5292)</f>
        <v>25154</v>
      </c>
      <c r="C5292" t="s">
        <v>942</v>
      </c>
      <c r="D5292" t="str">
        <f>IFERROR(VLOOKUP(C5292,APOYO!J:K,2,FALSE),C5292)</f>
        <v>CARMEN DE CARUPA</v>
      </c>
      <c r="E5292" s="7">
        <v>2020</v>
      </c>
      <c r="H5292">
        <v>3</v>
      </c>
    </row>
    <row r="5293" spans="1:9" x14ac:dyDescent="0.25">
      <c r="A5293" t="str">
        <f>_xlfn.XLOOKUP(C5293, 'Códigos DANE Municipios'!$B$2:$B$1123, 'Códigos DANE Municipios'!$A$2:$A$1123, "No encontrado")</f>
        <v>05148</v>
      </c>
      <c r="B5293" t="str">
        <f>IFERROR(VLOOKUP(D5293,APOYO!K:L,2,FALSE),A5293)</f>
        <v>05148</v>
      </c>
      <c r="C5293" t="s">
        <v>76</v>
      </c>
      <c r="D5293" t="str">
        <f>IFERROR(VLOOKUP(C5293,APOYO!J:K,2,FALSE),C5293)</f>
        <v>EL CARMEN DE VIBORAL</v>
      </c>
      <c r="E5293" s="7">
        <v>2020</v>
      </c>
      <c r="H5293">
        <v>128</v>
      </c>
    </row>
    <row r="5294" spans="1:9" x14ac:dyDescent="0.25">
      <c r="A5294" t="str">
        <f>_xlfn.XLOOKUP(C5294, 'Códigos DANE Municipios'!$B$2:$B$1123, 'Códigos DANE Municipios'!$A$2:$A$1123, "No encontrado")</f>
        <v>05150</v>
      </c>
      <c r="B5294" t="str">
        <f>IFERROR(VLOOKUP(D5294,APOYO!K:L,2,FALSE),A5294)</f>
        <v>05150</v>
      </c>
      <c r="C5294" t="s">
        <v>78</v>
      </c>
      <c r="D5294" t="str">
        <f>IFERROR(VLOOKUP(C5294,APOYO!J:K,2,FALSE),C5294)</f>
        <v>CAROLINA</v>
      </c>
      <c r="E5294" s="7">
        <v>2020</v>
      </c>
      <c r="H5294">
        <v>7</v>
      </c>
    </row>
    <row r="5295" spans="1:9" x14ac:dyDescent="0.25">
      <c r="A5295" t="str">
        <f>_xlfn.XLOOKUP(C5295, 'Códigos DANE Municipios'!$B$2:$B$1123, 'Códigos DANE Municipios'!$A$2:$A$1123, "No encontrado")</f>
        <v>13001</v>
      </c>
      <c r="B5295" t="str">
        <f>IFERROR(VLOOKUP(D5295,APOYO!K:L,2,FALSE),A5295)</f>
        <v>13001</v>
      </c>
      <c r="C5295" t="s">
        <v>309</v>
      </c>
      <c r="D5295" t="str">
        <f>IFERROR(VLOOKUP(C5295,APOYO!J:K,2,FALSE),C5295)</f>
        <v>CARTAGENA DE INDIAS</v>
      </c>
      <c r="E5295" s="7">
        <v>2020</v>
      </c>
      <c r="F5295">
        <v>754079</v>
      </c>
      <c r="G5295">
        <v>150569</v>
      </c>
      <c r="H5295">
        <v>154079</v>
      </c>
      <c r="I5295">
        <v>338082</v>
      </c>
    </row>
    <row r="5296" spans="1:9" x14ac:dyDescent="0.25">
      <c r="A5296" t="str">
        <f>_xlfn.XLOOKUP(C5296, 'Códigos DANE Municipios'!$B$2:$B$1123, 'Códigos DANE Municipios'!$A$2:$A$1123, "No encontrado")</f>
        <v>18150</v>
      </c>
      <c r="B5296" t="str">
        <f>IFERROR(VLOOKUP(D5296,APOYO!K:L,2,FALSE),A5296)</f>
        <v>18150</v>
      </c>
      <c r="C5296" t="s">
        <v>704</v>
      </c>
      <c r="D5296" t="str">
        <f>IFERROR(VLOOKUP(C5296,APOYO!J:K,2,FALSE),C5296)</f>
        <v>CARTAGENA DEL CHAIRÁ</v>
      </c>
      <c r="E5296" s="7">
        <v>2020</v>
      </c>
      <c r="H5296">
        <v>5</v>
      </c>
    </row>
    <row r="5297" spans="1:9" x14ac:dyDescent="0.25">
      <c r="A5297" t="str">
        <f>_xlfn.XLOOKUP(C5297, 'Códigos DANE Municipios'!$B$2:$B$1123, 'Códigos DANE Municipios'!$A$2:$A$1123, "No encontrado")</f>
        <v>76147</v>
      </c>
      <c r="B5297" t="str">
        <f>IFERROR(VLOOKUP(D5297,APOYO!K:L,2,FALSE),A5297)</f>
        <v>76147</v>
      </c>
      <c r="C5297" t="s">
        <v>1978</v>
      </c>
      <c r="D5297" t="str">
        <f>IFERROR(VLOOKUP(C5297,APOYO!J:K,2,FALSE),C5297)</f>
        <v>CARTAGO</v>
      </c>
      <c r="E5297" s="7">
        <v>2020</v>
      </c>
      <c r="F5297">
        <v>898</v>
      </c>
      <c r="H5297">
        <v>689</v>
      </c>
    </row>
    <row r="5298" spans="1:9" x14ac:dyDescent="0.25">
      <c r="A5298" t="str">
        <f>_xlfn.XLOOKUP(C5298, 'Códigos DANE Municipios'!$B$2:$B$1123, 'Códigos DANE Municipios'!$A$2:$A$1123, "No encontrado")</f>
        <v>97161</v>
      </c>
      <c r="B5298" t="str">
        <f>IFERROR(VLOOKUP(D5298,APOYO!K:L,2,FALSE),A5298)</f>
        <v>97161</v>
      </c>
      <c r="C5298" t="s">
        <v>2153</v>
      </c>
      <c r="D5298" t="str">
        <f>IFERROR(VLOOKUP(C5298,APOYO!J:K,2,FALSE),C5298)</f>
        <v>CARURÚ</v>
      </c>
      <c r="E5298" s="7">
        <v>2020</v>
      </c>
      <c r="F5298">
        <v>1058</v>
      </c>
      <c r="H5298">
        <v>1</v>
      </c>
    </row>
    <row r="5299" spans="1:9" x14ac:dyDescent="0.25">
      <c r="A5299" t="str">
        <f>_xlfn.XLOOKUP(C5299, 'Códigos DANE Municipios'!$B$2:$B$1123, 'Códigos DANE Municipios'!$A$2:$A$1123, "No encontrado")</f>
        <v>No encontrado</v>
      </c>
      <c r="B5299">
        <f>IFERROR(VLOOKUP(D5299,APOYO!K:L,2,FALSE),A5299)</f>
        <v>68111</v>
      </c>
      <c r="C5299" t="s">
        <v>2457</v>
      </c>
      <c r="D5299" t="str">
        <f>IFERROR(VLOOKUP(C5299,APOYO!J:K,2,FALSE),C5299)</f>
        <v>CASABLANCA</v>
      </c>
      <c r="E5299" s="7">
        <v>2020</v>
      </c>
    </row>
    <row r="5300" spans="1:9" x14ac:dyDescent="0.25">
      <c r="A5300" t="str">
        <f>_xlfn.XLOOKUP(C5300, 'Códigos DANE Municipios'!$B$2:$B$1123, 'Códigos DANE Municipios'!$A$2:$A$1123, "No encontrado")</f>
        <v>50150</v>
      </c>
      <c r="B5300" t="str">
        <f>IFERROR(VLOOKUP(D5300,APOYO!K:L,2,FALSE),A5300)</f>
        <v>50150</v>
      </c>
      <c r="C5300" t="s">
        <v>1366</v>
      </c>
      <c r="D5300" t="str">
        <f>IFERROR(VLOOKUP(C5300,APOYO!J:K,2,FALSE),C5300)</f>
        <v>CASTILLA LA NUEVA</v>
      </c>
      <c r="E5300" s="7">
        <v>2020</v>
      </c>
      <c r="H5300">
        <v>5</v>
      </c>
    </row>
    <row r="5301" spans="1:9" x14ac:dyDescent="0.25">
      <c r="A5301" t="str">
        <f>_xlfn.XLOOKUP(C5301, 'Códigos DANE Municipios'!$B$2:$B$1123, 'Códigos DANE Municipios'!$A$2:$A$1123, "No encontrado")</f>
        <v>05154</v>
      </c>
      <c r="B5301" t="str">
        <f>IFERROR(VLOOKUP(D5301,APOYO!K:L,2,FALSE),A5301)</f>
        <v>05154</v>
      </c>
      <c r="C5301" t="s">
        <v>80</v>
      </c>
      <c r="D5301" t="str">
        <f>IFERROR(VLOOKUP(C5301,APOYO!J:K,2,FALSE),C5301)</f>
        <v>CAUCASIA</v>
      </c>
      <c r="E5301" s="7">
        <v>2020</v>
      </c>
      <c r="F5301">
        <v>1045</v>
      </c>
      <c r="H5301">
        <v>31</v>
      </c>
    </row>
    <row r="5302" spans="1:9" x14ac:dyDescent="0.25">
      <c r="A5302" t="str">
        <f>_xlfn.XLOOKUP(C5302, 'Códigos DANE Municipios'!$B$2:$B$1123, 'Códigos DANE Municipios'!$A$2:$A$1123, "No encontrado")</f>
        <v>68160</v>
      </c>
      <c r="B5302" t="str">
        <f>IFERROR(VLOOKUP(D5302,APOYO!K:L,2,FALSE),A5302)</f>
        <v>68160</v>
      </c>
      <c r="C5302" t="s">
        <v>1676</v>
      </c>
      <c r="D5302" t="str">
        <f>IFERROR(VLOOKUP(C5302,APOYO!J:K,2,FALSE),C5302)</f>
        <v>CEPITÁ</v>
      </c>
      <c r="E5302" s="7">
        <v>2020</v>
      </c>
    </row>
    <row r="5303" spans="1:9" x14ac:dyDescent="0.25">
      <c r="A5303" t="str">
        <f>_xlfn.XLOOKUP(C5303, 'Códigos DANE Municipios'!$B$2:$B$1123, 'Códigos DANE Municipios'!$A$2:$A$1123, "No encontrado")</f>
        <v>23162</v>
      </c>
      <c r="B5303" t="str">
        <f>IFERROR(VLOOKUP(D5303,APOYO!K:L,2,FALSE),A5303)</f>
        <v>23162</v>
      </c>
      <c r="C5303" t="s">
        <v>865</v>
      </c>
      <c r="D5303" t="str">
        <f>IFERROR(VLOOKUP(C5303,APOYO!J:K,2,FALSE),C5303)</f>
        <v>CERETÉ</v>
      </c>
      <c r="E5303" s="7">
        <v>2020</v>
      </c>
      <c r="H5303">
        <v>29</v>
      </c>
    </row>
    <row r="5304" spans="1:9" x14ac:dyDescent="0.25">
      <c r="A5304" t="str">
        <f>_xlfn.XLOOKUP(C5304, 'Códigos DANE Municipios'!$B$2:$B$1123, 'Códigos DANE Municipios'!$A$2:$A$1123, "No encontrado")</f>
        <v>68162</v>
      </c>
      <c r="B5304" t="str">
        <f>IFERROR(VLOOKUP(D5304,APOYO!K:L,2,FALSE),A5304)</f>
        <v>68162</v>
      </c>
      <c r="C5304" t="s">
        <v>1678</v>
      </c>
      <c r="D5304" t="str">
        <f>IFERROR(VLOOKUP(C5304,APOYO!J:K,2,FALSE),C5304)</f>
        <v>CERRITO</v>
      </c>
      <c r="E5304" s="7">
        <v>2020</v>
      </c>
    </row>
    <row r="5305" spans="1:9" x14ac:dyDescent="0.25">
      <c r="A5305" t="str">
        <f>_xlfn.XLOOKUP(C5305, 'Códigos DANE Municipios'!$B$2:$B$1123, 'Códigos DANE Municipios'!$A$2:$A$1123, "No encontrado")</f>
        <v>52240</v>
      </c>
      <c r="B5305" t="str">
        <f>IFERROR(VLOOKUP(D5305,APOYO!K:L,2,FALSE),A5305)</f>
        <v>52240</v>
      </c>
      <c r="C5305" t="s">
        <v>1439</v>
      </c>
      <c r="D5305" t="str">
        <f>IFERROR(VLOOKUP(C5305,APOYO!J:K,2,FALSE),C5305)</f>
        <v>CHACHAGÜÍ</v>
      </c>
      <c r="E5305" s="7">
        <v>2020</v>
      </c>
      <c r="H5305">
        <v>7</v>
      </c>
    </row>
    <row r="5306" spans="1:9" x14ac:dyDescent="0.25">
      <c r="A5306" t="str">
        <f>_xlfn.XLOOKUP(C5306, 'Códigos DANE Municipios'!$B$2:$B$1123, 'Códigos DANE Municipios'!$A$2:$A$1123, "No encontrado")</f>
        <v>25168</v>
      </c>
      <c r="B5306" t="str">
        <f>IFERROR(VLOOKUP(D5306,APOYO!K:L,2,FALSE),A5306)</f>
        <v>25168</v>
      </c>
      <c r="C5306" t="s">
        <v>944</v>
      </c>
      <c r="D5306" t="str">
        <f>IFERROR(VLOOKUP(C5306,APOYO!J:K,2,FALSE),C5306)</f>
        <v>CHAGUANÍ</v>
      </c>
      <c r="E5306" s="7">
        <v>2020</v>
      </c>
      <c r="H5306">
        <v>6</v>
      </c>
    </row>
    <row r="5307" spans="1:9" x14ac:dyDescent="0.25">
      <c r="A5307" t="str">
        <f>_xlfn.XLOOKUP(C5307, 'Códigos DANE Municipios'!$B$2:$B$1123, 'Códigos DANE Municipios'!$A$2:$A$1123, "No encontrado")</f>
        <v>85015</v>
      </c>
      <c r="B5307" t="str">
        <f>IFERROR(VLOOKUP(D5307,APOYO!K:L,2,FALSE),A5307)</f>
        <v>85015</v>
      </c>
      <c r="C5307" t="s">
        <v>2052</v>
      </c>
      <c r="D5307" t="str">
        <f>IFERROR(VLOOKUP(C5307,APOYO!J:K,2,FALSE),C5307)</f>
        <v>CHÁMEZA</v>
      </c>
      <c r="E5307" s="7">
        <v>2020</v>
      </c>
    </row>
    <row r="5308" spans="1:9" x14ac:dyDescent="0.25">
      <c r="A5308" t="str">
        <f>_xlfn.XLOOKUP(C5308, 'Códigos DANE Municipios'!$B$2:$B$1123, 'Códigos DANE Municipios'!$A$2:$A$1123, "No encontrado")</f>
        <v>73168</v>
      </c>
      <c r="B5308" t="str">
        <f>IFERROR(VLOOKUP(D5308,APOYO!K:L,2,FALSE),A5308)</f>
        <v>73168</v>
      </c>
      <c r="C5308" t="s">
        <v>1885</v>
      </c>
      <c r="D5308" t="str">
        <f>IFERROR(VLOOKUP(C5308,APOYO!J:K,2,FALSE),C5308)</f>
        <v>CHAPARRAL</v>
      </c>
      <c r="E5308" s="7">
        <v>2020</v>
      </c>
      <c r="F5308">
        <v>72</v>
      </c>
      <c r="H5308">
        <v>9</v>
      </c>
    </row>
    <row r="5309" spans="1:9" x14ac:dyDescent="0.25">
      <c r="A5309" t="str">
        <f>_xlfn.XLOOKUP(C5309, 'Códigos DANE Municipios'!$B$2:$B$1123, 'Códigos DANE Municipios'!$A$2:$A$1123, "No encontrado")</f>
        <v>68167</v>
      </c>
      <c r="B5309" t="str">
        <f>IFERROR(VLOOKUP(D5309,APOYO!K:L,2,FALSE),A5309)</f>
        <v>68167</v>
      </c>
      <c r="C5309" t="s">
        <v>1680</v>
      </c>
      <c r="D5309" t="str">
        <f>IFERROR(VLOOKUP(C5309,APOYO!J:K,2,FALSE),C5309)</f>
        <v>CHARALÁ</v>
      </c>
      <c r="E5309" s="7">
        <v>2020</v>
      </c>
      <c r="H5309">
        <v>4</v>
      </c>
      <c r="I5309">
        <v>0</v>
      </c>
    </row>
    <row r="5310" spans="1:9" x14ac:dyDescent="0.25">
      <c r="A5310" t="str">
        <f>_xlfn.XLOOKUP(C5310, 'Códigos DANE Municipios'!$B$2:$B$1123, 'Códigos DANE Municipios'!$A$2:$A$1123, "No encontrado")</f>
        <v>25175</v>
      </c>
      <c r="B5310" t="str">
        <f>IFERROR(VLOOKUP(D5310,APOYO!K:L,2,FALSE),A5310)</f>
        <v>25175</v>
      </c>
      <c r="C5310" t="s">
        <v>946</v>
      </c>
      <c r="D5310" t="str">
        <f>IFERROR(VLOOKUP(C5310,APOYO!J:K,2,FALSE),C5310)</f>
        <v>CHÍA</v>
      </c>
      <c r="E5310" s="7">
        <v>2020</v>
      </c>
      <c r="F5310">
        <v>1307</v>
      </c>
      <c r="H5310">
        <v>1228</v>
      </c>
    </row>
    <row r="5311" spans="1:9" x14ac:dyDescent="0.25">
      <c r="A5311" t="str">
        <f>_xlfn.XLOOKUP(C5311, 'Códigos DANE Municipios'!$B$2:$B$1123, 'Códigos DANE Municipios'!$A$2:$A$1123, "No encontrado")</f>
        <v>05172</v>
      </c>
      <c r="B5311" t="str">
        <f>IFERROR(VLOOKUP(D5311,APOYO!K:L,2,FALSE),A5311)</f>
        <v>05172</v>
      </c>
      <c r="C5311" t="s">
        <v>82</v>
      </c>
      <c r="D5311" t="str">
        <f>IFERROR(VLOOKUP(C5311,APOYO!J:K,2,FALSE),C5311)</f>
        <v>CHIGORODÓ</v>
      </c>
      <c r="E5311" s="7">
        <v>2020</v>
      </c>
      <c r="H5311">
        <v>7</v>
      </c>
    </row>
    <row r="5312" spans="1:9" x14ac:dyDescent="0.25">
      <c r="A5312" t="str">
        <f>_xlfn.XLOOKUP(C5312, 'Códigos DANE Municipios'!$B$2:$B$1123, 'Códigos DANE Municipios'!$A$2:$A$1123, "No encontrado")</f>
        <v>20175</v>
      </c>
      <c r="B5312" t="str">
        <f>IFERROR(VLOOKUP(D5312,APOYO!K:L,2,FALSE),A5312)</f>
        <v>20175</v>
      </c>
      <c r="C5312" t="s">
        <v>820</v>
      </c>
      <c r="D5312" t="str">
        <f>IFERROR(VLOOKUP(C5312,APOYO!J:K,2,FALSE),C5312)</f>
        <v>CHIMICHAGUA</v>
      </c>
      <c r="E5312" s="7">
        <v>2020</v>
      </c>
      <c r="H5312">
        <v>5</v>
      </c>
    </row>
    <row r="5313" spans="1:8" x14ac:dyDescent="0.25">
      <c r="A5313" t="str">
        <f>_xlfn.XLOOKUP(C5313, 'Códigos DANE Municipios'!$B$2:$B$1123, 'Códigos DANE Municipios'!$A$2:$A$1123, "No encontrado")</f>
        <v>54172</v>
      </c>
      <c r="B5313" t="str">
        <f>IFERROR(VLOOKUP(D5313,APOYO!K:L,2,FALSE),A5313)</f>
        <v>54172</v>
      </c>
      <c r="C5313" t="s">
        <v>1543</v>
      </c>
      <c r="D5313" t="str">
        <f>IFERROR(VLOOKUP(C5313,APOYO!J:K,2,FALSE),C5313)</f>
        <v>CHINÁCOTA</v>
      </c>
      <c r="E5313" s="7">
        <v>2020</v>
      </c>
      <c r="H5313">
        <v>23</v>
      </c>
    </row>
    <row r="5314" spans="1:8" x14ac:dyDescent="0.25">
      <c r="A5314" t="str">
        <f>_xlfn.XLOOKUP(C5314, 'Códigos DANE Municipios'!$B$2:$B$1123, 'Códigos DANE Municipios'!$A$2:$A$1123, "No encontrado")</f>
        <v>15172</v>
      </c>
      <c r="B5314" t="str">
        <f>IFERROR(VLOOKUP(D5314,APOYO!K:L,2,FALSE),A5314)</f>
        <v>15172</v>
      </c>
      <c r="C5314" t="s">
        <v>429</v>
      </c>
      <c r="D5314" t="str">
        <f>IFERROR(VLOOKUP(C5314,APOYO!J:K,2,FALSE),C5314)</f>
        <v>CHINAVITA</v>
      </c>
      <c r="E5314" s="7">
        <v>2020</v>
      </c>
      <c r="H5314">
        <v>1</v>
      </c>
    </row>
    <row r="5315" spans="1:8" x14ac:dyDescent="0.25">
      <c r="A5315" t="str">
        <f>_xlfn.XLOOKUP(C5315, 'Códigos DANE Municipios'!$B$2:$B$1123, 'Códigos DANE Municipios'!$A$2:$A$1123, "No encontrado")</f>
        <v>17174</v>
      </c>
      <c r="B5315" t="str">
        <f>IFERROR(VLOOKUP(D5315,APOYO!K:L,2,FALSE),A5315)</f>
        <v>17174</v>
      </c>
      <c r="C5315" t="s">
        <v>654</v>
      </c>
      <c r="D5315" t="str">
        <f>IFERROR(VLOOKUP(C5315,APOYO!J:K,2,FALSE),C5315)</f>
        <v>CHINCHINÁ</v>
      </c>
      <c r="E5315" s="7">
        <v>2020</v>
      </c>
      <c r="H5315">
        <v>133</v>
      </c>
    </row>
    <row r="5316" spans="1:8" x14ac:dyDescent="0.25">
      <c r="A5316" t="str">
        <f>_xlfn.XLOOKUP(C5316, 'Códigos DANE Municipios'!$B$2:$B$1123, 'Códigos DANE Municipios'!$A$2:$A$1123, "No encontrado")</f>
        <v>23182</v>
      </c>
      <c r="B5316" t="str">
        <f>IFERROR(VLOOKUP(D5316,APOYO!K:L,2,FALSE),A5316)</f>
        <v>23182</v>
      </c>
      <c r="C5316" t="s">
        <v>869</v>
      </c>
      <c r="D5316" t="str">
        <f>IFERROR(VLOOKUP(C5316,APOYO!J:K,2,FALSE),C5316)</f>
        <v>CHINÚ</v>
      </c>
      <c r="E5316" s="7">
        <v>2020</v>
      </c>
      <c r="H5316">
        <v>6</v>
      </c>
    </row>
    <row r="5317" spans="1:8" x14ac:dyDescent="0.25">
      <c r="A5317" t="str">
        <f>_xlfn.XLOOKUP(C5317, 'Códigos DANE Municipios'!$B$2:$B$1123, 'Códigos DANE Municipios'!$A$2:$A$1123, "No encontrado")</f>
        <v>25178</v>
      </c>
      <c r="B5317" t="str">
        <f>IFERROR(VLOOKUP(D5317,APOYO!K:L,2,FALSE),A5317)</f>
        <v>25178</v>
      </c>
      <c r="C5317" t="s">
        <v>948</v>
      </c>
      <c r="D5317" t="str">
        <f>IFERROR(VLOOKUP(C5317,APOYO!J:K,2,FALSE),C5317)</f>
        <v>CHIPAQUE</v>
      </c>
      <c r="E5317" s="7">
        <v>2020</v>
      </c>
      <c r="H5317">
        <v>14</v>
      </c>
    </row>
    <row r="5318" spans="1:8" x14ac:dyDescent="0.25">
      <c r="A5318" t="str">
        <f>_xlfn.XLOOKUP(C5318, 'Códigos DANE Municipios'!$B$2:$B$1123, 'Códigos DANE Municipios'!$A$2:$A$1123, "No encontrado")</f>
        <v>68179</v>
      </c>
      <c r="B5318" t="str">
        <f>IFERROR(VLOOKUP(D5318,APOYO!K:L,2,FALSE),A5318)</f>
        <v>68179</v>
      </c>
      <c r="C5318" t="s">
        <v>1686</v>
      </c>
      <c r="D5318" t="str">
        <f>IFERROR(VLOOKUP(C5318,APOYO!J:K,2,FALSE),C5318)</f>
        <v>CHIPATÁ</v>
      </c>
      <c r="E5318" s="7">
        <v>2020</v>
      </c>
    </row>
    <row r="5319" spans="1:8" x14ac:dyDescent="0.25">
      <c r="A5319" t="str">
        <f>_xlfn.XLOOKUP(C5319, 'Códigos DANE Municipios'!$B$2:$B$1123, 'Códigos DANE Municipios'!$A$2:$A$1123, "No encontrado")</f>
        <v>15176</v>
      </c>
      <c r="B5319" t="str">
        <f>IFERROR(VLOOKUP(D5319,APOYO!K:L,2,FALSE),A5319)</f>
        <v>15176</v>
      </c>
      <c r="C5319" t="s">
        <v>431</v>
      </c>
      <c r="D5319" t="str">
        <f>IFERROR(VLOOKUP(C5319,APOYO!J:K,2,FALSE),C5319)</f>
        <v>CHIQUINQUIRÁ</v>
      </c>
      <c r="E5319" s="7">
        <v>2020</v>
      </c>
      <c r="H5319">
        <v>34</v>
      </c>
    </row>
    <row r="5320" spans="1:8" x14ac:dyDescent="0.25">
      <c r="A5320" t="str">
        <f>_xlfn.XLOOKUP(C5320, 'Códigos DANE Municipios'!$B$2:$B$1123, 'Códigos DANE Municipios'!$A$2:$A$1123, "No encontrado")</f>
        <v>20178</v>
      </c>
      <c r="B5320" t="str">
        <f>IFERROR(VLOOKUP(D5320,APOYO!K:L,2,FALSE),A5320)</f>
        <v>20178</v>
      </c>
      <c r="C5320" t="s">
        <v>822</v>
      </c>
      <c r="D5320" t="str">
        <f>IFERROR(VLOOKUP(C5320,APOYO!J:K,2,FALSE),C5320)</f>
        <v>CHIRIGUANÁ</v>
      </c>
      <c r="E5320" s="7">
        <v>2020</v>
      </c>
      <c r="F5320">
        <v>1546</v>
      </c>
      <c r="H5320">
        <v>7</v>
      </c>
    </row>
    <row r="5321" spans="1:8" x14ac:dyDescent="0.25">
      <c r="A5321" t="str">
        <f>_xlfn.XLOOKUP(C5321, 'Códigos DANE Municipios'!$B$2:$B$1123, 'Códigos DANE Municipios'!$A$2:$A$1123, "No encontrado")</f>
        <v>15185</v>
      </c>
      <c r="B5321" t="str">
        <f>IFERROR(VLOOKUP(D5321,APOYO!K:L,2,FALSE),A5321)</f>
        <v>15185</v>
      </c>
      <c r="C5321" t="s">
        <v>437</v>
      </c>
      <c r="D5321" t="str">
        <f>IFERROR(VLOOKUP(C5321,APOYO!J:K,2,FALSE),C5321)</f>
        <v>CHITARAQUE</v>
      </c>
      <c r="E5321" s="7">
        <v>2020</v>
      </c>
      <c r="H5321">
        <v>1</v>
      </c>
    </row>
    <row r="5322" spans="1:8" x14ac:dyDescent="0.25">
      <c r="A5322" t="str">
        <f>_xlfn.XLOOKUP(C5322, 'Códigos DANE Municipios'!$B$2:$B$1123, 'Códigos DANE Municipios'!$A$2:$A$1123, "No encontrado")</f>
        <v>15180</v>
      </c>
      <c r="B5322" t="str">
        <f>IFERROR(VLOOKUP(D5322,APOYO!K:L,2,FALSE),A5322)</f>
        <v>15180</v>
      </c>
      <c r="C5322" t="s">
        <v>433</v>
      </c>
      <c r="D5322" t="str">
        <f>IFERROR(VLOOKUP(C5322,APOYO!J:K,2,FALSE),C5322)</f>
        <v>CHISCAS</v>
      </c>
      <c r="E5322" s="7">
        <v>2020</v>
      </c>
    </row>
    <row r="5323" spans="1:8" x14ac:dyDescent="0.25">
      <c r="A5323" t="str">
        <f>_xlfn.XLOOKUP(C5323, 'Códigos DANE Municipios'!$B$2:$B$1123, 'Códigos DANE Municipios'!$A$2:$A$1123, "No encontrado")</f>
        <v>54174</v>
      </c>
      <c r="B5323" t="str">
        <f>IFERROR(VLOOKUP(D5323,APOYO!K:L,2,FALSE),A5323)</f>
        <v>54174</v>
      </c>
      <c r="C5323" t="s">
        <v>1545</v>
      </c>
      <c r="D5323" t="str">
        <f>IFERROR(VLOOKUP(C5323,APOYO!J:K,2,FALSE),C5323)</f>
        <v>CHITAGÁ</v>
      </c>
      <c r="E5323" s="7">
        <v>2020</v>
      </c>
    </row>
    <row r="5324" spans="1:8" x14ac:dyDescent="0.25">
      <c r="A5324" t="str">
        <f>_xlfn.XLOOKUP(C5324, 'Códigos DANE Municipios'!$B$2:$B$1123, 'Códigos DANE Municipios'!$A$2:$A$1123, "No encontrado")</f>
        <v>15236</v>
      </c>
      <c r="B5324" t="str">
        <f>IFERROR(VLOOKUP(D5324,APOYO!K:L,2,FALSE),A5324)</f>
        <v>15236</v>
      </c>
      <c r="C5324" t="s">
        <v>459</v>
      </c>
      <c r="D5324" t="str">
        <f>IFERROR(VLOOKUP(C5324,APOYO!J:K,2,FALSE),C5324)</f>
        <v>CHIVOR</v>
      </c>
      <c r="E5324" s="7">
        <v>2020</v>
      </c>
      <c r="H5324">
        <v>1</v>
      </c>
    </row>
    <row r="5325" spans="1:8" x14ac:dyDescent="0.25">
      <c r="A5325" t="str">
        <f>_xlfn.XLOOKUP(C5325, 'Códigos DANE Municipios'!$B$2:$B$1123, 'Códigos DANE Municipios'!$A$2:$A$1123, "No encontrado")</f>
        <v>25181</v>
      </c>
      <c r="B5325" t="str">
        <f>IFERROR(VLOOKUP(D5325,APOYO!K:L,2,FALSE),A5325)</f>
        <v>25181</v>
      </c>
      <c r="C5325" t="s">
        <v>950</v>
      </c>
      <c r="D5325" t="str">
        <f>IFERROR(VLOOKUP(C5325,APOYO!J:K,2,FALSE),C5325)</f>
        <v>CHOACHÍ</v>
      </c>
      <c r="E5325" s="7">
        <v>2020</v>
      </c>
      <c r="H5325">
        <v>27</v>
      </c>
    </row>
    <row r="5326" spans="1:8" x14ac:dyDescent="0.25">
      <c r="A5326" t="str">
        <f>_xlfn.XLOOKUP(C5326, 'Códigos DANE Municipios'!$B$2:$B$1123, 'Códigos DANE Municipios'!$A$2:$A$1123, "No encontrado")</f>
        <v>25183</v>
      </c>
      <c r="B5326" t="str">
        <f>IFERROR(VLOOKUP(D5326,APOYO!K:L,2,FALSE),A5326)</f>
        <v>25183</v>
      </c>
      <c r="C5326" t="s">
        <v>952</v>
      </c>
      <c r="D5326" t="str">
        <f>IFERROR(VLOOKUP(C5326,APOYO!J:K,2,FALSE),C5326)</f>
        <v>CHOCONTÁ</v>
      </c>
      <c r="E5326" s="7">
        <v>2020</v>
      </c>
      <c r="H5326">
        <v>11</v>
      </c>
    </row>
    <row r="5327" spans="1:8" x14ac:dyDescent="0.25">
      <c r="A5327" t="str">
        <f>_xlfn.XLOOKUP(C5327, 'Códigos DANE Municipios'!$B$2:$B$1123, 'Códigos DANE Municipios'!$A$2:$A$1123, "No encontrado")</f>
        <v>47189</v>
      </c>
      <c r="B5327" t="str">
        <f>IFERROR(VLOOKUP(D5327,APOYO!K:L,2,FALSE),A5327)</f>
        <v>47189</v>
      </c>
      <c r="C5327" t="s">
        <v>1312</v>
      </c>
      <c r="D5327" t="str">
        <f>IFERROR(VLOOKUP(C5327,APOYO!J:K,2,FALSE),C5327)</f>
        <v>CIÉNAGA</v>
      </c>
      <c r="E5327" s="7">
        <v>2020</v>
      </c>
      <c r="F5327">
        <v>18</v>
      </c>
      <c r="H5327">
        <v>65</v>
      </c>
    </row>
    <row r="5328" spans="1:8" x14ac:dyDescent="0.25">
      <c r="A5328" t="str">
        <f>_xlfn.XLOOKUP(C5328, 'Códigos DANE Municipios'!$B$2:$B$1123, 'Códigos DANE Municipios'!$A$2:$A$1123, "No encontrado")</f>
        <v>23189</v>
      </c>
      <c r="B5328" t="str">
        <f>IFERROR(VLOOKUP(D5328,APOYO!K:L,2,FALSE),A5328)</f>
        <v>23189</v>
      </c>
      <c r="C5328" t="s">
        <v>871</v>
      </c>
      <c r="D5328" t="str">
        <f>IFERROR(VLOOKUP(C5328,APOYO!J:K,2,FALSE),C5328)</f>
        <v>CIÉNAGA DE ORO</v>
      </c>
      <c r="E5328" s="7">
        <v>2020</v>
      </c>
      <c r="H5328">
        <v>4</v>
      </c>
    </row>
    <row r="5329" spans="1:8" x14ac:dyDescent="0.25">
      <c r="A5329" t="s">
        <v>1311</v>
      </c>
      <c r="B5329" t="s">
        <v>1311</v>
      </c>
      <c r="C5329" t="s">
        <v>1312</v>
      </c>
      <c r="D5329" t="str">
        <f>IFERROR(VLOOKUP(C5329,APOYO!J:K,2,FALSE),C5329)</f>
        <v>CIÉNAGA</v>
      </c>
      <c r="E5329" s="7">
        <v>2020</v>
      </c>
      <c r="H5329">
        <v>1</v>
      </c>
    </row>
    <row r="5330" spans="1:8" x14ac:dyDescent="0.25">
      <c r="A5330" t="str">
        <f>_xlfn.XLOOKUP(C5330, 'Códigos DANE Municipios'!$B$2:$B$1123, 'Códigos DANE Municipios'!$A$2:$A$1123, "No encontrado")</f>
        <v>68190</v>
      </c>
      <c r="B5330" t="str">
        <f>IFERROR(VLOOKUP(D5330,APOYO!K:L,2,FALSE),A5330)</f>
        <v>68190</v>
      </c>
      <c r="C5330" t="s">
        <v>1688</v>
      </c>
      <c r="D5330" t="str">
        <f>IFERROR(VLOOKUP(C5330,APOYO!J:K,2,FALSE),C5330)</f>
        <v>CIMITARRA</v>
      </c>
      <c r="E5330" s="7">
        <v>2020</v>
      </c>
      <c r="F5330">
        <v>17</v>
      </c>
      <c r="H5330">
        <v>2</v>
      </c>
    </row>
    <row r="5331" spans="1:8" x14ac:dyDescent="0.25">
      <c r="A5331" t="str">
        <f>_xlfn.XLOOKUP(C5331, 'Códigos DANE Municipios'!$B$2:$B$1123, 'Códigos DANE Municipios'!$A$2:$A$1123, "No encontrado")</f>
        <v>63190</v>
      </c>
      <c r="B5331" t="str">
        <f>IFERROR(VLOOKUP(D5331,APOYO!K:L,2,FALSE),A5331)</f>
        <v>63190</v>
      </c>
      <c r="C5331" t="s">
        <v>1611</v>
      </c>
      <c r="D5331" t="str">
        <f>IFERROR(VLOOKUP(C5331,APOYO!J:K,2,FALSE),C5331)</f>
        <v>CIRCASIA</v>
      </c>
      <c r="E5331" s="7">
        <v>2020</v>
      </c>
      <c r="H5331">
        <v>83</v>
      </c>
    </row>
    <row r="5332" spans="1:8" x14ac:dyDescent="0.25">
      <c r="A5332" t="str">
        <f>_xlfn.XLOOKUP(C5332, 'Códigos DANE Municipios'!$B$2:$B$1123, 'Códigos DANE Municipios'!$A$2:$A$1123, "No encontrado")</f>
        <v>05190</v>
      </c>
      <c r="B5332" t="str">
        <f>IFERROR(VLOOKUP(D5332,APOYO!K:L,2,FALSE),A5332)</f>
        <v>05190</v>
      </c>
      <c r="C5332" t="s">
        <v>84</v>
      </c>
      <c r="D5332" t="str">
        <f>IFERROR(VLOOKUP(C5332,APOYO!J:K,2,FALSE),C5332)</f>
        <v>CISNEROS</v>
      </c>
      <c r="E5332" s="7">
        <v>2020</v>
      </c>
      <c r="H5332">
        <v>15</v>
      </c>
    </row>
    <row r="5333" spans="1:8" x14ac:dyDescent="0.25">
      <c r="A5333" t="str">
        <f>_xlfn.XLOOKUP(C5333, 'Códigos DANE Municipios'!$B$2:$B$1123, 'Códigos DANE Municipios'!$A$2:$A$1123, "No encontrado")</f>
        <v>05197</v>
      </c>
      <c r="B5333" t="str">
        <f>IFERROR(VLOOKUP(D5333,APOYO!K:L,2,FALSE),A5333)</f>
        <v>05197</v>
      </c>
      <c r="C5333" t="s">
        <v>86</v>
      </c>
      <c r="D5333" t="str">
        <f>IFERROR(VLOOKUP(C5333,APOYO!J:K,2,FALSE),C5333)</f>
        <v>COCORNÁ</v>
      </c>
      <c r="E5333" s="7">
        <v>2020</v>
      </c>
      <c r="H5333">
        <v>12</v>
      </c>
    </row>
    <row r="5334" spans="1:8" x14ac:dyDescent="0.25">
      <c r="A5334" t="str">
        <f>_xlfn.XLOOKUP(C5334, 'Códigos DANE Municipios'!$B$2:$B$1123, 'Códigos DANE Municipios'!$A$2:$A$1123, "No encontrado")</f>
        <v>73200</v>
      </c>
      <c r="B5334" t="str">
        <f>IFERROR(VLOOKUP(D5334,APOYO!K:L,2,FALSE),A5334)</f>
        <v>73200</v>
      </c>
      <c r="C5334" t="s">
        <v>1887</v>
      </c>
      <c r="D5334" t="str">
        <f>IFERROR(VLOOKUP(C5334,APOYO!J:K,2,FALSE),C5334)</f>
        <v>COELLO</v>
      </c>
      <c r="E5334" s="7">
        <v>2020</v>
      </c>
      <c r="H5334">
        <v>2</v>
      </c>
    </row>
    <row r="5335" spans="1:8" x14ac:dyDescent="0.25">
      <c r="A5335" t="str">
        <f>_xlfn.XLOOKUP(C5335, 'Códigos DANE Municipios'!$B$2:$B$1123, 'Códigos DANE Municipios'!$A$2:$A$1123, "No encontrado")</f>
        <v>25200</v>
      </c>
      <c r="B5335" t="str">
        <f>IFERROR(VLOOKUP(D5335,APOYO!K:L,2,FALSE),A5335)</f>
        <v>25200</v>
      </c>
      <c r="C5335" t="s">
        <v>954</v>
      </c>
      <c r="D5335" t="str">
        <f>IFERROR(VLOOKUP(C5335,APOYO!J:K,2,FALSE),C5335)</f>
        <v>COGUA</v>
      </c>
      <c r="E5335" s="7">
        <v>2020</v>
      </c>
      <c r="H5335">
        <v>22</v>
      </c>
    </row>
    <row r="5336" spans="1:8" x14ac:dyDescent="0.25">
      <c r="A5336" t="str">
        <f>_xlfn.XLOOKUP(C5336, 'Códigos DANE Municipios'!$B$2:$B$1123, 'Códigos DANE Municipios'!$A$2:$A$1123, "No encontrado")</f>
        <v>41206</v>
      </c>
      <c r="B5336" t="str">
        <f>IFERROR(VLOOKUP(D5336,APOYO!K:L,2,FALSE),A5336)</f>
        <v>41206</v>
      </c>
      <c r="C5336" t="s">
        <v>1217</v>
      </c>
      <c r="D5336" t="str">
        <f>IFERROR(VLOOKUP(C5336,APOYO!J:K,2,FALSE),C5336)</f>
        <v>COLOMBIA</v>
      </c>
      <c r="E5336" s="7">
        <v>2020</v>
      </c>
      <c r="H5336">
        <v>2</v>
      </c>
    </row>
    <row r="5337" spans="1:8" x14ac:dyDescent="0.25">
      <c r="A5337" t="str">
        <f>_xlfn.XLOOKUP(C5337, 'Códigos DANE Municipios'!$B$2:$B$1123, 'Códigos DANE Municipios'!$A$2:$A$1123, "No encontrado")</f>
        <v>70204</v>
      </c>
      <c r="B5337" t="str">
        <f>IFERROR(VLOOKUP(D5337,APOYO!K:L,2,FALSE),A5337)</f>
        <v>70204</v>
      </c>
      <c r="C5337" t="s">
        <v>1821</v>
      </c>
      <c r="D5337" t="str">
        <f>IFERROR(VLOOKUP(C5337,APOYO!J:K,2,FALSE),C5337)</f>
        <v>COLOSO</v>
      </c>
      <c r="E5337" s="7">
        <v>2020</v>
      </c>
    </row>
    <row r="5338" spans="1:8" x14ac:dyDescent="0.25">
      <c r="A5338" t="str">
        <f>_xlfn.XLOOKUP(C5338, 'Códigos DANE Municipios'!$B$2:$B$1123, 'Códigos DANE Municipios'!$A$2:$A$1123, "No encontrado")</f>
        <v>52203</v>
      </c>
      <c r="B5338" t="str">
        <f>IFERROR(VLOOKUP(D5338,APOYO!K:L,2,FALSE),A5338)</f>
        <v>52203</v>
      </c>
      <c r="C5338" t="s">
        <v>1426</v>
      </c>
      <c r="D5338" t="str">
        <f>IFERROR(VLOOKUP(C5338,APOYO!J:K,2,FALSE),C5338)</f>
        <v>COLÓN</v>
      </c>
      <c r="E5338" s="7">
        <v>2020</v>
      </c>
      <c r="H5338">
        <v>4</v>
      </c>
    </row>
    <row r="5339" spans="1:8" x14ac:dyDescent="0.25">
      <c r="A5339" t="str">
        <f>_xlfn.XLOOKUP(C5339, 'Códigos DANE Municipios'!$B$2:$B$1123, 'Códigos DANE Municipios'!$A$2:$A$1123, "No encontrado")</f>
        <v>15204</v>
      </c>
      <c r="B5339" t="str">
        <f>IFERROR(VLOOKUP(D5339,APOYO!K:L,2,FALSE),A5339)</f>
        <v>15204</v>
      </c>
      <c r="C5339" t="s">
        <v>443</v>
      </c>
      <c r="D5339" t="str">
        <f>IFERROR(VLOOKUP(C5339,APOYO!J:K,2,FALSE),C5339)</f>
        <v>CÓMBITA</v>
      </c>
      <c r="E5339" s="7">
        <v>2020</v>
      </c>
      <c r="H5339">
        <v>2</v>
      </c>
    </row>
    <row r="5340" spans="1:8" x14ac:dyDescent="0.25">
      <c r="A5340" t="str">
        <f>_xlfn.XLOOKUP(C5340, 'Códigos DANE Municipios'!$B$2:$B$1123, 'Códigos DANE Municipios'!$A$2:$A$1123, "No encontrado")</f>
        <v>05206</v>
      </c>
      <c r="B5340" t="str">
        <f>IFERROR(VLOOKUP(D5340,APOYO!K:L,2,FALSE),A5340)</f>
        <v>05206</v>
      </c>
      <c r="C5340" t="s">
        <v>88</v>
      </c>
      <c r="D5340" t="str">
        <f>IFERROR(VLOOKUP(C5340,APOYO!J:K,2,FALSE),C5340)</f>
        <v>CONCEPCIÓN</v>
      </c>
      <c r="E5340" s="7">
        <v>2020</v>
      </c>
      <c r="H5340">
        <v>7</v>
      </c>
    </row>
    <row r="5341" spans="1:8" x14ac:dyDescent="0.25">
      <c r="A5341" t="str">
        <f>_xlfn.XLOOKUP(C5341, 'Códigos DANE Municipios'!$B$2:$B$1123, 'Códigos DANE Municipios'!$A$2:$A$1123, "No encontrado")</f>
        <v>05209</v>
      </c>
      <c r="B5341" t="str">
        <f>IFERROR(VLOOKUP(D5341,APOYO!K:L,2,FALSE),A5341)</f>
        <v>05209</v>
      </c>
      <c r="C5341" t="s">
        <v>90</v>
      </c>
      <c r="D5341" t="str">
        <f>IFERROR(VLOOKUP(C5341,APOYO!J:K,2,FALSE),C5341)</f>
        <v>CONCORDIA</v>
      </c>
      <c r="E5341" s="7">
        <v>2020</v>
      </c>
      <c r="H5341">
        <v>1</v>
      </c>
    </row>
    <row r="5342" spans="1:8" x14ac:dyDescent="0.25">
      <c r="A5342" t="str">
        <f>_xlfn.XLOOKUP(C5342, 'Códigos DANE Municipios'!$B$2:$B$1123, 'Códigos DANE Municipios'!$A$2:$A$1123, "No encontrado")</f>
        <v>27205</v>
      </c>
      <c r="B5342" t="str">
        <f>IFERROR(VLOOKUP(D5342,APOYO!K:L,2,FALSE),A5342)</f>
        <v>27205</v>
      </c>
      <c r="C5342" t="s">
        <v>1164</v>
      </c>
      <c r="D5342" t="str">
        <f>IFERROR(VLOOKUP(C5342,APOYO!J:K,2,FALSE),C5342)</f>
        <v>CONDOTO</v>
      </c>
      <c r="E5342" s="7">
        <v>2020</v>
      </c>
      <c r="F5342">
        <v>341</v>
      </c>
    </row>
    <row r="5343" spans="1:8" x14ac:dyDescent="0.25">
      <c r="A5343" t="str">
        <f>_xlfn.XLOOKUP(C5343, 'Códigos DANE Municipios'!$B$2:$B$1123, 'Códigos DANE Municipios'!$A$2:$A$1123, "No encontrado")</f>
        <v>68209</v>
      </c>
      <c r="B5343" t="str">
        <f>IFERROR(VLOOKUP(D5343,APOYO!K:L,2,FALSE),A5343)</f>
        <v>68209</v>
      </c>
      <c r="C5343" t="s">
        <v>1691</v>
      </c>
      <c r="D5343" t="str">
        <f>IFERROR(VLOOKUP(C5343,APOYO!J:K,2,FALSE),C5343)</f>
        <v>CONFINES</v>
      </c>
      <c r="E5343" s="7">
        <v>2020</v>
      </c>
    </row>
    <row r="5344" spans="1:8" x14ac:dyDescent="0.25">
      <c r="A5344" t="str">
        <f>_xlfn.XLOOKUP(C5344, 'Códigos DANE Municipios'!$B$2:$B$1123, 'Códigos DANE Municipios'!$A$2:$A$1123, "No encontrado")</f>
        <v>52207</v>
      </c>
      <c r="B5344" t="str">
        <f>IFERROR(VLOOKUP(D5344,APOYO!K:L,2,FALSE),A5344)</f>
        <v>52207</v>
      </c>
      <c r="C5344" t="s">
        <v>1428</v>
      </c>
      <c r="D5344" t="str">
        <f>IFERROR(VLOOKUP(C5344,APOYO!J:K,2,FALSE),C5344)</f>
        <v>CONSACÁ</v>
      </c>
      <c r="E5344" s="7">
        <v>2020</v>
      </c>
      <c r="H5344">
        <v>1</v>
      </c>
    </row>
    <row r="5345" spans="1:8" x14ac:dyDescent="0.25">
      <c r="A5345" t="str">
        <f>_xlfn.XLOOKUP(C5345, 'Códigos DANE Municipios'!$B$2:$B$1123, 'Códigos DANE Municipios'!$A$2:$A$1123, "No encontrado")</f>
        <v>68211</v>
      </c>
      <c r="B5345" t="str">
        <f>IFERROR(VLOOKUP(D5345,APOYO!K:L,2,FALSE),A5345)</f>
        <v>68211</v>
      </c>
      <c r="C5345" t="s">
        <v>1693</v>
      </c>
      <c r="D5345" t="str">
        <f>IFERROR(VLOOKUP(C5345,APOYO!J:K,2,FALSE),C5345)</f>
        <v>CONTRATACIÓN</v>
      </c>
      <c r="E5345" s="7">
        <v>2020</v>
      </c>
    </row>
    <row r="5346" spans="1:8" x14ac:dyDescent="0.25">
      <c r="A5346" t="str">
        <f>_xlfn.XLOOKUP(C5346, 'Códigos DANE Municipios'!$B$2:$B$1123, 'Códigos DANE Municipios'!$A$2:$A$1123, "No encontrado")</f>
        <v>52210</v>
      </c>
      <c r="B5346" t="str">
        <f>IFERROR(VLOOKUP(D5346,APOYO!K:L,2,FALSE),A5346)</f>
        <v>52210</v>
      </c>
      <c r="C5346" t="s">
        <v>1430</v>
      </c>
      <c r="D5346" t="str">
        <f>IFERROR(VLOOKUP(C5346,APOYO!J:K,2,FALSE),C5346)</f>
        <v>CONTADERO</v>
      </c>
      <c r="E5346" s="7">
        <v>2020</v>
      </c>
    </row>
    <row r="5347" spans="1:8" x14ac:dyDescent="0.25">
      <c r="A5347" t="str">
        <f>_xlfn.XLOOKUP(C5347, 'Códigos DANE Municipios'!$B$2:$B$1123, 'Códigos DANE Municipios'!$A$2:$A$1123, "No encontrado")</f>
        <v>05212</v>
      </c>
      <c r="B5347" t="str">
        <f>IFERROR(VLOOKUP(D5347,APOYO!K:L,2,FALSE),A5347)</f>
        <v>05212</v>
      </c>
      <c r="C5347" t="s">
        <v>92</v>
      </c>
      <c r="D5347" t="str">
        <f>IFERROR(VLOOKUP(C5347,APOYO!J:K,2,FALSE),C5347)</f>
        <v>COPACABANA</v>
      </c>
      <c r="E5347" s="7">
        <v>2020</v>
      </c>
      <c r="H5347">
        <v>219</v>
      </c>
    </row>
    <row r="5348" spans="1:8" x14ac:dyDescent="0.25">
      <c r="A5348" t="str">
        <f>_xlfn.XLOOKUP(C5348, 'Códigos DANE Municipios'!$B$2:$B$1123, 'Códigos DANE Municipios'!$A$2:$A$1123, "No encontrado")</f>
        <v>13212</v>
      </c>
      <c r="B5348" t="str">
        <f>IFERROR(VLOOKUP(D5348,APOYO!K:L,2,FALSE),A5348)</f>
        <v>13212</v>
      </c>
      <c r="C5348" t="s">
        <v>329</v>
      </c>
      <c r="D5348" t="str">
        <f>IFERROR(VLOOKUP(C5348,APOYO!J:K,2,FALSE),C5348)</f>
        <v>CÓRDOBA</v>
      </c>
      <c r="E5348" s="7">
        <v>2020</v>
      </c>
      <c r="H5348">
        <v>9</v>
      </c>
    </row>
    <row r="5349" spans="1:8" x14ac:dyDescent="0.25">
      <c r="A5349" t="str">
        <f>_xlfn.XLOOKUP(C5349, 'Códigos DANE Municipios'!$B$2:$B$1123, 'Códigos DANE Municipios'!$A$2:$A$1123, "No encontrado")</f>
        <v>19212</v>
      </c>
      <c r="B5349" t="str">
        <f>IFERROR(VLOOKUP(D5349,APOYO!K:L,2,FALSE),A5349)</f>
        <v>19212</v>
      </c>
      <c r="C5349" t="s">
        <v>746</v>
      </c>
      <c r="D5349" t="str">
        <f>IFERROR(VLOOKUP(C5349,APOYO!J:K,2,FALSE),C5349)</f>
        <v>CORINTO</v>
      </c>
      <c r="E5349" s="7">
        <v>2020</v>
      </c>
      <c r="H5349">
        <v>8</v>
      </c>
    </row>
    <row r="5350" spans="1:8" x14ac:dyDescent="0.25">
      <c r="A5350" t="str">
        <f>_xlfn.XLOOKUP(C5350, 'Códigos DANE Municipios'!$B$2:$B$1123, 'Códigos DANE Municipios'!$A$2:$A$1123, "No encontrado")</f>
        <v>70215</v>
      </c>
      <c r="B5350" t="str">
        <f>IFERROR(VLOOKUP(D5350,APOYO!K:L,2,FALSE),A5350)</f>
        <v>70215</v>
      </c>
      <c r="C5350" t="s">
        <v>1823</v>
      </c>
      <c r="D5350" t="str">
        <f>IFERROR(VLOOKUP(C5350,APOYO!J:K,2,FALSE),C5350)</f>
        <v>COROZAL</v>
      </c>
      <c r="E5350" s="7">
        <v>2020</v>
      </c>
    </row>
    <row r="5351" spans="1:8" x14ac:dyDescent="0.25">
      <c r="A5351" t="str">
        <f>_xlfn.XLOOKUP(C5351, 'Códigos DANE Municipios'!$B$2:$B$1123, 'Códigos DANE Municipios'!$A$2:$A$1123, "No encontrado")</f>
        <v>25214</v>
      </c>
      <c r="B5351" t="str">
        <f>IFERROR(VLOOKUP(D5351,APOYO!K:L,2,FALSE),A5351)</f>
        <v>25214</v>
      </c>
      <c r="C5351" t="s">
        <v>956</v>
      </c>
      <c r="D5351" t="str">
        <f>IFERROR(VLOOKUP(C5351,APOYO!J:K,2,FALSE),C5351)</f>
        <v>COTA</v>
      </c>
      <c r="E5351" s="7">
        <v>2020</v>
      </c>
      <c r="H5351">
        <v>233</v>
      </c>
    </row>
    <row r="5352" spans="1:8" x14ac:dyDescent="0.25">
      <c r="A5352" t="str">
        <f>_xlfn.XLOOKUP(C5352, 'Códigos DANE Municipios'!$B$2:$B$1123, 'Códigos DANE Municipios'!$A$2:$A$1123, "No encontrado")</f>
        <v>70221</v>
      </c>
      <c r="B5352" t="str">
        <f>IFERROR(VLOOKUP(D5352,APOYO!K:L,2,FALSE),A5352)</f>
        <v>70221</v>
      </c>
      <c r="C5352" t="s">
        <v>1825</v>
      </c>
      <c r="D5352" t="str">
        <f>IFERROR(VLOOKUP(C5352,APOYO!J:K,2,FALSE),C5352)</f>
        <v>COVEÑAS</v>
      </c>
      <c r="E5352" s="7">
        <v>2020</v>
      </c>
      <c r="F5352">
        <v>0</v>
      </c>
      <c r="H5352">
        <v>69</v>
      </c>
    </row>
    <row r="5353" spans="1:8" x14ac:dyDescent="0.25">
      <c r="A5353" t="str">
        <f>_xlfn.XLOOKUP(C5353, 'Códigos DANE Municipios'!$B$2:$B$1123, 'Códigos DANE Municipios'!$A$2:$A$1123, "No encontrado")</f>
        <v>81220</v>
      </c>
      <c r="B5353" t="str">
        <f>IFERROR(VLOOKUP(D5353,APOYO!K:L,2,FALSE),A5353)</f>
        <v>81220</v>
      </c>
      <c r="C5353" t="s">
        <v>2038</v>
      </c>
      <c r="D5353" t="str">
        <f>IFERROR(VLOOKUP(C5353,APOYO!J:K,2,FALSE),C5353)</f>
        <v>CRAVO NORTE</v>
      </c>
      <c r="E5353" s="7">
        <v>2020</v>
      </c>
      <c r="F5353">
        <v>64</v>
      </c>
      <c r="H5353">
        <v>2</v>
      </c>
    </row>
    <row r="5354" spans="1:8" x14ac:dyDescent="0.25">
      <c r="A5354" t="str">
        <f>_xlfn.XLOOKUP(C5354, 'Códigos DANE Municipios'!$B$2:$B$1123, 'Códigos DANE Municipios'!$A$2:$A$1123, "No encontrado")</f>
        <v>15223</v>
      </c>
      <c r="B5354" t="str">
        <f>IFERROR(VLOOKUP(D5354,APOYO!K:L,2,FALSE),A5354)</f>
        <v>15223</v>
      </c>
      <c r="C5354" t="s">
        <v>451</v>
      </c>
      <c r="D5354" t="str">
        <f>IFERROR(VLOOKUP(C5354,APOYO!J:K,2,FALSE),C5354)</f>
        <v>CUBARÁ</v>
      </c>
      <c r="E5354" s="7">
        <v>2020</v>
      </c>
    </row>
    <row r="5355" spans="1:8" x14ac:dyDescent="0.25">
      <c r="A5355" t="str">
        <f>_xlfn.XLOOKUP(C5355, 'Códigos DANE Municipios'!$B$2:$B$1123, 'Códigos DANE Municipios'!$A$2:$A$1123, "No encontrado")</f>
        <v>50223</v>
      </c>
      <c r="B5355" t="str">
        <f>IFERROR(VLOOKUP(D5355,APOYO!K:L,2,FALSE),A5355)</f>
        <v>50223</v>
      </c>
      <c r="C5355" t="s">
        <v>1368</v>
      </c>
      <c r="D5355" t="str">
        <f>IFERROR(VLOOKUP(C5355,APOYO!J:K,2,FALSE),C5355)</f>
        <v>SAN LUIS DE CUBARRAL</v>
      </c>
      <c r="E5355" s="7">
        <v>2020</v>
      </c>
      <c r="H5355">
        <v>1</v>
      </c>
    </row>
    <row r="5356" spans="1:8" x14ac:dyDescent="0.25">
      <c r="A5356" t="str">
        <f>_xlfn.XLOOKUP(C5356, 'Códigos DANE Municipios'!$B$2:$B$1123, 'Códigos DANE Municipios'!$A$2:$A$1123, "No encontrado")</f>
        <v>15224</v>
      </c>
      <c r="B5356" t="str">
        <f>IFERROR(VLOOKUP(D5356,APOYO!K:L,2,FALSE),A5356)</f>
        <v>15224</v>
      </c>
      <c r="C5356" t="s">
        <v>453</v>
      </c>
      <c r="D5356" t="str">
        <f>IFERROR(VLOOKUP(C5356,APOYO!J:K,2,FALSE),C5356)</f>
        <v>CUCAITA</v>
      </c>
      <c r="E5356" s="7">
        <v>2020</v>
      </c>
      <c r="H5356">
        <v>1</v>
      </c>
    </row>
    <row r="5357" spans="1:8" x14ac:dyDescent="0.25">
      <c r="A5357" t="str">
        <f>_xlfn.XLOOKUP(C5357, 'Códigos DANE Municipios'!$B$2:$B$1123, 'Códigos DANE Municipios'!$A$2:$A$1123, "No encontrado")</f>
        <v>25224</v>
      </c>
      <c r="B5357" t="str">
        <f>IFERROR(VLOOKUP(D5357,APOYO!K:L,2,FALSE),A5357)</f>
        <v>25224</v>
      </c>
      <c r="C5357" t="s">
        <v>958</v>
      </c>
      <c r="D5357" t="str">
        <f>IFERROR(VLOOKUP(C5357,APOYO!J:K,2,FALSE),C5357)</f>
        <v>CUCUNUBÁ</v>
      </c>
      <c r="E5357" s="7">
        <v>2020</v>
      </c>
      <c r="H5357">
        <v>2</v>
      </c>
    </row>
    <row r="5358" spans="1:8" x14ac:dyDescent="0.25">
      <c r="A5358" t="str">
        <f>_xlfn.XLOOKUP(C5358, 'Códigos DANE Municipios'!$B$2:$B$1123, 'Códigos DANE Municipios'!$A$2:$A$1123, "No encontrado")</f>
        <v>54001</v>
      </c>
      <c r="B5358" t="str">
        <f>IFERROR(VLOOKUP(D5358,APOYO!K:L,2,FALSE),A5358)</f>
        <v>54001</v>
      </c>
      <c r="C5358" t="s">
        <v>1529</v>
      </c>
      <c r="D5358" t="str">
        <f>IFERROR(VLOOKUP(C5358,APOYO!J:K,2,FALSE),C5358)</f>
        <v>CÚCUTA</v>
      </c>
      <c r="E5358" s="7">
        <v>2020</v>
      </c>
      <c r="F5358">
        <v>179222</v>
      </c>
      <c r="G5358">
        <v>12994</v>
      </c>
      <c r="H5358">
        <v>6873</v>
      </c>
    </row>
    <row r="5359" spans="1:8" x14ac:dyDescent="0.25">
      <c r="A5359" t="str">
        <f>_xlfn.XLOOKUP(C5359, 'Códigos DANE Municipios'!$B$2:$B$1123, 'Códigos DANE Municipios'!$A$2:$A$1123, "No encontrado")</f>
        <v>54223</v>
      </c>
      <c r="B5359" t="str">
        <f>IFERROR(VLOOKUP(D5359,APOYO!K:L,2,FALSE),A5359)</f>
        <v>54223</v>
      </c>
      <c r="C5359" t="s">
        <v>1549</v>
      </c>
      <c r="D5359" t="str">
        <f>IFERROR(VLOOKUP(C5359,APOYO!J:K,2,FALSE),C5359)</f>
        <v>CUCUTILLA</v>
      </c>
      <c r="E5359" s="7">
        <v>2020</v>
      </c>
      <c r="H5359">
        <v>39</v>
      </c>
    </row>
    <row r="5360" spans="1:8" x14ac:dyDescent="0.25">
      <c r="A5360" t="str">
        <f>_xlfn.XLOOKUP(C5360, 'Códigos DANE Municipios'!$B$2:$B$1123, 'Códigos DANE Municipios'!$A$2:$A$1123, "No encontrado")</f>
        <v>15226</v>
      </c>
      <c r="B5360" t="str">
        <f>IFERROR(VLOOKUP(D5360,APOYO!K:L,2,FALSE),A5360)</f>
        <v>15226</v>
      </c>
      <c r="C5360" t="s">
        <v>455</v>
      </c>
      <c r="D5360" t="str">
        <f>IFERROR(VLOOKUP(C5360,APOYO!J:K,2,FALSE),C5360)</f>
        <v>CUÍTIVA</v>
      </c>
      <c r="E5360" s="7">
        <v>2020</v>
      </c>
    </row>
    <row r="5361" spans="1:8" x14ac:dyDescent="0.25">
      <c r="A5361" t="str">
        <f>_xlfn.XLOOKUP(C5361, 'Códigos DANE Municipios'!$B$2:$B$1123, 'Códigos DANE Municipios'!$A$2:$A$1123, "No encontrado")</f>
        <v>50226</v>
      </c>
      <c r="B5361" t="str">
        <f>IFERROR(VLOOKUP(D5361,APOYO!K:L,2,FALSE),A5361)</f>
        <v>50226</v>
      </c>
      <c r="C5361" t="s">
        <v>1370</v>
      </c>
      <c r="D5361" t="str">
        <f>IFERROR(VLOOKUP(C5361,APOYO!J:K,2,FALSE),C5361)</f>
        <v>CUMARAL</v>
      </c>
      <c r="E5361" s="7">
        <v>2020</v>
      </c>
      <c r="F5361">
        <v>6</v>
      </c>
      <c r="H5361">
        <v>31</v>
      </c>
    </row>
    <row r="5362" spans="1:8" x14ac:dyDescent="0.25">
      <c r="A5362" t="str">
        <f>_xlfn.XLOOKUP(C5362, 'Códigos DANE Municipios'!$B$2:$B$1123, 'Códigos DANE Municipios'!$A$2:$A$1123, "No encontrado")</f>
        <v>99773</v>
      </c>
      <c r="B5362" t="str">
        <f>IFERROR(VLOOKUP(D5362,APOYO!K:L,2,FALSE),A5362)</f>
        <v>99773</v>
      </c>
      <c r="C5362" t="s">
        <v>2169</v>
      </c>
      <c r="D5362" t="str">
        <f>IFERROR(VLOOKUP(C5362,APOYO!J:K,2,FALSE),C5362)</f>
        <v>CUMARIBO</v>
      </c>
      <c r="E5362" s="7">
        <v>2020</v>
      </c>
      <c r="F5362">
        <v>115</v>
      </c>
      <c r="H5362">
        <v>11</v>
      </c>
    </row>
    <row r="5363" spans="1:8" x14ac:dyDescent="0.25">
      <c r="A5363" t="str">
        <f>_xlfn.XLOOKUP(C5363, 'Códigos DANE Municipios'!$B$2:$B$1123, 'Códigos DANE Municipios'!$A$2:$A$1123, "No encontrado")</f>
        <v>52227</v>
      </c>
      <c r="B5363" t="str">
        <f>IFERROR(VLOOKUP(D5363,APOYO!K:L,2,FALSE),A5363)</f>
        <v>52227</v>
      </c>
      <c r="C5363" t="s">
        <v>1435</v>
      </c>
      <c r="D5363" t="str">
        <f>IFERROR(VLOOKUP(C5363,APOYO!J:K,2,FALSE),C5363)</f>
        <v>CUMBAL</v>
      </c>
      <c r="E5363" s="7">
        <v>2020</v>
      </c>
      <c r="H5363">
        <v>8</v>
      </c>
    </row>
    <row r="5364" spans="1:8" x14ac:dyDescent="0.25">
      <c r="A5364" t="str">
        <f>_xlfn.XLOOKUP(C5364, 'Códigos DANE Municipios'!$B$2:$B$1123, 'Códigos DANE Municipios'!$A$2:$A$1123, "No encontrado")</f>
        <v>73226</v>
      </c>
      <c r="B5364" t="str">
        <f>IFERROR(VLOOKUP(D5364,APOYO!K:L,2,FALSE),A5364)</f>
        <v>73226</v>
      </c>
      <c r="C5364" t="s">
        <v>1891</v>
      </c>
      <c r="D5364" t="str">
        <f>IFERROR(VLOOKUP(C5364,APOYO!J:K,2,FALSE),C5364)</f>
        <v>CUNDAY</v>
      </c>
      <c r="E5364" s="7">
        <v>2020</v>
      </c>
    </row>
    <row r="5365" spans="1:8" x14ac:dyDescent="0.25">
      <c r="A5365" t="str">
        <f>_xlfn.XLOOKUP(C5365, 'Códigos DANE Municipios'!$B$2:$B$1123, 'Códigos DANE Municipios'!$A$2:$A$1123, "No encontrado")</f>
        <v>68229</v>
      </c>
      <c r="B5365" t="str">
        <f>IFERROR(VLOOKUP(D5365,APOYO!K:L,2,FALSE),A5365)</f>
        <v>68229</v>
      </c>
      <c r="C5365" t="s">
        <v>1697</v>
      </c>
      <c r="D5365" t="str">
        <f>IFERROR(VLOOKUP(C5365,APOYO!J:K,2,FALSE),C5365)</f>
        <v>CURITÍ</v>
      </c>
      <c r="E5365" s="7">
        <v>2020</v>
      </c>
      <c r="H5365">
        <v>7</v>
      </c>
    </row>
    <row r="5366" spans="1:8" x14ac:dyDescent="0.25">
      <c r="A5366" t="str">
        <f>_xlfn.XLOOKUP(C5366, 'Códigos DANE Municipios'!$B$2:$B$1123, 'Códigos DANE Municipios'!$A$2:$A$1123, "No encontrado")</f>
        <v>20228</v>
      </c>
      <c r="B5366" t="str">
        <f>IFERROR(VLOOKUP(D5366,APOYO!K:L,2,FALSE),A5366)</f>
        <v>20228</v>
      </c>
      <c r="C5366" t="s">
        <v>824</v>
      </c>
      <c r="D5366" t="str">
        <f>IFERROR(VLOOKUP(C5366,APOYO!J:K,2,FALSE),C5366)</f>
        <v>CURUMANÍ</v>
      </c>
      <c r="E5366" s="7">
        <v>2020</v>
      </c>
      <c r="H5366">
        <v>8</v>
      </c>
    </row>
    <row r="5367" spans="1:8" x14ac:dyDescent="0.25">
      <c r="A5367" t="str">
        <f>_xlfn.XLOOKUP(C5367, 'Códigos DANE Municipios'!$B$2:$B$1123, 'Códigos DANE Municipios'!$A$2:$A$1123, "No encontrado")</f>
        <v>05234</v>
      </c>
      <c r="B5367" t="str">
        <f>IFERROR(VLOOKUP(D5367,APOYO!K:L,2,FALSE),A5367)</f>
        <v>05234</v>
      </c>
      <c r="C5367" t="s">
        <v>94</v>
      </c>
      <c r="D5367" t="str">
        <f>IFERROR(VLOOKUP(C5367,APOYO!J:K,2,FALSE),C5367)</f>
        <v>DABEIBA</v>
      </c>
      <c r="E5367" s="7">
        <v>2020</v>
      </c>
      <c r="H5367">
        <v>34</v>
      </c>
    </row>
    <row r="5368" spans="1:8" x14ac:dyDescent="0.25">
      <c r="A5368" t="str">
        <f>_xlfn.XLOOKUP(C5368, 'Códigos DANE Municipios'!$B$2:$B$1123, 'Códigos DANE Municipios'!$A$2:$A$1123, "No encontrado")</f>
        <v>76233</v>
      </c>
      <c r="B5368" t="str">
        <f>IFERROR(VLOOKUP(D5368,APOYO!K:L,2,FALSE),A5368)</f>
        <v>76233</v>
      </c>
      <c r="C5368" t="s">
        <v>1980</v>
      </c>
      <c r="D5368" t="str">
        <f>IFERROR(VLOOKUP(C5368,APOYO!J:K,2,FALSE),C5368)</f>
        <v>DAGUA</v>
      </c>
      <c r="E5368" s="7">
        <v>2020</v>
      </c>
      <c r="H5368">
        <v>48</v>
      </c>
    </row>
    <row r="5369" spans="1:8" x14ac:dyDescent="0.25">
      <c r="A5369" t="str">
        <f>_xlfn.XLOOKUP(C5369, 'Códigos DANE Municipios'!$B$2:$B$1123, 'Códigos DANE Municipios'!$A$2:$A$1123, "No encontrado")</f>
        <v>44090</v>
      </c>
      <c r="B5369" t="str">
        <f>IFERROR(VLOOKUP(D5369,APOYO!K:L,2,FALSE),A5369)</f>
        <v>44090</v>
      </c>
      <c r="C5369" t="s">
        <v>1277</v>
      </c>
      <c r="D5369" t="str">
        <f>IFERROR(VLOOKUP(C5369,APOYO!J:K,2,FALSE),C5369)</f>
        <v>DIBULLA</v>
      </c>
      <c r="E5369" s="7">
        <v>2020</v>
      </c>
      <c r="H5369">
        <v>71</v>
      </c>
    </row>
    <row r="5370" spans="1:8" x14ac:dyDescent="0.25">
      <c r="A5370" t="str">
        <f>_xlfn.XLOOKUP(C5370, 'Códigos DANE Municipios'!$B$2:$B$1123, 'Códigos DANE Municipios'!$A$2:$A$1123, "No encontrado")</f>
        <v>44098</v>
      </c>
      <c r="B5370" t="str">
        <f>IFERROR(VLOOKUP(D5370,APOYO!K:L,2,FALSE),A5370)</f>
        <v>44098</v>
      </c>
      <c r="C5370" t="s">
        <v>1279</v>
      </c>
      <c r="D5370" t="str">
        <f>IFERROR(VLOOKUP(C5370,APOYO!J:K,2,FALSE),C5370)</f>
        <v>DISTRACCIÓN</v>
      </c>
      <c r="E5370" s="7">
        <v>2020</v>
      </c>
      <c r="F5370">
        <v>0</v>
      </c>
      <c r="H5370">
        <v>1</v>
      </c>
    </row>
    <row r="5371" spans="1:8" x14ac:dyDescent="0.25">
      <c r="A5371" t="s">
        <v>1892</v>
      </c>
      <c r="B5371" t="s">
        <v>1892</v>
      </c>
      <c r="C5371" t="s">
        <v>1893</v>
      </c>
      <c r="D5371" t="str">
        <f>IFERROR(VLOOKUP(C5371,APOYO!J:K,2,FALSE),C5371)</f>
        <v>DOLORES</v>
      </c>
      <c r="E5371" s="7">
        <v>2020</v>
      </c>
      <c r="H5371">
        <v>1</v>
      </c>
    </row>
    <row r="5372" spans="1:8" x14ac:dyDescent="0.25">
      <c r="A5372" t="str">
        <f>_xlfn.XLOOKUP(C5372, 'Códigos DANE Municipios'!$B$2:$B$1123, 'Códigos DANE Municipios'!$A$2:$A$1123, "No encontrado")</f>
        <v>05237</v>
      </c>
      <c r="B5372" t="str">
        <f>IFERROR(VLOOKUP(D5372,APOYO!K:L,2,FALSE),A5372)</f>
        <v>05237</v>
      </c>
      <c r="C5372" t="s">
        <v>96</v>
      </c>
      <c r="D5372" t="str">
        <f>IFERROR(VLOOKUP(C5372,APOYO!J:K,2,FALSE),C5372)</f>
        <v>DONMATÍAS</v>
      </c>
      <c r="E5372" s="7">
        <v>2020</v>
      </c>
      <c r="H5372">
        <v>63</v>
      </c>
    </row>
    <row r="5373" spans="1:8" x14ac:dyDescent="0.25">
      <c r="A5373" t="str">
        <f>_xlfn.XLOOKUP(C5373, 'Códigos DANE Municipios'!$B$2:$B$1123, 'Códigos DANE Municipios'!$A$2:$A$1123, "No encontrado")</f>
        <v>66170</v>
      </c>
      <c r="B5373" t="str">
        <f>IFERROR(VLOOKUP(D5373,APOYO!K:L,2,FALSE),A5373)</f>
        <v>66170</v>
      </c>
      <c r="C5373" t="s">
        <v>1635</v>
      </c>
      <c r="D5373" t="str">
        <f>IFERROR(VLOOKUP(C5373,APOYO!J:K,2,FALSE),C5373)</f>
        <v>DOSQUEBRADAS</v>
      </c>
      <c r="E5373" s="7">
        <v>2020</v>
      </c>
      <c r="H5373">
        <v>746</v>
      </c>
    </row>
    <row r="5374" spans="1:8" x14ac:dyDescent="0.25">
      <c r="A5374" t="str">
        <f>_xlfn.XLOOKUP(C5374, 'Códigos DANE Municipios'!$B$2:$B$1123, 'Códigos DANE Municipios'!$A$2:$A$1123, "No encontrado")</f>
        <v>15238</v>
      </c>
      <c r="B5374" t="str">
        <f>IFERROR(VLOOKUP(D5374,APOYO!K:L,2,FALSE),A5374)</f>
        <v>15238</v>
      </c>
      <c r="C5374" t="s">
        <v>461</v>
      </c>
      <c r="D5374" t="str">
        <f>IFERROR(VLOOKUP(C5374,APOYO!J:K,2,FALSE),C5374)</f>
        <v>DUITAMA</v>
      </c>
      <c r="E5374" s="7">
        <v>2020</v>
      </c>
      <c r="H5374">
        <v>279</v>
      </c>
    </row>
    <row r="5375" spans="1:8" x14ac:dyDescent="0.25">
      <c r="A5375" t="str">
        <f>_xlfn.XLOOKUP(C5375, 'Códigos DANE Municipios'!$B$2:$B$1123, 'Códigos DANE Municipios'!$A$2:$A$1123, "No encontrado")</f>
        <v>05240</v>
      </c>
      <c r="B5375" t="str">
        <f>IFERROR(VLOOKUP(D5375,APOYO!K:L,2,FALSE),A5375)</f>
        <v>05240</v>
      </c>
      <c r="C5375" t="s">
        <v>98</v>
      </c>
      <c r="D5375" t="str">
        <f>IFERROR(VLOOKUP(C5375,APOYO!J:K,2,FALSE),C5375)</f>
        <v>EBÉJICO</v>
      </c>
      <c r="E5375" s="7">
        <v>2020</v>
      </c>
      <c r="H5375">
        <v>4</v>
      </c>
    </row>
    <row r="5376" spans="1:8" x14ac:dyDescent="0.25">
      <c r="A5376" t="str">
        <f>_xlfn.XLOOKUP(C5376, 'Códigos DANE Municipios'!$B$2:$B$1123, 'Códigos DANE Municipios'!$A$2:$A$1123, "No encontrado")</f>
        <v>05250</v>
      </c>
      <c r="B5376" t="str">
        <f>IFERROR(VLOOKUP(D5376,APOYO!K:L,2,FALSE),A5376)</f>
        <v>05250</v>
      </c>
      <c r="C5376" t="s">
        <v>100</v>
      </c>
      <c r="D5376" t="str">
        <f>IFERROR(VLOOKUP(C5376,APOYO!J:K,2,FALSE),C5376)</f>
        <v>EL BAGRE</v>
      </c>
      <c r="E5376" s="7">
        <v>2020</v>
      </c>
      <c r="F5376">
        <v>3560</v>
      </c>
      <c r="H5376">
        <v>12</v>
      </c>
    </row>
    <row r="5377" spans="1:9" x14ac:dyDescent="0.25">
      <c r="A5377" t="str">
        <f>_xlfn.XLOOKUP(C5377, 'Códigos DANE Municipios'!$B$2:$B$1123, 'Códigos DANE Municipios'!$A$2:$A$1123, "No encontrado")</f>
        <v>47245</v>
      </c>
      <c r="B5377" t="str">
        <f>IFERROR(VLOOKUP(D5377,APOYO!K:L,2,FALSE),A5377)</f>
        <v>47245</v>
      </c>
      <c r="C5377" t="s">
        <v>1315</v>
      </c>
      <c r="D5377" t="str">
        <f>IFERROR(VLOOKUP(C5377,APOYO!J:K,2,FALSE),C5377)</f>
        <v>EL BANCO</v>
      </c>
      <c r="E5377" s="7">
        <v>2020</v>
      </c>
      <c r="F5377">
        <v>13</v>
      </c>
      <c r="H5377">
        <v>8</v>
      </c>
    </row>
    <row r="5378" spans="1:9" x14ac:dyDescent="0.25">
      <c r="A5378" t="str">
        <f>_xlfn.XLOOKUP(C5378, 'Códigos DANE Municipios'!$B$2:$B$1123, 'Códigos DANE Municipios'!$A$2:$A$1123, "No encontrado")</f>
        <v>76246</v>
      </c>
      <c r="B5378" t="str">
        <f>IFERROR(VLOOKUP(D5378,APOYO!K:L,2,FALSE),A5378)</f>
        <v>76246</v>
      </c>
      <c r="C5378" t="s">
        <v>1984</v>
      </c>
      <c r="D5378" t="str">
        <f>IFERROR(VLOOKUP(C5378,APOYO!J:K,2,FALSE),C5378)</f>
        <v>EL CAIRO</v>
      </c>
      <c r="E5378" s="7">
        <v>2020</v>
      </c>
      <c r="H5378">
        <v>11</v>
      </c>
    </row>
    <row r="5379" spans="1:9" x14ac:dyDescent="0.25">
      <c r="A5379" t="str">
        <f>_xlfn.XLOOKUP(C5379, 'Códigos DANE Municipios'!$B$2:$B$1123, 'Códigos DANE Municipios'!$A$2:$A$1123, "No encontrado")</f>
        <v>54245</v>
      </c>
      <c r="B5379" t="str">
        <f>IFERROR(VLOOKUP(D5379,APOYO!K:L,2,FALSE),A5379)</f>
        <v>54245</v>
      </c>
      <c r="C5379" t="s">
        <v>1553</v>
      </c>
      <c r="D5379" t="str">
        <f>IFERROR(VLOOKUP(C5379,APOYO!J:K,2,FALSE),C5379)</f>
        <v>EL CARMEN</v>
      </c>
      <c r="E5379" s="7">
        <v>2020</v>
      </c>
      <c r="H5379">
        <v>19</v>
      </c>
    </row>
    <row r="5380" spans="1:9" x14ac:dyDescent="0.25">
      <c r="A5380" t="str">
        <f>_xlfn.XLOOKUP(C5380, 'Códigos DANE Municipios'!$B$2:$B$1123, 'Códigos DANE Municipios'!$A$2:$A$1123, "No encontrado")</f>
        <v>13244</v>
      </c>
      <c r="B5380" t="str">
        <f>IFERROR(VLOOKUP(D5380,APOYO!K:L,2,FALSE),A5380)</f>
        <v>13244</v>
      </c>
      <c r="C5380" t="s">
        <v>333</v>
      </c>
      <c r="D5380" t="str">
        <f>IFERROR(VLOOKUP(C5380,APOYO!J:K,2,FALSE),C5380)</f>
        <v>EL CARMEN DE BOLÍVAR</v>
      </c>
      <c r="E5380" s="7">
        <v>2020</v>
      </c>
      <c r="F5380">
        <v>0</v>
      </c>
      <c r="H5380">
        <v>10</v>
      </c>
    </row>
    <row r="5381" spans="1:9" x14ac:dyDescent="0.25">
      <c r="A5381" t="str">
        <f>_xlfn.XLOOKUP(C5381, 'Códigos DANE Municipios'!$B$2:$B$1123, 'Códigos DANE Municipios'!$A$2:$A$1123, "No encontrado")</f>
        <v>50251</v>
      </c>
      <c r="B5381" t="str">
        <f>IFERROR(VLOOKUP(D5381,APOYO!K:L,2,FALSE),A5381)</f>
        <v>50251</v>
      </c>
      <c r="C5381" t="s">
        <v>1374</v>
      </c>
      <c r="D5381" t="str">
        <f>IFERROR(VLOOKUP(C5381,APOYO!J:K,2,FALSE),C5381)</f>
        <v>EL CASTILLO</v>
      </c>
      <c r="E5381" s="7">
        <v>2020</v>
      </c>
      <c r="H5381">
        <v>1</v>
      </c>
    </row>
    <row r="5382" spans="1:9" x14ac:dyDescent="0.25">
      <c r="A5382" t="str">
        <f>_xlfn.XLOOKUP(C5382, 'Códigos DANE Municipios'!$B$2:$B$1123, 'Códigos DANE Municipios'!$A$2:$A$1123, "No encontrado")</f>
        <v>76248</v>
      </c>
      <c r="B5382" t="str">
        <f>IFERROR(VLOOKUP(D5382,APOYO!K:L,2,FALSE),A5382)</f>
        <v>76248</v>
      </c>
      <c r="C5382" t="s">
        <v>1986</v>
      </c>
      <c r="D5382" t="str">
        <f>IFERROR(VLOOKUP(C5382,APOYO!J:K,2,FALSE),C5382)</f>
        <v>EL CERRITO</v>
      </c>
      <c r="E5382" s="7">
        <v>2020</v>
      </c>
      <c r="H5382">
        <v>119</v>
      </c>
    </row>
    <row r="5383" spans="1:9" x14ac:dyDescent="0.25">
      <c r="A5383" t="str">
        <f>_xlfn.XLOOKUP(C5383, 'Códigos DANE Municipios'!$B$2:$B$1123, 'Códigos DANE Municipios'!$A$2:$A$1123, "No encontrado")</f>
        <v>15244</v>
      </c>
      <c r="B5383" t="str">
        <f>IFERROR(VLOOKUP(D5383,APOYO!K:L,2,FALSE),A5383)</f>
        <v>15244</v>
      </c>
      <c r="C5383" t="s">
        <v>463</v>
      </c>
      <c r="D5383" t="str">
        <f>IFERROR(VLOOKUP(C5383,APOYO!J:K,2,FALSE),C5383)</f>
        <v>EL COCUY</v>
      </c>
      <c r="E5383" s="7">
        <v>2020</v>
      </c>
      <c r="H5383">
        <v>4</v>
      </c>
      <c r="I5383">
        <v>5654</v>
      </c>
    </row>
    <row r="5384" spans="1:9" x14ac:dyDescent="0.25">
      <c r="A5384" t="str">
        <f>_xlfn.XLOOKUP(C5384, 'Códigos DANE Municipios'!$B$2:$B$1123, 'Códigos DANE Municipios'!$A$2:$A$1123, "No encontrado")</f>
        <v>25245</v>
      </c>
      <c r="B5384" t="str">
        <f>IFERROR(VLOOKUP(D5384,APOYO!K:L,2,FALSE),A5384)</f>
        <v>25245</v>
      </c>
      <c r="C5384" t="s">
        <v>960</v>
      </c>
      <c r="D5384" t="str">
        <f>IFERROR(VLOOKUP(C5384,APOYO!J:K,2,FALSE),C5384)</f>
        <v>EL COLEGIO</v>
      </c>
      <c r="E5384" s="7">
        <v>2020</v>
      </c>
      <c r="H5384">
        <v>17</v>
      </c>
    </row>
    <row r="5385" spans="1:9" x14ac:dyDescent="0.25">
      <c r="A5385" t="str">
        <f>_xlfn.XLOOKUP(C5385, 'Códigos DANE Municipios'!$B$2:$B$1123, 'Códigos DANE Municipios'!$A$2:$A$1123, "No encontrado")</f>
        <v>20238</v>
      </c>
      <c r="B5385" t="str">
        <f>IFERROR(VLOOKUP(D5385,APOYO!K:L,2,FALSE),A5385)</f>
        <v>20238</v>
      </c>
      <c r="C5385" t="s">
        <v>826</v>
      </c>
      <c r="D5385" t="str">
        <f>IFERROR(VLOOKUP(C5385,APOYO!J:K,2,FALSE),C5385)</f>
        <v>EL COPEY</v>
      </c>
      <c r="E5385" s="7">
        <v>2020</v>
      </c>
      <c r="H5385">
        <v>6</v>
      </c>
    </row>
    <row r="5386" spans="1:9" x14ac:dyDescent="0.25">
      <c r="A5386" t="str">
        <f>_xlfn.XLOOKUP(C5386, 'Códigos DANE Municipios'!$B$2:$B$1123, 'Códigos DANE Municipios'!$A$2:$A$1123, "No encontrado")</f>
        <v>18247</v>
      </c>
      <c r="B5386" t="str">
        <f>IFERROR(VLOOKUP(D5386,APOYO!K:L,2,FALSE),A5386)</f>
        <v>18247</v>
      </c>
      <c r="C5386" t="s">
        <v>708</v>
      </c>
      <c r="D5386" t="str">
        <f>IFERROR(VLOOKUP(C5386,APOYO!J:K,2,FALSE),C5386)</f>
        <v>EL DONCELLO</v>
      </c>
      <c r="E5386" s="7">
        <v>2020</v>
      </c>
      <c r="H5386">
        <v>7</v>
      </c>
    </row>
    <row r="5387" spans="1:9" x14ac:dyDescent="0.25">
      <c r="A5387" t="str">
        <f>_xlfn.XLOOKUP(C5387, 'Códigos DANE Municipios'!$B$2:$B$1123, 'Códigos DANE Municipios'!$A$2:$A$1123, "No encontrado")</f>
        <v>50270</v>
      </c>
      <c r="B5387" t="str">
        <f>IFERROR(VLOOKUP(D5387,APOYO!K:L,2,FALSE),A5387)</f>
        <v>50270</v>
      </c>
      <c r="C5387" t="s">
        <v>1376</v>
      </c>
      <c r="D5387" t="str">
        <f>IFERROR(VLOOKUP(C5387,APOYO!J:K,2,FALSE),C5387)</f>
        <v>EL DORADO</v>
      </c>
      <c r="E5387" s="7">
        <v>2020</v>
      </c>
      <c r="H5387">
        <v>1</v>
      </c>
    </row>
    <row r="5388" spans="1:9" x14ac:dyDescent="0.25">
      <c r="A5388" t="str">
        <f>_xlfn.XLOOKUP(C5388, 'Códigos DANE Municipios'!$B$2:$B$1123, 'Códigos DANE Municipios'!$A$2:$A$1123, "No encontrado")</f>
        <v>76250</v>
      </c>
      <c r="B5388" t="str">
        <f>IFERROR(VLOOKUP(D5388,APOYO!K:L,2,FALSE),A5388)</f>
        <v>76250</v>
      </c>
      <c r="C5388" t="s">
        <v>1988</v>
      </c>
      <c r="D5388" t="str">
        <f>IFERROR(VLOOKUP(C5388,APOYO!J:K,2,FALSE),C5388)</f>
        <v>EL DOVIO</v>
      </c>
      <c r="E5388" s="7">
        <v>2020</v>
      </c>
      <c r="H5388">
        <v>8</v>
      </c>
    </row>
    <row r="5389" spans="1:9" x14ac:dyDescent="0.25">
      <c r="A5389" t="s">
        <v>464</v>
      </c>
      <c r="B5389" t="s">
        <v>464</v>
      </c>
      <c r="C5389" t="s">
        <v>465</v>
      </c>
      <c r="D5389" t="str">
        <f>IFERROR(VLOOKUP(C5389,APOYO!J:K,2,FALSE),C5389)</f>
        <v>EL ESPINO</v>
      </c>
      <c r="E5389" s="7">
        <v>2020</v>
      </c>
      <c r="H5389">
        <v>9</v>
      </c>
    </row>
    <row r="5390" spans="1:9" x14ac:dyDescent="0.25">
      <c r="A5390" t="str">
        <f>_xlfn.XLOOKUP(C5390, 'Códigos DANE Municipios'!$B$2:$B$1123, 'Códigos DANE Municipios'!$A$2:$A$1123, "No encontrado")</f>
        <v>20250</v>
      </c>
      <c r="B5390" t="str">
        <f>IFERROR(VLOOKUP(D5390,APOYO!K:L,2,FALSE),A5390)</f>
        <v>20250</v>
      </c>
      <c r="C5390" t="s">
        <v>828</v>
      </c>
      <c r="D5390" t="str">
        <f>IFERROR(VLOOKUP(C5390,APOYO!J:K,2,FALSE),C5390)</f>
        <v>EL PASO</v>
      </c>
      <c r="E5390" s="7">
        <v>2020</v>
      </c>
      <c r="H5390">
        <v>19</v>
      </c>
    </row>
    <row r="5391" spans="1:9" x14ac:dyDescent="0.25">
      <c r="A5391" t="str">
        <f>_xlfn.XLOOKUP(C5391, 'Códigos DANE Municipios'!$B$2:$B$1123, 'Códigos DANE Municipios'!$A$2:$A$1123, "No encontrado")</f>
        <v>18256</v>
      </c>
      <c r="B5391" t="str">
        <f>IFERROR(VLOOKUP(D5391,APOYO!K:L,2,FALSE),A5391)</f>
        <v>18256</v>
      </c>
      <c r="C5391" t="s">
        <v>710</v>
      </c>
      <c r="D5391" t="str">
        <f>IFERROR(VLOOKUP(C5391,APOYO!J:K,2,FALSE),C5391)</f>
        <v>EL PAUJÍL</v>
      </c>
      <c r="E5391" s="7">
        <v>2020</v>
      </c>
      <c r="H5391">
        <v>1</v>
      </c>
    </row>
    <row r="5392" spans="1:9" x14ac:dyDescent="0.25">
      <c r="A5392" t="str">
        <f>_xlfn.XLOOKUP(C5392, 'Códigos DANE Municipios'!$B$2:$B$1123, 'Códigos DANE Municipios'!$A$2:$A$1123, "No encontrado")</f>
        <v>13268</v>
      </c>
      <c r="B5392" t="str">
        <f>IFERROR(VLOOKUP(D5392,APOYO!K:L,2,FALSE),A5392)</f>
        <v>13268</v>
      </c>
      <c r="C5392" t="s">
        <v>337</v>
      </c>
      <c r="D5392" t="str">
        <f>IFERROR(VLOOKUP(C5392,APOYO!J:K,2,FALSE),C5392)</f>
        <v>EL PEÑÓN</v>
      </c>
      <c r="E5392" s="7">
        <v>2020</v>
      </c>
    </row>
    <row r="5393" spans="1:8" x14ac:dyDescent="0.25">
      <c r="A5393" t="str">
        <f>_xlfn.XLOOKUP(C5393, 'Códigos DANE Municipios'!$B$2:$B$1123, 'Códigos DANE Municipios'!$A$2:$A$1123, "No encontrado")</f>
        <v>68255</v>
      </c>
      <c r="B5393" t="str">
        <f>IFERROR(VLOOKUP(D5393,APOYO!K:L,2,FALSE),A5393)</f>
        <v>68255</v>
      </c>
      <c r="C5393" t="s">
        <v>1704</v>
      </c>
      <c r="D5393" t="str">
        <f>IFERROR(VLOOKUP(C5393,APOYO!J:K,2,FALSE),C5393)</f>
        <v>EL PLAYÓN</v>
      </c>
      <c r="E5393" s="7">
        <v>2020</v>
      </c>
      <c r="H5393">
        <v>2</v>
      </c>
    </row>
    <row r="5394" spans="1:8" x14ac:dyDescent="0.25">
      <c r="A5394" t="str">
        <f>_xlfn.XLOOKUP(C5394, 'Códigos DANE Municipios'!$B$2:$B$1123, 'Códigos DANE Municipios'!$A$2:$A$1123, "No encontrado")</f>
        <v>95025</v>
      </c>
      <c r="B5394" t="str">
        <f>IFERROR(VLOOKUP(D5394,APOYO!K:L,2,FALSE),A5394)</f>
        <v>95025</v>
      </c>
      <c r="C5394" t="s">
        <v>2148</v>
      </c>
      <c r="D5394" t="str">
        <f>IFERROR(VLOOKUP(C5394,APOYO!J:K,2,FALSE),C5394)</f>
        <v>EL RETORNO</v>
      </c>
      <c r="E5394" s="7">
        <v>2020</v>
      </c>
      <c r="F5394">
        <v>1</v>
      </c>
    </row>
    <row r="5395" spans="1:8" x14ac:dyDescent="0.25">
      <c r="A5395" t="str">
        <f>_xlfn.XLOOKUP(C5395, 'Códigos DANE Municipios'!$B$2:$B$1123, 'Códigos DANE Municipios'!$A$2:$A$1123, "No encontrado")</f>
        <v>25260</v>
      </c>
      <c r="B5395" t="str">
        <f>IFERROR(VLOOKUP(D5395,APOYO!K:L,2,FALSE),A5395)</f>
        <v>25260</v>
      </c>
      <c r="C5395" t="s">
        <v>963</v>
      </c>
      <c r="D5395" t="str">
        <f>IFERROR(VLOOKUP(C5395,APOYO!J:K,2,FALSE),C5395)</f>
        <v>EL ROSAL</v>
      </c>
      <c r="E5395" s="7">
        <v>2020</v>
      </c>
      <c r="H5395">
        <v>19</v>
      </c>
    </row>
    <row r="5396" spans="1:8" x14ac:dyDescent="0.25">
      <c r="A5396" t="str">
        <f>_xlfn.XLOOKUP(C5396, 'Códigos DANE Municipios'!$B$2:$B$1123, 'Códigos DANE Municipios'!$A$2:$A$1123, "No encontrado")</f>
        <v>52256</v>
      </c>
      <c r="B5396" t="str">
        <f>IFERROR(VLOOKUP(D5396,APOYO!K:L,2,FALSE),A5396)</f>
        <v>52256</v>
      </c>
      <c r="C5396" t="s">
        <v>1445</v>
      </c>
      <c r="D5396" t="str">
        <f>IFERROR(VLOOKUP(C5396,APOYO!J:K,2,FALSE),C5396)</f>
        <v>EL ROSARIO</v>
      </c>
      <c r="E5396" s="7">
        <v>2020</v>
      </c>
    </row>
    <row r="5397" spans="1:8" x14ac:dyDescent="0.25">
      <c r="A5397" t="str">
        <f>_xlfn.XLOOKUP(C5397, 'Códigos DANE Municipios'!$B$2:$B$1123, 'Códigos DANE Municipios'!$A$2:$A$1123, "No encontrado")</f>
        <v>19256</v>
      </c>
      <c r="B5397" t="str">
        <f>IFERROR(VLOOKUP(D5397,APOYO!K:L,2,FALSE),A5397)</f>
        <v>19256</v>
      </c>
      <c r="C5397" t="s">
        <v>748</v>
      </c>
      <c r="D5397" t="str">
        <f>IFERROR(VLOOKUP(C5397,APOYO!J:K,2,FALSE),C5397)</f>
        <v>EL TAMBO</v>
      </c>
      <c r="E5397" s="7">
        <v>2020</v>
      </c>
      <c r="H5397">
        <v>3</v>
      </c>
    </row>
    <row r="5398" spans="1:8" x14ac:dyDescent="0.25">
      <c r="A5398" t="str">
        <f>_xlfn.XLOOKUP(C5398, 'Códigos DANE Municipios'!$B$2:$B$1123, 'Códigos DANE Municipios'!$A$2:$A$1123, "No encontrado")</f>
        <v>54250</v>
      </c>
      <c r="B5398" t="str">
        <f>IFERROR(VLOOKUP(D5398,APOYO!K:L,2,FALSE),A5398)</f>
        <v>54250</v>
      </c>
      <c r="C5398" t="s">
        <v>1555</v>
      </c>
      <c r="D5398" t="str">
        <f>IFERROR(VLOOKUP(C5398,APOYO!J:K,2,FALSE),C5398)</f>
        <v>EL TARRA</v>
      </c>
      <c r="E5398" s="7">
        <v>2020</v>
      </c>
    </row>
    <row r="5399" spans="1:8" x14ac:dyDescent="0.25">
      <c r="A5399" t="str">
        <f>_xlfn.XLOOKUP(C5399, 'Códigos DANE Municipios'!$B$2:$B$1123, 'Códigos DANE Municipios'!$A$2:$A$1123, "No encontrado")</f>
        <v>54261</v>
      </c>
      <c r="B5399" t="str">
        <f>IFERROR(VLOOKUP(D5399,APOYO!K:L,2,FALSE),A5399)</f>
        <v>54261</v>
      </c>
      <c r="C5399" t="s">
        <v>1557</v>
      </c>
      <c r="D5399" t="str">
        <f>IFERROR(VLOOKUP(C5399,APOYO!J:K,2,FALSE),C5399)</f>
        <v>EL ZULIA</v>
      </c>
      <c r="E5399" s="7">
        <v>2020</v>
      </c>
      <c r="H5399">
        <v>2</v>
      </c>
    </row>
    <row r="5400" spans="1:8" x14ac:dyDescent="0.25">
      <c r="A5400" t="str">
        <f>_xlfn.XLOOKUP(C5400, 'Códigos DANE Municipios'!$B$2:$B$1123, 'Códigos DANE Municipios'!$A$2:$A$1123, "No encontrado")</f>
        <v>68266</v>
      </c>
      <c r="B5400" t="str">
        <f>IFERROR(VLOOKUP(D5400,APOYO!K:L,2,FALSE),A5400)</f>
        <v>68266</v>
      </c>
      <c r="C5400" t="s">
        <v>1708</v>
      </c>
      <c r="D5400" t="str">
        <f>IFERROR(VLOOKUP(C5400,APOYO!J:K,2,FALSE),C5400)</f>
        <v>ENCISO</v>
      </c>
      <c r="E5400" s="7">
        <v>2020</v>
      </c>
      <c r="H5400">
        <v>1</v>
      </c>
    </row>
    <row r="5401" spans="1:8" x14ac:dyDescent="0.25">
      <c r="A5401" t="str">
        <f>_xlfn.XLOOKUP(C5401, 'Códigos DANE Municipios'!$B$2:$B$1123, 'Códigos DANE Municipios'!$A$2:$A$1123, "No encontrado")</f>
        <v>41244</v>
      </c>
      <c r="B5401" t="str">
        <f>IFERROR(VLOOKUP(D5401,APOYO!K:L,2,FALSE),A5401)</f>
        <v>41244</v>
      </c>
      <c r="C5401" t="s">
        <v>1219</v>
      </c>
      <c r="D5401" t="str">
        <f>IFERROR(VLOOKUP(C5401,APOYO!J:K,2,FALSE),C5401)</f>
        <v>ELÍAS</v>
      </c>
      <c r="E5401" s="7">
        <v>2020</v>
      </c>
    </row>
    <row r="5402" spans="1:8" x14ac:dyDescent="0.25">
      <c r="A5402" t="str">
        <f>_xlfn.XLOOKUP(C5402, 'Códigos DANE Municipios'!$B$2:$B$1123, 'Códigos DANE Municipios'!$A$2:$A$1123, "No encontrado")</f>
        <v>05264</v>
      </c>
      <c r="B5402" t="str">
        <f>IFERROR(VLOOKUP(D5402,APOYO!K:L,2,FALSE),A5402)</f>
        <v>05264</v>
      </c>
      <c r="C5402" t="s">
        <v>102</v>
      </c>
      <c r="D5402" t="str">
        <f>IFERROR(VLOOKUP(C5402,APOYO!J:K,2,FALSE),C5402)</f>
        <v>ENTRERRÍOS</v>
      </c>
      <c r="E5402" s="7">
        <v>2020</v>
      </c>
      <c r="H5402">
        <v>2</v>
      </c>
    </row>
    <row r="5403" spans="1:8" x14ac:dyDescent="0.25">
      <c r="A5403" t="str">
        <f>_xlfn.XLOOKUP(C5403, 'Códigos DANE Municipios'!$B$2:$B$1123, 'Códigos DANE Municipios'!$A$2:$A$1123, "No encontrado")</f>
        <v>05266</v>
      </c>
      <c r="B5403" t="str">
        <f>IFERROR(VLOOKUP(D5403,APOYO!K:L,2,FALSE),A5403)</f>
        <v>05266</v>
      </c>
      <c r="C5403" t="s">
        <v>104</v>
      </c>
      <c r="D5403" t="str">
        <f>IFERROR(VLOOKUP(C5403,APOYO!J:K,2,FALSE),C5403)</f>
        <v>ENVIGADO</v>
      </c>
      <c r="E5403" s="7">
        <v>2020</v>
      </c>
      <c r="H5403">
        <v>2154</v>
      </c>
    </row>
    <row r="5404" spans="1:8" x14ac:dyDescent="0.25">
      <c r="A5404" t="str">
        <f>_xlfn.XLOOKUP(C5404, 'Códigos DANE Municipios'!$B$2:$B$1123, 'Códigos DANE Municipios'!$A$2:$A$1123, "No encontrado")</f>
        <v>73268</v>
      </c>
      <c r="B5404" t="str">
        <f>IFERROR(VLOOKUP(D5404,APOYO!K:L,2,FALSE),A5404)</f>
        <v>73268</v>
      </c>
      <c r="C5404" t="s">
        <v>1895</v>
      </c>
      <c r="D5404" t="str">
        <f>IFERROR(VLOOKUP(C5404,APOYO!J:K,2,FALSE),C5404)</f>
        <v>ESPINAL</v>
      </c>
      <c r="E5404" s="7">
        <v>2020</v>
      </c>
      <c r="F5404">
        <v>10</v>
      </c>
      <c r="H5404">
        <v>48</v>
      </c>
    </row>
    <row r="5405" spans="1:8" x14ac:dyDescent="0.25">
      <c r="A5405" t="str">
        <f>_xlfn.XLOOKUP(C5405, 'Códigos DANE Municipios'!$B$2:$B$1123, 'Códigos DANE Municipios'!$A$2:$A$1123, "No encontrado")</f>
        <v>25269</v>
      </c>
      <c r="B5405" t="str">
        <f>IFERROR(VLOOKUP(D5405,APOYO!K:L,2,FALSE),A5405)</f>
        <v>25269</v>
      </c>
      <c r="C5405" t="s">
        <v>965</v>
      </c>
      <c r="D5405" t="str">
        <f>IFERROR(VLOOKUP(C5405,APOYO!J:K,2,FALSE),C5405)</f>
        <v>FACATATIVÁ</v>
      </c>
      <c r="E5405" s="7">
        <v>2020</v>
      </c>
      <c r="H5405">
        <v>188</v>
      </c>
    </row>
    <row r="5406" spans="1:8" x14ac:dyDescent="0.25">
      <c r="A5406" t="str">
        <f>_xlfn.XLOOKUP(C5406, 'Códigos DANE Municipios'!$B$2:$B$1123, 'Códigos DANE Municipios'!$A$2:$A$1123, "No encontrado")</f>
        <v>73270</v>
      </c>
      <c r="B5406" t="str">
        <f>IFERROR(VLOOKUP(D5406,APOYO!K:L,2,FALSE),A5406)</f>
        <v>73270</v>
      </c>
      <c r="C5406" t="s">
        <v>1897</v>
      </c>
      <c r="D5406" t="str">
        <f>IFERROR(VLOOKUP(C5406,APOYO!J:K,2,FALSE),C5406)</f>
        <v>FALAN</v>
      </c>
      <c r="E5406" s="7">
        <v>2020</v>
      </c>
      <c r="H5406">
        <v>1</v>
      </c>
    </row>
    <row r="5407" spans="1:8" x14ac:dyDescent="0.25">
      <c r="A5407" t="str">
        <f>_xlfn.XLOOKUP(C5407, 'Códigos DANE Municipios'!$B$2:$B$1123, 'Códigos DANE Municipios'!$A$2:$A$1123, "No encontrado")</f>
        <v>17272</v>
      </c>
      <c r="B5407" t="str">
        <f>IFERROR(VLOOKUP(D5407,APOYO!K:L,2,FALSE),A5407)</f>
        <v>17272</v>
      </c>
      <c r="C5407" t="s">
        <v>656</v>
      </c>
      <c r="D5407" t="str">
        <f>IFERROR(VLOOKUP(C5407,APOYO!J:K,2,FALSE),C5407)</f>
        <v>FILADELFIA</v>
      </c>
      <c r="E5407" s="7">
        <v>2020</v>
      </c>
      <c r="H5407">
        <v>3</v>
      </c>
    </row>
    <row r="5408" spans="1:8" x14ac:dyDescent="0.25">
      <c r="A5408" t="str">
        <f>_xlfn.XLOOKUP(C5408, 'Códigos DANE Municipios'!$B$2:$B$1123, 'Códigos DANE Municipios'!$A$2:$A$1123, "No encontrado")</f>
        <v>63272</v>
      </c>
      <c r="B5408" t="str">
        <f>IFERROR(VLOOKUP(D5408,APOYO!K:L,2,FALSE),A5408)</f>
        <v>63272</v>
      </c>
      <c r="C5408" t="s">
        <v>1614</v>
      </c>
      <c r="D5408" t="str">
        <f>IFERROR(VLOOKUP(C5408,APOYO!J:K,2,FALSE),C5408)</f>
        <v>FILANDIA</v>
      </c>
      <c r="E5408" s="7">
        <v>2020</v>
      </c>
      <c r="H5408">
        <v>131</v>
      </c>
    </row>
    <row r="5409" spans="1:8" x14ac:dyDescent="0.25">
      <c r="A5409" t="str">
        <f>_xlfn.XLOOKUP(C5409, 'Códigos DANE Municipios'!$B$2:$B$1123, 'Códigos DANE Municipios'!$A$2:$A$1123, "No encontrado")</f>
        <v>15272</v>
      </c>
      <c r="B5409" t="str">
        <f>IFERROR(VLOOKUP(D5409,APOYO!K:L,2,FALSE),A5409)</f>
        <v>15272</v>
      </c>
      <c r="C5409" t="s">
        <v>467</v>
      </c>
      <c r="D5409" t="str">
        <f>IFERROR(VLOOKUP(C5409,APOYO!J:K,2,FALSE),C5409)</f>
        <v>FIRAVITOBA</v>
      </c>
      <c r="E5409" s="7">
        <v>2020</v>
      </c>
      <c r="F5409">
        <v>15</v>
      </c>
      <c r="H5409">
        <v>4</v>
      </c>
    </row>
    <row r="5410" spans="1:8" x14ac:dyDescent="0.25">
      <c r="A5410" t="str">
        <f>_xlfn.XLOOKUP(C5410, 'Códigos DANE Municipios'!$B$2:$B$1123, 'Códigos DANE Municipios'!$A$2:$A$1123, "No encontrado")</f>
        <v>73275</v>
      </c>
      <c r="B5410" t="str">
        <f>IFERROR(VLOOKUP(D5410,APOYO!K:L,2,FALSE),A5410)</f>
        <v>73275</v>
      </c>
      <c r="C5410" t="s">
        <v>1899</v>
      </c>
      <c r="D5410" t="str">
        <f>IFERROR(VLOOKUP(C5410,APOYO!J:K,2,FALSE),C5410)</f>
        <v>FLANDES</v>
      </c>
      <c r="E5410" s="7">
        <v>2020</v>
      </c>
      <c r="F5410">
        <v>487</v>
      </c>
      <c r="H5410">
        <v>12</v>
      </c>
    </row>
    <row r="5411" spans="1:8" x14ac:dyDescent="0.25">
      <c r="A5411" t="str">
        <f>_xlfn.XLOOKUP(C5411, 'Códigos DANE Municipios'!$B$2:$B$1123, 'Códigos DANE Municipios'!$A$2:$A$1123, "No encontrado")</f>
        <v>18001</v>
      </c>
      <c r="B5411" t="str">
        <f>IFERROR(VLOOKUP(D5411,APOYO!K:L,2,FALSE),A5411)</f>
        <v>18001</v>
      </c>
      <c r="C5411" t="s">
        <v>698</v>
      </c>
      <c r="D5411" t="str">
        <f>IFERROR(VLOOKUP(C5411,APOYO!J:K,2,FALSE),C5411)</f>
        <v>FLORENCIA</v>
      </c>
      <c r="E5411" s="7">
        <v>2020</v>
      </c>
      <c r="F5411">
        <v>21186</v>
      </c>
      <c r="H5411">
        <v>151</v>
      </c>
    </row>
    <row r="5412" spans="1:8" x14ac:dyDescent="0.25">
      <c r="A5412" t="str">
        <f>_xlfn.XLOOKUP(C5412, 'Códigos DANE Municipios'!$B$2:$B$1123, 'Códigos DANE Municipios'!$A$2:$A$1123, "No encontrado")</f>
        <v>15276</v>
      </c>
      <c r="B5412" t="str">
        <f>IFERROR(VLOOKUP(D5412,APOYO!K:L,2,FALSE),A5412)</f>
        <v>15276</v>
      </c>
      <c r="C5412" t="s">
        <v>469</v>
      </c>
      <c r="D5412" t="str">
        <f>IFERROR(VLOOKUP(C5412,APOYO!J:K,2,FALSE),C5412)</f>
        <v>FLORESTA</v>
      </c>
      <c r="E5412" s="7">
        <v>2020</v>
      </c>
    </row>
    <row r="5413" spans="1:8" x14ac:dyDescent="0.25">
      <c r="A5413" t="str">
        <f>_xlfn.XLOOKUP(C5413, 'Códigos DANE Municipios'!$B$2:$B$1123, 'Códigos DANE Municipios'!$A$2:$A$1123, "No encontrado")</f>
        <v>68271</v>
      </c>
      <c r="B5413" t="str">
        <f>IFERROR(VLOOKUP(D5413,APOYO!K:L,2,FALSE),A5413)</f>
        <v>68271</v>
      </c>
      <c r="C5413" t="s">
        <v>1710</v>
      </c>
      <c r="D5413" t="str">
        <f>IFERROR(VLOOKUP(C5413,APOYO!J:K,2,FALSE),C5413)</f>
        <v>FLORIÁN</v>
      </c>
      <c r="E5413" s="7">
        <v>2020</v>
      </c>
      <c r="H5413">
        <v>2</v>
      </c>
    </row>
    <row r="5414" spans="1:8" x14ac:dyDescent="0.25">
      <c r="A5414" t="str">
        <f>_xlfn.XLOOKUP(C5414, 'Códigos DANE Municipios'!$B$2:$B$1123, 'Códigos DANE Municipios'!$A$2:$A$1123, "No encontrado")</f>
        <v>76275</v>
      </c>
      <c r="B5414" t="str">
        <f>IFERROR(VLOOKUP(D5414,APOYO!K:L,2,FALSE),A5414)</f>
        <v>76275</v>
      </c>
      <c r="C5414" t="s">
        <v>1990</v>
      </c>
      <c r="D5414" t="str">
        <f>IFERROR(VLOOKUP(C5414,APOYO!J:K,2,FALSE),C5414)</f>
        <v>FLORIDA</v>
      </c>
      <c r="E5414" s="7">
        <v>2020</v>
      </c>
      <c r="H5414">
        <v>65</v>
      </c>
    </row>
    <row r="5415" spans="1:8" x14ac:dyDescent="0.25">
      <c r="A5415" t="str">
        <f>_xlfn.XLOOKUP(C5415, 'Códigos DANE Municipios'!$B$2:$B$1123, 'Códigos DANE Municipios'!$A$2:$A$1123, "No encontrado")</f>
        <v>68276</v>
      </c>
      <c r="B5415" t="str">
        <f>IFERROR(VLOOKUP(D5415,APOYO!K:L,2,FALSE),A5415)</f>
        <v>68276</v>
      </c>
      <c r="C5415" t="s">
        <v>1712</v>
      </c>
      <c r="D5415" t="str">
        <f>IFERROR(VLOOKUP(C5415,APOYO!J:K,2,FALSE),C5415)</f>
        <v>FLORIDABLANCA</v>
      </c>
      <c r="E5415" s="7">
        <v>2020</v>
      </c>
      <c r="H5415">
        <v>536</v>
      </c>
    </row>
    <row r="5416" spans="1:8" x14ac:dyDescent="0.25">
      <c r="A5416" t="str">
        <f>_xlfn.XLOOKUP(C5416, 'Códigos DANE Municipios'!$B$2:$B$1123, 'Códigos DANE Municipios'!$A$2:$A$1123, "No encontrado")</f>
        <v>25279</v>
      </c>
      <c r="B5416" t="str">
        <f>IFERROR(VLOOKUP(D5416,APOYO!K:L,2,FALSE),A5416)</f>
        <v>25279</v>
      </c>
      <c r="C5416" t="s">
        <v>967</v>
      </c>
      <c r="D5416" t="str">
        <f>IFERROR(VLOOKUP(C5416,APOYO!J:K,2,FALSE),C5416)</f>
        <v>FÓMEQUE</v>
      </c>
      <c r="E5416" s="7">
        <v>2020</v>
      </c>
      <c r="H5416">
        <v>7</v>
      </c>
    </row>
    <row r="5417" spans="1:8" x14ac:dyDescent="0.25">
      <c r="A5417" t="str">
        <f>_xlfn.XLOOKUP(C5417, 'Códigos DANE Municipios'!$B$2:$B$1123, 'Códigos DANE Municipios'!$A$2:$A$1123, "No encontrado")</f>
        <v>44279</v>
      </c>
      <c r="B5417" t="str">
        <f>IFERROR(VLOOKUP(D5417,APOYO!K:L,2,FALSE),A5417)</f>
        <v>44279</v>
      </c>
      <c r="C5417" t="s">
        <v>1283</v>
      </c>
      <c r="D5417" t="str">
        <f>IFERROR(VLOOKUP(C5417,APOYO!J:K,2,FALSE),C5417)</f>
        <v>FONSECA</v>
      </c>
      <c r="E5417" s="7">
        <v>2020</v>
      </c>
      <c r="H5417">
        <v>26</v>
      </c>
    </row>
    <row r="5418" spans="1:8" x14ac:dyDescent="0.25">
      <c r="A5418" t="str">
        <f>_xlfn.XLOOKUP(C5418, 'Códigos DANE Municipios'!$B$2:$B$1123, 'Códigos DANE Municipios'!$A$2:$A$1123, "No encontrado")</f>
        <v>25281</v>
      </c>
      <c r="B5418" t="str">
        <f>IFERROR(VLOOKUP(D5418,APOYO!K:L,2,FALSE),A5418)</f>
        <v>25281</v>
      </c>
      <c r="C5418" t="s">
        <v>969</v>
      </c>
      <c r="D5418" t="str">
        <f>IFERROR(VLOOKUP(C5418,APOYO!J:K,2,FALSE),C5418)</f>
        <v>FOSCA</v>
      </c>
      <c r="E5418" s="7">
        <v>2020</v>
      </c>
      <c r="H5418">
        <v>2</v>
      </c>
    </row>
    <row r="5419" spans="1:8" x14ac:dyDescent="0.25">
      <c r="A5419" t="str">
        <f>_xlfn.XLOOKUP(C5419, 'Códigos DANE Municipios'!$B$2:$B$1123, 'Códigos DANE Municipios'!$A$2:$A$1123, "No encontrado")</f>
        <v>81300</v>
      </c>
      <c r="B5419" t="str">
        <f>IFERROR(VLOOKUP(D5419,APOYO!K:L,2,FALSE),A5419)</f>
        <v>81300</v>
      </c>
      <c r="C5419" t="s">
        <v>2040</v>
      </c>
      <c r="D5419" t="str">
        <f>IFERROR(VLOOKUP(C5419,APOYO!J:K,2,FALSE),C5419)</f>
        <v>FORTUL</v>
      </c>
      <c r="E5419" s="7">
        <v>2020</v>
      </c>
      <c r="H5419">
        <v>4</v>
      </c>
    </row>
    <row r="5420" spans="1:8" x14ac:dyDescent="0.25">
      <c r="A5420" t="str">
        <f>_xlfn.XLOOKUP(C5420, 'Códigos DANE Municipios'!$B$2:$B$1123, 'Códigos DANE Municipios'!$A$2:$A$1123, "No encontrado")</f>
        <v>05282</v>
      </c>
      <c r="B5420" t="str">
        <f>IFERROR(VLOOKUP(D5420,APOYO!K:L,2,FALSE),A5420)</f>
        <v>05282</v>
      </c>
      <c r="C5420" t="s">
        <v>106</v>
      </c>
      <c r="D5420" t="str">
        <f>IFERROR(VLOOKUP(C5420,APOYO!J:K,2,FALSE),C5420)</f>
        <v>FREDONIA</v>
      </c>
      <c r="E5420" s="7">
        <v>2020</v>
      </c>
      <c r="H5420">
        <v>14</v>
      </c>
    </row>
    <row r="5421" spans="1:8" x14ac:dyDescent="0.25">
      <c r="A5421" t="str">
        <f>_xlfn.XLOOKUP(C5421, 'Códigos DANE Municipios'!$B$2:$B$1123, 'Códigos DANE Municipios'!$A$2:$A$1123, "No encontrado")</f>
        <v>73283</v>
      </c>
      <c r="B5421" t="str">
        <f>IFERROR(VLOOKUP(D5421,APOYO!K:L,2,FALSE),A5421)</f>
        <v>73283</v>
      </c>
      <c r="C5421" t="s">
        <v>1901</v>
      </c>
      <c r="D5421" t="str">
        <f>IFERROR(VLOOKUP(C5421,APOYO!J:K,2,FALSE),C5421)</f>
        <v>FRESNO</v>
      </c>
      <c r="E5421" s="7">
        <v>2020</v>
      </c>
      <c r="H5421">
        <v>14</v>
      </c>
    </row>
    <row r="5422" spans="1:8" x14ac:dyDescent="0.25">
      <c r="A5422" t="str">
        <f>_xlfn.XLOOKUP(C5422, 'Códigos DANE Municipios'!$B$2:$B$1123, 'Códigos DANE Municipios'!$A$2:$A$1123, "No encontrado")</f>
        <v>05284</v>
      </c>
      <c r="B5422" t="str">
        <f>IFERROR(VLOOKUP(D5422,APOYO!K:L,2,FALSE),A5422)</f>
        <v>05284</v>
      </c>
      <c r="C5422" t="s">
        <v>108</v>
      </c>
      <c r="D5422" t="str">
        <f>IFERROR(VLOOKUP(C5422,APOYO!J:K,2,FALSE),C5422)</f>
        <v>FRONTINO</v>
      </c>
      <c r="E5422" s="7">
        <v>2020</v>
      </c>
      <c r="H5422">
        <v>2</v>
      </c>
    </row>
    <row r="5423" spans="1:8" x14ac:dyDescent="0.25">
      <c r="A5423" t="str">
        <f>_xlfn.XLOOKUP(C5423, 'Códigos DANE Municipios'!$B$2:$B$1123, 'Códigos DANE Municipios'!$A$2:$A$1123, "No encontrado")</f>
        <v>50287</v>
      </c>
      <c r="B5423" t="str">
        <f>IFERROR(VLOOKUP(D5423,APOYO!K:L,2,FALSE),A5423)</f>
        <v>50287</v>
      </c>
      <c r="C5423" t="s">
        <v>1378</v>
      </c>
      <c r="D5423" t="str">
        <f>IFERROR(VLOOKUP(C5423,APOYO!J:K,2,FALSE),C5423)</f>
        <v>FUENTE DE ORO</v>
      </c>
      <c r="E5423" s="7">
        <v>2020</v>
      </c>
      <c r="F5423">
        <v>2</v>
      </c>
      <c r="H5423">
        <v>1</v>
      </c>
    </row>
    <row r="5424" spans="1:8" x14ac:dyDescent="0.25">
      <c r="A5424" t="str">
        <f>_xlfn.XLOOKUP(C5424, 'Códigos DANE Municipios'!$B$2:$B$1123, 'Códigos DANE Municipios'!$A$2:$A$1123, "No encontrado")</f>
        <v>47288</v>
      </c>
      <c r="B5424" t="str">
        <f>IFERROR(VLOOKUP(D5424,APOYO!K:L,2,FALSE),A5424)</f>
        <v>47288</v>
      </c>
      <c r="C5424" t="s">
        <v>1321</v>
      </c>
      <c r="D5424" t="str">
        <f>IFERROR(VLOOKUP(C5424,APOYO!J:K,2,FALSE),C5424)</f>
        <v>FUNDACIÓN</v>
      </c>
      <c r="E5424" s="7">
        <v>2020</v>
      </c>
      <c r="H5424">
        <v>3</v>
      </c>
    </row>
    <row r="5425" spans="1:8" x14ac:dyDescent="0.25">
      <c r="A5425" t="str">
        <f>_xlfn.XLOOKUP(C5425, 'Códigos DANE Municipios'!$B$2:$B$1123, 'Códigos DANE Municipios'!$A$2:$A$1123, "No encontrado")</f>
        <v>52287</v>
      </c>
      <c r="B5425" t="str">
        <f>IFERROR(VLOOKUP(D5425,APOYO!K:L,2,FALSE),A5425)</f>
        <v>52287</v>
      </c>
      <c r="C5425" t="s">
        <v>1450</v>
      </c>
      <c r="D5425" t="str">
        <f>IFERROR(VLOOKUP(C5425,APOYO!J:K,2,FALSE),C5425)</f>
        <v>FUNES</v>
      </c>
      <c r="E5425" s="7">
        <v>2020</v>
      </c>
    </row>
    <row r="5426" spans="1:8" x14ac:dyDescent="0.25">
      <c r="A5426" t="str">
        <f>_xlfn.XLOOKUP(C5426, 'Códigos DANE Municipios'!$B$2:$B$1123, 'Códigos DANE Municipios'!$A$2:$A$1123, "No encontrado")</f>
        <v>25286</v>
      </c>
      <c r="B5426" t="str">
        <f>IFERROR(VLOOKUP(D5426,APOYO!K:L,2,FALSE),A5426)</f>
        <v>25286</v>
      </c>
      <c r="C5426" t="s">
        <v>971</v>
      </c>
      <c r="D5426" t="str">
        <f>IFERROR(VLOOKUP(C5426,APOYO!J:K,2,FALSE),C5426)</f>
        <v>FUNZA</v>
      </c>
      <c r="E5426" s="7">
        <v>2020</v>
      </c>
      <c r="H5426">
        <v>182</v>
      </c>
    </row>
    <row r="5427" spans="1:8" x14ac:dyDescent="0.25">
      <c r="A5427" t="str">
        <f>_xlfn.XLOOKUP(C5427, 'Códigos DANE Municipios'!$B$2:$B$1123, 'Códigos DANE Municipios'!$A$2:$A$1123, "No encontrado")</f>
        <v>25288</v>
      </c>
      <c r="B5427" t="str">
        <f>IFERROR(VLOOKUP(D5427,APOYO!K:L,2,FALSE),A5427)</f>
        <v>25288</v>
      </c>
      <c r="C5427" t="s">
        <v>973</v>
      </c>
      <c r="D5427" t="str">
        <f>IFERROR(VLOOKUP(C5427,APOYO!J:K,2,FALSE),C5427)</f>
        <v>FÚQUENE</v>
      </c>
      <c r="E5427" s="7">
        <v>2020</v>
      </c>
      <c r="H5427">
        <v>3</v>
      </c>
    </row>
    <row r="5428" spans="1:8" x14ac:dyDescent="0.25">
      <c r="A5428" t="str">
        <f>_xlfn.XLOOKUP(C5428, 'Códigos DANE Municipios'!$B$2:$B$1123, 'Códigos DANE Municipios'!$A$2:$A$1123, "No encontrado")</f>
        <v>25290</v>
      </c>
      <c r="B5428" t="str">
        <f>IFERROR(VLOOKUP(D5428,APOYO!K:L,2,FALSE),A5428)</f>
        <v>25290</v>
      </c>
      <c r="C5428" t="s">
        <v>975</v>
      </c>
      <c r="D5428" t="str">
        <f>IFERROR(VLOOKUP(C5428,APOYO!J:K,2,FALSE),C5428)</f>
        <v>FUSAGASUGÁ</v>
      </c>
      <c r="E5428" s="7">
        <v>2020</v>
      </c>
      <c r="H5428">
        <v>391</v>
      </c>
    </row>
    <row r="5429" spans="1:8" x14ac:dyDescent="0.25">
      <c r="A5429" t="str">
        <f>_xlfn.XLOOKUP(C5429, 'Códigos DANE Municipios'!$B$2:$B$1123, 'Códigos DANE Municipios'!$A$2:$A$1123, "No encontrado")</f>
        <v>25293</v>
      </c>
      <c r="B5429" t="str">
        <f>IFERROR(VLOOKUP(D5429,APOYO!K:L,2,FALSE),A5429)</f>
        <v>25293</v>
      </c>
      <c r="C5429" t="s">
        <v>977</v>
      </c>
      <c r="D5429" t="str">
        <f>IFERROR(VLOOKUP(C5429,APOYO!J:K,2,FALSE),C5429)</f>
        <v>GACHALÁ</v>
      </c>
      <c r="E5429" s="7">
        <v>2020</v>
      </c>
    </row>
    <row r="5430" spans="1:8" x14ac:dyDescent="0.25">
      <c r="A5430" t="str">
        <f>_xlfn.XLOOKUP(C5430, 'Códigos DANE Municipios'!$B$2:$B$1123, 'Códigos DANE Municipios'!$A$2:$A$1123, "No encontrado")</f>
        <v>25295</v>
      </c>
      <c r="B5430" t="str">
        <f>IFERROR(VLOOKUP(D5430,APOYO!K:L,2,FALSE),A5430)</f>
        <v>25295</v>
      </c>
      <c r="C5430" t="s">
        <v>979</v>
      </c>
      <c r="D5430" t="str">
        <f>IFERROR(VLOOKUP(C5430,APOYO!J:K,2,FALSE),C5430)</f>
        <v>GACHANCIPÁ</v>
      </c>
      <c r="E5430" s="7">
        <v>2020</v>
      </c>
      <c r="H5430">
        <v>12</v>
      </c>
    </row>
    <row r="5431" spans="1:8" x14ac:dyDescent="0.25">
      <c r="A5431" t="str">
        <f>_xlfn.XLOOKUP(C5431, 'Códigos DANE Municipios'!$B$2:$B$1123, 'Códigos DANE Municipios'!$A$2:$A$1123, "No encontrado")</f>
        <v>25297</v>
      </c>
      <c r="B5431" t="str">
        <f>IFERROR(VLOOKUP(D5431,APOYO!K:L,2,FALSE),A5431)</f>
        <v>25297</v>
      </c>
      <c r="C5431" t="s">
        <v>981</v>
      </c>
      <c r="D5431" t="str">
        <f>IFERROR(VLOOKUP(C5431,APOYO!J:K,2,FALSE),C5431)</f>
        <v>GACHETÁ</v>
      </c>
      <c r="E5431" s="7">
        <v>2020</v>
      </c>
      <c r="H5431">
        <v>3</v>
      </c>
    </row>
    <row r="5432" spans="1:8" x14ac:dyDescent="0.25">
      <c r="A5432" t="str">
        <f>_xlfn.XLOOKUP(C5432, 'Códigos DANE Municipios'!$B$2:$B$1123, 'Códigos DANE Municipios'!$A$2:$A$1123, "No encontrado")</f>
        <v>08296</v>
      </c>
      <c r="B5432" t="str">
        <f>IFERROR(VLOOKUP(D5432,APOYO!K:L,2,FALSE),A5432)</f>
        <v>08296</v>
      </c>
      <c r="C5432" t="s">
        <v>270</v>
      </c>
      <c r="D5432" t="str">
        <f>IFERROR(VLOOKUP(C5432,APOYO!J:K,2,FALSE),C5432)</f>
        <v>GALAPA</v>
      </c>
      <c r="E5432" s="7">
        <v>2020</v>
      </c>
    </row>
    <row r="5433" spans="1:8" x14ac:dyDescent="0.25">
      <c r="A5433" t="str">
        <f>_xlfn.XLOOKUP(C5433, 'Códigos DANE Municipios'!$B$2:$B$1123, 'Códigos DANE Municipios'!$A$2:$A$1123, "No encontrado")</f>
        <v>68298</v>
      </c>
      <c r="B5433" t="str">
        <f>IFERROR(VLOOKUP(D5433,APOYO!K:L,2,FALSE),A5433)</f>
        <v>68298</v>
      </c>
      <c r="C5433" t="s">
        <v>1716</v>
      </c>
      <c r="D5433" t="str">
        <f>IFERROR(VLOOKUP(C5433,APOYO!J:K,2,FALSE),C5433)</f>
        <v>GÁMBITA</v>
      </c>
      <c r="E5433" s="7">
        <v>2020</v>
      </c>
    </row>
    <row r="5434" spans="1:8" x14ac:dyDescent="0.25">
      <c r="A5434" t="str">
        <f>_xlfn.XLOOKUP(C5434, 'Códigos DANE Municipios'!$B$2:$B$1123, 'Códigos DANE Municipios'!$A$2:$A$1123, "No encontrado")</f>
        <v>15293</v>
      </c>
      <c r="B5434" t="str">
        <f>IFERROR(VLOOKUP(D5434,APOYO!K:L,2,FALSE),A5434)</f>
        <v>15293</v>
      </c>
      <c r="C5434" t="s">
        <v>471</v>
      </c>
      <c r="D5434" t="str">
        <f>IFERROR(VLOOKUP(C5434,APOYO!J:K,2,FALSE),C5434)</f>
        <v>GACHANTIVÁ</v>
      </c>
      <c r="E5434" s="7">
        <v>2020</v>
      </c>
    </row>
    <row r="5435" spans="1:8" x14ac:dyDescent="0.25">
      <c r="A5435" t="str">
        <f>_xlfn.XLOOKUP(C5435, 'Códigos DANE Municipios'!$B$2:$B$1123, 'Códigos DANE Municipios'!$A$2:$A$1123, "No encontrado")</f>
        <v>68296</v>
      </c>
      <c r="B5435" t="str">
        <f>IFERROR(VLOOKUP(D5435,APOYO!K:L,2,FALSE),A5435)</f>
        <v>68296</v>
      </c>
      <c r="C5435" t="s">
        <v>1714</v>
      </c>
      <c r="D5435" t="str">
        <f>IFERROR(VLOOKUP(C5435,APOYO!J:K,2,FALSE),C5435)</f>
        <v>GALÁN</v>
      </c>
      <c r="E5435" s="7">
        <v>2020</v>
      </c>
      <c r="H5435">
        <v>1</v>
      </c>
    </row>
    <row r="5436" spans="1:8" x14ac:dyDescent="0.25">
      <c r="A5436" t="str">
        <f>_xlfn.XLOOKUP(C5436, 'Códigos DANE Municipios'!$B$2:$B$1123, 'Códigos DANE Municipios'!$A$2:$A$1123, "No encontrado")</f>
        <v>08296</v>
      </c>
      <c r="B5436" t="str">
        <f>IFERROR(VLOOKUP(D5436,APOYO!K:L,2,FALSE),A5436)</f>
        <v>08296</v>
      </c>
      <c r="C5436" t="s">
        <v>270</v>
      </c>
      <c r="D5436" t="str">
        <f>IFERROR(VLOOKUP(C5436,APOYO!J:K,2,FALSE),C5436)</f>
        <v>GALAPA</v>
      </c>
      <c r="E5436" s="7">
        <v>2020</v>
      </c>
      <c r="H5436">
        <v>37</v>
      </c>
    </row>
    <row r="5437" spans="1:8" x14ac:dyDescent="0.25">
      <c r="A5437" t="s">
        <v>982</v>
      </c>
      <c r="B5437" t="s">
        <v>982</v>
      </c>
      <c r="C5437" t="s">
        <v>983</v>
      </c>
      <c r="D5437" t="str">
        <f>IFERROR(VLOOKUP(C5437,APOYO!J:K,2,FALSE),C5437)</f>
        <v>GAMA</v>
      </c>
      <c r="E5437" s="7">
        <v>2020</v>
      </c>
      <c r="H5437">
        <v>1</v>
      </c>
    </row>
    <row r="5438" spans="1:8" x14ac:dyDescent="0.25">
      <c r="A5438" t="str">
        <f>_xlfn.XLOOKUP(C5438, 'Códigos DANE Municipios'!$B$2:$B$1123, 'Códigos DANE Municipios'!$A$2:$A$1123, "No encontrado")</f>
        <v>15299</v>
      </c>
      <c r="B5438" t="str">
        <f>IFERROR(VLOOKUP(D5438,APOYO!K:L,2,FALSE),A5438)</f>
        <v>15299</v>
      </c>
      <c r="C5438" t="s">
        <v>475</v>
      </c>
      <c r="D5438" t="str">
        <f>IFERROR(VLOOKUP(C5438,APOYO!J:K,2,FALSE),C5438)</f>
        <v>GARAGOA</v>
      </c>
      <c r="E5438" s="7">
        <v>2020</v>
      </c>
      <c r="H5438">
        <v>23</v>
      </c>
    </row>
    <row r="5439" spans="1:8" x14ac:dyDescent="0.25">
      <c r="A5439" t="str">
        <f>_xlfn.XLOOKUP(C5439, 'Códigos DANE Municipios'!$B$2:$B$1123, 'Códigos DANE Municipios'!$A$2:$A$1123, "No encontrado")</f>
        <v>41298</v>
      </c>
      <c r="B5439" t="str">
        <f>IFERROR(VLOOKUP(D5439,APOYO!K:L,2,FALSE),A5439)</f>
        <v>41298</v>
      </c>
      <c r="C5439" t="s">
        <v>1221</v>
      </c>
      <c r="D5439" t="str">
        <f>IFERROR(VLOOKUP(C5439,APOYO!J:K,2,FALSE),C5439)</f>
        <v>GARZÓN</v>
      </c>
      <c r="E5439" s="7">
        <v>2020</v>
      </c>
      <c r="H5439">
        <v>29</v>
      </c>
    </row>
    <row r="5440" spans="1:8" x14ac:dyDescent="0.25">
      <c r="A5440" t="str">
        <f>_xlfn.XLOOKUP(C5440, 'Códigos DANE Municipios'!$B$2:$B$1123, 'Códigos DANE Municipios'!$A$2:$A$1123, "No encontrado")</f>
        <v>63302</v>
      </c>
      <c r="B5440" t="str">
        <f>IFERROR(VLOOKUP(D5440,APOYO!K:L,2,FALSE),A5440)</f>
        <v>63302</v>
      </c>
      <c r="C5440" t="s">
        <v>1616</v>
      </c>
      <c r="D5440" t="str">
        <f>IFERROR(VLOOKUP(C5440,APOYO!J:K,2,FALSE),C5440)</f>
        <v>GÉNOVA</v>
      </c>
      <c r="E5440" s="7">
        <v>2020</v>
      </c>
      <c r="H5440">
        <v>6</v>
      </c>
    </row>
    <row r="5441" spans="1:8" x14ac:dyDescent="0.25">
      <c r="A5441" t="str">
        <f>_xlfn.XLOOKUP(C5441, 'Códigos DANE Municipios'!$B$2:$B$1123, 'Códigos DANE Municipios'!$A$2:$A$1123, "No encontrado")</f>
        <v>41306</v>
      </c>
      <c r="B5441" t="str">
        <f>IFERROR(VLOOKUP(D5441,APOYO!K:L,2,FALSE),A5441)</f>
        <v>41306</v>
      </c>
      <c r="C5441" t="s">
        <v>1223</v>
      </c>
      <c r="D5441" t="str">
        <f>IFERROR(VLOOKUP(C5441,APOYO!J:K,2,FALSE),C5441)</f>
        <v>GIGANTE</v>
      </c>
      <c r="E5441" s="7">
        <v>2020</v>
      </c>
      <c r="H5441">
        <v>2</v>
      </c>
    </row>
    <row r="5442" spans="1:8" x14ac:dyDescent="0.25">
      <c r="A5442" t="str">
        <f>_xlfn.XLOOKUP(C5442, 'Códigos DANE Municipios'!$B$2:$B$1123, 'Códigos DANE Municipios'!$A$2:$A$1123, "No encontrado")</f>
        <v>76306</v>
      </c>
      <c r="B5442" t="str">
        <f>IFERROR(VLOOKUP(D5442,APOYO!K:L,2,FALSE),A5442)</f>
        <v>76306</v>
      </c>
      <c r="C5442" t="s">
        <v>1992</v>
      </c>
      <c r="D5442" t="str">
        <f>IFERROR(VLOOKUP(C5442,APOYO!J:K,2,FALSE),C5442)</f>
        <v>GINEBRA</v>
      </c>
      <c r="E5442" s="7">
        <v>2020</v>
      </c>
      <c r="H5442">
        <v>59</v>
      </c>
    </row>
    <row r="5443" spans="1:8" x14ac:dyDescent="0.25">
      <c r="A5443" t="str">
        <f>_xlfn.XLOOKUP(C5443, 'Códigos DANE Municipios'!$B$2:$B$1123, 'Códigos DANE Municipios'!$A$2:$A$1123, "No encontrado")</f>
        <v>05306</v>
      </c>
      <c r="B5443" t="str">
        <f>IFERROR(VLOOKUP(D5443,APOYO!K:L,2,FALSE),A5443)</f>
        <v>05306</v>
      </c>
      <c r="C5443" t="s">
        <v>110</v>
      </c>
      <c r="D5443" t="str">
        <f>IFERROR(VLOOKUP(C5443,APOYO!J:K,2,FALSE),C5443)</f>
        <v>GIRALDO</v>
      </c>
      <c r="E5443" s="7">
        <v>2020</v>
      </c>
      <c r="H5443">
        <v>2</v>
      </c>
    </row>
    <row r="5444" spans="1:8" x14ac:dyDescent="0.25">
      <c r="A5444" t="str">
        <f>_xlfn.XLOOKUP(C5444, 'Códigos DANE Municipios'!$B$2:$B$1123, 'Códigos DANE Municipios'!$A$2:$A$1123, "No encontrado")</f>
        <v>25307</v>
      </c>
      <c r="B5444" t="str">
        <f>IFERROR(VLOOKUP(D5444,APOYO!K:L,2,FALSE),A5444)</f>
        <v>25307</v>
      </c>
      <c r="C5444" t="s">
        <v>985</v>
      </c>
      <c r="D5444" t="str">
        <f>IFERROR(VLOOKUP(C5444,APOYO!J:K,2,FALSE),C5444)</f>
        <v>GIRARDOT</v>
      </c>
      <c r="E5444" s="7">
        <v>2020</v>
      </c>
      <c r="H5444">
        <v>156</v>
      </c>
    </row>
    <row r="5445" spans="1:8" x14ac:dyDescent="0.25">
      <c r="A5445" t="str">
        <f>_xlfn.XLOOKUP(C5445, 'Códigos DANE Municipios'!$B$2:$B$1123, 'Códigos DANE Municipios'!$A$2:$A$1123, "No encontrado")</f>
        <v>05308</v>
      </c>
      <c r="B5445" t="str">
        <f>IFERROR(VLOOKUP(D5445,APOYO!K:L,2,FALSE),A5445)</f>
        <v>05308</v>
      </c>
      <c r="C5445" t="s">
        <v>112</v>
      </c>
      <c r="D5445" t="str">
        <f>IFERROR(VLOOKUP(C5445,APOYO!J:K,2,FALSE),C5445)</f>
        <v>GIRARDOTA</v>
      </c>
      <c r="E5445" s="7">
        <v>2020</v>
      </c>
      <c r="H5445">
        <v>98</v>
      </c>
    </row>
    <row r="5446" spans="1:8" x14ac:dyDescent="0.25">
      <c r="A5446" t="str">
        <f>_xlfn.XLOOKUP(C5446, 'Códigos DANE Municipios'!$B$2:$B$1123, 'Códigos DANE Municipios'!$A$2:$A$1123, "No encontrado")</f>
        <v>68307</v>
      </c>
      <c r="B5446" t="str">
        <f>IFERROR(VLOOKUP(D5446,APOYO!K:L,2,FALSE),A5446)</f>
        <v>68307</v>
      </c>
      <c r="C5446" t="s">
        <v>1718</v>
      </c>
      <c r="D5446" t="str">
        <f>IFERROR(VLOOKUP(C5446,APOYO!J:K,2,FALSE),C5446)</f>
        <v>GIRÓN</v>
      </c>
      <c r="E5446" s="7">
        <v>2020</v>
      </c>
      <c r="H5446">
        <v>108</v>
      </c>
    </row>
    <row r="5447" spans="1:8" x14ac:dyDescent="0.25">
      <c r="A5447" t="str">
        <f>_xlfn.XLOOKUP(C5447, 'Códigos DANE Municipios'!$B$2:$B$1123, 'Códigos DANE Municipios'!$A$2:$A$1123, "No encontrado")</f>
        <v>05310</v>
      </c>
      <c r="B5447" t="str">
        <f>IFERROR(VLOOKUP(D5447,APOYO!K:L,2,FALSE),A5447)</f>
        <v>05310</v>
      </c>
      <c r="C5447" t="s">
        <v>114</v>
      </c>
      <c r="D5447" t="str">
        <f>IFERROR(VLOOKUP(C5447,APOYO!J:K,2,FALSE),C5447)</f>
        <v>GÓMEZ PLATA</v>
      </c>
      <c r="E5447" s="7">
        <v>2020</v>
      </c>
      <c r="H5447">
        <v>4</v>
      </c>
    </row>
    <row r="5448" spans="1:8" x14ac:dyDescent="0.25">
      <c r="A5448" t="str">
        <f>_xlfn.XLOOKUP(C5448, 'Códigos DANE Municipios'!$B$2:$B$1123, 'Códigos DANE Municipios'!$A$2:$A$1123, "No encontrado")</f>
        <v>54313</v>
      </c>
      <c r="B5448" t="str">
        <f>IFERROR(VLOOKUP(D5448,APOYO!K:L,2,FALSE),A5448)</f>
        <v>54313</v>
      </c>
      <c r="C5448" t="s">
        <v>1559</v>
      </c>
      <c r="D5448" t="str">
        <f>IFERROR(VLOOKUP(C5448,APOYO!J:K,2,FALSE),C5448)</f>
        <v>GRAMALOTE</v>
      </c>
      <c r="E5448" s="7">
        <v>2020</v>
      </c>
      <c r="H5448">
        <v>1</v>
      </c>
    </row>
    <row r="5449" spans="1:8" x14ac:dyDescent="0.25">
      <c r="A5449" t="str">
        <f>_xlfn.XLOOKUP(C5449, 'Códigos DANE Municipios'!$B$2:$B$1123, 'Códigos DANE Municipios'!$A$2:$A$1123, "No encontrado")</f>
        <v>05313</v>
      </c>
      <c r="B5449" t="str">
        <f>IFERROR(VLOOKUP(D5449,APOYO!K:L,2,FALSE),A5449)</f>
        <v>05313</v>
      </c>
      <c r="C5449" t="s">
        <v>116</v>
      </c>
      <c r="D5449" t="str">
        <f>IFERROR(VLOOKUP(C5449,APOYO!J:K,2,FALSE),C5449)</f>
        <v>GRANADA</v>
      </c>
      <c r="E5449" s="7">
        <v>2020</v>
      </c>
      <c r="H5449">
        <v>6</v>
      </c>
    </row>
    <row r="5450" spans="1:8" x14ac:dyDescent="0.25">
      <c r="A5450" t="s">
        <v>986</v>
      </c>
      <c r="B5450" t="s">
        <v>986</v>
      </c>
      <c r="C5450" t="s">
        <v>116</v>
      </c>
      <c r="D5450" t="str">
        <f>IFERROR(VLOOKUP(C5450,APOYO!J:K,2,FALSE),C5450)</f>
        <v>GRANADA</v>
      </c>
      <c r="E5450" s="7">
        <v>2020</v>
      </c>
      <c r="H5450">
        <v>4</v>
      </c>
    </row>
    <row r="5451" spans="1:8" x14ac:dyDescent="0.25">
      <c r="A5451" t="s">
        <v>1379</v>
      </c>
      <c r="B5451" t="s">
        <v>1379</v>
      </c>
      <c r="C5451" t="s">
        <v>116</v>
      </c>
      <c r="D5451" t="str">
        <f>IFERROR(VLOOKUP(C5451,APOYO!J:K,2,FALSE),C5451)</f>
        <v>GRANADA</v>
      </c>
      <c r="E5451" s="7">
        <v>2020</v>
      </c>
      <c r="H5451">
        <v>47</v>
      </c>
    </row>
    <row r="5452" spans="1:8" x14ac:dyDescent="0.25">
      <c r="A5452" t="str">
        <f>_xlfn.XLOOKUP(C5452, 'Códigos DANE Municipios'!$B$2:$B$1123, 'Códigos DANE Municipios'!$A$2:$A$1123, "No encontrado")</f>
        <v>68318</v>
      </c>
      <c r="B5452" t="str">
        <f>IFERROR(VLOOKUP(D5452,APOYO!K:L,2,FALSE),A5452)</f>
        <v>68318</v>
      </c>
      <c r="C5452" t="s">
        <v>1720</v>
      </c>
      <c r="D5452" t="str">
        <f>IFERROR(VLOOKUP(C5452,APOYO!J:K,2,FALSE),C5452)</f>
        <v>GUACA</v>
      </c>
      <c r="E5452" s="7">
        <v>2020</v>
      </c>
    </row>
    <row r="5453" spans="1:8" x14ac:dyDescent="0.25">
      <c r="A5453" t="str">
        <f>_xlfn.XLOOKUP(C5453, 'Códigos DANE Municipios'!$B$2:$B$1123, 'Códigos DANE Municipios'!$A$2:$A$1123, "No encontrado")</f>
        <v>15317</v>
      </c>
      <c r="B5453" t="str">
        <f>IFERROR(VLOOKUP(D5453,APOYO!K:L,2,FALSE),A5453)</f>
        <v>15317</v>
      </c>
      <c r="C5453" t="s">
        <v>477</v>
      </c>
      <c r="D5453" t="str">
        <f>IFERROR(VLOOKUP(C5453,APOYO!J:K,2,FALSE),C5453)</f>
        <v>GUACAMAYAS</v>
      </c>
      <c r="E5453" s="7">
        <v>2020</v>
      </c>
    </row>
    <row r="5454" spans="1:8" x14ac:dyDescent="0.25">
      <c r="A5454" t="str">
        <f>_xlfn.XLOOKUP(C5454, 'Códigos DANE Municipios'!$B$2:$B$1123, 'Códigos DANE Municipios'!$A$2:$A$1123, "No encontrado")</f>
        <v>76318</v>
      </c>
      <c r="B5454" t="str">
        <f>IFERROR(VLOOKUP(D5454,APOYO!K:L,2,FALSE),A5454)</f>
        <v>76318</v>
      </c>
      <c r="C5454" t="s">
        <v>1994</v>
      </c>
      <c r="D5454" t="str">
        <f>IFERROR(VLOOKUP(C5454,APOYO!J:K,2,FALSE),C5454)</f>
        <v>GUACARÍ</v>
      </c>
      <c r="E5454" s="7">
        <v>2020</v>
      </c>
      <c r="H5454">
        <v>44</v>
      </c>
    </row>
    <row r="5455" spans="1:8" x14ac:dyDescent="0.25">
      <c r="A5455" t="str">
        <f>_xlfn.XLOOKUP(C5455, 'Códigos DANE Municipios'!$B$2:$B$1123, 'Códigos DANE Municipios'!$A$2:$A$1123, "No encontrado")</f>
        <v>25317</v>
      </c>
      <c r="B5455" t="str">
        <f>IFERROR(VLOOKUP(D5455,APOYO!K:L,2,FALSE),A5455)</f>
        <v>25317</v>
      </c>
      <c r="C5455" t="s">
        <v>988</v>
      </c>
      <c r="D5455" t="str">
        <f>IFERROR(VLOOKUP(C5455,APOYO!J:K,2,FALSE),C5455)</f>
        <v>GUACHETÁ</v>
      </c>
      <c r="E5455" s="7">
        <v>2020</v>
      </c>
      <c r="H5455">
        <v>3</v>
      </c>
    </row>
    <row r="5456" spans="1:8" x14ac:dyDescent="0.25">
      <c r="A5456" t="str">
        <f>_xlfn.XLOOKUP(C5456, 'Códigos DANE Municipios'!$B$2:$B$1123, 'Códigos DANE Municipios'!$A$2:$A$1123, "No encontrado")</f>
        <v>52317</v>
      </c>
      <c r="B5456" t="str">
        <f>IFERROR(VLOOKUP(D5456,APOYO!K:L,2,FALSE),A5456)</f>
        <v>52317</v>
      </c>
      <c r="C5456" t="s">
        <v>1452</v>
      </c>
      <c r="D5456" t="str">
        <f>IFERROR(VLOOKUP(C5456,APOYO!J:K,2,FALSE),C5456)</f>
        <v>GUACHUCAL</v>
      </c>
      <c r="E5456" s="7">
        <v>2020</v>
      </c>
      <c r="H5456">
        <v>2</v>
      </c>
    </row>
    <row r="5457" spans="1:9" x14ac:dyDescent="0.25">
      <c r="A5457" t="str">
        <f>_xlfn.XLOOKUP(C5457, 'Códigos DANE Municipios'!$B$2:$B$1123, 'Códigos DANE Municipios'!$A$2:$A$1123, "No encontrado")</f>
        <v>05315</v>
      </c>
      <c r="B5457" t="str">
        <f>IFERROR(VLOOKUP(D5457,APOYO!K:L,2,FALSE),A5457)</f>
        <v>05315</v>
      </c>
      <c r="C5457" t="s">
        <v>118</v>
      </c>
      <c r="D5457" t="str">
        <f>IFERROR(VLOOKUP(C5457,APOYO!J:K,2,FALSE),C5457)</f>
        <v>GUADALUPE</v>
      </c>
      <c r="E5457" s="7">
        <v>2020</v>
      </c>
      <c r="H5457">
        <v>17</v>
      </c>
    </row>
    <row r="5458" spans="1:9" x14ac:dyDescent="0.25">
      <c r="A5458" t="str">
        <f>_xlfn.XLOOKUP(C5458, 'Códigos DANE Municipios'!$B$2:$B$1123, 'Códigos DANE Municipios'!$A$2:$A$1123, "No encontrado")</f>
        <v>25320</v>
      </c>
      <c r="B5458" t="str">
        <f>IFERROR(VLOOKUP(D5458,APOYO!K:L,2,FALSE),A5458)</f>
        <v>25320</v>
      </c>
      <c r="C5458" t="s">
        <v>990</v>
      </c>
      <c r="D5458" t="str">
        <f>IFERROR(VLOOKUP(C5458,APOYO!J:K,2,FALSE),C5458)</f>
        <v>GUADUAS</v>
      </c>
      <c r="E5458" s="7">
        <v>2020</v>
      </c>
      <c r="H5458">
        <v>32</v>
      </c>
    </row>
    <row r="5459" spans="1:9" x14ac:dyDescent="0.25">
      <c r="A5459" t="str">
        <f>_xlfn.XLOOKUP(C5459, 'Códigos DANE Municipios'!$B$2:$B$1123, 'Códigos DANE Municipios'!$A$2:$A$1123, "No encontrado")</f>
        <v>47318</v>
      </c>
      <c r="B5459" t="str">
        <f>IFERROR(VLOOKUP(D5459,APOYO!K:L,2,FALSE),A5459)</f>
        <v>47318</v>
      </c>
      <c r="C5459" t="s">
        <v>1323</v>
      </c>
      <c r="D5459" t="str">
        <f>IFERROR(VLOOKUP(C5459,APOYO!J:K,2,FALSE),C5459)</f>
        <v>GUAMAL</v>
      </c>
      <c r="E5459" s="7">
        <v>2020</v>
      </c>
      <c r="H5459">
        <v>17</v>
      </c>
    </row>
    <row r="5460" spans="1:9" x14ac:dyDescent="0.25">
      <c r="A5460" t="str">
        <f>_xlfn.XLOOKUP(C5460, 'Códigos DANE Municipios'!$B$2:$B$1123, 'Códigos DANE Municipios'!$A$2:$A$1123, "No encontrado")</f>
        <v>73319</v>
      </c>
      <c r="B5460" t="str">
        <f>IFERROR(VLOOKUP(D5460,APOYO!K:L,2,FALSE),A5460)</f>
        <v>73319</v>
      </c>
      <c r="C5460" t="s">
        <v>1903</v>
      </c>
      <c r="D5460" t="str">
        <f>IFERROR(VLOOKUP(C5460,APOYO!J:K,2,FALSE),C5460)</f>
        <v>GUAMO</v>
      </c>
      <c r="E5460" s="7">
        <v>2020</v>
      </c>
      <c r="H5460">
        <v>10</v>
      </c>
    </row>
    <row r="5461" spans="1:9" x14ac:dyDescent="0.25">
      <c r="A5461" t="str">
        <f>_xlfn.XLOOKUP(C5461, 'Códigos DANE Municipios'!$B$2:$B$1123, 'Códigos DANE Municipios'!$A$2:$A$1123, "No encontrado")</f>
        <v>19318</v>
      </c>
      <c r="B5461" t="str">
        <f>IFERROR(VLOOKUP(D5461,APOYO!K:L,2,FALSE),A5461)</f>
        <v>19318</v>
      </c>
      <c r="C5461" t="s">
        <v>753</v>
      </c>
      <c r="D5461" t="str">
        <f>IFERROR(VLOOKUP(C5461,APOYO!J:K,2,FALSE),C5461)</f>
        <v>GUAPÍ</v>
      </c>
      <c r="E5461" s="7">
        <v>2020</v>
      </c>
      <c r="F5461">
        <v>7715</v>
      </c>
      <c r="H5461">
        <v>3</v>
      </c>
      <c r="I5461">
        <v>1549</v>
      </c>
    </row>
    <row r="5462" spans="1:9" x14ac:dyDescent="0.25">
      <c r="A5462" t="str">
        <f>_xlfn.XLOOKUP(C5462, 'Códigos DANE Municipios'!$B$2:$B$1123, 'Códigos DANE Municipios'!$A$2:$A$1123, "No encontrado")</f>
        <v>70265</v>
      </c>
      <c r="B5462" t="str">
        <f>IFERROR(VLOOKUP(D5462,APOYO!K:L,2,FALSE),A5462)</f>
        <v>70265</v>
      </c>
      <c r="C5462" t="s">
        <v>1833</v>
      </c>
      <c r="D5462" t="str">
        <f>IFERROR(VLOOKUP(C5462,APOYO!J:K,2,FALSE),C5462)</f>
        <v>GUARANDA</v>
      </c>
      <c r="E5462" s="7">
        <v>2020</v>
      </c>
      <c r="H5462">
        <v>1</v>
      </c>
    </row>
    <row r="5463" spans="1:9" x14ac:dyDescent="0.25">
      <c r="A5463" t="str">
        <f>_xlfn.XLOOKUP(C5463, 'Códigos DANE Municipios'!$B$2:$B$1123, 'Códigos DANE Municipios'!$A$2:$A$1123, "No encontrado")</f>
        <v>05318</v>
      </c>
      <c r="B5463" t="str">
        <f>IFERROR(VLOOKUP(D5463,APOYO!K:L,2,FALSE),A5463)</f>
        <v>05318</v>
      </c>
      <c r="C5463" t="s">
        <v>120</v>
      </c>
      <c r="D5463" t="str">
        <f>IFERROR(VLOOKUP(C5463,APOYO!J:K,2,FALSE),C5463)</f>
        <v>GUARNE</v>
      </c>
      <c r="E5463" s="7">
        <v>2020</v>
      </c>
      <c r="H5463">
        <v>273</v>
      </c>
    </row>
    <row r="5464" spans="1:9" x14ac:dyDescent="0.25">
      <c r="A5464" t="str">
        <f>_xlfn.XLOOKUP(C5464, 'Códigos DANE Municipios'!$B$2:$B$1123, 'Códigos DANE Municipios'!$A$2:$A$1123, "No encontrado")</f>
        <v>25322</v>
      </c>
      <c r="B5464" t="str">
        <f>IFERROR(VLOOKUP(D5464,APOYO!K:L,2,FALSE),A5464)</f>
        <v>25322</v>
      </c>
      <c r="C5464" t="s">
        <v>992</v>
      </c>
      <c r="D5464" t="str">
        <f>IFERROR(VLOOKUP(C5464,APOYO!J:K,2,FALSE),C5464)</f>
        <v>GUASCA</v>
      </c>
      <c r="E5464" s="7">
        <v>2020</v>
      </c>
      <c r="H5464">
        <v>57</v>
      </c>
    </row>
    <row r="5465" spans="1:9" x14ac:dyDescent="0.25">
      <c r="A5465" t="str">
        <f>_xlfn.XLOOKUP(C5465, 'Códigos DANE Municipios'!$B$2:$B$1123, 'Códigos DANE Municipios'!$A$2:$A$1123, "No encontrado")</f>
        <v>05321</v>
      </c>
      <c r="B5465" t="str">
        <f>IFERROR(VLOOKUP(D5465,APOYO!K:L,2,FALSE),A5465)</f>
        <v>05321</v>
      </c>
      <c r="C5465" t="s">
        <v>122</v>
      </c>
      <c r="D5465" t="str">
        <f>IFERROR(VLOOKUP(C5465,APOYO!J:K,2,FALSE),C5465)</f>
        <v>GUATAPÉ</v>
      </c>
      <c r="E5465" s="7">
        <v>2020</v>
      </c>
      <c r="H5465">
        <v>272</v>
      </c>
    </row>
    <row r="5466" spans="1:9" x14ac:dyDescent="0.25">
      <c r="A5466" t="str">
        <f>_xlfn.XLOOKUP(C5466, 'Códigos DANE Municipios'!$B$2:$B$1123, 'Códigos DANE Municipios'!$A$2:$A$1123, "No encontrado")</f>
        <v>25324</v>
      </c>
      <c r="B5466" t="str">
        <f>IFERROR(VLOOKUP(D5466,APOYO!K:L,2,FALSE),A5466)</f>
        <v>25324</v>
      </c>
      <c r="C5466" t="s">
        <v>994</v>
      </c>
      <c r="D5466" t="str">
        <f>IFERROR(VLOOKUP(C5466,APOYO!J:K,2,FALSE),C5466)</f>
        <v>GUATAQUÍ</v>
      </c>
      <c r="E5466" s="7">
        <v>2020</v>
      </c>
    </row>
    <row r="5467" spans="1:9" x14ac:dyDescent="0.25">
      <c r="A5467" t="str">
        <f>_xlfn.XLOOKUP(C5467, 'Códigos DANE Municipios'!$B$2:$B$1123, 'Códigos DANE Municipios'!$A$2:$A$1123, "No encontrado")</f>
        <v>25326</v>
      </c>
      <c r="B5467" t="str">
        <f>IFERROR(VLOOKUP(D5467,APOYO!K:L,2,FALSE),A5467)</f>
        <v>25326</v>
      </c>
      <c r="C5467" t="s">
        <v>996</v>
      </c>
      <c r="D5467" t="str">
        <f>IFERROR(VLOOKUP(C5467,APOYO!J:K,2,FALSE),C5467)</f>
        <v>GUATAVITA</v>
      </c>
      <c r="E5467" s="7">
        <v>2020</v>
      </c>
      <c r="H5467">
        <v>27</v>
      </c>
    </row>
    <row r="5468" spans="1:9" x14ac:dyDescent="0.25">
      <c r="A5468" t="str">
        <f>_xlfn.XLOOKUP(C5468, 'Códigos DANE Municipios'!$B$2:$B$1123, 'Códigos DANE Municipios'!$A$2:$A$1123, "No encontrado")</f>
        <v>15322</v>
      </c>
      <c r="B5468" t="str">
        <f>IFERROR(VLOOKUP(D5468,APOYO!K:L,2,FALSE),A5468)</f>
        <v>15322</v>
      </c>
      <c r="C5468" t="s">
        <v>479</v>
      </c>
      <c r="D5468" t="str">
        <f>IFERROR(VLOOKUP(C5468,APOYO!J:K,2,FALSE),C5468)</f>
        <v>GUATEQUE</v>
      </c>
      <c r="E5468" s="7">
        <v>2020</v>
      </c>
      <c r="H5468">
        <v>13</v>
      </c>
    </row>
    <row r="5469" spans="1:9" x14ac:dyDescent="0.25">
      <c r="A5469" t="str">
        <f>_xlfn.XLOOKUP(C5469, 'Códigos DANE Municipios'!$B$2:$B$1123, 'Códigos DANE Municipios'!$A$2:$A$1123, "No encontrado")</f>
        <v>66318</v>
      </c>
      <c r="B5469" t="str">
        <f>IFERROR(VLOOKUP(D5469,APOYO!K:L,2,FALSE),A5469)</f>
        <v>66318</v>
      </c>
      <c r="C5469" t="s">
        <v>1637</v>
      </c>
      <c r="D5469" t="str">
        <f>IFERROR(VLOOKUP(C5469,APOYO!J:K,2,FALSE),C5469)</f>
        <v>GUÁTICA</v>
      </c>
      <c r="E5469" s="7">
        <v>2020</v>
      </c>
      <c r="H5469">
        <v>5</v>
      </c>
    </row>
    <row r="5470" spans="1:9" x14ac:dyDescent="0.25">
      <c r="A5470" t="str">
        <f>_xlfn.XLOOKUP(C5470, 'Códigos DANE Municipios'!$B$2:$B$1123, 'Códigos DANE Municipios'!$A$2:$A$1123, "No encontrado")</f>
        <v>25328</v>
      </c>
      <c r="B5470" t="str">
        <f>IFERROR(VLOOKUP(D5470,APOYO!K:L,2,FALSE),A5470)</f>
        <v>25328</v>
      </c>
      <c r="C5470" t="s">
        <v>998</v>
      </c>
      <c r="D5470" t="str">
        <f>IFERROR(VLOOKUP(C5470,APOYO!J:K,2,FALSE),C5470)</f>
        <v>GUAYABAL DE SÍQUIMA</v>
      </c>
      <c r="E5470" s="7">
        <v>2020</v>
      </c>
      <c r="H5470">
        <v>1</v>
      </c>
    </row>
    <row r="5471" spans="1:9" x14ac:dyDescent="0.25">
      <c r="A5471" t="str">
        <f>_xlfn.XLOOKUP(C5471, 'Códigos DANE Municipios'!$B$2:$B$1123, 'Códigos DANE Municipios'!$A$2:$A$1123, "No encontrado")</f>
        <v>25335</v>
      </c>
      <c r="B5471" t="str">
        <f>IFERROR(VLOOKUP(D5471,APOYO!K:L,2,FALSE),A5471)</f>
        <v>25335</v>
      </c>
      <c r="C5471" t="s">
        <v>1000</v>
      </c>
      <c r="D5471" t="str">
        <f>IFERROR(VLOOKUP(C5471,APOYO!J:K,2,FALSE),C5471)</f>
        <v>GUAYABETAL</v>
      </c>
      <c r="E5471" s="7">
        <v>2020</v>
      </c>
      <c r="H5471">
        <v>1</v>
      </c>
    </row>
    <row r="5472" spans="1:9" x14ac:dyDescent="0.25">
      <c r="A5472" t="str">
        <f>_xlfn.XLOOKUP(C5472, 'Códigos DANE Municipios'!$B$2:$B$1123, 'Códigos DANE Municipios'!$A$2:$A$1123, "No encontrado")</f>
        <v>15325</v>
      </c>
      <c r="B5472" t="str">
        <f>IFERROR(VLOOKUP(D5472,APOYO!K:L,2,FALSE),A5472)</f>
        <v>15325</v>
      </c>
      <c r="C5472" t="s">
        <v>481</v>
      </c>
      <c r="D5472" t="str">
        <f>IFERROR(VLOOKUP(C5472,APOYO!J:K,2,FALSE),C5472)</f>
        <v>GUAYATÁ</v>
      </c>
      <c r="E5472" s="7">
        <v>2020</v>
      </c>
      <c r="H5472">
        <v>2</v>
      </c>
    </row>
    <row r="5473" spans="1:9" x14ac:dyDescent="0.25">
      <c r="A5473" t="str">
        <f>_xlfn.XLOOKUP(C5473, 'Códigos DANE Municipios'!$B$2:$B$1123, 'Códigos DANE Municipios'!$A$2:$A$1123, "No encontrado")</f>
        <v>68327</v>
      </c>
      <c r="B5473" t="str">
        <f>IFERROR(VLOOKUP(D5473,APOYO!K:L,2,FALSE),A5473)</f>
        <v>68327</v>
      </c>
      <c r="C5473" t="s">
        <v>1727</v>
      </c>
      <c r="D5473" t="str">
        <f>IFERROR(VLOOKUP(C5473,APOYO!J:K,2,FALSE),C5473)</f>
        <v>GÜEPSA</v>
      </c>
      <c r="E5473" s="7">
        <v>2020</v>
      </c>
      <c r="H5473">
        <v>1</v>
      </c>
    </row>
    <row r="5474" spans="1:9" x14ac:dyDescent="0.25">
      <c r="A5474" t="str">
        <f>_xlfn.XLOOKUP(C5474, 'Códigos DANE Municipios'!$B$2:$B$1123, 'Códigos DANE Municipios'!$A$2:$A$1123, "No encontrado")</f>
        <v>15332</v>
      </c>
      <c r="B5474" t="str">
        <f>IFERROR(VLOOKUP(D5474,APOYO!K:L,2,FALSE),A5474)</f>
        <v>15332</v>
      </c>
      <c r="C5474" t="s">
        <v>483</v>
      </c>
      <c r="D5474" t="str">
        <f>IFERROR(VLOOKUP(C5474,APOYO!J:K,2,FALSE),C5474)</f>
        <v>GÜICÁN</v>
      </c>
      <c r="E5474" s="7">
        <v>2020</v>
      </c>
    </row>
    <row r="5475" spans="1:9" x14ac:dyDescent="0.25">
      <c r="A5475" t="str">
        <f>_xlfn.XLOOKUP(C5475, 'Códigos DANE Municipios'!$B$2:$B$1123, 'Códigos DANE Municipios'!$A$2:$A$1123, "No encontrado")</f>
        <v>85125</v>
      </c>
      <c r="B5475" t="str">
        <f>IFERROR(VLOOKUP(D5475,APOYO!K:L,2,FALSE),A5475)</f>
        <v>85125</v>
      </c>
      <c r="C5475" t="s">
        <v>2054</v>
      </c>
      <c r="D5475" t="str">
        <f>IFERROR(VLOOKUP(C5475,APOYO!J:K,2,FALSE),C5475)</f>
        <v>HATO COROZAL</v>
      </c>
      <c r="E5475" s="7">
        <v>2020</v>
      </c>
      <c r="F5475">
        <v>0</v>
      </c>
      <c r="H5475">
        <v>2</v>
      </c>
    </row>
    <row r="5476" spans="1:9" x14ac:dyDescent="0.25">
      <c r="A5476" t="str">
        <f>_xlfn.XLOOKUP(C5476, 'Códigos DANE Municipios'!$B$2:$B$1123, 'Códigos DANE Municipios'!$A$2:$A$1123, "No encontrado")</f>
        <v>05347</v>
      </c>
      <c r="B5476" t="str">
        <f>IFERROR(VLOOKUP(D5476,APOYO!K:L,2,FALSE),A5476)</f>
        <v>05347</v>
      </c>
      <c r="C5476" t="s">
        <v>124</v>
      </c>
      <c r="D5476" t="str">
        <f>IFERROR(VLOOKUP(C5476,APOYO!J:K,2,FALSE),C5476)</f>
        <v>HELICONIA</v>
      </c>
      <c r="E5476" s="7">
        <v>2020</v>
      </c>
    </row>
    <row r="5477" spans="1:9" x14ac:dyDescent="0.25">
      <c r="A5477" t="str">
        <f>_xlfn.XLOOKUP(C5477, 'Códigos DANE Municipios'!$B$2:$B$1123, 'Códigos DANE Municipios'!$A$2:$A$1123, "No encontrado")</f>
        <v>73347</v>
      </c>
      <c r="B5477" t="str">
        <f>IFERROR(VLOOKUP(D5477,APOYO!K:L,2,FALSE),A5477)</f>
        <v>73347</v>
      </c>
      <c r="C5477" t="s">
        <v>1905</v>
      </c>
      <c r="D5477" t="str">
        <f>IFERROR(VLOOKUP(C5477,APOYO!J:K,2,FALSE),C5477)</f>
        <v>HERVEO</v>
      </c>
      <c r="E5477" s="7">
        <v>2020</v>
      </c>
    </row>
    <row r="5478" spans="1:9" x14ac:dyDescent="0.25">
      <c r="A5478" t="str">
        <f>_xlfn.XLOOKUP(C5478, 'Códigos DANE Municipios'!$B$2:$B$1123, 'Códigos DANE Municipios'!$A$2:$A$1123, "No encontrado")</f>
        <v>05353</v>
      </c>
      <c r="B5478" t="str">
        <f>IFERROR(VLOOKUP(D5478,APOYO!K:L,2,FALSE),A5478)</f>
        <v>05353</v>
      </c>
      <c r="C5478" t="s">
        <v>126</v>
      </c>
      <c r="D5478" t="str">
        <f>IFERROR(VLOOKUP(C5478,APOYO!J:K,2,FALSE),C5478)</f>
        <v>HISPANIA</v>
      </c>
      <c r="E5478" s="7">
        <v>2020</v>
      </c>
      <c r="H5478">
        <v>1</v>
      </c>
    </row>
    <row r="5479" spans="1:9" x14ac:dyDescent="0.25">
      <c r="A5479" t="str">
        <f>_xlfn.XLOOKUP(C5479, 'Códigos DANE Municipios'!$B$2:$B$1123, 'Códigos DANE Municipios'!$A$2:$A$1123, "No encontrado")</f>
        <v>41349</v>
      </c>
      <c r="B5479" t="str">
        <f>IFERROR(VLOOKUP(D5479,APOYO!K:L,2,FALSE),A5479)</f>
        <v>41349</v>
      </c>
      <c r="C5479" t="s">
        <v>1226</v>
      </c>
      <c r="D5479" t="str">
        <f>IFERROR(VLOOKUP(C5479,APOYO!J:K,2,FALSE),C5479)</f>
        <v>HOBO</v>
      </c>
      <c r="E5479" s="7">
        <v>2020</v>
      </c>
      <c r="H5479">
        <v>1</v>
      </c>
    </row>
    <row r="5480" spans="1:9" x14ac:dyDescent="0.25">
      <c r="A5480" t="str">
        <f>_xlfn.XLOOKUP(C5480, 'Códigos DANE Municipios'!$B$2:$B$1123, 'Códigos DANE Municipios'!$A$2:$A$1123, "No encontrado")</f>
        <v>73349</v>
      </c>
      <c r="B5480" t="str">
        <f>IFERROR(VLOOKUP(D5480,APOYO!K:L,2,FALSE),A5480)</f>
        <v>73349</v>
      </c>
      <c r="C5480" t="s">
        <v>1907</v>
      </c>
      <c r="D5480" t="str">
        <f>IFERROR(VLOOKUP(C5480,APOYO!J:K,2,FALSE),C5480)</f>
        <v>HONDA</v>
      </c>
      <c r="E5480" s="7">
        <v>2020</v>
      </c>
      <c r="H5480">
        <v>1</v>
      </c>
    </row>
    <row r="5481" spans="1:9" x14ac:dyDescent="0.25">
      <c r="A5481" t="str">
        <f>_xlfn.XLOOKUP(C5481, 'Códigos DANE Municipios'!$B$2:$B$1123, 'Códigos DANE Municipios'!$A$2:$A$1123, "No encontrado")</f>
        <v>73001</v>
      </c>
      <c r="B5481" t="str">
        <f>IFERROR(VLOOKUP(D5481,APOYO!K:L,2,FALSE),A5481)</f>
        <v>73001</v>
      </c>
      <c r="C5481" t="s">
        <v>1865</v>
      </c>
      <c r="D5481" t="str">
        <f>IFERROR(VLOOKUP(C5481,APOYO!J:K,2,FALSE),C5481)</f>
        <v>IBAGUÉ</v>
      </c>
      <c r="E5481" s="7">
        <v>2020</v>
      </c>
      <c r="F5481">
        <v>13810</v>
      </c>
      <c r="H5481">
        <v>1778</v>
      </c>
      <c r="I5481">
        <v>15966</v>
      </c>
    </row>
    <row r="5482" spans="1:9" x14ac:dyDescent="0.25">
      <c r="A5482" t="str">
        <f>_xlfn.XLOOKUP(C5482, 'Códigos DANE Municipios'!$B$2:$B$1123, 'Códigos DANE Municipios'!$A$2:$A$1123, "No encontrado")</f>
        <v>73352</v>
      </c>
      <c r="B5482" t="str">
        <f>IFERROR(VLOOKUP(D5482,APOYO!K:L,2,FALSE),A5482)</f>
        <v>73352</v>
      </c>
      <c r="C5482" t="s">
        <v>1909</v>
      </c>
      <c r="D5482" t="str">
        <f>IFERROR(VLOOKUP(C5482,APOYO!J:K,2,FALSE),C5482)</f>
        <v>ICONONZO</v>
      </c>
      <c r="E5482" s="7">
        <v>2020</v>
      </c>
      <c r="H5482">
        <v>8</v>
      </c>
    </row>
    <row r="5483" spans="1:9" x14ac:dyDescent="0.25">
      <c r="A5483" t="s">
        <v>1459</v>
      </c>
      <c r="B5483" t="s">
        <v>1459</v>
      </c>
      <c r="C5483" t="s">
        <v>1460</v>
      </c>
      <c r="D5483" t="str">
        <f>IFERROR(VLOOKUP(C5483,APOYO!J:K,2,FALSE),C5483)</f>
        <v>IMUÉS</v>
      </c>
      <c r="E5483" s="7">
        <v>2020</v>
      </c>
      <c r="H5483">
        <v>1</v>
      </c>
    </row>
    <row r="5484" spans="1:9" x14ac:dyDescent="0.25">
      <c r="A5484" t="str">
        <f>_xlfn.XLOOKUP(C5484, 'Códigos DANE Municipios'!$B$2:$B$1123, 'Códigos DANE Municipios'!$A$2:$A$1123, "No encontrado")</f>
        <v>41357</v>
      </c>
      <c r="B5484" t="str">
        <f>IFERROR(VLOOKUP(D5484,APOYO!K:L,2,FALSE),A5484)</f>
        <v>41357</v>
      </c>
      <c r="C5484" t="s">
        <v>1228</v>
      </c>
      <c r="D5484" t="str">
        <f>IFERROR(VLOOKUP(C5484,APOYO!J:K,2,FALSE),C5484)</f>
        <v>ÍQUIRA</v>
      </c>
      <c r="E5484" s="7">
        <v>2020</v>
      </c>
    </row>
    <row r="5485" spans="1:9" x14ac:dyDescent="0.25">
      <c r="A5485" t="str">
        <f>_xlfn.XLOOKUP(C5485, 'Códigos DANE Municipios'!$B$2:$B$1123, 'Códigos DANE Municipios'!$A$2:$A$1123, "No encontrado")</f>
        <v>52352</v>
      </c>
      <c r="B5485" t="str">
        <f>IFERROR(VLOOKUP(D5485,APOYO!K:L,2,FALSE),A5485)</f>
        <v>52352</v>
      </c>
      <c r="C5485" t="s">
        <v>1458</v>
      </c>
      <c r="D5485" t="str">
        <f>IFERROR(VLOOKUP(C5485,APOYO!J:K,2,FALSE),C5485)</f>
        <v>ILES</v>
      </c>
      <c r="E5485" s="7">
        <v>2020</v>
      </c>
    </row>
    <row r="5486" spans="1:9" x14ac:dyDescent="0.25">
      <c r="A5486" t="str">
        <f>_xlfn.XLOOKUP(C5486, 'Códigos DANE Municipios'!$B$2:$B$1123, 'Códigos DANE Municipios'!$A$2:$A$1123, "No encontrado")</f>
        <v>52354</v>
      </c>
      <c r="B5486" t="str">
        <f>IFERROR(VLOOKUP(D5486,APOYO!K:L,2,FALSE),A5486)</f>
        <v>52354</v>
      </c>
      <c r="C5486" t="s">
        <v>1460</v>
      </c>
      <c r="D5486" t="str">
        <f>IFERROR(VLOOKUP(C5486,APOYO!J:K,2,FALSE),C5486)</f>
        <v>IMUÉS</v>
      </c>
      <c r="E5486" s="7">
        <v>2020</v>
      </c>
    </row>
    <row r="5487" spans="1:9" x14ac:dyDescent="0.25">
      <c r="A5487" t="str">
        <f>_xlfn.XLOOKUP(C5487, 'Códigos DANE Municipios'!$B$2:$B$1123, 'Códigos DANE Municipios'!$A$2:$A$1123, "No encontrado")</f>
        <v>19355</v>
      </c>
      <c r="B5487" t="str">
        <f>IFERROR(VLOOKUP(D5487,APOYO!K:L,2,FALSE),A5487)</f>
        <v>19355</v>
      </c>
      <c r="C5487" t="s">
        <v>755</v>
      </c>
      <c r="D5487" t="str">
        <f>IFERROR(VLOOKUP(C5487,APOYO!J:K,2,FALSE),C5487)</f>
        <v>INZÁ</v>
      </c>
      <c r="E5487" s="7">
        <v>2020</v>
      </c>
      <c r="H5487">
        <v>2</v>
      </c>
    </row>
    <row r="5488" spans="1:9" x14ac:dyDescent="0.25">
      <c r="A5488" t="str">
        <f>_xlfn.XLOOKUP(C5488, 'Códigos DANE Municipios'!$B$2:$B$1123, 'Códigos DANE Municipios'!$A$2:$A$1123, "No encontrado")</f>
        <v>52356</v>
      </c>
      <c r="B5488" t="str">
        <f>IFERROR(VLOOKUP(D5488,APOYO!K:L,2,FALSE),A5488)</f>
        <v>52356</v>
      </c>
      <c r="C5488" t="s">
        <v>1462</v>
      </c>
      <c r="D5488" t="str">
        <f>IFERROR(VLOOKUP(C5488,APOYO!J:K,2,FALSE),C5488)</f>
        <v>IPIALES</v>
      </c>
      <c r="E5488" s="7">
        <v>2020</v>
      </c>
      <c r="H5488">
        <v>1555</v>
      </c>
    </row>
    <row r="5489" spans="1:8" x14ac:dyDescent="0.25">
      <c r="A5489" t="str">
        <f>_xlfn.XLOOKUP(C5489, 'Códigos DANE Municipios'!$B$2:$B$1123, 'Códigos DANE Municipios'!$A$2:$A$1123, "No encontrado")</f>
        <v>27361</v>
      </c>
      <c r="B5489" t="str">
        <f>IFERROR(VLOOKUP(D5489,APOYO!K:L,2,FALSE),A5489)</f>
        <v>27361</v>
      </c>
      <c r="C5489" t="s">
        <v>1170</v>
      </c>
      <c r="D5489" t="str">
        <f>IFERROR(VLOOKUP(C5489,APOYO!J:K,2,FALSE),C5489)</f>
        <v>ISTMINA</v>
      </c>
      <c r="E5489" s="7">
        <v>2020</v>
      </c>
      <c r="H5489">
        <v>5</v>
      </c>
    </row>
    <row r="5490" spans="1:8" x14ac:dyDescent="0.25">
      <c r="A5490" t="str">
        <f>_xlfn.XLOOKUP(C5490, 'Códigos DANE Municipios'!$B$2:$B$1123, 'Códigos DANE Municipios'!$A$2:$A$1123, "No encontrado")</f>
        <v>05360</v>
      </c>
      <c r="B5490" t="str">
        <f>IFERROR(VLOOKUP(D5490,APOYO!K:L,2,FALSE),A5490)</f>
        <v>05360</v>
      </c>
      <c r="C5490" t="s">
        <v>128</v>
      </c>
      <c r="D5490" t="str">
        <f>IFERROR(VLOOKUP(C5490,APOYO!J:K,2,FALSE),C5490)</f>
        <v>ITAGÜÍ</v>
      </c>
      <c r="E5490" s="7">
        <v>2020</v>
      </c>
      <c r="H5490">
        <v>871</v>
      </c>
    </row>
    <row r="5491" spans="1:8" x14ac:dyDescent="0.25">
      <c r="A5491" t="str">
        <f>_xlfn.XLOOKUP(C5491, 'Códigos DANE Municipios'!$B$2:$B$1123, 'Códigos DANE Municipios'!$A$2:$A$1123, "No encontrado")</f>
        <v>05361</v>
      </c>
      <c r="B5491" t="str">
        <f>IFERROR(VLOOKUP(D5491,APOYO!K:L,2,FALSE),A5491)</f>
        <v>05361</v>
      </c>
      <c r="C5491" t="s">
        <v>130</v>
      </c>
      <c r="D5491" t="str">
        <f>IFERROR(VLOOKUP(C5491,APOYO!J:K,2,FALSE),C5491)</f>
        <v>ITUANGO</v>
      </c>
      <c r="E5491" s="7">
        <v>2020</v>
      </c>
      <c r="F5491">
        <v>119</v>
      </c>
      <c r="H5491">
        <v>6</v>
      </c>
    </row>
    <row r="5492" spans="1:8" x14ac:dyDescent="0.25">
      <c r="A5492" t="str">
        <f>_xlfn.XLOOKUP(C5492, 'Códigos DANE Municipios'!$B$2:$B$1123, 'Códigos DANE Municipios'!$A$2:$A$1123, "No encontrado")</f>
        <v>15362</v>
      </c>
      <c r="B5492" t="str">
        <f>IFERROR(VLOOKUP(D5492,APOYO!K:L,2,FALSE),A5492)</f>
        <v>15362</v>
      </c>
      <c r="C5492" t="s">
        <v>485</v>
      </c>
      <c r="D5492" t="str">
        <f>IFERROR(VLOOKUP(C5492,APOYO!J:K,2,FALSE),C5492)</f>
        <v>IZA</v>
      </c>
      <c r="E5492" s="7">
        <v>2020</v>
      </c>
      <c r="H5492">
        <v>2</v>
      </c>
    </row>
    <row r="5493" spans="1:8" x14ac:dyDescent="0.25">
      <c r="A5493" t="str">
        <f>_xlfn.XLOOKUP(C5493, 'Códigos DANE Municipios'!$B$2:$B$1123, 'Códigos DANE Municipios'!$A$2:$A$1123, "No encontrado")</f>
        <v>76364</v>
      </c>
      <c r="B5493" t="str">
        <f>IFERROR(VLOOKUP(D5493,APOYO!K:L,2,FALSE),A5493)</f>
        <v>76364</v>
      </c>
      <c r="C5493" t="s">
        <v>1996</v>
      </c>
      <c r="D5493" t="str">
        <f>IFERROR(VLOOKUP(C5493,APOYO!J:K,2,FALSE),C5493)</f>
        <v>JAMUNDÍ</v>
      </c>
      <c r="E5493" s="7">
        <v>2020</v>
      </c>
      <c r="H5493">
        <v>519</v>
      </c>
    </row>
    <row r="5494" spans="1:8" x14ac:dyDescent="0.25">
      <c r="A5494" t="str">
        <f>_xlfn.XLOOKUP(C5494, 'Códigos DANE Municipios'!$B$2:$B$1123, 'Códigos DANE Municipios'!$A$2:$A$1123, "No encontrado")</f>
        <v>05364</v>
      </c>
      <c r="B5494" t="str">
        <f>IFERROR(VLOOKUP(D5494,APOYO!K:L,2,FALSE),A5494)</f>
        <v>05364</v>
      </c>
      <c r="C5494" t="s">
        <v>132</v>
      </c>
      <c r="D5494" t="str">
        <f>IFERROR(VLOOKUP(C5494,APOYO!J:K,2,FALSE),C5494)</f>
        <v>JARDÍN</v>
      </c>
      <c r="E5494" s="7">
        <v>2020</v>
      </c>
      <c r="H5494">
        <v>49</v>
      </c>
    </row>
    <row r="5495" spans="1:8" x14ac:dyDescent="0.25">
      <c r="A5495" t="str">
        <f>_xlfn.XLOOKUP(C5495, 'Códigos DANE Municipios'!$B$2:$B$1123, 'Códigos DANE Municipios'!$A$2:$A$1123, "No encontrado")</f>
        <v>15367</v>
      </c>
      <c r="B5495" t="str">
        <f>IFERROR(VLOOKUP(D5495,APOYO!K:L,2,FALSE),A5495)</f>
        <v>15367</v>
      </c>
      <c r="C5495" t="s">
        <v>487</v>
      </c>
      <c r="D5495" t="str">
        <f>IFERROR(VLOOKUP(C5495,APOYO!J:K,2,FALSE),C5495)</f>
        <v>JENESANO</v>
      </c>
      <c r="E5495" s="7">
        <v>2020</v>
      </c>
    </row>
    <row r="5496" spans="1:8" x14ac:dyDescent="0.25">
      <c r="A5496" t="str">
        <f>_xlfn.XLOOKUP(C5496, 'Códigos DANE Municipios'!$B$2:$B$1123, 'Códigos DANE Municipios'!$A$2:$A$1123, "No encontrado")</f>
        <v>05368</v>
      </c>
      <c r="B5496" t="str">
        <f>IFERROR(VLOOKUP(D5496,APOYO!K:L,2,FALSE),A5496)</f>
        <v>05368</v>
      </c>
      <c r="C5496" t="s">
        <v>134</v>
      </c>
      <c r="D5496" t="str">
        <f>IFERROR(VLOOKUP(C5496,APOYO!J:K,2,FALSE),C5496)</f>
        <v>JERICÓ</v>
      </c>
      <c r="E5496" s="7">
        <v>2020</v>
      </c>
      <c r="H5496">
        <v>46</v>
      </c>
    </row>
    <row r="5497" spans="1:8" x14ac:dyDescent="0.25">
      <c r="A5497" t="str">
        <f>_xlfn.XLOOKUP(C5497, 'Códigos DANE Municipios'!$B$2:$B$1123, 'Códigos DANE Municipios'!$A$2:$A$1123, "No encontrado")</f>
        <v>08372</v>
      </c>
      <c r="B5497" t="str">
        <f>IFERROR(VLOOKUP(D5497,APOYO!K:L,2,FALSE),A5497)</f>
        <v>08372</v>
      </c>
      <c r="C5497" t="s">
        <v>272</v>
      </c>
      <c r="D5497" t="str">
        <f>IFERROR(VLOOKUP(C5497,APOYO!J:K,2,FALSE),C5497)</f>
        <v>JUAN DE ACOSTA</v>
      </c>
      <c r="E5497" s="7">
        <v>2020</v>
      </c>
      <c r="H5497">
        <v>42</v>
      </c>
    </row>
    <row r="5498" spans="1:8" x14ac:dyDescent="0.25">
      <c r="A5498" t="str">
        <f>_xlfn.XLOOKUP(C5498, 'Códigos DANE Municipios'!$B$2:$B$1123, 'Códigos DANE Municipios'!$A$2:$A$1123, "No encontrado")</f>
        <v>25372</v>
      </c>
      <c r="B5498" t="str">
        <f>IFERROR(VLOOKUP(D5498,APOYO!K:L,2,FALSE),A5498)</f>
        <v>25372</v>
      </c>
      <c r="C5498" t="s">
        <v>1006</v>
      </c>
      <c r="D5498" t="str">
        <f>IFERROR(VLOOKUP(C5498,APOYO!J:K,2,FALSE),C5498)</f>
        <v>JUNÍN</v>
      </c>
      <c r="E5498" s="7">
        <v>2020</v>
      </c>
    </row>
    <row r="5499" spans="1:8" x14ac:dyDescent="0.25">
      <c r="A5499" t="str">
        <f>_xlfn.XLOOKUP(C5499, 'Códigos DANE Municipios'!$B$2:$B$1123, 'Códigos DANE Municipios'!$A$2:$A$1123, "No encontrado")</f>
        <v>27372</v>
      </c>
      <c r="B5499" t="str">
        <f>IFERROR(VLOOKUP(D5499,APOYO!K:L,2,FALSE),A5499)</f>
        <v>27372</v>
      </c>
      <c r="C5499" t="s">
        <v>1172</v>
      </c>
      <c r="D5499" t="str">
        <f>IFERROR(VLOOKUP(C5499,APOYO!J:K,2,FALSE),C5499)</f>
        <v>JURADÓ</v>
      </c>
      <c r="E5499" s="7">
        <v>2020</v>
      </c>
      <c r="H5499">
        <v>16</v>
      </c>
    </row>
    <row r="5500" spans="1:8" x14ac:dyDescent="0.25">
      <c r="A5500" t="str">
        <f>_xlfn.XLOOKUP(C5500, 'Códigos DANE Municipios'!$B$2:$B$1123, 'Códigos DANE Municipios'!$A$2:$A$1123, "No encontrado")</f>
        <v>23350</v>
      </c>
      <c r="B5500" t="str">
        <f>IFERROR(VLOOKUP(D5500,APOYO!K:L,2,FALSE),A5500)</f>
        <v>23350</v>
      </c>
      <c r="C5500" t="s">
        <v>875</v>
      </c>
      <c r="D5500" t="str">
        <f>IFERROR(VLOOKUP(C5500,APOYO!J:K,2,FALSE),C5500)</f>
        <v>LA APARTADA</v>
      </c>
      <c r="E5500" s="7">
        <v>2020</v>
      </c>
    </row>
    <row r="5501" spans="1:8" x14ac:dyDescent="0.25">
      <c r="A5501" t="str">
        <f>_xlfn.XLOOKUP(C5501, 'Códigos DANE Municipios'!$B$2:$B$1123, 'Códigos DANE Municipios'!$A$2:$A$1123, "No encontrado")</f>
        <v>41378</v>
      </c>
      <c r="B5501" t="str">
        <f>IFERROR(VLOOKUP(D5501,APOYO!K:L,2,FALSE),A5501)</f>
        <v>41378</v>
      </c>
      <c r="C5501" t="s">
        <v>1232</v>
      </c>
      <c r="D5501" t="str">
        <f>IFERROR(VLOOKUP(C5501,APOYO!J:K,2,FALSE),C5501)</f>
        <v>LA ARGENTINA</v>
      </c>
      <c r="E5501" s="7">
        <v>2020</v>
      </c>
      <c r="H5501">
        <v>3</v>
      </c>
    </row>
    <row r="5502" spans="1:8" x14ac:dyDescent="0.25">
      <c r="A5502" t="str">
        <f>_xlfn.XLOOKUP(C5502, 'Códigos DANE Municipios'!$B$2:$B$1123, 'Códigos DANE Municipios'!$A$2:$A$1123, "No encontrado")</f>
        <v>68377</v>
      </c>
      <c r="B5502" t="str">
        <f>IFERROR(VLOOKUP(D5502,APOYO!K:L,2,FALSE),A5502)</f>
        <v>68377</v>
      </c>
      <c r="C5502" t="s">
        <v>1735</v>
      </c>
      <c r="D5502" t="str">
        <f>IFERROR(VLOOKUP(C5502,APOYO!J:K,2,FALSE),C5502)</f>
        <v>LA BELLEZA</v>
      </c>
      <c r="E5502" s="7">
        <v>2020</v>
      </c>
    </row>
    <row r="5503" spans="1:8" x14ac:dyDescent="0.25">
      <c r="A5503" t="str">
        <f>_xlfn.XLOOKUP(C5503, 'Códigos DANE Municipios'!$B$2:$B$1123, 'Códigos DANE Municipios'!$A$2:$A$1123, "No encontrado")</f>
        <v>25377</v>
      </c>
      <c r="B5503" t="str">
        <f>IFERROR(VLOOKUP(D5503,APOYO!K:L,2,FALSE),A5503)</f>
        <v>25377</v>
      </c>
      <c r="C5503" t="s">
        <v>1008</v>
      </c>
      <c r="D5503" t="str">
        <f>IFERROR(VLOOKUP(C5503,APOYO!J:K,2,FALSE),C5503)</f>
        <v>LA CALERA</v>
      </c>
      <c r="E5503" s="7">
        <v>2020</v>
      </c>
      <c r="H5503">
        <v>176</v>
      </c>
    </row>
    <row r="5504" spans="1:8" x14ac:dyDescent="0.25">
      <c r="A5504" t="str">
        <f>_xlfn.XLOOKUP(C5504, 'Códigos DANE Municipios'!$B$2:$B$1123, 'Códigos DANE Municipios'!$A$2:$A$1123, "No encontrado")</f>
        <v>15380</v>
      </c>
      <c r="B5504" t="str">
        <f>IFERROR(VLOOKUP(D5504,APOYO!K:L,2,FALSE),A5504)</f>
        <v>15380</v>
      </c>
      <c r="C5504" t="s">
        <v>492</v>
      </c>
      <c r="D5504" t="str">
        <f>IFERROR(VLOOKUP(C5504,APOYO!J:K,2,FALSE),C5504)</f>
        <v>LA CAPILLA</v>
      </c>
      <c r="E5504" s="7">
        <v>2020</v>
      </c>
    </row>
    <row r="5505" spans="1:9" x14ac:dyDescent="0.25">
      <c r="A5505" t="str">
        <f>_xlfn.XLOOKUP(C5505, 'Códigos DANE Municipios'!$B$2:$B$1123, 'Códigos DANE Municipios'!$A$2:$A$1123, "No encontrado")</f>
        <v>05376</v>
      </c>
      <c r="B5505" t="str">
        <f>IFERROR(VLOOKUP(D5505,APOYO!K:L,2,FALSE),A5505)</f>
        <v>05376</v>
      </c>
      <c r="C5505" t="s">
        <v>136</v>
      </c>
      <c r="D5505" t="str">
        <f>IFERROR(VLOOKUP(C5505,APOYO!J:K,2,FALSE),C5505)</f>
        <v>LA CEJA</v>
      </c>
      <c r="E5505" s="7">
        <v>2020</v>
      </c>
      <c r="H5505">
        <v>313</v>
      </c>
    </row>
    <row r="5506" spans="1:9" x14ac:dyDescent="0.25">
      <c r="A5506" t="str">
        <f>_xlfn.XLOOKUP(C5506, 'Códigos DANE Municipios'!$B$2:$B$1123, 'Códigos DANE Municipios'!$A$2:$A$1123, "No encontrado")</f>
        <v>66383</v>
      </c>
      <c r="B5506" t="str">
        <f>IFERROR(VLOOKUP(D5506,APOYO!K:L,2,FALSE),A5506)</f>
        <v>66383</v>
      </c>
      <c r="C5506" t="s">
        <v>1639</v>
      </c>
      <c r="D5506" t="str">
        <f>IFERROR(VLOOKUP(C5506,APOYO!J:K,2,FALSE),C5506)</f>
        <v>LA CELIA</v>
      </c>
      <c r="E5506" s="7">
        <v>2020</v>
      </c>
      <c r="H5506">
        <v>1</v>
      </c>
    </row>
    <row r="5507" spans="1:9" x14ac:dyDescent="0.25">
      <c r="A5507" t="str">
        <f>_xlfn.XLOOKUP(C5507, 'Códigos DANE Municipios'!$B$2:$B$1123, 'Códigos DANE Municipios'!$A$2:$A$1123, "No encontrado")</f>
        <v>91405</v>
      </c>
      <c r="B5507" t="str">
        <f>IFERROR(VLOOKUP(D5507,APOYO!K:L,2,FALSE),A5507)</f>
        <v>91405</v>
      </c>
      <c r="C5507" t="s">
        <v>2112</v>
      </c>
      <c r="D5507" t="str">
        <f>IFERROR(VLOOKUP(C5507,APOYO!J:K,2,FALSE),C5507)</f>
        <v>LA CHORRERA</v>
      </c>
      <c r="E5507" s="7">
        <v>2020</v>
      </c>
      <c r="F5507">
        <v>499</v>
      </c>
      <c r="H5507">
        <v>4</v>
      </c>
    </row>
    <row r="5508" spans="1:9" x14ac:dyDescent="0.25">
      <c r="A5508" t="str">
        <f>_xlfn.XLOOKUP(C5508, 'Códigos DANE Municipios'!$B$2:$B$1123, 'Códigos DANE Municipios'!$A$2:$A$1123, "No encontrado")</f>
        <v>52378</v>
      </c>
      <c r="B5508" t="str">
        <f>IFERROR(VLOOKUP(D5508,APOYO!K:L,2,FALSE),A5508)</f>
        <v>52378</v>
      </c>
      <c r="C5508" t="s">
        <v>1464</v>
      </c>
      <c r="D5508" t="str">
        <f>IFERROR(VLOOKUP(C5508,APOYO!J:K,2,FALSE),C5508)</f>
        <v>LA CRUZ</v>
      </c>
      <c r="E5508" s="7">
        <v>2020</v>
      </c>
      <c r="H5508">
        <v>2</v>
      </c>
    </row>
    <row r="5509" spans="1:9" x14ac:dyDescent="0.25">
      <c r="A5509" t="str">
        <f>_xlfn.XLOOKUP(C5509, 'Códigos DANE Municipios'!$B$2:$B$1123, 'Códigos DANE Municipios'!$A$2:$A$1123, "No encontrado")</f>
        <v>76377</v>
      </c>
      <c r="B5509" t="str">
        <f>IFERROR(VLOOKUP(D5509,APOYO!K:L,2,FALSE),A5509)</f>
        <v>76377</v>
      </c>
      <c r="C5509" t="s">
        <v>1998</v>
      </c>
      <c r="D5509" t="str">
        <f>IFERROR(VLOOKUP(C5509,APOYO!J:K,2,FALSE),C5509)</f>
        <v>LA CUMBRE</v>
      </c>
      <c r="E5509" s="7">
        <v>2020</v>
      </c>
      <c r="H5509">
        <v>31</v>
      </c>
    </row>
    <row r="5510" spans="1:9" x14ac:dyDescent="0.25">
      <c r="A5510" t="str">
        <f>_xlfn.XLOOKUP(C5510, 'Códigos DANE Municipios'!$B$2:$B$1123, 'Códigos DANE Municipios'!$A$2:$A$1123, "No encontrado")</f>
        <v>17380</v>
      </c>
      <c r="B5510" t="str">
        <f>IFERROR(VLOOKUP(D5510,APOYO!K:L,2,FALSE),A5510)</f>
        <v>17380</v>
      </c>
      <c r="C5510" t="s">
        <v>658</v>
      </c>
      <c r="D5510" t="str">
        <f>IFERROR(VLOOKUP(C5510,APOYO!J:K,2,FALSE),C5510)</f>
        <v>LA DORADA</v>
      </c>
      <c r="E5510" s="7">
        <v>2020</v>
      </c>
      <c r="H5510">
        <v>54</v>
      </c>
    </row>
    <row r="5511" spans="1:9" x14ac:dyDescent="0.25">
      <c r="A5511" t="str">
        <f>_xlfn.XLOOKUP(C5511, 'Códigos DANE Municipios'!$B$2:$B$1123, 'Códigos DANE Municipios'!$A$2:$A$1123, "No encontrado")</f>
        <v>05380</v>
      </c>
      <c r="B5511" t="str">
        <f>IFERROR(VLOOKUP(D5511,APOYO!K:L,2,FALSE),A5511)</f>
        <v>05380</v>
      </c>
      <c r="C5511" t="s">
        <v>138</v>
      </c>
      <c r="D5511" t="str">
        <f>IFERROR(VLOOKUP(C5511,APOYO!J:K,2,FALSE),C5511)</f>
        <v>LA ESTRELLA</v>
      </c>
      <c r="E5511" s="7">
        <v>2020</v>
      </c>
      <c r="H5511">
        <v>199</v>
      </c>
    </row>
    <row r="5512" spans="1:9" x14ac:dyDescent="0.25">
      <c r="A5512" t="str">
        <f>_xlfn.XLOOKUP(C5512, 'Códigos DANE Municipios'!$B$2:$B$1123, 'Códigos DANE Municipios'!$A$2:$A$1123, "No encontrado")</f>
        <v>52381</v>
      </c>
      <c r="B5512" t="str">
        <f>IFERROR(VLOOKUP(D5512,APOYO!K:L,2,FALSE),A5512)</f>
        <v>52381</v>
      </c>
      <c r="C5512" t="s">
        <v>1466</v>
      </c>
      <c r="D5512" t="str">
        <f>IFERROR(VLOOKUP(C5512,APOYO!J:K,2,FALSE),C5512)</f>
        <v>LA FLORIDA</v>
      </c>
      <c r="E5512" s="7">
        <v>2020</v>
      </c>
    </row>
    <row r="5513" spans="1:9" x14ac:dyDescent="0.25">
      <c r="A5513" t="str">
        <f>_xlfn.XLOOKUP(C5513, 'Códigos DANE Municipios'!$B$2:$B$1123, 'Códigos DANE Municipios'!$A$2:$A$1123, "No encontrado")</f>
        <v>20383</v>
      </c>
      <c r="B5513" t="str">
        <f>IFERROR(VLOOKUP(D5513,APOYO!K:L,2,FALSE),A5513)</f>
        <v>20383</v>
      </c>
      <c r="C5513" t="s">
        <v>834</v>
      </c>
      <c r="D5513" t="str">
        <f>IFERROR(VLOOKUP(C5513,APOYO!J:K,2,FALSE),C5513)</f>
        <v>LA GLORIA</v>
      </c>
      <c r="E5513" s="7">
        <v>2020</v>
      </c>
      <c r="H5513">
        <v>2</v>
      </c>
    </row>
    <row r="5514" spans="1:9" x14ac:dyDescent="0.25">
      <c r="A5514" t="str">
        <f>_xlfn.XLOOKUP(C5514, 'Códigos DANE Municipios'!$B$2:$B$1123, 'Códigos DANE Municipios'!$A$2:$A$1123, "No encontrado")</f>
        <v>20400</v>
      </c>
      <c r="B5514" t="str">
        <f>IFERROR(VLOOKUP(D5514,APOYO!K:L,2,FALSE),A5514)</f>
        <v>20400</v>
      </c>
      <c r="C5514" t="s">
        <v>836</v>
      </c>
      <c r="D5514" t="str">
        <f>IFERROR(VLOOKUP(C5514,APOYO!J:K,2,FALSE),C5514)</f>
        <v>LA JAGUA DE IBIRICO</v>
      </c>
      <c r="E5514" s="7">
        <v>2020</v>
      </c>
      <c r="F5514">
        <v>51</v>
      </c>
      <c r="H5514">
        <v>240</v>
      </c>
    </row>
    <row r="5515" spans="1:9" x14ac:dyDescent="0.25">
      <c r="A5515" t="str">
        <f>_xlfn.XLOOKUP(C5515, 'Códigos DANE Municipios'!$B$2:$B$1123, 'Códigos DANE Municipios'!$A$2:$A$1123, "No encontrado")</f>
        <v>50350</v>
      </c>
      <c r="B5515" t="str">
        <f>IFERROR(VLOOKUP(D5515,APOYO!K:L,2,FALSE),A5515)</f>
        <v>50350</v>
      </c>
      <c r="C5515" t="s">
        <v>1386</v>
      </c>
      <c r="D5515" t="str">
        <f>IFERROR(VLOOKUP(C5515,APOYO!J:K,2,FALSE),C5515)</f>
        <v>LA MACARENA</v>
      </c>
      <c r="E5515" s="7">
        <v>2020</v>
      </c>
      <c r="F5515">
        <v>3219</v>
      </c>
      <c r="H5515">
        <v>6</v>
      </c>
      <c r="I5515">
        <v>0</v>
      </c>
    </row>
    <row r="5516" spans="1:9" x14ac:dyDescent="0.25">
      <c r="A5516" t="str">
        <f>_xlfn.XLOOKUP(C5516, 'Códigos DANE Municipios'!$B$2:$B$1123, 'Códigos DANE Municipios'!$A$2:$A$1123, "No encontrado")</f>
        <v>17388</v>
      </c>
      <c r="B5516" t="str">
        <f>IFERROR(VLOOKUP(D5516,APOYO!K:L,2,FALSE),A5516)</f>
        <v>17388</v>
      </c>
      <c r="C5516" t="s">
        <v>660</v>
      </c>
      <c r="D5516" t="str">
        <f>IFERROR(VLOOKUP(C5516,APOYO!J:K,2,FALSE),C5516)</f>
        <v>LA MERCED</v>
      </c>
      <c r="E5516" s="7">
        <v>2020</v>
      </c>
      <c r="H5516">
        <v>7</v>
      </c>
    </row>
    <row r="5517" spans="1:9" x14ac:dyDescent="0.25">
      <c r="A5517" t="str">
        <f>_xlfn.XLOOKUP(C5517, 'Códigos DANE Municipios'!$B$2:$B$1123, 'Códigos DANE Municipios'!$A$2:$A$1123, "No encontrado")</f>
        <v>25386</v>
      </c>
      <c r="B5517" t="str">
        <f>IFERROR(VLOOKUP(D5517,APOYO!K:L,2,FALSE),A5517)</f>
        <v>25386</v>
      </c>
      <c r="C5517" t="s">
        <v>1010</v>
      </c>
      <c r="D5517" t="str">
        <f>IFERROR(VLOOKUP(C5517,APOYO!J:K,2,FALSE),C5517)</f>
        <v>LA MESA</v>
      </c>
      <c r="E5517" s="7">
        <v>2020</v>
      </c>
      <c r="H5517">
        <v>88</v>
      </c>
    </row>
    <row r="5518" spans="1:9" x14ac:dyDescent="0.25">
      <c r="A5518" t="str">
        <f>_xlfn.XLOOKUP(C5518, 'Códigos DANE Municipios'!$B$2:$B$1123, 'Códigos DANE Municipios'!$A$2:$A$1123, "No encontrado")</f>
        <v>18410</v>
      </c>
      <c r="B5518" t="str">
        <f>IFERROR(VLOOKUP(D5518,APOYO!K:L,2,FALSE),A5518)</f>
        <v>18410</v>
      </c>
      <c r="C5518" t="s">
        <v>712</v>
      </c>
      <c r="D5518" t="str">
        <f>IFERROR(VLOOKUP(C5518,APOYO!J:K,2,FALSE),C5518)</f>
        <v>LA MONTAÑITA</v>
      </c>
      <c r="E5518" s="7">
        <v>2020</v>
      </c>
    </row>
    <row r="5519" spans="1:9" x14ac:dyDescent="0.25">
      <c r="A5519" t="str">
        <f>_xlfn.XLOOKUP(C5519, 'Códigos DANE Municipios'!$B$2:$B$1123, 'Códigos DANE Municipios'!$A$2:$A$1123, "No encontrado")</f>
        <v>20621</v>
      </c>
      <c r="B5519" t="str">
        <f>IFERROR(VLOOKUP(D5519,APOYO!K:L,2,FALSE),A5519)</f>
        <v>20621</v>
      </c>
      <c r="C5519" t="s">
        <v>848</v>
      </c>
      <c r="D5519" t="str">
        <f>IFERROR(VLOOKUP(C5519,APOYO!J:K,2,FALSE),C5519)</f>
        <v>LA PAZ</v>
      </c>
      <c r="E5519" s="7">
        <v>2020</v>
      </c>
      <c r="H5519">
        <v>1</v>
      </c>
    </row>
    <row r="5520" spans="1:9" x14ac:dyDescent="0.25">
      <c r="A5520" t="str">
        <f>_xlfn.XLOOKUP(C5520, 'Códigos DANE Municipios'!$B$2:$B$1123, 'Códigos DANE Municipios'!$A$2:$A$1123, "No encontrado")</f>
        <v>91407</v>
      </c>
      <c r="B5520" t="str">
        <f>IFERROR(VLOOKUP(D5520,APOYO!K:L,2,FALSE),A5520)</f>
        <v>91407</v>
      </c>
      <c r="C5520" t="s">
        <v>2114</v>
      </c>
      <c r="D5520" t="str">
        <f>IFERROR(VLOOKUP(C5520,APOYO!J:K,2,FALSE),C5520)</f>
        <v>LA PEDRERA</v>
      </c>
      <c r="E5520" s="7">
        <v>2020</v>
      </c>
      <c r="F5520">
        <v>1292</v>
      </c>
    </row>
    <row r="5521" spans="1:9" x14ac:dyDescent="0.25">
      <c r="A5521" t="str">
        <f>_xlfn.XLOOKUP(C5521, 'Códigos DANE Municipios'!$B$2:$B$1123, 'Códigos DANE Municipios'!$A$2:$A$1123, "No encontrado")</f>
        <v>25398</v>
      </c>
      <c r="B5521" t="str">
        <f>IFERROR(VLOOKUP(D5521,APOYO!K:L,2,FALSE),A5521)</f>
        <v>25398</v>
      </c>
      <c r="C5521" t="s">
        <v>1014</v>
      </c>
      <c r="D5521" t="str">
        <f>IFERROR(VLOOKUP(C5521,APOYO!J:K,2,FALSE),C5521)</f>
        <v>LA PEÑA</v>
      </c>
      <c r="E5521" s="7">
        <v>2020</v>
      </c>
    </row>
    <row r="5522" spans="1:9" x14ac:dyDescent="0.25">
      <c r="A5522" t="str">
        <f>_xlfn.XLOOKUP(C5522, 'Códigos DANE Municipios'!$B$2:$B$1123, 'Códigos DANE Municipios'!$A$2:$A$1123, "No encontrado")</f>
        <v>05390</v>
      </c>
      <c r="B5522" t="str">
        <f>IFERROR(VLOOKUP(D5522,APOYO!K:L,2,FALSE),A5522)</f>
        <v>05390</v>
      </c>
      <c r="C5522" t="s">
        <v>140</v>
      </c>
      <c r="D5522" t="str">
        <f>IFERROR(VLOOKUP(C5522,APOYO!J:K,2,FALSE),C5522)</f>
        <v>LA PINTADA</v>
      </c>
      <c r="E5522" s="7">
        <v>2020</v>
      </c>
      <c r="H5522">
        <v>5</v>
      </c>
    </row>
    <row r="5523" spans="1:9" x14ac:dyDescent="0.25">
      <c r="A5523" t="str">
        <f>_xlfn.XLOOKUP(C5523, 'Códigos DANE Municipios'!$B$2:$B$1123, 'Códigos DANE Municipios'!$A$2:$A$1123, "No encontrado")</f>
        <v>41396</v>
      </c>
      <c r="B5523" t="str">
        <f>IFERROR(VLOOKUP(D5523,APOYO!K:L,2,FALSE),A5523)</f>
        <v>41396</v>
      </c>
      <c r="C5523" t="s">
        <v>1234</v>
      </c>
      <c r="D5523" t="str">
        <f>IFERROR(VLOOKUP(C5523,APOYO!J:K,2,FALSE),C5523)</f>
        <v>LA PLATA</v>
      </c>
      <c r="E5523" s="7">
        <v>2020</v>
      </c>
      <c r="H5523">
        <v>23</v>
      </c>
    </row>
    <row r="5524" spans="1:9" x14ac:dyDescent="0.25">
      <c r="A5524" t="str">
        <f>_xlfn.XLOOKUP(C5524, 'Códigos DANE Municipios'!$B$2:$B$1123, 'Códigos DANE Municipios'!$A$2:$A$1123, "No encontrado")</f>
        <v>54398</v>
      </c>
      <c r="B5524" t="str">
        <f>IFERROR(VLOOKUP(D5524,APOYO!K:L,2,FALSE),A5524)</f>
        <v>54398</v>
      </c>
      <c r="C5524" t="s">
        <v>1569</v>
      </c>
      <c r="D5524" t="str">
        <f>IFERROR(VLOOKUP(C5524,APOYO!J:K,2,FALSE),C5524)</f>
        <v>LA PLAYA</v>
      </c>
      <c r="E5524" s="7">
        <v>2020</v>
      </c>
      <c r="I5524">
        <v>0</v>
      </c>
    </row>
    <row r="5525" spans="1:9" x14ac:dyDescent="0.25">
      <c r="A5525" t="str">
        <f>_xlfn.XLOOKUP(C5525, 'Códigos DANE Municipios'!$B$2:$B$1123, 'Códigos DANE Municipios'!$A$2:$A$1123, "No encontrado")</f>
        <v>99524</v>
      </c>
      <c r="B5525" t="str">
        <f>IFERROR(VLOOKUP(D5525,APOYO!K:L,2,FALSE),A5525)</f>
        <v>99524</v>
      </c>
      <c r="C5525" t="s">
        <v>2165</v>
      </c>
      <c r="D5525" t="str">
        <f>IFERROR(VLOOKUP(C5525,APOYO!J:K,2,FALSE),C5525)</f>
        <v>LA PRIMAVERA</v>
      </c>
      <c r="E5525" s="7">
        <v>2020</v>
      </c>
      <c r="F5525">
        <v>1382</v>
      </c>
      <c r="H5525">
        <v>5</v>
      </c>
    </row>
    <row r="5526" spans="1:9" x14ac:dyDescent="0.25">
      <c r="A5526" t="str">
        <f>_xlfn.XLOOKUP(C5526, 'Códigos DANE Municipios'!$B$2:$B$1123, 'Códigos DANE Municipios'!$A$2:$A$1123, "No encontrado")</f>
        <v>19392</v>
      </c>
      <c r="B5526" t="str">
        <f>IFERROR(VLOOKUP(D5526,APOYO!K:L,2,FALSE),A5526)</f>
        <v>19392</v>
      </c>
      <c r="C5526" t="s">
        <v>759</v>
      </c>
      <c r="D5526" t="str">
        <f>IFERROR(VLOOKUP(C5526,APOYO!J:K,2,FALSE),C5526)</f>
        <v>LA SIERRA</v>
      </c>
      <c r="E5526" s="7">
        <v>2020</v>
      </c>
      <c r="H5526">
        <v>2</v>
      </c>
    </row>
    <row r="5527" spans="1:9" x14ac:dyDescent="0.25">
      <c r="A5527" t="str">
        <f>_xlfn.XLOOKUP(C5527, 'Códigos DANE Municipios'!$B$2:$B$1123, 'Códigos DANE Municipios'!$A$2:$A$1123, "No encontrado")</f>
        <v>63401</v>
      </c>
      <c r="B5527" t="str">
        <f>IFERROR(VLOOKUP(D5527,APOYO!K:L,2,FALSE),A5527)</f>
        <v>63401</v>
      </c>
      <c r="C5527" t="s">
        <v>1618</v>
      </c>
      <c r="D5527" t="str">
        <f>IFERROR(VLOOKUP(C5527,APOYO!J:K,2,FALSE),C5527)</f>
        <v>LA TEBAIDA</v>
      </c>
      <c r="E5527" s="7">
        <v>2020</v>
      </c>
      <c r="H5527">
        <v>90</v>
      </c>
    </row>
    <row r="5528" spans="1:9" x14ac:dyDescent="0.25">
      <c r="A5528" t="str">
        <f>_xlfn.XLOOKUP(C5528, 'Códigos DANE Municipios'!$B$2:$B$1123, 'Códigos DANE Municipios'!$A$2:$A$1123, "No encontrado")</f>
        <v>05400</v>
      </c>
      <c r="B5528" t="str">
        <f>IFERROR(VLOOKUP(D5528,APOYO!K:L,2,FALSE),A5528)</f>
        <v>05400</v>
      </c>
      <c r="C5528" t="s">
        <v>142</v>
      </c>
      <c r="D5528" t="str">
        <f>IFERROR(VLOOKUP(C5528,APOYO!J:K,2,FALSE),C5528)</f>
        <v>LA UNIÓN</v>
      </c>
      <c r="E5528" s="7">
        <v>2020</v>
      </c>
      <c r="H5528">
        <v>150</v>
      </c>
    </row>
    <row r="5529" spans="1:9" x14ac:dyDescent="0.25">
      <c r="A5529" t="str">
        <f>_xlfn.XLOOKUP(C5529, 'Códigos DANE Municipios'!$B$2:$B$1123, 'Códigos DANE Municipios'!$A$2:$A$1123, "No encontrado")</f>
        <v>50370</v>
      </c>
      <c r="B5529" t="str">
        <f>IFERROR(VLOOKUP(D5529,APOYO!K:L,2,FALSE),A5529)</f>
        <v>50370</v>
      </c>
      <c r="C5529" t="s">
        <v>1388</v>
      </c>
      <c r="D5529" t="str">
        <f>IFERROR(VLOOKUP(C5529,APOYO!J:K,2,FALSE),C5529)</f>
        <v>URIBE</v>
      </c>
      <c r="E5529" s="7">
        <v>2020</v>
      </c>
      <c r="F5529">
        <v>99</v>
      </c>
      <c r="H5529">
        <v>3</v>
      </c>
    </row>
    <row r="5530" spans="1:9" x14ac:dyDescent="0.25">
      <c r="A5530" t="str">
        <f>_xlfn.XLOOKUP(C5530, 'Códigos DANE Municipios'!$B$2:$B$1123, 'Códigos DANE Municipios'!$A$2:$A$1123, "No encontrado")</f>
        <v>19397</v>
      </c>
      <c r="B5530" t="str">
        <f>IFERROR(VLOOKUP(D5530,APOYO!K:L,2,FALSE),A5530)</f>
        <v>19397</v>
      </c>
      <c r="C5530" t="s">
        <v>761</v>
      </c>
      <c r="D5530" t="str">
        <f>IFERROR(VLOOKUP(C5530,APOYO!J:K,2,FALSE),C5530)</f>
        <v>LA VEGA</v>
      </c>
      <c r="E5530" s="7">
        <v>2020</v>
      </c>
      <c r="H5530">
        <v>35</v>
      </c>
    </row>
    <row r="5531" spans="1:9" x14ac:dyDescent="0.25">
      <c r="A5531" t="str">
        <f>_xlfn.XLOOKUP(C5531, 'Códigos DANE Municipios'!$B$2:$B$1123, 'Códigos DANE Municipios'!$A$2:$A$1123, "No encontrado")</f>
        <v>15401</v>
      </c>
      <c r="B5531" t="str">
        <f>IFERROR(VLOOKUP(D5531,APOYO!K:L,2,FALSE),A5531)</f>
        <v>15401</v>
      </c>
      <c r="C5531" t="s">
        <v>494</v>
      </c>
      <c r="D5531" t="str">
        <f>IFERROR(VLOOKUP(C5531,APOYO!J:K,2,FALSE),C5531)</f>
        <v>LA VICTORIA</v>
      </c>
      <c r="E5531" s="7">
        <v>2020</v>
      </c>
      <c r="H5531">
        <v>46</v>
      </c>
    </row>
    <row r="5532" spans="1:9" x14ac:dyDescent="0.25">
      <c r="A5532" t="str">
        <f>_xlfn.XLOOKUP(C5532, 'Códigos DANE Municipios'!$B$2:$B$1123, 'Códigos DANE Municipios'!$A$2:$A$1123, "No encontrado")</f>
        <v>66400</v>
      </c>
      <c r="B5532" t="str">
        <f>IFERROR(VLOOKUP(D5532,APOYO!K:L,2,FALSE),A5532)</f>
        <v>66400</v>
      </c>
      <c r="C5532" t="s">
        <v>1641</v>
      </c>
      <c r="D5532" t="str">
        <f>IFERROR(VLOOKUP(C5532,APOYO!J:K,2,FALSE),C5532)</f>
        <v>LA VIRGINIA</v>
      </c>
      <c r="E5532" s="7">
        <v>2020</v>
      </c>
      <c r="H5532">
        <v>73</v>
      </c>
    </row>
    <row r="5533" spans="1:9" x14ac:dyDescent="0.25">
      <c r="A5533" t="s">
        <v>1564</v>
      </c>
      <c r="B5533" t="s">
        <v>1564</v>
      </c>
      <c r="C5533" t="s">
        <v>1565</v>
      </c>
      <c r="D5533" t="str">
        <f>IFERROR(VLOOKUP(C5533,APOYO!J:K,2,FALSE),C5533)</f>
        <v>LABATECA</v>
      </c>
      <c r="E5533" s="7">
        <v>2020</v>
      </c>
      <c r="H5533">
        <v>2</v>
      </c>
    </row>
    <row r="5534" spans="1:9" x14ac:dyDescent="0.25">
      <c r="A5534" t="str">
        <f>_xlfn.XLOOKUP(C5534, 'Códigos DANE Municipios'!$B$2:$B$1123, 'Códigos DANE Municipios'!$A$2:$A$1123, "No encontrado")</f>
        <v>68385</v>
      </c>
      <c r="B5534" t="str">
        <f>IFERROR(VLOOKUP(D5534,APOYO!K:L,2,FALSE),A5534)</f>
        <v>68385</v>
      </c>
      <c r="C5534" t="s">
        <v>1737</v>
      </c>
      <c r="D5534" t="str">
        <f>IFERROR(VLOOKUP(C5534,APOYO!J:K,2,FALSE),C5534)</f>
        <v>LANDÁZURI</v>
      </c>
      <c r="E5534" s="7">
        <v>2020</v>
      </c>
      <c r="H5534">
        <v>4</v>
      </c>
    </row>
    <row r="5535" spans="1:9" x14ac:dyDescent="0.25">
      <c r="A5535" t="str">
        <f>_xlfn.XLOOKUP(C5535, 'Códigos DANE Municipios'!$B$2:$B$1123, 'Códigos DANE Municipios'!$A$2:$A$1123, "No encontrado")</f>
        <v>68406</v>
      </c>
      <c r="B5535" t="str">
        <f>IFERROR(VLOOKUP(D5535,APOYO!K:L,2,FALSE),A5535)</f>
        <v>68406</v>
      </c>
      <c r="C5535" t="s">
        <v>1740</v>
      </c>
      <c r="D5535" t="str">
        <f>IFERROR(VLOOKUP(C5535,APOYO!J:K,2,FALSE),C5535)</f>
        <v>LEBRIJA</v>
      </c>
      <c r="E5535" s="7">
        <v>2020</v>
      </c>
      <c r="H5535">
        <v>22</v>
      </c>
    </row>
    <row r="5536" spans="1:9" x14ac:dyDescent="0.25">
      <c r="A5536" t="str">
        <f>_xlfn.XLOOKUP(C5536, 'Códigos DANE Municipios'!$B$2:$B$1123, 'Códigos DANE Municipios'!$A$2:$A$1123, "No encontrado")</f>
        <v>50400</v>
      </c>
      <c r="B5536" t="str">
        <f>IFERROR(VLOOKUP(D5536,APOYO!K:L,2,FALSE),A5536)</f>
        <v>50400</v>
      </c>
      <c r="C5536" t="s">
        <v>1390</v>
      </c>
      <c r="D5536" t="str">
        <f>IFERROR(VLOOKUP(C5536,APOYO!J:K,2,FALSE),C5536)</f>
        <v>LEJANÍAS</v>
      </c>
      <c r="E5536" s="7">
        <v>2020</v>
      </c>
      <c r="H5536">
        <v>3</v>
      </c>
    </row>
    <row r="5537" spans="1:9" x14ac:dyDescent="0.25">
      <c r="A5537" t="str">
        <f>_xlfn.XLOOKUP(C5537, 'Códigos DANE Municipios'!$B$2:$B$1123, 'Códigos DANE Municipios'!$A$2:$A$1123, "No encontrado")</f>
        <v>25407</v>
      </c>
      <c r="B5537" t="str">
        <f>IFERROR(VLOOKUP(D5537,APOYO!K:L,2,FALSE),A5537)</f>
        <v>25407</v>
      </c>
      <c r="C5537" t="s">
        <v>1017</v>
      </c>
      <c r="D5537" t="str">
        <f>IFERROR(VLOOKUP(C5537,APOYO!J:K,2,FALSE),C5537)</f>
        <v>LENGUAZAQUE</v>
      </c>
      <c r="E5537" s="7">
        <v>2020</v>
      </c>
      <c r="H5537">
        <v>1</v>
      </c>
    </row>
    <row r="5538" spans="1:9" x14ac:dyDescent="0.25">
      <c r="A5538" t="str">
        <f>_xlfn.XLOOKUP(C5538, 'Códigos DANE Municipios'!$B$2:$B$1123, 'Códigos DANE Municipios'!$A$2:$A$1123, "No encontrado")</f>
        <v>73408</v>
      </c>
      <c r="B5538" t="str">
        <f>IFERROR(VLOOKUP(D5538,APOYO!K:L,2,FALSE),A5538)</f>
        <v>73408</v>
      </c>
      <c r="C5538" t="s">
        <v>1911</v>
      </c>
      <c r="D5538" t="str">
        <f>IFERROR(VLOOKUP(C5538,APOYO!J:K,2,FALSE),C5538)</f>
        <v>LÉRIDA</v>
      </c>
      <c r="E5538" s="7">
        <v>2020</v>
      </c>
      <c r="H5538">
        <v>6</v>
      </c>
    </row>
    <row r="5539" spans="1:9" x14ac:dyDescent="0.25">
      <c r="A5539" t="str">
        <f>_xlfn.XLOOKUP(C5539, 'Códigos DANE Municipios'!$B$2:$B$1123, 'Códigos DANE Municipios'!$A$2:$A$1123, "No encontrado")</f>
        <v>91001</v>
      </c>
      <c r="B5539" t="str">
        <f>IFERROR(VLOOKUP(D5539,APOYO!K:L,2,FALSE),A5539)</f>
        <v>91001</v>
      </c>
      <c r="C5539" t="s">
        <v>2108</v>
      </c>
      <c r="D5539" t="str">
        <f>IFERROR(VLOOKUP(C5539,APOYO!J:K,2,FALSE),C5539)</f>
        <v>LETICIA</v>
      </c>
      <c r="E5539" s="7">
        <v>2020</v>
      </c>
      <c r="F5539">
        <v>53152</v>
      </c>
      <c r="G5539">
        <v>126</v>
      </c>
      <c r="H5539">
        <v>1615</v>
      </c>
      <c r="I5539">
        <v>0</v>
      </c>
    </row>
    <row r="5540" spans="1:9" x14ac:dyDescent="0.25">
      <c r="A5540" t="str">
        <f>_xlfn.XLOOKUP(C5540, 'Códigos DANE Municipios'!$B$2:$B$1123, 'Códigos DANE Municipios'!$A$2:$A$1123, "No encontrado")</f>
        <v>73411</v>
      </c>
      <c r="B5540" t="str">
        <f>IFERROR(VLOOKUP(D5540,APOYO!K:L,2,FALSE),A5540)</f>
        <v>73411</v>
      </c>
      <c r="C5540" t="s">
        <v>1913</v>
      </c>
      <c r="D5540" t="str">
        <f>IFERROR(VLOOKUP(C5540,APOYO!J:K,2,FALSE),C5540)</f>
        <v>LÍBANO</v>
      </c>
      <c r="E5540" s="7">
        <v>2020</v>
      </c>
      <c r="H5540">
        <v>39</v>
      </c>
    </row>
    <row r="5541" spans="1:9" x14ac:dyDescent="0.25">
      <c r="A5541" t="str">
        <f>_xlfn.XLOOKUP(C5541, 'Códigos DANE Municipios'!$B$2:$B$1123, 'Códigos DANE Municipios'!$A$2:$A$1123, "No encontrado")</f>
        <v>52411</v>
      </c>
      <c r="B5541" t="str">
        <f>IFERROR(VLOOKUP(D5541,APOYO!K:L,2,FALSE),A5541)</f>
        <v>52411</v>
      </c>
      <c r="C5541" t="s">
        <v>1475</v>
      </c>
      <c r="D5541" t="str">
        <f>IFERROR(VLOOKUP(C5541,APOYO!J:K,2,FALSE),C5541)</f>
        <v>LINARES</v>
      </c>
      <c r="E5541" s="7">
        <v>2020</v>
      </c>
    </row>
    <row r="5542" spans="1:9" x14ac:dyDescent="0.25">
      <c r="A5542" t="str">
        <f>_xlfn.XLOOKUP(C5542, 'Códigos DANE Municipios'!$B$2:$B$1123, 'Códigos DANE Municipios'!$A$2:$A$1123, "No encontrado")</f>
        <v>27413</v>
      </c>
      <c r="B5542" t="str">
        <f>IFERROR(VLOOKUP(D5542,APOYO!K:L,2,FALSE),A5542)</f>
        <v>27413</v>
      </c>
      <c r="C5542" t="s">
        <v>1174</v>
      </c>
      <c r="D5542" t="str">
        <f>IFERROR(VLOOKUP(C5542,APOYO!J:K,2,FALSE),C5542)</f>
        <v>LLORÓ</v>
      </c>
      <c r="E5542" s="7">
        <v>2020</v>
      </c>
    </row>
    <row r="5543" spans="1:9" x14ac:dyDescent="0.25">
      <c r="A5543" t="str">
        <f>_xlfn.XLOOKUP(C5543, 'Códigos DANE Municipios'!$B$2:$B$1123, 'Códigos DANE Municipios'!$A$2:$A$1123, "No encontrado")</f>
        <v>05411</v>
      </c>
      <c r="B5543" t="str">
        <f>IFERROR(VLOOKUP(D5543,APOYO!K:L,2,FALSE),A5543)</f>
        <v>05411</v>
      </c>
      <c r="C5543" t="s">
        <v>144</v>
      </c>
      <c r="D5543" t="str">
        <f>IFERROR(VLOOKUP(C5543,APOYO!J:K,2,FALSE),C5543)</f>
        <v>LIBORINA</v>
      </c>
      <c r="E5543" s="7">
        <v>2020</v>
      </c>
      <c r="H5543">
        <v>1</v>
      </c>
    </row>
    <row r="5544" spans="1:9" x14ac:dyDescent="0.25">
      <c r="A5544" t="str">
        <f>_xlfn.XLOOKUP(C5544, 'Códigos DANE Municipios'!$B$2:$B$1123, 'Códigos DANE Municipios'!$A$2:$A$1123, "No encontrado")</f>
        <v>23417</v>
      </c>
      <c r="B5544" t="str">
        <f>IFERROR(VLOOKUP(D5544,APOYO!K:L,2,FALSE),A5544)</f>
        <v>23417</v>
      </c>
      <c r="C5544" t="s">
        <v>877</v>
      </c>
      <c r="D5544" t="str">
        <f>IFERROR(VLOOKUP(C5544,APOYO!J:K,2,FALSE),C5544)</f>
        <v>LORICA</v>
      </c>
      <c r="E5544" s="7">
        <v>2020</v>
      </c>
      <c r="F5544">
        <v>1</v>
      </c>
      <c r="H5544">
        <v>6</v>
      </c>
    </row>
    <row r="5545" spans="1:9" x14ac:dyDescent="0.25">
      <c r="A5545" t="str">
        <f>_xlfn.XLOOKUP(C5545, 'Códigos DANE Municipios'!$B$2:$B$1123, 'Códigos DANE Municipios'!$A$2:$A$1123, "No encontrado")</f>
        <v>23419</v>
      </c>
      <c r="B5545" t="str">
        <f>IFERROR(VLOOKUP(D5545,APOYO!K:L,2,FALSE),A5545)</f>
        <v>23419</v>
      </c>
      <c r="C5545" t="s">
        <v>879</v>
      </c>
      <c r="D5545" t="str">
        <f>IFERROR(VLOOKUP(C5545,APOYO!J:K,2,FALSE),C5545)</f>
        <v>LOS CÓRDOBAS</v>
      </c>
      <c r="E5545" s="7">
        <v>2020</v>
      </c>
      <c r="H5545">
        <v>6</v>
      </c>
    </row>
    <row r="5546" spans="1:9" x14ac:dyDescent="0.25">
      <c r="A5546" t="str">
        <f>_xlfn.XLOOKUP(C5546, 'Códigos DANE Municipios'!$B$2:$B$1123, 'Códigos DANE Municipios'!$A$2:$A$1123, "No encontrado")</f>
        <v>52418</v>
      </c>
      <c r="B5546" t="str">
        <f>IFERROR(VLOOKUP(D5546,APOYO!K:L,2,FALSE),A5546)</f>
        <v>52418</v>
      </c>
      <c r="C5546" t="s">
        <v>1477</v>
      </c>
      <c r="D5546" t="str">
        <f>IFERROR(VLOOKUP(C5546,APOYO!J:K,2,FALSE),C5546)</f>
        <v>LOS ANDES</v>
      </c>
      <c r="E5546" s="7">
        <v>2020</v>
      </c>
    </row>
    <row r="5547" spans="1:9" x14ac:dyDescent="0.25">
      <c r="A5547" t="str">
        <f>_xlfn.XLOOKUP(C5547, 'Códigos DANE Municipios'!$B$2:$B$1123, 'Códigos DANE Municipios'!$A$2:$A$1123, "No encontrado")</f>
        <v>70418</v>
      </c>
      <c r="B5547" t="str">
        <f>IFERROR(VLOOKUP(D5547,APOYO!K:L,2,FALSE),A5547)</f>
        <v>70418</v>
      </c>
      <c r="C5547" t="s">
        <v>1836</v>
      </c>
      <c r="D5547" t="str">
        <f>IFERROR(VLOOKUP(C5547,APOYO!J:K,2,FALSE),C5547)</f>
        <v>LOS PALMITOS</v>
      </c>
      <c r="E5547" s="7">
        <v>2020</v>
      </c>
    </row>
    <row r="5548" spans="1:9" x14ac:dyDescent="0.25">
      <c r="A5548" t="str">
        <f>_xlfn.XLOOKUP(C5548, 'Códigos DANE Municipios'!$B$2:$B$1123, 'Códigos DANE Municipios'!$A$2:$A$1123, "No encontrado")</f>
        <v>54405</v>
      </c>
      <c r="B5548" t="str">
        <f>IFERROR(VLOOKUP(D5548,APOYO!K:L,2,FALSE),A5548)</f>
        <v>54405</v>
      </c>
      <c r="C5548" t="s">
        <v>1571</v>
      </c>
      <c r="D5548" t="str">
        <f>IFERROR(VLOOKUP(C5548,APOYO!J:K,2,FALSE),C5548)</f>
        <v>LOS PATIOS</v>
      </c>
      <c r="E5548" s="7">
        <v>2020</v>
      </c>
      <c r="H5548">
        <v>25</v>
      </c>
    </row>
    <row r="5549" spans="1:9" x14ac:dyDescent="0.25">
      <c r="A5549" t="str">
        <f>_xlfn.XLOOKUP(C5549, 'Códigos DANE Municipios'!$B$2:$B$1123, 'Códigos DANE Municipios'!$A$2:$A$1123, "No encontrado")</f>
        <v>68418</v>
      </c>
      <c r="B5549" t="str">
        <f>IFERROR(VLOOKUP(D5549,APOYO!K:L,2,FALSE),A5549)</f>
        <v>68418</v>
      </c>
      <c r="C5549" t="s">
        <v>1742</v>
      </c>
      <c r="D5549" t="str">
        <f>IFERROR(VLOOKUP(C5549,APOYO!J:K,2,FALSE),C5549)</f>
        <v>LOS SANTOS</v>
      </c>
      <c r="E5549" s="7">
        <v>2020</v>
      </c>
      <c r="H5549">
        <v>12</v>
      </c>
    </row>
    <row r="5550" spans="1:9" x14ac:dyDescent="0.25">
      <c r="A5550" t="str">
        <f>_xlfn.XLOOKUP(C5550, 'Códigos DANE Municipios'!$B$2:$B$1123, 'Códigos DANE Municipios'!$A$2:$A$1123, "No encontrado")</f>
        <v>08421</v>
      </c>
      <c r="B5550" t="str">
        <f>IFERROR(VLOOKUP(D5550,APOYO!K:L,2,FALSE),A5550)</f>
        <v>08421</v>
      </c>
      <c r="C5550" t="s">
        <v>274</v>
      </c>
      <c r="D5550" t="str">
        <f>IFERROR(VLOOKUP(C5550,APOYO!J:K,2,FALSE),C5550)</f>
        <v>LURUACO</v>
      </c>
      <c r="E5550" s="7">
        <v>2020</v>
      </c>
      <c r="H5550">
        <v>4</v>
      </c>
    </row>
    <row r="5551" spans="1:9" x14ac:dyDescent="0.25">
      <c r="A5551" t="str">
        <f>_xlfn.XLOOKUP(C5551, 'Códigos DANE Municipios'!$B$2:$B$1123, 'Códigos DANE Municipios'!$A$2:$A$1123, "No encontrado")</f>
        <v>15425</v>
      </c>
      <c r="B5551" t="str">
        <f>IFERROR(VLOOKUP(D5551,APOYO!K:L,2,FALSE),A5551)</f>
        <v>15425</v>
      </c>
      <c r="C5551" t="s">
        <v>500</v>
      </c>
      <c r="D5551" t="str">
        <f>IFERROR(VLOOKUP(C5551,APOYO!J:K,2,FALSE),C5551)</f>
        <v>MACANAL</v>
      </c>
      <c r="E5551" s="7">
        <v>2020</v>
      </c>
      <c r="H5551">
        <v>3</v>
      </c>
    </row>
    <row r="5552" spans="1:9" x14ac:dyDescent="0.25">
      <c r="A5552" t="str">
        <f>_xlfn.XLOOKUP(C5552, 'Códigos DANE Municipios'!$B$2:$B$1123, 'Códigos DANE Municipios'!$A$2:$A$1123, "No encontrado")</f>
        <v>05425</v>
      </c>
      <c r="B5552" t="str">
        <f>IFERROR(VLOOKUP(D5552,APOYO!K:L,2,FALSE),A5552)</f>
        <v>05425</v>
      </c>
      <c r="C5552" t="s">
        <v>146</v>
      </c>
      <c r="D5552" t="str">
        <f>IFERROR(VLOOKUP(C5552,APOYO!J:K,2,FALSE),C5552)</f>
        <v>MACEO</v>
      </c>
      <c r="E5552" s="7">
        <v>2020</v>
      </c>
      <c r="H5552">
        <v>3</v>
      </c>
    </row>
    <row r="5553" spans="1:8" x14ac:dyDescent="0.25">
      <c r="A5553" t="str">
        <f>_xlfn.XLOOKUP(C5553, 'Códigos DANE Municipios'!$B$2:$B$1123, 'Códigos DANE Municipios'!$A$2:$A$1123, "No encontrado")</f>
        <v>25426</v>
      </c>
      <c r="B5553" t="str">
        <f>IFERROR(VLOOKUP(D5553,APOYO!K:L,2,FALSE),A5553)</f>
        <v>25426</v>
      </c>
      <c r="C5553" t="s">
        <v>1019</v>
      </c>
      <c r="D5553" t="str">
        <f>IFERROR(VLOOKUP(C5553,APOYO!J:K,2,FALSE),C5553)</f>
        <v>MACHETÁ</v>
      </c>
      <c r="E5553" s="7">
        <v>2020</v>
      </c>
      <c r="H5553">
        <v>6</v>
      </c>
    </row>
    <row r="5554" spans="1:8" x14ac:dyDescent="0.25">
      <c r="A5554" t="str">
        <f>_xlfn.XLOOKUP(C5554, 'Códigos DANE Municipios'!$B$2:$B$1123, 'Códigos DANE Municipios'!$A$2:$A$1123, "No encontrado")</f>
        <v>25430</v>
      </c>
      <c r="B5554" t="str">
        <f>IFERROR(VLOOKUP(D5554,APOYO!K:L,2,FALSE),A5554)</f>
        <v>25430</v>
      </c>
      <c r="C5554" t="s">
        <v>1021</v>
      </c>
      <c r="D5554" t="str">
        <f>IFERROR(VLOOKUP(C5554,APOYO!J:K,2,FALSE),C5554)</f>
        <v>MADRID</v>
      </c>
      <c r="E5554" s="7">
        <v>2020</v>
      </c>
      <c r="H5554">
        <v>166</v>
      </c>
    </row>
    <row r="5555" spans="1:8" x14ac:dyDescent="0.25">
      <c r="A5555" t="str">
        <f>_xlfn.XLOOKUP(C5555, 'Códigos DANE Municipios'!$B$2:$B$1123, 'Códigos DANE Municipios'!$A$2:$A$1123, "No encontrado")</f>
        <v>13430</v>
      </c>
      <c r="B5555" t="str">
        <f>IFERROR(VLOOKUP(D5555,APOYO!K:L,2,FALSE),A5555)</f>
        <v>13430</v>
      </c>
      <c r="C5555" t="s">
        <v>341</v>
      </c>
      <c r="D5555" t="str">
        <f>IFERROR(VLOOKUP(C5555,APOYO!J:K,2,FALSE),C5555)</f>
        <v>MAGANGUÉ</v>
      </c>
      <c r="E5555" s="7">
        <v>2020</v>
      </c>
      <c r="F5555">
        <v>57</v>
      </c>
      <c r="H5555">
        <v>21</v>
      </c>
    </row>
    <row r="5556" spans="1:8" x14ac:dyDescent="0.25">
      <c r="A5556" t="str">
        <f>_xlfn.XLOOKUP(C5556, 'Códigos DANE Municipios'!$B$2:$B$1123, 'Códigos DANE Municipios'!$A$2:$A$1123, "No encontrado")</f>
        <v>13433</v>
      </c>
      <c r="B5556" t="str">
        <f>IFERROR(VLOOKUP(D5556,APOYO!K:L,2,FALSE),A5556)</f>
        <v>13433</v>
      </c>
      <c r="C5556" t="s">
        <v>343</v>
      </c>
      <c r="D5556" t="str">
        <f>IFERROR(VLOOKUP(C5556,APOYO!J:K,2,FALSE),C5556)</f>
        <v>MAHATES</v>
      </c>
      <c r="E5556" s="7">
        <v>2020</v>
      </c>
      <c r="H5556">
        <v>2</v>
      </c>
    </row>
    <row r="5557" spans="1:8" x14ac:dyDescent="0.25">
      <c r="A5557" t="str">
        <f>_xlfn.XLOOKUP(C5557, 'Códigos DANE Municipios'!$B$2:$B$1123, 'Códigos DANE Municipios'!$A$2:$A$1123, "No encontrado")</f>
        <v>44430</v>
      </c>
      <c r="B5557" t="str">
        <f>IFERROR(VLOOKUP(D5557,APOYO!K:L,2,FALSE),A5557)</f>
        <v>44430</v>
      </c>
      <c r="C5557" t="s">
        <v>1289</v>
      </c>
      <c r="D5557" t="str">
        <f>IFERROR(VLOOKUP(C5557,APOYO!J:K,2,FALSE),C5557)</f>
        <v>MAICAO</v>
      </c>
      <c r="E5557" s="7">
        <v>2020</v>
      </c>
      <c r="F5557">
        <v>6221</v>
      </c>
      <c r="H5557">
        <v>238</v>
      </c>
    </row>
    <row r="5558" spans="1:8" x14ac:dyDescent="0.25">
      <c r="A5558" t="str">
        <f>_xlfn.XLOOKUP(C5558, 'Códigos DANE Municipios'!$B$2:$B$1123, 'Códigos DANE Municipios'!$A$2:$A$1123, "No encontrado")</f>
        <v>70429</v>
      </c>
      <c r="B5558" t="str">
        <f>IFERROR(VLOOKUP(D5558,APOYO!K:L,2,FALSE),A5558)</f>
        <v>70429</v>
      </c>
      <c r="C5558" t="s">
        <v>1838</v>
      </c>
      <c r="D5558" t="str">
        <f>IFERROR(VLOOKUP(C5558,APOYO!J:K,2,FALSE),C5558)</f>
        <v>MAJAGUAL</v>
      </c>
      <c r="E5558" s="7">
        <v>2020</v>
      </c>
      <c r="H5558">
        <v>1</v>
      </c>
    </row>
    <row r="5559" spans="1:8" x14ac:dyDescent="0.25">
      <c r="A5559" t="str">
        <f>_xlfn.XLOOKUP(C5559, 'Códigos DANE Municipios'!$B$2:$B$1123, 'Códigos DANE Municipios'!$A$2:$A$1123, "No encontrado")</f>
        <v>68432</v>
      </c>
      <c r="B5559" t="str">
        <f>IFERROR(VLOOKUP(D5559,APOYO!K:L,2,FALSE),A5559)</f>
        <v>68432</v>
      </c>
      <c r="C5559" t="s">
        <v>1746</v>
      </c>
      <c r="D5559" t="str">
        <f>IFERROR(VLOOKUP(C5559,APOYO!J:K,2,FALSE),C5559)</f>
        <v>MÁLAGA</v>
      </c>
      <c r="E5559" s="7">
        <v>2020</v>
      </c>
      <c r="F5559">
        <v>231</v>
      </c>
      <c r="H5559">
        <v>7</v>
      </c>
    </row>
    <row r="5560" spans="1:8" x14ac:dyDescent="0.25">
      <c r="A5560" t="str">
        <f>_xlfn.XLOOKUP(C5560, 'Códigos DANE Municipios'!$B$2:$B$1123, 'Códigos DANE Municipios'!$A$2:$A$1123, "No encontrado")</f>
        <v>08433</v>
      </c>
      <c r="B5560" t="str">
        <f>IFERROR(VLOOKUP(D5560,APOYO!K:L,2,FALSE),A5560)</f>
        <v>08433</v>
      </c>
      <c r="C5560" t="s">
        <v>276</v>
      </c>
      <c r="D5560" t="str">
        <f>IFERROR(VLOOKUP(C5560,APOYO!J:K,2,FALSE),C5560)</f>
        <v>MALAMBO</v>
      </c>
      <c r="E5560" s="7">
        <v>2020</v>
      </c>
      <c r="H5560">
        <v>35</v>
      </c>
    </row>
    <row r="5561" spans="1:8" x14ac:dyDescent="0.25">
      <c r="A5561" t="str">
        <f>_xlfn.XLOOKUP(C5561, 'Códigos DANE Municipios'!$B$2:$B$1123, 'Códigos DANE Municipios'!$A$2:$A$1123, "No encontrado")</f>
        <v>44560</v>
      </c>
      <c r="B5561" t="str">
        <f>IFERROR(VLOOKUP(D5561,APOYO!K:L,2,FALSE),A5561)</f>
        <v>44560</v>
      </c>
      <c r="C5561" t="s">
        <v>1291</v>
      </c>
      <c r="D5561" t="str">
        <f>IFERROR(VLOOKUP(C5561,APOYO!J:K,2,FALSE),C5561)</f>
        <v>MANAURE</v>
      </c>
      <c r="E5561" s="7">
        <v>2020</v>
      </c>
      <c r="H5561">
        <v>3</v>
      </c>
    </row>
    <row r="5562" spans="1:8" x14ac:dyDescent="0.25">
      <c r="A5562" t="str">
        <f>_xlfn.XLOOKUP(C5562, 'Códigos DANE Municipios'!$B$2:$B$1123, 'Códigos DANE Municipios'!$A$2:$A$1123, "No encontrado")</f>
        <v>20443</v>
      </c>
      <c r="B5562" t="str">
        <f>IFERROR(VLOOKUP(D5562,APOYO!K:L,2,FALSE),A5562)</f>
        <v>20443</v>
      </c>
      <c r="C5562" t="s">
        <v>838</v>
      </c>
      <c r="D5562" t="str">
        <f>IFERROR(VLOOKUP(C5562,APOYO!J:K,2,FALSE),C5562)</f>
        <v>MANAURE BALCÓN DEL CESAR</v>
      </c>
      <c r="E5562" s="7">
        <v>2020</v>
      </c>
      <c r="H5562">
        <v>4</v>
      </c>
    </row>
    <row r="5563" spans="1:8" x14ac:dyDescent="0.25">
      <c r="A5563" t="str">
        <f>_xlfn.XLOOKUP(C5563, 'Códigos DANE Municipios'!$B$2:$B$1123, 'Códigos DANE Municipios'!$A$2:$A$1123, "No encontrado")</f>
        <v>85139</v>
      </c>
      <c r="B5563" t="str">
        <f>IFERROR(VLOOKUP(D5563,APOYO!K:L,2,FALSE),A5563)</f>
        <v>85139</v>
      </c>
      <c r="C5563" t="s">
        <v>2058</v>
      </c>
      <c r="D5563" t="str">
        <f>IFERROR(VLOOKUP(C5563,APOYO!J:K,2,FALSE),C5563)</f>
        <v>MANÍ</v>
      </c>
      <c r="E5563" s="7">
        <v>2020</v>
      </c>
      <c r="F5563">
        <v>59</v>
      </c>
      <c r="H5563">
        <v>5</v>
      </c>
    </row>
    <row r="5564" spans="1:8" x14ac:dyDescent="0.25">
      <c r="A5564" t="str">
        <f>_xlfn.XLOOKUP(C5564, 'Códigos DANE Municipios'!$B$2:$B$1123, 'Códigos DANE Municipios'!$A$2:$A$1123, "No encontrado")</f>
        <v>17001</v>
      </c>
      <c r="B5564" t="str">
        <f>IFERROR(VLOOKUP(D5564,APOYO!K:L,2,FALSE),A5564)</f>
        <v>17001</v>
      </c>
      <c r="C5564" t="s">
        <v>644</v>
      </c>
      <c r="D5564" t="str">
        <f>IFERROR(VLOOKUP(C5564,APOYO!J:K,2,FALSE),C5564)</f>
        <v>MANIZALES</v>
      </c>
      <c r="E5564" s="7">
        <v>2020</v>
      </c>
      <c r="F5564">
        <v>33383</v>
      </c>
      <c r="H5564">
        <v>2563</v>
      </c>
    </row>
    <row r="5565" spans="1:8" x14ac:dyDescent="0.25">
      <c r="A5565" t="str">
        <f>_xlfn.XLOOKUP(C5565, 'Códigos DANE Municipios'!$B$2:$B$1123, 'Códigos DANE Municipios'!$A$2:$A$1123, "No encontrado")</f>
        <v>25436</v>
      </c>
      <c r="B5565" t="str">
        <f>IFERROR(VLOOKUP(D5565,APOYO!K:L,2,FALSE),A5565)</f>
        <v>25436</v>
      </c>
      <c r="C5565" t="s">
        <v>1023</v>
      </c>
      <c r="D5565" t="str">
        <f>IFERROR(VLOOKUP(C5565,APOYO!J:K,2,FALSE),C5565)</f>
        <v>MANTA</v>
      </c>
      <c r="E5565" s="7">
        <v>2020</v>
      </c>
      <c r="H5565">
        <v>1</v>
      </c>
    </row>
    <row r="5566" spans="1:8" x14ac:dyDescent="0.25">
      <c r="A5566" t="str">
        <f>_xlfn.XLOOKUP(C5566, 'Códigos DANE Municipios'!$B$2:$B$1123, 'Códigos DANE Municipios'!$A$2:$A$1123, "No encontrado")</f>
        <v>17433</v>
      </c>
      <c r="B5566" t="str">
        <f>IFERROR(VLOOKUP(D5566,APOYO!K:L,2,FALSE),A5566)</f>
        <v>17433</v>
      </c>
      <c r="C5566" t="s">
        <v>662</v>
      </c>
      <c r="D5566" t="str">
        <f>IFERROR(VLOOKUP(C5566,APOYO!J:K,2,FALSE),C5566)</f>
        <v>MANZANARES</v>
      </c>
      <c r="E5566" s="7">
        <v>2020</v>
      </c>
      <c r="H5566">
        <v>7</v>
      </c>
    </row>
    <row r="5567" spans="1:8" x14ac:dyDescent="0.25">
      <c r="A5567" t="str">
        <f>_xlfn.XLOOKUP(C5567, 'Códigos DANE Municipios'!$B$2:$B$1123, 'Códigos DANE Municipios'!$A$2:$A$1123, "No encontrado")</f>
        <v>50325</v>
      </c>
      <c r="B5567" t="str">
        <f>IFERROR(VLOOKUP(D5567,APOYO!K:L,2,FALSE),A5567)</f>
        <v>50325</v>
      </c>
      <c r="C5567" t="s">
        <v>1382</v>
      </c>
      <c r="D5567" t="str">
        <f>IFERROR(VLOOKUP(C5567,APOYO!J:K,2,FALSE),C5567)</f>
        <v>MAPIRIPÁN</v>
      </c>
      <c r="E5567" s="7">
        <v>2020</v>
      </c>
      <c r="F5567">
        <v>434</v>
      </c>
      <c r="H5567">
        <v>1</v>
      </c>
    </row>
    <row r="5568" spans="1:8" x14ac:dyDescent="0.25">
      <c r="A5568" t="str">
        <f>_xlfn.XLOOKUP(C5568, 'Códigos DANE Municipios'!$B$2:$B$1123, 'Códigos DANE Municipios'!$A$2:$A$1123, "No encontrado")</f>
        <v>05440</v>
      </c>
      <c r="B5568" t="str">
        <f>IFERROR(VLOOKUP(D5568,APOYO!K:L,2,FALSE),A5568)</f>
        <v>05440</v>
      </c>
      <c r="C5568" t="s">
        <v>148</v>
      </c>
      <c r="D5568" t="str">
        <f>IFERROR(VLOOKUP(C5568,APOYO!J:K,2,FALSE),C5568)</f>
        <v>MARINILLA</v>
      </c>
      <c r="E5568" s="7">
        <v>2020</v>
      </c>
      <c r="H5568">
        <v>167</v>
      </c>
    </row>
    <row r="5569" spans="1:8" x14ac:dyDescent="0.25">
      <c r="A5569" t="str">
        <f>_xlfn.XLOOKUP(C5569, 'Códigos DANE Municipios'!$B$2:$B$1123, 'Códigos DANE Municipios'!$A$2:$A$1123, "No encontrado")</f>
        <v>73443</v>
      </c>
      <c r="B5569" t="str">
        <f>IFERROR(VLOOKUP(D5569,APOYO!K:L,2,FALSE),A5569)</f>
        <v>73443</v>
      </c>
      <c r="C5569" t="s">
        <v>1915</v>
      </c>
      <c r="D5569" t="str">
        <f>IFERROR(VLOOKUP(C5569,APOYO!J:K,2,FALSE),C5569)</f>
        <v>SAN SEBASTIÁN DE MARIQUITA</v>
      </c>
      <c r="E5569" s="7">
        <v>2020</v>
      </c>
      <c r="F5569">
        <v>60</v>
      </c>
      <c r="H5569">
        <v>29</v>
      </c>
    </row>
    <row r="5570" spans="1:8" x14ac:dyDescent="0.25">
      <c r="A5570" t="str">
        <f>_xlfn.XLOOKUP(C5570, 'Códigos DANE Municipios'!$B$2:$B$1123, 'Códigos DANE Municipios'!$A$2:$A$1123, "No encontrado")</f>
        <v>17442</v>
      </c>
      <c r="B5570" t="str">
        <f>IFERROR(VLOOKUP(D5570,APOYO!K:L,2,FALSE),A5570)</f>
        <v>17442</v>
      </c>
      <c r="C5570" t="s">
        <v>664</v>
      </c>
      <c r="D5570" t="str">
        <f>IFERROR(VLOOKUP(C5570,APOYO!J:K,2,FALSE),C5570)</f>
        <v>MARMATO</v>
      </c>
      <c r="E5570" s="7">
        <v>2020</v>
      </c>
      <c r="H5570">
        <v>10</v>
      </c>
    </row>
    <row r="5571" spans="1:8" x14ac:dyDescent="0.25">
      <c r="A5571" t="str">
        <f>_xlfn.XLOOKUP(C5571, 'Códigos DANE Municipios'!$B$2:$B$1123, 'Códigos DANE Municipios'!$A$2:$A$1123, "No encontrado")</f>
        <v>17444</v>
      </c>
      <c r="B5571" t="str">
        <f>IFERROR(VLOOKUP(D5571,APOYO!K:L,2,FALSE),A5571)</f>
        <v>17444</v>
      </c>
      <c r="C5571" t="s">
        <v>666</v>
      </c>
      <c r="D5571" t="str">
        <f>IFERROR(VLOOKUP(C5571,APOYO!J:K,2,FALSE),C5571)</f>
        <v>MARQUETALIA</v>
      </c>
      <c r="E5571" s="7">
        <v>2020</v>
      </c>
      <c r="H5571">
        <v>7</v>
      </c>
    </row>
    <row r="5572" spans="1:8" x14ac:dyDescent="0.25">
      <c r="A5572" t="str">
        <f>_xlfn.XLOOKUP(C5572, 'Códigos DANE Municipios'!$B$2:$B$1123, 'Códigos DANE Municipios'!$A$2:$A$1123, "No encontrado")</f>
        <v>66440</v>
      </c>
      <c r="B5572" t="str">
        <f>IFERROR(VLOOKUP(D5572,APOYO!K:L,2,FALSE),A5572)</f>
        <v>66440</v>
      </c>
      <c r="C5572" t="s">
        <v>1643</v>
      </c>
      <c r="D5572" t="str">
        <f>IFERROR(VLOOKUP(C5572,APOYO!J:K,2,FALSE),C5572)</f>
        <v>MARSELLA</v>
      </c>
      <c r="E5572" s="7">
        <v>2020</v>
      </c>
      <c r="H5572">
        <v>34</v>
      </c>
    </row>
    <row r="5573" spans="1:8" x14ac:dyDescent="0.25">
      <c r="A5573" t="str">
        <f>_xlfn.XLOOKUP(C5573, 'Códigos DANE Municipios'!$B$2:$B$1123, 'Códigos DANE Municipios'!$A$2:$A$1123, "No encontrado")</f>
        <v>17446</v>
      </c>
      <c r="B5573" t="str">
        <f>IFERROR(VLOOKUP(D5573,APOYO!K:L,2,FALSE),A5573)</f>
        <v>17446</v>
      </c>
      <c r="C5573" t="s">
        <v>668</v>
      </c>
      <c r="D5573" t="str">
        <f>IFERROR(VLOOKUP(C5573,APOYO!J:K,2,FALSE),C5573)</f>
        <v>MARULANDA</v>
      </c>
      <c r="E5573" s="7">
        <v>2020</v>
      </c>
    </row>
    <row r="5574" spans="1:8" x14ac:dyDescent="0.25">
      <c r="A5574" t="str">
        <f>_xlfn.XLOOKUP(C5574, 'Códigos DANE Municipios'!$B$2:$B$1123, 'Códigos DANE Municipios'!$A$2:$A$1123, "No encontrado")</f>
        <v>68444</v>
      </c>
      <c r="B5574" t="str">
        <f>IFERROR(VLOOKUP(D5574,APOYO!K:L,2,FALSE),A5574)</f>
        <v>68444</v>
      </c>
      <c r="C5574" t="s">
        <v>1748</v>
      </c>
      <c r="D5574" t="str">
        <f>IFERROR(VLOOKUP(C5574,APOYO!J:K,2,FALSE),C5574)</f>
        <v>MATANZA</v>
      </c>
      <c r="E5574" s="7">
        <v>2020</v>
      </c>
    </row>
    <row r="5575" spans="1:8" x14ac:dyDescent="0.25">
      <c r="A5575" t="str">
        <f>_xlfn.XLOOKUP(C5575, 'Códigos DANE Municipios'!$B$2:$B$1123, 'Códigos DANE Municipios'!$A$2:$A$1123, "No encontrado")</f>
        <v>05001</v>
      </c>
      <c r="B5575" t="str">
        <f>IFERROR(VLOOKUP(D5575,APOYO!K:L,2,FALSE),A5575)</f>
        <v>05001</v>
      </c>
      <c r="C5575" t="s">
        <v>12</v>
      </c>
      <c r="D5575" t="str">
        <f>IFERROR(VLOOKUP(C5575,APOYO!J:K,2,FALSE),C5575)</f>
        <v>MEDELLÍN</v>
      </c>
      <c r="E5575" s="7">
        <v>2020</v>
      </c>
      <c r="F5575">
        <v>246350</v>
      </c>
      <c r="G5575">
        <v>32</v>
      </c>
      <c r="H5575">
        <v>127128</v>
      </c>
    </row>
    <row r="5576" spans="1:8" x14ac:dyDescent="0.25">
      <c r="A5576" t="str">
        <f>_xlfn.XLOOKUP(C5576, 'Códigos DANE Municipios'!$B$2:$B$1123, 'Códigos DANE Municipios'!$A$2:$A$1123, "No encontrado")</f>
        <v>25438</v>
      </c>
      <c r="B5576" t="str">
        <f>IFERROR(VLOOKUP(D5576,APOYO!K:L,2,FALSE),A5576)</f>
        <v>25438</v>
      </c>
      <c r="C5576" t="s">
        <v>1025</v>
      </c>
      <c r="D5576" t="str">
        <f>IFERROR(VLOOKUP(C5576,APOYO!J:K,2,FALSE),C5576)</f>
        <v>MEDINA</v>
      </c>
      <c r="E5576" s="7">
        <v>2020</v>
      </c>
    </row>
    <row r="5577" spans="1:8" x14ac:dyDescent="0.25">
      <c r="A5577" t="str">
        <f>_xlfn.XLOOKUP(C5577, 'Códigos DANE Municipios'!$B$2:$B$1123, 'Códigos DANE Municipios'!$A$2:$A$1123, "No encontrado")</f>
        <v>27430</v>
      </c>
      <c r="B5577" t="str">
        <f>IFERROR(VLOOKUP(D5577,APOYO!K:L,2,FALSE),A5577)</f>
        <v>27430</v>
      </c>
      <c r="C5577" t="s">
        <v>1178</v>
      </c>
      <c r="D5577" t="str">
        <f>IFERROR(VLOOKUP(C5577,APOYO!J:K,2,FALSE),C5577)</f>
        <v>MEDIO BAUDÓ</v>
      </c>
      <c r="E5577" s="7">
        <v>2020</v>
      </c>
    </row>
    <row r="5578" spans="1:8" x14ac:dyDescent="0.25">
      <c r="A5578" t="str">
        <f>_xlfn.XLOOKUP(C5578, 'Códigos DANE Municipios'!$B$2:$B$1123, 'Códigos DANE Municipios'!$A$2:$A$1123, "No encontrado")</f>
        <v>73449</v>
      </c>
      <c r="B5578" t="str">
        <f>IFERROR(VLOOKUP(D5578,APOYO!K:L,2,FALSE),A5578)</f>
        <v>73449</v>
      </c>
      <c r="C5578" t="s">
        <v>1917</v>
      </c>
      <c r="D5578" t="str">
        <f>IFERROR(VLOOKUP(C5578,APOYO!J:K,2,FALSE),C5578)</f>
        <v>MELGAR</v>
      </c>
      <c r="E5578" s="7">
        <v>2020</v>
      </c>
      <c r="F5578">
        <v>18</v>
      </c>
      <c r="H5578">
        <v>286</v>
      </c>
    </row>
    <row r="5579" spans="1:8" x14ac:dyDescent="0.25">
      <c r="A5579" t="str">
        <f>_xlfn.XLOOKUP(C5579, 'Códigos DANE Municipios'!$B$2:$B$1123, 'Códigos DANE Municipios'!$A$2:$A$1123, "No encontrado")</f>
        <v>50330</v>
      </c>
      <c r="B5579" t="str">
        <f>IFERROR(VLOOKUP(D5579,APOYO!K:L,2,FALSE),A5579)</f>
        <v>50330</v>
      </c>
      <c r="C5579" t="s">
        <v>1384</v>
      </c>
      <c r="D5579" t="str">
        <f>IFERROR(VLOOKUP(C5579,APOYO!J:K,2,FALSE),C5579)</f>
        <v>MESETAS</v>
      </c>
      <c r="E5579" s="7">
        <v>2020</v>
      </c>
      <c r="H5579">
        <v>9</v>
      </c>
    </row>
    <row r="5580" spans="1:8" x14ac:dyDescent="0.25">
      <c r="A5580" t="str">
        <f>_xlfn.XLOOKUP(C5580, 'Códigos DANE Municipios'!$B$2:$B$1123, 'Códigos DANE Municipios'!$A$2:$A$1123, "No encontrado")</f>
        <v>15455</v>
      </c>
      <c r="B5580" t="str">
        <f>IFERROR(VLOOKUP(D5580,APOYO!K:L,2,FALSE),A5580)</f>
        <v>15455</v>
      </c>
      <c r="C5580" t="s">
        <v>504</v>
      </c>
      <c r="D5580" t="str">
        <f>IFERROR(VLOOKUP(C5580,APOYO!J:K,2,FALSE),C5580)</f>
        <v>MIRAFLORES</v>
      </c>
      <c r="E5580" s="7">
        <v>2020</v>
      </c>
      <c r="H5580">
        <v>2</v>
      </c>
    </row>
    <row r="5581" spans="1:8" x14ac:dyDescent="0.25">
      <c r="A5581" t="str">
        <f>_xlfn.XLOOKUP(C5581, 'Códigos DANE Municipios'!$B$2:$B$1123, 'Códigos DANE Municipios'!$A$2:$A$1123, "No encontrado")</f>
        <v>19455</v>
      </c>
      <c r="B5581" t="str">
        <f>IFERROR(VLOOKUP(D5581,APOYO!K:L,2,FALSE),A5581)</f>
        <v>19455</v>
      </c>
      <c r="C5581" t="s">
        <v>767</v>
      </c>
      <c r="D5581" t="str">
        <f>IFERROR(VLOOKUP(C5581,APOYO!J:K,2,FALSE),C5581)</f>
        <v>MIRANDA</v>
      </c>
      <c r="E5581" s="7">
        <v>2020</v>
      </c>
      <c r="H5581">
        <v>21</v>
      </c>
    </row>
    <row r="5582" spans="1:8" x14ac:dyDescent="0.25">
      <c r="A5582" t="str">
        <f>_xlfn.XLOOKUP(C5582, 'Códigos DANE Municipios'!$B$2:$B$1123, 'Códigos DANE Municipios'!$A$2:$A$1123, "No encontrado")</f>
        <v>66456</v>
      </c>
      <c r="B5582" t="str">
        <f>IFERROR(VLOOKUP(D5582,APOYO!K:L,2,FALSE),A5582)</f>
        <v>66456</v>
      </c>
      <c r="C5582" t="s">
        <v>1645</v>
      </c>
      <c r="D5582" t="str">
        <f>IFERROR(VLOOKUP(C5582,APOYO!J:K,2,FALSE),C5582)</f>
        <v>MISTRATÓ</v>
      </c>
      <c r="E5582" s="7">
        <v>2020</v>
      </c>
      <c r="H5582">
        <v>6</v>
      </c>
    </row>
    <row r="5583" spans="1:8" x14ac:dyDescent="0.25">
      <c r="A5583" t="str">
        <f>_xlfn.XLOOKUP(C5583, 'Códigos DANE Municipios'!$B$2:$B$1123, 'Códigos DANE Municipios'!$A$2:$A$1123, "No encontrado")</f>
        <v>97001</v>
      </c>
      <c r="B5583" t="str">
        <f>IFERROR(VLOOKUP(D5583,APOYO!K:L,2,FALSE),A5583)</f>
        <v>97001</v>
      </c>
      <c r="C5583" t="s">
        <v>2151</v>
      </c>
      <c r="D5583" t="str">
        <f>IFERROR(VLOOKUP(C5583,APOYO!J:K,2,FALSE),C5583)</f>
        <v>MITÚ</v>
      </c>
      <c r="E5583" s="7">
        <v>2020</v>
      </c>
      <c r="F5583">
        <v>16601</v>
      </c>
      <c r="G5583">
        <v>7</v>
      </c>
      <c r="H5583">
        <v>9</v>
      </c>
    </row>
    <row r="5584" spans="1:8" x14ac:dyDescent="0.25">
      <c r="A5584" t="str">
        <f>_xlfn.XLOOKUP(C5584, 'Códigos DANE Municipios'!$B$2:$B$1123, 'Códigos DANE Municipios'!$A$2:$A$1123, "No encontrado")</f>
        <v>86001</v>
      </c>
      <c r="B5584" t="str">
        <f>IFERROR(VLOOKUP(D5584,APOYO!K:L,2,FALSE),A5584)</f>
        <v>86001</v>
      </c>
      <c r="C5584" t="s">
        <v>2084</v>
      </c>
      <c r="D5584" t="str">
        <f>IFERROR(VLOOKUP(C5584,APOYO!J:K,2,FALSE),C5584)</f>
        <v>MOCOA</v>
      </c>
      <c r="E5584" s="7">
        <v>2020</v>
      </c>
      <c r="F5584">
        <v>140</v>
      </c>
    </row>
    <row r="5585" spans="1:8" x14ac:dyDescent="0.25">
      <c r="A5585" t="str">
        <f>_xlfn.XLOOKUP(C5585, 'Códigos DANE Municipios'!$B$2:$B$1123, 'Códigos DANE Municipios'!$A$2:$A$1123, "No encontrado")</f>
        <v>68464</v>
      </c>
      <c r="B5585" t="str">
        <f>IFERROR(VLOOKUP(D5585,APOYO!K:L,2,FALSE),A5585)</f>
        <v>68464</v>
      </c>
      <c r="C5585" t="s">
        <v>1750</v>
      </c>
      <c r="D5585" t="str">
        <f>IFERROR(VLOOKUP(C5585,APOYO!J:K,2,FALSE),C5585)</f>
        <v>MOGOTES</v>
      </c>
      <c r="E5585" s="7">
        <v>2020</v>
      </c>
      <c r="H5585">
        <v>3</v>
      </c>
    </row>
    <row r="5586" spans="1:8" x14ac:dyDescent="0.25">
      <c r="A5586" t="str">
        <f>_xlfn.XLOOKUP(C5586, 'Códigos DANE Municipios'!$B$2:$B$1123, 'Códigos DANE Municipios'!$A$2:$A$1123, "No encontrado")</f>
        <v>13468</v>
      </c>
      <c r="B5586" t="str">
        <f>IFERROR(VLOOKUP(D5586,APOYO!K:L,2,FALSE),A5586)</f>
        <v>13468</v>
      </c>
      <c r="C5586" t="s">
        <v>351</v>
      </c>
      <c r="D5586" t="str">
        <f>IFERROR(VLOOKUP(C5586,APOYO!J:K,2,FALSE),C5586)</f>
        <v>MOMPÓS</v>
      </c>
      <c r="E5586" s="7">
        <v>2020</v>
      </c>
      <c r="F5586">
        <v>64</v>
      </c>
      <c r="H5586">
        <v>16</v>
      </c>
    </row>
    <row r="5587" spans="1:8" x14ac:dyDescent="0.25">
      <c r="A5587" t="str">
        <f>_xlfn.XLOOKUP(C5587, 'Códigos DANE Municipios'!$B$2:$B$1123, 'Códigos DANE Municipios'!$A$2:$A$1123, "No encontrado")</f>
        <v>15466</v>
      </c>
      <c r="B5587" t="str">
        <f>IFERROR(VLOOKUP(D5587,APOYO!K:L,2,FALSE),A5587)</f>
        <v>15466</v>
      </c>
      <c r="C5587" t="s">
        <v>508</v>
      </c>
      <c r="D5587" t="str">
        <f>IFERROR(VLOOKUP(C5587,APOYO!J:K,2,FALSE),C5587)</f>
        <v>MONGUÍ</v>
      </c>
      <c r="E5587" s="7">
        <v>2020</v>
      </c>
      <c r="H5587">
        <v>3</v>
      </c>
    </row>
    <row r="5588" spans="1:8" x14ac:dyDescent="0.25">
      <c r="A5588" t="str">
        <f>_xlfn.XLOOKUP(C5588, 'Códigos DANE Municipios'!$B$2:$B$1123, 'Códigos DANE Municipios'!$A$2:$A$1123, "No encontrado")</f>
        <v>15469</v>
      </c>
      <c r="B5588" t="str">
        <f>IFERROR(VLOOKUP(D5588,APOYO!K:L,2,FALSE),A5588)</f>
        <v>15469</v>
      </c>
      <c r="C5588" t="s">
        <v>510</v>
      </c>
      <c r="D5588" t="str">
        <f>IFERROR(VLOOKUP(C5588,APOYO!J:K,2,FALSE),C5588)</f>
        <v>MONIQUIRÁ</v>
      </c>
      <c r="E5588" s="7">
        <v>2020</v>
      </c>
      <c r="H5588">
        <v>32</v>
      </c>
    </row>
    <row r="5589" spans="1:8" x14ac:dyDescent="0.25">
      <c r="A5589" t="str">
        <f>_xlfn.XLOOKUP(C5589, 'Códigos DANE Municipios'!$B$2:$B$1123, 'Códigos DANE Municipios'!$A$2:$A$1123, "No encontrado")</f>
        <v>23500</v>
      </c>
      <c r="B5589" t="str">
        <f>IFERROR(VLOOKUP(D5589,APOYO!K:L,2,FALSE),A5589)</f>
        <v>23500</v>
      </c>
      <c r="C5589" t="s">
        <v>885</v>
      </c>
      <c r="D5589" t="str">
        <f>IFERROR(VLOOKUP(C5589,APOYO!J:K,2,FALSE),C5589)</f>
        <v>MOÑITOS</v>
      </c>
      <c r="E5589" s="7">
        <v>2020</v>
      </c>
      <c r="H5589">
        <v>4</v>
      </c>
    </row>
    <row r="5590" spans="1:8" x14ac:dyDescent="0.25">
      <c r="A5590" t="str">
        <f>_xlfn.XLOOKUP(C5590, 'Códigos DANE Municipios'!$B$2:$B$1123, 'Códigos DANE Municipios'!$A$2:$A$1123, "No encontrado")</f>
        <v>05467</v>
      </c>
      <c r="B5590" t="str">
        <f>IFERROR(VLOOKUP(D5590,APOYO!K:L,2,FALSE),A5590)</f>
        <v>05467</v>
      </c>
      <c r="C5590" t="s">
        <v>150</v>
      </c>
      <c r="D5590" t="str">
        <f>IFERROR(VLOOKUP(C5590,APOYO!J:K,2,FALSE),C5590)</f>
        <v>MONTEBELLO</v>
      </c>
      <c r="E5590" s="7">
        <v>2020</v>
      </c>
      <c r="H5590">
        <v>7</v>
      </c>
    </row>
    <row r="5591" spans="1:8" x14ac:dyDescent="0.25">
      <c r="A5591" t="str">
        <f>_xlfn.XLOOKUP(C5591, 'Códigos DANE Municipios'!$B$2:$B$1123, 'Códigos DANE Municipios'!$A$2:$A$1123, "No encontrado")</f>
        <v>23466</v>
      </c>
      <c r="B5591" t="str">
        <f>IFERROR(VLOOKUP(D5591,APOYO!K:L,2,FALSE),A5591)</f>
        <v>23466</v>
      </c>
      <c r="C5591" t="s">
        <v>883</v>
      </c>
      <c r="D5591" t="str">
        <f>IFERROR(VLOOKUP(C5591,APOYO!J:K,2,FALSE),C5591)</f>
        <v>MONTELÍBANO</v>
      </c>
      <c r="E5591" s="7">
        <v>2020</v>
      </c>
      <c r="F5591">
        <v>3458</v>
      </c>
      <c r="H5591">
        <v>106</v>
      </c>
    </row>
    <row r="5592" spans="1:8" x14ac:dyDescent="0.25">
      <c r="A5592" t="str">
        <f>_xlfn.XLOOKUP(C5592, 'Códigos DANE Municipios'!$B$2:$B$1123, 'Códigos DANE Municipios'!$A$2:$A$1123, "No encontrado")</f>
        <v>63470</v>
      </c>
      <c r="B5592" t="str">
        <f>IFERROR(VLOOKUP(D5592,APOYO!K:L,2,FALSE),A5592)</f>
        <v>63470</v>
      </c>
      <c r="C5592" t="s">
        <v>1620</v>
      </c>
      <c r="D5592" t="str">
        <f>IFERROR(VLOOKUP(C5592,APOYO!J:K,2,FALSE),C5592)</f>
        <v>MONTENEGRO</v>
      </c>
      <c r="E5592" s="7">
        <v>2020</v>
      </c>
      <c r="H5592">
        <v>192</v>
      </c>
    </row>
    <row r="5593" spans="1:8" x14ac:dyDescent="0.25">
      <c r="A5593" t="str">
        <f>_xlfn.XLOOKUP(C5593, 'Códigos DANE Municipios'!$B$2:$B$1123, 'Códigos DANE Municipios'!$A$2:$A$1123, "No encontrado")</f>
        <v>23001</v>
      </c>
      <c r="B5593" t="str">
        <f>IFERROR(VLOOKUP(D5593,APOYO!K:L,2,FALSE),A5593)</f>
        <v>23001</v>
      </c>
      <c r="C5593" t="s">
        <v>858</v>
      </c>
      <c r="D5593" t="str">
        <f>IFERROR(VLOOKUP(C5593,APOYO!J:K,2,FALSE),C5593)</f>
        <v>MONTERÍA</v>
      </c>
      <c r="E5593" s="7">
        <v>2020</v>
      </c>
      <c r="F5593">
        <v>204490</v>
      </c>
      <c r="G5593">
        <v>2048</v>
      </c>
      <c r="H5593">
        <v>927</v>
      </c>
    </row>
    <row r="5594" spans="1:8" x14ac:dyDescent="0.25">
      <c r="A5594" t="str">
        <f>_xlfn.XLOOKUP(C5594, 'Códigos DANE Municipios'!$B$2:$B$1123, 'Códigos DANE Municipios'!$A$2:$A$1123, "No encontrado")</f>
        <v>85162</v>
      </c>
      <c r="B5594" t="str">
        <f>IFERROR(VLOOKUP(D5594,APOYO!K:L,2,FALSE),A5594)</f>
        <v>85162</v>
      </c>
      <c r="C5594" t="s">
        <v>2060</v>
      </c>
      <c r="D5594" t="str">
        <f>IFERROR(VLOOKUP(C5594,APOYO!J:K,2,FALSE),C5594)</f>
        <v>MONTERREY</v>
      </c>
      <c r="E5594" s="7">
        <v>2020</v>
      </c>
      <c r="H5594">
        <v>1</v>
      </c>
    </row>
    <row r="5595" spans="1:8" x14ac:dyDescent="0.25">
      <c r="A5595" t="str">
        <f>_xlfn.XLOOKUP(C5595, 'Códigos DANE Municipios'!$B$2:$B$1123, 'Códigos DANE Municipios'!$A$2:$A$1123, "No encontrado")</f>
        <v>13473</v>
      </c>
      <c r="B5595" t="str">
        <f>IFERROR(VLOOKUP(D5595,APOYO!K:L,2,FALSE),A5595)</f>
        <v>13473</v>
      </c>
      <c r="C5595" t="s">
        <v>353</v>
      </c>
      <c r="D5595" t="str">
        <f>IFERROR(VLOOKUP(C5595,APOYO!J:K,2,FALSE),C5595)</f>
        <v>MORALES</v>
      </c>
      <c r="E5595" s="7">
        <v>2020</v>
      </c>
      <c r="G5595">
        <v>0</v>
      </c>
      <c r="H5595">
        <v>4</v>
      </c>
    </row>
    <row r="5596" spans="1:8" x14ac:dyDescent="0.25">
      <c r="A5596" t="str">
        <f>_xlfn.XLOOKUP(C5596, 'Códigos DANE Municipios'!$B$2:$B$1123, 'Códigos DANE Municipios'!$A$2:$A$1123, "No encontrado")</f>
        <v>70473</v>
      </c>
      <c r="B5596" t="str">
        <f>IFERROR(VLOOKUP(D5596,APOYO!K:L,2,FALSE),A5596)</f>
        <v>70473</v>
      </c>
      <c r="C5596" t="s">
        <v>1840</v>
      </c>
      <c r="D5596" t="str">
        <f>IFERROR(VLOOKUP(C5596,APOYO!J:K,2,FALSE),C5596)</f>
        <v>MORROA</v>
      </c>
      <c r="E5596" s="7">
        <v>2020</v>
      </c>
      <c r="H5596">
        <v>2</v>
      </c>
    </row>
    <row r="5597" spans="1:8" x14ac:dyDescent="0.25">
      <c r="A5597" t="str">
        <f>_xlfn.XLOOKUP(C5597, 'Códigos DANE Municipios'!$B$2:$B$1123, 'Códigos DANE Municipios'!$A$2:$A$1123, "No encontrado")</f>
        <v>18479</v>
      </c>
      <c r="B5597" t="str">
        <f>IFERROR(VLOOKUP(D5597,APOYO!K:L,2,FALSE),A5597)</f>
        <v>18479</v>
      </c>
      <c r="C5597" t="s">
        <v>716</v>
      </c>
      <c r="D5597" t="str">
        <f>IFERROR(VLOOKUP(C5597,APOYO!J:K,2,FALSE),C5597)</f>
        <v>MORELIA</v>
      </c>
      <c r="E5597" s="7">
        <v>2020</v>
      </c>
      <c r="H5597">
        <v>1</v>
      </c>
    </row>
    <row r="5598" spans="1:8" x14ac:dyDescent="0.25">
      <c r="A5598" t="str">
        <f>_xlfn.XLOOKUP(C5598, 'Códigos DANE Municipios'!$B$2:$B$1123, 'Códigos DANE Municipios'!$A$2:$A$1123, "No encontrado")</f>
        <v>25473</v>
      </c>
      <c r="B5598" t="str">
        <f>IFERROR(VLOOKUP(D5598,APOYO!K:L,2,FALSE),A5598)</f>
        <v>25473</v>
      </c>
      <c r="C5598" t="s">
        <v>1027</v>
      </c>
      <c r="D5598" t="str">
        <f>IFERROR(VLOOKUP(C5598,APOYO!J:K,2,FALSE),C5598)</f>
        <v>MOSQUERA</v>
      </c>
      <c r="E5598" s="7">
        <v>2020</v>
      </c>
      <c r="H5598">
        <v>268</v>
      </c>
    </row>
    <row r="5599" spans="1:8" x14ac:dyDescent="0.25">
      <c r="A5599" t="str">
        <f>_xlfn.XLOOKUP(C5599, 'Códigos DANE Municipios'!$B$2:$B$1123, 'Códigos DANE Municipios'!$A$2:$A$1123, "No encontrado")</f>
        <v>73461</v>
      </c>
      <c r="B5599" t="str">
        <f>IFERROR(VLOOKUP(D5599,APOYO!K:L,2,FALSE),A5599)</f>
        <v>73461</v>
      </c>
      <c r="C5599" t="s">
        <v>1919</v>
      </c>
      <c r="D5599" t="str">
        <f>IFERROR(VLOOKUP(C5599,APOYO!J:K,2,FALSE),C5599)</f>
        <v>MURILLO</v>
      </c>
      <c r="E5599" s="7">
        <v>2020</v>
      </c>
    </row>
    <row r="5600" spans="1:8" x14ac:dyDescent="0.25">
      <c r="A5600" t="str">
        <f>_xlfn.XLOOKUP(C5600, 'Códigos DANE Municipios'!$B$2:$B$1123, 'Códigos DANE Municipios'!$A$2:$A$1123, "No encontrado")</f>
        <v>05480</v>
      </c>
      <c r="B5600" t="str">
        <f>IFERROR(VLOOKUP(D5600,APOYO!K:L,2,FALSE),A5600)</f>
        <v>05480</v>
      </c>
      <c r="C5600" t="s">
        <v>154</v>
      </c>
      <c r="D5600" t="str">
        <f>IFERROR(VLOOKUP(C5600,APOYO!J:K,2,FALSE),C5600)</f>
        <v>MUTATÁ</v>
      </c>
      <c r="E5600" s="7">
        <v>2020</v>
      </c>
      <c r="H5600">
        <v>3</v>
      </c>
    </row>
    <row r="5601" spans="1:8" x14ac:dyDescent="0.25">
      <c r="A5601" t="str">
        <f>_xlfn.XLOOKUP(C5601, 'Códigos DANE Municipios'!$B$2:$B$1123, 'Códigos DANE Municipios'!$A$2:$A$1123, "No encontrado")</f>
        <v>54480</v>
      </c>
      <c r="B5601" t="str">
        <f>IFERROR(VLOOKUP(D5601,APOYO!K:L,2,FALSE),A5601)</f>
        <v>54480</v>
      </c>
      <c r="C5601" t="s">
        <v>1575</v>
      </c>
      <c r="D5601" t="str">
        <f>IFERROR(VLOOKUP(C5601,APOYO!J:K,2,FALSE),C5601)</f>
        <v>MUTISCUA</v>
      </c>
      <c r="E5601" s="7">
        <v>2020</v>
      </c>
    </row>
    <row r="5602" spans="1:8" x14ac:dyDescent="0.25">
      <c r="A5602" t="str">
        <f>_xlfn.XLOOKUP(C5602, 'Códigos DANE Municipios'!$B$2:$B$1123, 'Códigos DANE Municipios'!$A$2:$A$1123, "No encontrado")</f>
        <v>15480</v>
      </c>
      <c r="B5602" t="str">
        <f>IFERROR(VLOOKUP(D5602,APOYO!K:L,2,FALSE),A5602)</f>
        <v>15480</v>
      </c>
      <c r="C5602" t="s">
        <v>514</v>
      </c>
      <c r="D5602" t="str">
        <f>IFERROR(VLOOKUP(C5602,APOYO!J:K,2,FALSE),C5602)</f>
        <v>MUZO</v>
      </c>
      <c r="E5602" s="7">
        <v>2020</v>
      </c>
      <c r="H5602">
        <v>4</v>
      </c>
    </row>
    <row r="5603" spans="1:8" x14ac:dyDescent="0.25">
      <c r="A5603" t="str">
        <f>_xlfn.XLOOKUP(C5603, 'Códigos DANE Municipios'!$B$2:$B$1123, 'Códigos DANE Municipios'!$A$2:$A$1123, "No encontrado")</f>
        <v>05483</v>
      </c>
      <c r="B5603" t="str">
        <f>IFERROR(VLOOKUP(D5603,APOYO!K:L,2,FALSE),A5603)</f>
        <v>05483</v>
      </c>
      <c r="C5603" t="s">
        <v>156</v>
      </c>
      <c r="D5603" t="str">
        <f>IFERROR(VLOOKUP(C5603,APOYO!J:K,2,FALSE),C5603)</f>
        <v>NARIÑO</v>
      </c>
      <c r="E5603" s="7">
        <v>2020</v>
      </c>
      <c r="H5603">
        <v>32</v>
      </c>
    </row>
    <row r="5604" spans="1:8" x14ac:dyDescent="0.25">
      <c r="A5604" t="str">
        <f>_xlfn.XLOOKUP(C5604, 'Códigos DANE Municipios'!$B$2:$B$1123, 'Códigos DANE Municipios'!$A$2:$A$1123, "No encontrado")</f>
        <v>41483</v>
      </c>
      <c r="B5604" t="str">
        <f>IFERROR(VLOOKUP(D5604,APOYO!K:L,2,FALSE),A5604)</f>
        <v>41483</v>
      </c>
      <c r="C5604" t="s">
        <v>1236</v>
      </c>
      <c r="D5604" t="str">
        <f>IFERROR(VLOOKUP(C5604,APOYO!J:K,2,FALSE),C5604)</f>
        <v>NÁTAGA</v>
      </c>
      <c r="E5604" s="7">
        <v>2020</v>
      </c>
      <c r="H5604">
        <v>2</v>
      </c>
    </row>
    <row r="5605" spans="1:8" x14ac:dyDescent="0.25">
      <c r="A5605" t="str">
        <f>_xlfn.XLOOKUP(C5605, 'Códigos DANE Municipios'!$B$2:$B$1123, 'Códigos DANE Municipios'!$A$2:$A$1123, "No encontrado")</f>
        <v>73483</v>
      </c>
      <c r="B5605" t="str">
        <f>IFERROR(VLOOKUP(D5605,APOYO!K:L,2,FALSE),A5605)</f>
        <v>73483</v>
      </c>
      <c r="C5605" t="s">
        <v>1921</v>
      </c>
      <c r="D5605" t="str">
        <f>IFERROR(VLOOKUP(C5605,APOYO!J:K,2,FALSE),C5605)</f>
        <v>NATAGAIMA</v>
      </c>
      <c r="E5605" s="7">
        <v>2020</v>
      </c>
      <c r="F5605">
        <v>55</v>
      </c>
      <c r="H5605">
        <v>3</v>
      </c>
    </row>
    <row r="5606" spans="1:8" x14ac:dyDescent="0.25">
      <c r="A5606" t="str">
        <f>_xlfn.XLOOKUP(C5606, 'Códigos DANE Municipios'!$B$2:$B$1123, 'Códigos DANE Municipios'!$A$2:$A$1123, "No encontrado")</f>
        <v>05490</v>
      </c>
      <c r="B5606" t="str">
        <f>IFERROR(VLOOKUP(D5606,APOYO!K:L,2,FALSE),A5606)</f>
        <v>05490</v>
      </c>
      <c r="C5606" t="s">
        <v>158</v>
      </c>
      <c r="D5606" t="str">
        <f>IFERROR(VLOOKUP(C5606,APOYO!J:K,2,FALSE),C5606)</f>
        <v>NECOCLÍ</v>
      </c>
      <c r="E5606" s="7">
        <v>2020</v>
      </c>
      <c r="H5606">
        <v>15</v>
      </c>
    </row>
    <row r="5607" spans="1:8" x14ac:dyDescent="0.25">
      <c r="A5607" t="str">
        <f>_xlfn.XLOOKUP(C5607, 'Códigos DANE Municipios'!$B$2:$B$1123, 'Códigos DANE Municipios'!$A$2:$A$1123, "No encontrado")</f>
        <v>17486</v>
      </c>
      <c r="B5607" t="str">
        <f>IFERROR(VLOOKUP(D5607,APOYO!K:L,2,FALSE),A5607)</f>
        <v>17486</v>
      </c>
      <c r="C5607" t="s">
        <v>670</v>
      </c>
      <c r="D5607" t="str">
        <f>IFERROR(VLOOKUP(C5607,APOYO!J:K,2,FALSE),C5607)</f>
        <v>NEIRA</v>
      </c>
      <c r="E5607" s="7">
        <v>2020</v>
      </c>
      <c r="H5607">
        <v>55</v>
      </c>
    </row>
    <row r="5608" spans="1:8" x14ac:dyDescent="0.25">
      <c r="A5608" t="str">
        <f>_xlfn.XLOOKUP(C5608, 'Códigos DANE Municipios'!$B$2:$B$1123, 'Códigos DANE Municipios'!$A$2:$A$1123, "No encontrado")</f>
        <v>41001</v>
      </c>
      <c r="B5608" t="str">
        <f>IFERROR(VLOOKUP(D5608,APOYO!K:L,2,FALSE),A5608)</f>
        <v>41001</v>
      </c>
      <c r="C5608" t="s">
        <v>1201</v>
      </c>
      <c r="D5608" t="str">
        <f>IFERROR(VLOOKUP(C5608,APOYO!J:K,2,FALSE),C5608)</f>
        <v>NEIVA</v>
      </c>
      <c r="E5608" s="7">
        <v>2020</v>
      </c>
      <c r="F5608">
        <v>38675</v>
      </c>
      <c r="G5608">
        <v>13</v>
      </c>
      <c r="H5608">
        <v>884</v>
      </c>
    </row>
    <row r="5609" spans="1:8" x14ac:dyDescent="0.25">
      <c r="A5609" t="str">
        <f>_xlfn.XLOOKUP(C5609, 'Códigos DANE Municipios'!$B$2:$B$1123, 'Códigos DANE Municipios'!$A$2:$A$1123, "No encontrado")</f>
        <v>25486</v>
      </c>
      <c r="B5609" t="str">
        <f>IFERROR(VLOOKUP(D5609,APOYO!K:L,2,FALSE),A5609)</f>
        <v>25486</v>
      </c>
      <c r="C5609" t="s">
        <v>1030</v>
      </c>
      <c r="D5609" t="str">
        <f>IFERROR(VLOOKUP(C5609,APOYO!J:K,2,FALSE),C5609)</f>
        <v>NEMOCÓN</v>
      </c>
      <c r="E5609" s="7">
        <v>2020</v>
      </c>
      <c r="H5609">
        <v>14</v>
      </c>
    </row>
    <row r="5610" spans="1:8" x14ac:dyDescent="0.25">
      <c r="A5610" t="str">
        <f>_xlfn.XLOOKUP(C5610, 'Códigos DANE Municipios'!$B$2:$B$1123, 'Códigos DANE Municipios'!$A$2:$A$1123, "No encontrado")</f>
        <v>25488</v>
      </c>
      <c r="B5610" t="str">
        <f>IFERROR(VLOOKUP(D5610,APOYO!K:L,2,FALSE),A5610)</f>
        <v>25488</v>
      </c>
      <c r="C5610" t="s">
        <v>1032</v>
      </c>
      <c r="D5610" t="str">
        <f>IFERROR(VLOOKUP(C5610,APOYO!J:K,2,FALSE),C5610)</f>
        <v>NILO</v>
      </c>
      <c r="E5610" s="7">
        <v>2020</v>
      </c>
      <c r="H5610">
        <v>107</v>
      </c>
    </row>
    <row r="5611" spans="1:8" x14ac:dyDescent="0.25">
      <c r="A5611" t="str">
        <f>_xlfn.XLOOKUP(C5611, 'Códigos DANE Municipios'!$B$2:$B$1123, 'Códigos DANE Municipios'!$A$2:$A$1123, "No encontrado")</f>
        <v>25489</v>
      </c>
      <c r="B5611" t="str">
        <f>IFERROR(VLOOKUP(D5611,APOYO!K:L,2,FALSE),A5611)</f>
        <v>25489</v>
      </c>
      <c r="C5611" t="s">
        <v>1034</v>
      </c>
      <c r="D5611" t="str">
        <f>IFERROR(VLOOKUP(C5611,APOYO!J:K,2,FALSE),C5611)</f>
        <v>NIMAIMA</v>
      </c>
      <c r="E5611" s="7">
        <v>2020</v>
      </c>
      <c r="H5611">
        <v>7</v>
      </c>
    </row>
    <row r="5612" spans="1:8" x14ac:dyDescent="0.25">
      <c r="A5612" t="str">
        <f>_xlfn.XLOOKUP(C5612, 'Códigos DANE Municipios'!$B$2:$B$1123, 'Códigos DANE Municipios'!$A$2:$A$1123, "No encontrado")</f>
        <v>15491</v>
      </c>
      <c r="B5612" t="str">
        <f>IFERROR(VLOOKUP(D5612,APOYO!K:L,2,FALSE),A5612)</f>
        <v>15491</v>
      </c>
      <c r="C5612" t="s">
        <v>516</v>
      </c>
      <c r="D5612" t="str">
        <f>IFERROR(VLOOKUP(C5612,APOYO!J:K,2,FALSE),C5612)</f>
        <v>NOBSA</v>
      </c>
      <c r="E5612" s="7">
        <v>2020</v>
      </c>
      <c r="H5612">
        <v>29</v>
      </c>
    </row>
    <row r="5613" spans="1:8" x14ac:dyDescent="0.25">
      <c r="A5613" t="str">
        <f>_xlfn.XLOOKUP(C5613, 'Códigos DANE Municipios'!$B$2:$B$1123, 'Códigos DANE Municipios'!$A$2:$A$1123, "No encontrado")</f>
        <v>25491</v>
      </c>
      <c r="B5613" t="str">
        <f>IFERROR(VLOOKUP(D5613,APOYO!K:L,2,FALSE),A5613)</f>
        <v>25491</v>
      </c>
      <c r="C5613" t="s">
        <v>1036</v>
      </c>
      <c r="D5613" t="str">
        <f>IFERROR(VLOOKUP(C5613,APOYO!J:K,2,FALSE),C5613)</f>
        <v>NOCAIMA</v>
      </c>
      <c r="E5613" s="7">
        <v>2020</v>
      </c>
      <c r="H5613">
        <v>3</v>
      </c>
    </row>
    <row r="5614" spans="1:8" x14ac:dyDescent="0.25">
      <c r="A5614" t="str">
        <f>_xlfn.XLOOKUP(C5614, 'Códigos DANE Municipios'!$B$2:$B$1123, 'Códigos DANE Municipios'!$A$2:$A$1123, "No encontrado")</f>
        <v>17495</v>
      </c>
      <c r="B5614" t="str">
        <f>IFERROR(VLOOKUP(D5614,APOYO!K:L,2,FALSE),A5614)</f>
        <v>17495</v>
      </c>
      <c r="C5614" t="s">
        <v>672</v>
      </c>
      <c r="D5614" t="str">
        <f>IFERROR(VLOOKUP(C5614,APOYO!J:K,2,FALSE),C5614)</f>
        <v>NORCASIA</v>
      </c>
      <c r="E5614" s="7">
        <v>2020</v>
      </c>
      <c r="H5614">
        <v>4</v>
      </c>
    </row>
    <row r="5615" spans="1:8" x14ac:dyDescent="0.25">
      <c r="A5615" t="str">
        <f>_xlfn.XLOOKUP(C5615, 'Códigos DANE Municipios'!$B$2:$B$1123, 'Códigos DANE Municipios'!$A$2:$A$1123, "No encontrado")</f>
        <v>15494</v>
      </c>
      <c r="B5615" t="str">
        <f>IFERROR(VLOOKUP(D5615,APOYO!K:L,2,FALSE),A5615)</f>
        <v>15494</v>
      </c>
      <c r="C5615" t="s">
        <v>518</v>
      </c>
      <c r="D5615" t="str">
        <f>IFERROR(VLOOKUP(C5615,APOYO!J:K,2,FALSE),C5615)</f>
        <v>NUEVO COLÓN</v>
      </c>
      <c r="E5615" s="7">
        <v>2020</v>
      </c>
      <c r="H5615">
        <v>4</v>
      </c>
    </row>
    <row r="5616" spans="1:8" x14ac:dyDescent="0.25">
      <c r="A5616" t="str">
        <f>_xlfn.XLOOKUP(C5616, 'Códigos DANE Municipios'!$B$2:$B$1123, 'Códigos DANE Municipios'!$A$2:$A$1123, "No encontrado")</f>
        <v>85225</v>
      </c>
      <c r="B5616" t="str">
        <f>IFERROR(VLOOKUP(D5616,APOYO!K:L,2,FALSE),A5616)</f>
        <v>85225</v>
      </c>
      <c r="C5616" t="s">
        <v>2062</v>
      </c>
      <c r="D5616" t="str">
        <f>IFERROR(VLOOKUP(C5616,APOYO!J:K,2,FALSE),C5616)</f>
        <v>NUNCHÍA</v>
      </c>
      <c r="E5616" s="7">
        <v>2020</v>
      </c>
      <c r="F5616">
        <v>52</v>
      </c>
    </row>
    <row r="5617" spans="1:9" x14ac:dyDescent="0.25">
      <c r="A5617" t="str">
        <f>_xlfn.XLOOKUP(C5617, 'Códigos DANE Municipios'!$B$2:$B$1123, 'Códigos DANE Municipios'!$A$2:$A$1123, "No encontrado")</f>
        <v>27495</v>
      </c>
      <c r="B5617" t="str">
        <f>IFERROR(VLOOKUP(D5617,APOYO!K:L,2,FALSE),A5617)</f>
        <v>27495</v>
      </c>
      <c r="C5617" t="s">
        <v>1184</v>
      </c>
      <c r="D5617" t="str">
        <f>IFERROR(VLOOKUP(C5617,APOYO!J:K,2,FALSE),C5617)</f>
        <v>NUQUÍ</v>
      </c>
      <c r="E5617" s="7">
        <v>2020</v>
      </c>
      <c r="F5617">
        <v>8297</v>
      </c>
      <c r="H5617">
        <v>15</v>
      </c>
      <c r="I5617">
        <v>1375</v>
      </c>
    </row>
    <row r="5618" spans="1:9" x14ac:dyDescent="0.25">
      <c r="A5618" t="str">
        <f>_xlfn.XLOOKUP(C5618, 'Códigos DANE Municipios'!$B$2:$B$1123, 'Códigos DANE Municipios'!$A$2:$A$1123, "No encontrado")</f>
        <v>76497</v>
      </c>
      <c r="B5618" t="str">
        <f>IFERROR(VLOOKUP(D5618,APOYO!K:L,2,FALSE),A5618)</f>
        <v>76497</v>
      </c>
      <c r="C5618" t="s">
        <v>2002</v>
      </c>
      <c r="D5618" t="str">
        <f>IFERROR(VLOOKUP(C5618,APOYO!J:K,2,FALSE),C5618)</f>
        <v>OBANDO</v>
      </c>
      <c r="E5618" s="7">
        <v>2020</v>
      </c>
      <c r="H5618">
        <v>15</v>
      </c>
    </row>
    <row r="5619" spans="1:9" x14ac:dyDescent="0.25">
      <c r="A5619" t="str">
        <f>_xlfn.XLOOKUP(C5619, 'Códigos DANE Municipios'!$B$2:$B$1123, 'Códigos DANE Municipios'!$A$2:$A$1123, "No encontrado")</f>
        <v>68498</v>
      </c>
      <c r="B5619" t="str">
        <f>IFERROR(VLOOKUP(D5619,APOYO!K:L,2,FALSE),A5619)</f>
        <v>68498</v>
      </c>
      <c r="C5619" t="s">
        <v>1754</v>
      </c>
      <c r="D5619" t="str">
        <f>IFERROR(VLOOKUP(C5619,APOYO!J:K,2,FALSE),C5619)</f>
        <v>OCAMONTE</v>
      </c>
      <c r="E5619" s="7">
        <v>2020</v>
      </c>
    </row>
    <row r="5620" spans="1:9" x14ac:dyDescent="0.25">
      <c r="A5620" t="str">
        <f>_xlfn.XLOOKUP(C5620, 'Códigos DANE Municipios'!$B$2:$B$1123, 'Códigos DANE Municipios'!$A$2:$A$1123, "No encontrado")</f>
        <v>54498</v>
      </c>
      <c r="B5620" t="str">
        <f>IFERROR(VLOOKUP(D5620,APOYO!K:L,2,FALSE),A5620)</f>
        <v>54498</v>
      </c>
      <c r="C5620" t="s">
        <v>1577</v>
      </c>
      <c r="D5620" t="str">
        <f>IFERROR(VLOOKUP(C5620,APOYO!J:K,2,FALSE),C5620)</f>
        <v>OCAÑA</v>
      </c>
      <c r="E5620" s="7">
        <v>2020</v>
      </c>
      <c r="F5620">
        <v>55</v>
      </c>
      <c r="H5620">
        <v>68</v>
      </c>
    </row>
    <row r="5621" spans="1:9" x14ac:dyDescent="0.25">
      <c r="A5621" t="str">
        <f>_xlfn.XLOOKUP(C5621, 'Códigos DANE Municipios'!$B$2:$B$1123, 'Códigos DANE Municipios'!$A$2:$A$1123, "No encontrado")</f>
        <v>68500</v>
      </c>
      <c r="B5621" t="str">
        <f>IFERROR(VLOOKUP(D5621,APOYO!K:L,2,FALSE),A5621)</f>
        <v>68500</v>
      </c>
      <c r="C5621" t="s">
        <v>1756</v>
      </c>
      <c r="D5621" t="str">
        <f>IFERROR(VLOOKUP(C5621,APOYO!J:K,2,FALSE),C5621)</f>
        <v>OIBA</v>
      </c>
      <c r="E5621" s="7">
        <v>2020</v>
      </c>
      <c r="H5621">
        <v>9</v>
      </c>
    </row>
    <row r="5622" spans="1:9" x14ac:dyDescent="0.25">
      <c r="A5622" t="str">
        <f>_xlfn.XLOOKUP(C5622, 'Códigos DANE Municipios'!$B$2:$B$1123, 'Códigos DANE Municipios'!$A$2:$A$1123, "No encontrado")</f>
        <v>15500</v>
      </c>
      <c r="B5622" t="str">
        <f>IFERROR(VLOOKUP(D5622,APOYO!K:L,2,FALSE),A5622)</f>
        <v>15500</v>
      </c>
      <c r="C5622" t="s">
        <v>520</v>
      </c>
      <c r="D5622" t="str">
        <f>IFERROR(VLOOKUP(C5622,APOYO!J:K,2,FALSE),C5622)</f>
        <v>OICATÁ</v>
      </c>
      <c r="E5622" s="7">
        <v>2020</v>
      </c>
    </row>
    <row r="5623" spans="1:9" x14ac:dyDescent="0.25">
      <c r="A5623" t="str">
        <f>_xlfn.XLOOKUP(C5623, 'Códigos DANE Municipios'!$B$2:$B$1123, 'Códigos DANE Municipios'!$A$2:$A$1123, "No encontrado")</f>
        <v>05501</v>
      </c>
      <c r="B5623" t="str">
        <f>IFERROR(VLOOKUP(D5623,APOYO!K:L,2,FALSE),A5623)</f>
        <v>05501</v>
      </c>
      <c r="C5623" t="s">
        <v>162</v>
      </c>
      <c r="D5623" t="str">
        <f>IFERROR(VLOOKUP(C5623,APOYO!J:K,2,FALSE),C5623)</f>
        <v>OLAYA</v>
      </c>
      <c r="E5623" s="7">
        <v>2020</v>
      </c>
      <c r="H5623">
        <v>2</v>
      </c>
    </row>
    <row r="5624" spans="1:9" x14ac:dyDescent="0.25">
      <c r="A5624" t="str">
        <f>_xlfn.XLOOKUP(C5624, 'Códigos DANE Municipios'!$B$2:$B$1123, 'Códigos DANE Municipios'!$A$2:$A$1123, "No encontrado")</f>
        <v>68502</v>
      </c>
      <c r="B5624" t="str">
        <f>IFERROR(VLOOKUP(D5624,APOYO!K:L,2,FALSE),A5624)</f>
        <v>68502</v>
      </c>
      <c r="C5624" t="s">
        <v>1758</v>
      </c>
      <c r="D5624" t="str">
        <f>IFERROR(VLOOKUP(C5624,APOYO!J:K,2,FALSE),C5624)</f>
        <v>ONZAGA</v>
      </c>
      <c r="E5624" s="7">
        <v>2020</v>
      </c>
    </row>
    <row r="5625" spans="1:9" x14ac:dyDescent="0.25">
      <c r="A5625" t="str">
        <f>_xlfn.XLOOKUP(C5625, 'Códigos DANE Municipios'!$B$2:$B$1123, 'Códigos DANE Municipios'!$A$2:$A$1123, "No encontrado")</f>
        <v>41503</v>
      </c>
      <c r="B5625" t="str">
        <f>IFERROR(VLOOKUP(D5625,APOYO!K:L,2,FALSE),A5625)</f>
        <v>41503</v>
      </c>
      <c r="C5625" t="s">
        <v>1238</v>
      </c>
      <c r="D5625" t="str">
        <f>IFERROR(VLOOKUP(C5625,APOYO!J:K,2,FALSE),C5625)</f>
        <v>OPORAPA</v>
      </c>
      <c r="E5625" s="7">
        <v>2020</v>
      </c>
      <c r="H5625">
        <v>2</v>
      </c>
    </row>
    <row r="5626" spans="1:9" x14ac:dyDescent="0.25">
      <c r="A5626" t="str">
        <f>_xlfn.XLOOKUP(C5626, 'Códigos DANE Municipios'!$B$2:$B$1123, 'Códigos DANE Municipios'!$A$2:$A$1123, "No encontrado")</f>
        <v>86320</v>
      </c>
      <c r="B5626" t="str">
        <f>IFERROR(VLOOKUP(D5626,APOYO!K:L,2,FALSE),A5626)</f>
        <v>86320</v>
      </c>
      <c r="C5626" t="s">
        <v>2087</v>
      </c>
      <c r="D5626" t="str">
        <f>IFERROR(VLOOKUP(C5626,APOYO!J:K,2,FALSE),C5626)</f>
        <v>ORITO</v>
      </c>
      <c r="E5626" s="7">
        <v>2020</v>
      </c>
      <c r="H5626">
        <v>19</v>
      </c>
    </row>
    <row r="5627" spans="1:9" x14ac:dyDescent="0.25">
      <c r="A5627" t="str">
        <f>_xlfn.XLOOKUP(C5627, 'Códigos DANE Municipios'!$B$2:$B$1123, 'Códigos DANE Municipios'!$A$2:$A$1123, "No encontrado")</f>
        <v>85230</v>
      </c>
      <c r="B5627" t="str">
        <f>IFERROR(VLOOKUP(D5627,APOYO!K:L,2,FALSE),A5627)</f>
        <v>85230</v>
      </c>
      <c r="C5627" t="s">
        <v>2064</v>
      </c>
      <c r="D5627" t="str">
        <f>IFERROR(VLOOKUP(C5627,APOYO!J:K,2,FALSE),C5627)</f>
        <v>OROCUÉ</v>
      </c>
      <c r="E5627" s="7">
        <v>2020</v>
      </c>
      <c r="F5627">
        <v>152</v>
      </c>
      <c r="H5627">
        <v>3</v>
      </c>
    </row>
    <row r="5628" spans="1:9" x14ac:dyDescent="0.25">
      <c r="A5628" t="str">
        <f>_xlfn.XLOOKUP(C5628, 'Códigos DANE Municipios'!$B$2:$B$1123, 'Códigos DANE Municipios'!$A$2:$A$1123, "No encontrado")</f>
        <v>73504</v>
      </c>
      <c r="B5628" t="str">
        <f>IFERROR(VLOOKUP(D5628,APOYO!K:L,2,FALSE),A5628)</f>
        <v>73504</v>
      </c>
      <c r="C5628" t="s">
        <v>1923</v>
      </c>
      <c r="D5628" t="str">
        <f>IFERROR(VLOOKUP(C5628,APOYO!J:K,2,FALSE),C5628)</f>
        <v>ORTEGA</v>
      </c>
      <c r="E5628" s="7">
        <v>2020</v>
      </c>
      <c r="H5628">
        <v>1</v>
      </c>
    </row>
    <row r="5629" spans="1:9" x14ac:dyDescent="0.25">
      <c r="A5629" t="str">
        <f>_xlfn.XLOOKUP(C5629, 'Códigos DANE Municipios'!$B$2:$B$1123, 'Códigos DANE Municipios'!$A$2:$A$1123, "No encontrado")</f>
        <v>15507</v>
      </c>
      <c r="B5629" t="str">
        <f>IFERROR(VLOOKUP(D5629,APOYO!K:L,2,FALSE),A5629)</f>
        <v>15507</v>
      </c>
      <c r="C5629" t="s">
        <v>522</v>
      </c>
      <c r="D5629" t="str">
        <f>IFERROR(VLOOKUP(C5629,APOYO!J:K,2,FALSE),C5629)</f>
        <v>OTANCHE</v>
      </c>
      <c r="E5629" s="7">
        <v>2020</v>
      </c>
      <c r="H5629">
        <v>6</v>
      </c>
    </row>
    <row r="5630" spans="1:9" x14ac:dyDescent="0.25">
      <c r="A5630" t="str">
        <f>_xlfn.XLOOKUP(C5630, 'Códigos DANE Municipios'!$B$2:$B$1123, 'Códigos DANE Municipios'!$A$2:$A$1123, "No encontrado")</f>
        <v>70508</v>
      </c>
      <c r="B5630" t="str">
        <f>IFERROR(VLOOKUP(D5630,APOYO!K:L,2,FALSE),A5630)</f>
        <v>70508</v>
      </c>
      <c r="C5630" t="s">
        <v>1842</v>
      </c>
      <c r="D5630" t="str">
        <f>IFERROR(VLOOKUP(C5630,APOYO!J:K,2,FALSE),C5630)</f>
        <v>OVEJAS</v>
      </c>
      <c r="E5630" s="7">
        <v>2020</v>
      </c>
      <c r="H5630">
        <v>2</v>
      </c>
    </row>
    <row r="5631" spans="1:9" x14ac:dyDescent="0.25">
      <c r="A5631" t="str">
        <f>_xlfn.XLOOKUP(C5631, 'Códigos DANE Municipios'!$B$2:$B$1123, 'Códigos DANE Municipios'!$A$2:$A$1123, "No encontrado")</f>
        <v>25513</v>
      </c>
      <c r="B5631" t="str">
        <f>IFERROR(VLOOKUP(D5631,APOYO!K:L,2,FALSE),A5631)</f>
        <v>25513</v>
      </c>
      <c r="C5631" t="s">
        <v>1039</v>
      </c>
      <c r="D5631" t="str">
        <f>IFERROR(VLOOKUP(C5631,APOYO!J:K,2,FALSE),C5631)</f>
        <v>PACHO</v>
      </c>
      <c r="E5631" s="7">
        <v>2020</v>
      </c>
      <c r="H5631">
        <v>29</v>
      </c>
    </row>
    <row r="5632" spans="1:9" x14ac:dyDescent="0.25">
      <c r="A5632" t="str">
        <f>_xlfn.XLOOKUP(C5632, 'Códigos DANE Municipios'!$B$2:$B$1123, 'Códigos DANE Municipios'!$A$2:$A$1123, "No encontrado")</f>
        <v>17513</v>
      </c>
      <c r="B5632" t="str">
        <f>IFERROR(VLOOKUP(D5632,APOYO!K:L,2,FALSE),A5632)</f>
        <v>17513</v>
      </c>
      <c r="C5632" t="s">
        <v>674</v>
      </c>
      <c r="D5632" t="str">
        <f>IFERROR(VLOOKUP(C5632,APOYO!J:K,2,FALSE),C5632)</f>
        <v>PÁCORA</v>
      </c>
      <c r="E5632" s="7">
        <v>2020</v>
      </c>
      <c r="H5632">
        <v>2</v>
      </c>
    </row>
    <row r="5633" spans="1:8" x14ac:dyDescent="0.25">
      <c r="A5633" t="str">
        <f>_xlfn.XLOOKUP(C5633, 'Códigos DANE Municipios'!$B$2:$B$1123, 'Códigos DANE Municipios'!$A$2:$A$1123, "No encontrado")</f>
        <v>19513</v>
      </c>
      <c r="B5633" t="str">
        <f>IFERROR(VLOOKUP(D5633,APOYO!K:L,2,FALSE),A5633)</f>
        <v>19513</v>
      </c>
      <c r="C5633" t="s">
        <v>770</v>
      </c>
      <c r="D5633" t="str">
        <f>IFERROR(VLOOKUP(C5633,APOYO!J:K,2,FALSE),C5633)</f>
        <v>PADILLA</v>
      </c>
      <c r="E5633" s="7">
        <v>2020</v>
      </c>
      <c r="F5633">
        <v>25</v>
      </c>
      <c r="H5633">
        <v>3</v>
      </c>
    </row>
    <row r="5634" spans="1:8" x14ac:dyDescent="0.25">
      <c r="A5634" t="str">
        <f>_xlfn.XLOOKUP(C5634, 'Códigos DANE Municipios'!$B$2:$B$1123, 'Códigos DANE Municipios'!$A$2:$A$1123, "No encontrado")</f>
        <v>15514</v>
      </c>
      <c r="B5634" t="str">
        <f>IFERROR(VLOOKUP(D5634,APOYO!K:L,2,FALSE),A5634)</f>
        <v>15514</v>
      </c>
      <c r="C5634" t="s">
        <v>526</v>
      </c>
      <c r="D5634" t="str">
        <f>IFERROR(VLOOKUP(C5634,APOYO!J:K,2,FALSE),C5634)</f>
        <v>PÁEZ</v>
      </c>
      <c r="E5634" s="7">
        <v>2020</v>
      </c>
      <c r="H5634">
        <v>3</v>
      </c>
    </row>
    <row r="5635" spans="1:8" x14ac:dyDescent="0.25">
      <c r="A5635" t="str">
        <f>_xlfn.XLOOKUP(C5635, 'Códigos DANE Municipios'!$B$2:$B$1123, 'Códigos DANE Municipios'!$A$2:$A$1123, "No encontrado")</f>
        <v>20517</v>
      </c>
      <c r="B5635" t="str">
        <f>IFERROR(VLOOKUP(D5635,APOYO!K:L,2,FALSE),A5635)</f>
        <v>20517</v>
      </c>
      <c r="C5635" t="s">
        <v>840</v>
      </c>
      <c r="D5635" t="str">
        <f>IFERROR(VLOOKUP(C5635,APOYO!J:K,2,FALSE),C5635)</f>
        <v>PAILITAS</v>
      </c>
      <c r="E5635" s="7">
        <v>2020</v>
      </c>
      <c r="H5635">
        <v>1</v>
      </c>
    </row>
    <row r="5636" spans="1:8" x14ac:dyDescent="0.25">
      <c r="A5636" t="str">
        <f>_xlfn.XLOOKUP(C5636, 'Códigos DANE Municipios'!$B$2:$B$1123, 'Códigos DANE Municipios'!$A$2:$A$1123, "No encontrado")</f>
        <v>15516</v>
      </c>
      <c r="B5636" t="str">
        <f>IFERROR(VLOOKUP(D5636,APOYO!K:L,2,FALSE),A5636)</f>
        <v>15516</v>
      </c>
      <c r="C5636" t="s">
        <v>528</v>
      </c>
      <c r="D5636" t="str">
        <f>IFERROR(VLOOKUP(C5636,APOYO!J:K,2,FALSE),C5636)</f>
        <v>PAIPA</v>
      </c>
      <c r="E5636" s="7">
        <v>2020</v>
      </c>
      <c r="F5636">
        <v>18</v>
      </c>
      <c r="H5636">
        <v>233</v>
      </c>
    </row>
    <row r="5637" spans="1:8" x14ac:dyDescent="0.25">
      <c r="A5637" t="str">
        <f>_xlfn.XLOOKUP(C5637, 'Códigos DANE Municipios'!$B$2:$B$1123, 'Códigos DANE Municipios'!$A$2:$A$1123, "No encontrado")</f>
        <v>41524</v>
      </c>
      <c r="B5637" t="str">
        <f>IFERROR(VLOOKUP(D5637,APOYO!K:L,2,FALSE),A5637)</f>
        <v>41524</v>
      </c>
      <c r="C5637" t="s">
        <v>1242</v>
      </c>
      <c r="D5637" t="str">
        <f>IFERROR(VLOOKUP(C5637,APOYO!J:K,2,FALSE),C5637)</f>
        <v>PALERMO</v>
      </c>
      <c r="E5637" s="7">
        <v>2020</v>
      </c>
      <c r="H5637">
        <v>2</v>
      </c>
    </row>
    <row r="5638" spans="1:8" x14ac:dyDescent="0.25">
      <c r="A5638" t="str">
        <f>_xlfn.XLOOKUP(C5638, 'Códigos DANE Municipios'!$B$2:$B$1123, 'Códigos DANE Municipios'!$A$2:$A$1123, "No encontrado")</f>
        <v>17524</v>
      </c>
      <c r="B5638" t="str">
        <f>IFERROR(VLOOKUP(D5638,APOYO!K:L,2,FALSE),A5638)</f>
        <v>17524</v>
      </c>
      <c r="C5638" t="s">
        <v>676</v>
      </c>
      <c r="D5638" t="str">
        <f>IFERROR(VLOOKUP(C5638,APOYO!J:K,2,FALSE),C5638)</f>
        <v>PALESTINA</v>
      </c>
      <c r="E5638" s="7">
        <v>2020</v>
      </c>
      <c r="H5638">
        <v>19</v>
      </c>
    </row>
    <row r="5639" spans="1:8" x14ac:dyDescent="0.25">
      <c r="A5639" t="str">
        <f>_xlfn.XLOOKUP(C5639, 'Códigos DANE Municipios'!$B$2:$B$1123, 'Códigos DANE Municipios'!$A$2:$A$1123, "No encontrado")</f>
        <v>08520</v>
      </c>
      <c r="B5639" t="str">
        <f>IFERROR(VLOOKUP(D5639,APOYO!K:L,2,FALSE),A5639)</f>
        <v>08520</v>
      </c>
      <c r="C5639" t="s">
        <v>280</v>
      </c>
      <c r="D5639" t="str">
        <f>IFERROR(VLOOKUP(C5639,APOYO!J:K,2,FALSE),C5639)</f>
        <v>PALMAR DE VARELA</v>
      </c>
      <c r="E5639" s="7">
        <v>2020</v>
      </c>
      <c r="H5639">
        <v>16</v>
      </c>
    </row>
    <row r="5640" spans="1:8" x14ac:dyDescent="0.25">
      <c r="A5640" t="str">
        <f>_xlfn.XLOOKUP(C5640, 'Códigos DANE Municipios'!$B$2:$B$1123, 'Códigos DANE Municipios'!$A$2:$A$1123, "No encontrado")</f>
        <v>68524</v>
      </c>
      <c r="B5640" t="str">
        <f>IFERROR(VLOOKUP(D5640,APOYO!K:L,2,FALSE),A5640)</f>
        <v>68524</v>
      </c>
      <c r="C5640" t="s">
        <v>1762</v>
      </c>
      <c r="D5640" t="str">
        <f>IFERROR(VLOOKUP(C5640,APOYO!J:K,2,FALSE),C5640)</f>
        <v>PALMAS DEL SOCORRO</v>
      </c>
      <c r="E5640" s="7">
        <v>2020</v>
      </c>
    </row>
    <row r="5641" spans="1:8" x14ac:dyDescent="0.25">
      <c r="A5641" t="str">
        <f>_xlfn.XLOOKUP(C5641, 'Códigos DANE Municipios'!$B$2:$B$1123, 'Códigos DANE Municipios'!$A$2:$A$1123, "No encontrado")</f>
        <v>76520</v>
      </c>
      <c r="B5641" t="str">
        <f>IFERROR(VLOOKUP(D5641,APOYO!K:L,2,FALSE),A5641)</f>
        <v>76520</v>
      </c>
      <c r="C5641" t="s">
        <v>2004</v>
      </c>
      <c r="D5641" t="str">
        <f>IFERROR(VLOOKUP(C5641,APOYO!J:K,2,FALSE),C5641)</f>
        <v>PALMIRA</v>
      </c>
      <c r="E5641" s="7">
        <v>2020</v>
      </c>
      <c r="H5641">
        <v>1785</v>
      </c>
    </row>
    <row r="5642" spans="1:8" x14ac:dyDescent="0.25">
      <c r="A5642" t="str">
        <f>_xlfn.XLOOKUP(C5642, 'Códigos DANE Municipios'!$B$2:$B$1123, 'Códigos DANE Municipios'!$A$2:$A$1123, "No encontrado")</f>
        <v>73520</v>
      </c>
      <c r="B5642" t="str">
        <f>IFERROR(VLOOKUP(D5642,APOYO!K:L,2,FALSE),A5642)</f>
        <v>73520</v>
      </c>
      <c r="C5642" t="s">
        <v>1925</v>
      </c>
      <c r="D5642" t="str">
        <f>IFERROR(VLOOKUP(C5642,APOYO!J:K,2,FALSE),C5642)</f>
        <v>PALOCABILDO</v>
      </c>
      <c r="E5642" s="7">
        <v>2020</v>
      </c>
      <c r="H5642">
        <v>1</v>
      </c>
    </row>
    <row r="5643" spans="1:8" x14ac:dyDescent="0.25">
      <c r="A5643" t="str">
        <f>_xlfn.XLOOKUP(C5643, 'Códigos DANE Municipios'!$B$2:$B$1123, 'Códigos DANE Municipios'!$A$2:$A$1123, "No encontrado")</f>
        <v>54518</v>
      </c>
      <c r="B5643" t="str">
        <f>IFERROR(VLOOKUP(D5643,APOYO!K:L,2,FALSE),A5643)</f>
        <v>54518</v>
      </c>
      <c r="C5643" t="s">
        <v>1579</v>
      </c>
      <c r="D5643" t="str">
        <f>IFERROR(VLOOKUP(C5643,APOYO!J:K,2,FALSE),C5643)</f>
        <v>PAMPLONA</v>
      </c>
      <c r="E5643" s="7">
        <v>2020</v>
      </c>
      <c r="H5643">
        <v>62</v>
      </c>
    </row>
    <row r="5644" spans="1:8" x14ac:dyDescent="0.25">
      <c r="A5644" t="str">
        <f>_xlfn.XLOOKUP(C5644, 'Códigos DANE Municipios'!$B$2:$B$1123, 'Códigos DANE Municipios'!$A$2:$A$1123, "No encontrado")</f>
        <v>54520</v>
      </c>
      <c r="B5644" t="str">
        <f>IFERROR(VLOOKUP(D5644,APOYO!K:L,2,FALSE),A5644)</f>
        <v>54520</v>
      </c>
      <c r="C5644" t="s">
        <v>1581</v>
      </c>
      <c r="D5644" t="str">
        <f>IFERROR(VLOOKUP(C5644,APOYO!J:K,2,FALSE),C5644)</f>
        <v>PAMPLONITA</v>
      </c>
      <c r="E5644" s="7">
        <v>2020</v>
      </c>
      <c r="H5644">
        <v>1</v>
      </c>
    </row>
    <row r="5645" spans="1:8" x14ac:dyDescent="0.25">
      <c r="A5645" t="str">
        <f>_xlfn.XLOOKUP(C5645, 'Códigos DANE Municipios'!$B$2:$B$1123, 'Códigos DANE Municipios'!$A$2:$A$1123, "No encontrado")</f>
        <v>25524</v>
      </c>
      <c r="B5645" t="str">
        <f>IFERROR(VLOOKUP(D5645,APOYO!K:L,2,FALSE),A5645)</f>
        <v>25524</v>
      </c>
      <c r="C5645" t="s">
        <v>1043</v>
      </c>
      <c r="D5645" t="str">
        <f>IFERROR(VLOOKUP(C5645,APOYO!J:K,2,FALSE),C5645)</f>
        <v>PANDI</v>
      </c>
      <c r="E5645" s="7">
        <v>2020</v>
      </c>
      <c r="H5645">
        <v>2</v>
      </c>
    </row>
    <row r="5646" spans="1:8" x14ac:dyDescent="0.25">
      <c r="A5646" t="str">
        <f>_xlfn.XLOOKUP(C5646, 'Códigos DANE Municipios'!$B$2:$B$1123, 'Códigos DANE Municipios'!$A$2:$A$1123, "No encontrado")</f>
        <v>68533</v>
      </c>
      <c r="B5646" t="str">
        <f>IFERROR(VLOOKUP(D5646,APOYO!K:L,2,FALSE),A5646)</f>
        <v>68533</v>
      </c>
      <c r="C5646" t="s">
        <v>1764</v>
      </c>
      <c r="D5646" t="str">
        <f>IFERROR(VLOOKUP(C5646,APOYO!J:K,2,FALSE),C5646)</f>
        <v>PÁRAMO</v>
      </c>
      <c r="E5646" s="7">
        <v>2020</v>
      </c>
    </row>
    <row r="5647" spans="1:8" x14ac:dyDescent="0.25">
      <c r="A5647" t="s">
        <v>531</v>
      </c>
      <c r="B5647" t="s">
        <v>531</v>
      </c>
      <c r="C5647" t="s">
        <v>532</v>
      </c>
      <c r="D5647" t="str">
        <f>IFERROR(VLOOKUP(C5647,APOYO!J:K,2,FALSE),C5647)</f>
        <v>PANQUEBA</v>
      </c>
      <c r="E5647" s="7">
        <v>2020</v>
      </c>
      <c r="H5647">
        <v>1</v>
      </c>
    </row>
    <row r="5648" spans="1:8" x14ac:dyDescent="0.25">
      <c r="A5648" t="str">
        <f>_xlfn.XLOOKUP(C5648, 'Códigos DANE Municipios'!$B$2:$B$1123, 'Códigos DANE Municipios'!$A$2:$A$1123, "No encontrado")</f>
        <v>25530</v>
      </c>
      <c r="B5648" t="str">
        <f>IFERROR(VLOOKUP(D5648,APOYO!K:L,2,FALSE),A5648)</f>
        <v>25530</v>
      </c>
      <c r="C5648" t="s">
        <v>1045</v>
      </c>
      <c r="D5648" t="str">
        <f>IFERROR(VLOOKUP(C5648,APOYO!J:K,2,FALSE),C5648)</f>
        <v>PARATEBUENO</v>
      </c>
      <c r="E5648" s="7">
        <v>2020</v>
      </c>
      <c r="F5648">
        <v>10</v>
      </c>
    </row>
    <row r="5649" spans="1:9" x14ac:dyDescent="0.25">
      <c r="A5649" t="str">
        <f>_xlfn.XLOOKUP(C5649, 'Códigos DANE Municipios'!$B$2:$B$1123, 'Códigos DANE Municipios'!$A$2:$A$1123, "No encontrado")</f>
        <v>25535</v>
      </c>
      <c r="B5649" t="str">
        <f>IFERROR(VLOOKUP(D5649,APOYO!K:L,2,FALSE),A5649)</f>
        <v>25535</v>
      </c>
      <c r="C5649" t="s">
        <v>1047</v>
      </c>
      <c r="D5649" t="str">
        <f>IFERROR(VLOOKUP(C5649,APOYO!J:K,2,FALSE),C5649)</f>
        <v>PASCA</v>
      </c>
      <c r="E5649" s="7">
        <v>2020</v>
      </c>
      <c r="H5649">
        <v>2</v>
      </c>
    </row>
    <row r="5650" spans="1:9" x14ac:dyDescent="0.25">
      <c r="A5650" t="str">
        <f>_xlfn.XLOOKUP(C5650, 'Códigos DANE Municipios'!$B$2:$B$1123, 'Códigos DANE Municipios'!$A$2:$A$1123, "No encontrado")</f>
        <v>52001</v>
      </c>
      <c r="B5650" t="str">
        <f>IFERROR(VLOOKUP(D5650,APOYO!K:L,2,FALSE),A5650)</f>
        <v>52001</v>
      </c>
      <c r="C5650" t="s">
        <v>1412</v>
      </c>
      <c r="D5650" t="str">
        <f>IFERROR(VLOOKUP(C5650,APOYO!J:K,2,FALSE),C5650)</f>
        <v>PASTO</v>
      </c>
      <c r="E5650" s="7">
        <v>2020</v>
      </c>
      <c r="F5650">
        <v>56528</v>
      </c>
      <c r="G5650">
        <v>938</v>
      </c>
      <c r="H5650">
        <v>1687</v>
      </c>
      <c r="I5650">
        <v>4575</v>
      </c>
    </row>
    <row r="5651" spans="1:9" x14ac:dyDescent="0.25">
      <c r="A5651" t="str">
        <f>_xlfn.XLOOKUP(C5651, 'Códigos DANE Municipios'!$B$2:$B$1123, 'Códigos DANE Municipios'!$A$2:$A$1123, "No encontrado")</f>
        <v>19532</v>
      </c>
      <c r="B5651" t="str">
        <f>IFERROR(VLOOKUP(D5651,APOYO!K:L,2,FALSE),A5651)</f>
        <v>19532</v>
      </c>
      <c r="C5651" t="s">
        <v>773</v>
      </c>
      <c r="D5651" t="str">
        <f>IFERROR(VLOOKUP(C5651,APOYO!J:K,2,FALSE),C5651)</f>
        <v>PATÍA</v>
      </c>
      <c r="E5651" s="7">
        <v>2020</v>
      </c>
      <c r="H5651">
        <v>3</v>
      </c>
    </row>
    <row r="5652" spans="1:9" x14ac:dyDescent="0.25">
      <c r="A5652" t="str">
        <f>_xlfn.XLOOKUP(C5652, 'Códigos DANE Municipios'!$B$2:$B$1123, 'Códigos DANE Municipios'!$A$2:$A$1123, "No encontrado")</f>
        <v>15531</v>
      </c>
      <c r="B5652" t="str">
        <f>IFERROR(VLOOKUP(D5652,APOYO!K:L,2,FALSE),A5652)</f>
        <v>15531</v>
      </c>
      <c r="C5652" t="s">
        <v>534</v>
      </c>
      <c r="D5652" t="str">
        <f>IFERROR(VLOOKUP(C5652,APOYO!J:K,2,FALSE),C5652)</f>
        <v>PAUNA</v>
      </c>
      <c r="E5652" s="7">
        <v>2020</v>
      </c>
      <c r="H5652">
        <v>2</v>
      </c>
    </row>
    <row r="5653" spans="1:9" x14ac:dyDescent="0.25">
      <c r="A5653" t="str">
        <f>_xlfn.XLOOKUP(C5653, 'Códigos DANE Municipios'!$B$2:$B$1123, 'Códigos DANE Municipios'!$A$2:$A$1123, "No encontrado")</f>
        <v>15533</v>
      </c>
      <c r="B5653" t="str">
        <f>IFERROR(VLOOKUP(D5653,APOYO!K:L,2,FALSE),A5653)</f>
        <v>15533</v>
      </c>
      <c r="C5653" t="s">
        <v>536</v>
      </c>
      <c r="D5653" t="str">
        <f>IFERROR(VLOOKUP(C5653,APOYO!J:K,2,FALSE),C5653)</f>
        <v>PAYA</v>
      </c>
      <c r="E5653" s="7">
        <v>2020</v>
      </c>
    </row>
    <row r="5654" spans="1:9" x14ac:dyDescent="0.25">
      <c r="A5654" t="str">
        <f>_xlfn.XLOOKUP(C5654, 'Códigos DANE Municipios'!$B$2:$B$1123, 'Códigos DANE Municipios'!$A$2:$A$1123, "No encontrado")</f>
        <v>85250</v>
      </c>
      <c r="B5654" t="str">
        <f>IFERROR(VLOOKUP(D5654,APOYO!K:L,2,FALSE),A5654)</f>
        <v>85250</v>
      </c>
      <c r="C5654" t="s">
        <v>2066</v>
      </c>
      <c r="D5654" t="str">
        <f>IFERROR(VLOOKUP(C5654,APOYO!J:K,2,FALSE),C5654)</f>
        <v>PAZ DE ARIPORO</v>
      </c>
      <c r="E5654" s="7">
        <v>2020</v>
      </c>
      <c r="F5654">
        <v>426</v>
      </c>
      <c r="H5654">
        <v>9</v>
      </c>
    </row>
    <row r="5655" spans="1:9" x14ac:dyDescent="0.25">
      <c r="A5655" t="str">
        <f>_xlfn.XLOOKUP(C5655, 'Códigos DANE Municipios'!$B$2:$B$1123, 'Códigos DANE Municipios'!$A$2:$A$1123, "No encontrado")</f>
        <v>15537</v>
      </c>
      <c r="B5655" t="str">
        <f>IFERROR(VLOOKUP(D5655,APOYO!K:L,2,FALSE),A5655)</f>
        <v>15537</v>
      </c>
      <c r="C5655" t="s">
        <v>538</v>
      </c>
      <c r="D5655" t="str">
        <f>IFERROR(VLOOKUP(C5655,APOYO!J:K,2,FALSE),C5655)</f>
        <v>PAZ DE RÍO</v>
      </c>
      <c r="E5655" s="7">
        <v>2020</v>
      </c>
      <c r="H5655">
        <v>1</v>
      </c>
    </row>
    <row r="5656" spans="1:9" x14ac:dyDescent="0.25">
      <c r="A5656" t="str">
        <f>_xlfn.XLOOKUP(C5656, 'Códigos DANE Municipios'!$B$2:$B$1123, 'Códigos DANE Municipios'!$A$2:$A$1123, "No encontrado")</f>
        <v>20550</v>
      </c>
      <c r="B5656" t="str">
        <f>IFERROR(VLOOKUP(D5656,APOYO!K:L,2,FALSE),A5656)</f>
        <v>20550</v>
      </c>
      <c r="C5656" t="s">
        <v>842</v>
      </c>
      <c r="D5656" t="str">
        <f>IFERROR(VLOOKUP(C5656,APOYO!J:K,2,FALSE),C5656)</f>
        <v>PELAYA</v>
      </c>
      <c r="E5656" s="7">
        <v>2020</v>
      </c>
    </row>
    <row r="5657" spans="1:9" x14ac:dyDescent="0.25">
      <c r="A5657" t="str">
        <f>_xlfn.XLOOKUP(C5657, 'Códigos DANE Municipios'!$B$2:$B$1123, 'Códigos DANE Municipios'!$A$2:$A$1123, "No encontrado")</f>
        <v>17541</v>
      </c>
      <c r="B5657" t="str">
        <f>IFERROR(VLOOKUP(D5657,APOYO!K:L,2,FALSE),A5657)</f>
        <v>17541</v>
      </c>
      <c r="C5657" t="s">
        <v>678</v>
      </c>
      <c r="D5657" t="str">
        <f>IFERROR(VLOOKUP(C5657,APOYO!J:K,2,FALSE),C5657)</f>
        <v>PENSILVANIA</v>
      </c>
      <c r="E5657" s="7">
        <v>2020</v>
      </c>
      <c r="H5657">
        <v>5</v>
      </c>
    </row>
    <row r="5658" spans="1:9" x14ac:dyDescent="0.25">
      <c r="A5658" t="str">
        <f>_xlfn.XLOOKUP(C5658, 'Códigos DANE Municipios'!$B$2:$B$1123, 'Códigos DANE Municipios'!$A$2:$A$1123, "No encontrado")</f>
        <v>05541</v>
      </c>
      <c r="B5658" t="str">
        <f>IFERROR(VLOOKUP(D5658,APOYO!K:L,2,FALSE),A5658)</f>
        <v>05541</v>
      </c>
      <c r="C5658" t="s">
        <v>164</v>
      </c>
      <c r="D5658" t="str">
        <f>IFERROR(VLOOKUP(C5658,APOYO!J:K,2,FALSE),C5658)</f>
        <v>PEÑOL</v>
      </c>
      <c r="E5658" s="7">
        <v>2020</v>
      </c>
      <c r="H5658">
        <v>78</v>
      </c>
    </row>
    <row r="5659" spans="1:9" x14ac:dyDescent="0.25">
      <c r="A5659" t="str">
        <f>_xlfn.XLOOKUP(C5659, 'Códigos DANE Municipios'!$B$2:$B$1123, 'Códigos DANE Municipios'!$A$2:$A$1123, "No encontrado")</f>
        <v>66001</v>
      </c>
      <c r="B5659" t="str">
        <f>IFERROR(VLOOKUP(D5659,APOYO!K:L,2,FALSE),A5659)</f>
        <v>66001</v>
      </c>
      <c r="C5659" t="s">
        <v>1628</v>
      </c>
      <c r="D5659" t="str">
        <f>IFERROR(VLOOKUP(C5659,APOYO!J:K,2,FALSE),C5659)</f>
        <v>PEREIRA</v>
      </c>
      <c r="E5659" s="7">
        <v>2020</v>
      </c>
      <c r="F5659">
        <v>261816</v>
      </c>
      <c r="G5659">
        <v>35823</v>
      </c>
      <c r="H5659">
        <v>8283</v>
      </c>
      <c r="I5659">
        <v>2371</v>
      </c>
    </row>
    <row r="5660" spans="1:9" x14ac:dyDescent="0.25">
      <c r="A5660" t="str">
        <f>_xlfn.XLOOKUP(C5660, 'Códigos DANE Municipios'!$B$2:$B$1123, 'Códigos DANE Municipios'!$A$2:$A$1123, "No encontrado")</f>
        <v>15542</v>
      </c>
      <c r="B5660" t="str">
        <f>IFERROR(VLOOKUP(D5660,APOYO!K:L,2,FALSE),A5660)</f>
        <v>15542</v>
      </c>
      <c r="C5660" t="s">
        <v>540</v>
      </c>
      <c r="D5660" t="str">
        <f>IFERROR(VLOOKUP(C5660,APOYO!J:K,2,FALSE),C5660)</f>
        <v>PESCA</v>
      </c>
      <c r="E5660" s="7">
        <v>2020</v>
      </c>
      <c r="I5660">
        <v>3</v>
      </c>
    </row>
    <row r="5661" spans="1:9" x14ac:dyDescent="0.25">
      <c r="A5661" t="str">
        <f>_xlfn.XLOOKUP(C5661, 'Códigos DANE Municipios'!$B$2:$B$1123, 'Códigos DANE Municipios'!$A$2:$A$1123, "No encontrado")</f>
        <v>19533</v>
      </c>
      <c r="B5661" t="str">
        <f>IFERROR(VLOOKUP(D5661,APOYO!K:L,2,FALSE),A5661)</f>
        <v>19533</v>
      </c>
      <c r="C5661" t="s">
        <v>775</v>
      </c>
      <c r="D5661" t="str">
        <f>IFERROR(VLOOKUP(C5661,APOYO!J:K,2,FALSE),C5661)</f>
        <v>PIAMONTE</v>
      </c>
      <c r="E5661" s="7">
        <v>2020</v>
      </c>
      <c r="I5661">
        <v>1</v>
      </c>
    </row>
    <row r="5662" spans="1:9" x14ac:dyDescent="0.25">
      <c r="A5662" t="str">
        <f>_xlfn.XLOOKUP(C5662, 'Códigos DANE Municipios'!$B$2:$B$1123, 'Códigos DANE Municipios'!$A$2:$A$1123, "No encontrado")</f>
        <v>68547</v>
      </c>
      <c r="B5662" t="str">
        <f>IFERROR(VLOOKUP(D5662,APOYO!K:L,2,FALSE),A5662)</f>
        <v>68547</v>
      </c>
      <c r="C5662" t="s">
        <v>1766</v>
      </c>
      <c r="D5662" t="str">
        <f>IFERROR(VLOOKUP(C5662,APOYO!J:K,2,FALSE),C5662)</f>
        <v>PIEDECUESTA</v>
      </c>
      <c r="E5662" s="7">
        <v>2020</v>
      </c>
      <c r="I5662">
        <v>153</v>
      </c>
    </row>
    <row r="5663" spans="1:9" x14ac:dyDescent="0.25">
      <c r="A5663" t="str">
        <f>_xlfn.XLOOKUP(C5663, 'Códigos DANE Municipios'!$B$2:$B$1123, 'Códigos DANE Municipios'!$A$2:$A$1123, "No encontrado")</f>
        <v>73547</v>
      </c>
      <c r="B5663" t="str">
        <f>IFERROR(VLOOKUP(D5663,APOYO!K:L,2,FALSE),A5663)</f>
        <v>73547</v>
      </c>
      <c r="C5663" t="s">
        <v>1927</v>
      </c>
      <c r="D5663" t="str">
        <f>IFERROR(VLOOKUP(C5663,APOYO!J:K,2,FALSE),C5663)</f>
        <v>PIEDRAS</v>
      </c>
      <c r="E5663" s="7">
        <v>2020</v>
      </c>
    </row>
    <row r="5664" spans="1:9" x14ac:dyDescent="0.25">
      <c r="A5664" t="str">
        <f>_xlfn.XLOOKUP(C5664, 'Códigos DANE Municipios'!$B$2:$B$1123, 'Códigos DANE Municipios'!$A$2:$A$1123, "No encontrado")</f>
        <v>19548</v>
      </c>
      <c r="B5664" t="str">
        <f>IFERROR(VLOOKUP(D5664,APOYO!K:L,2,FALSE),A5664)</f>
        <v>19548</v>
      </c>
      <c r="C5664" t="s">
        <v>777</v>
      </c>
      <c r="D5664" t="str">
        <f>IFERROR(VLOOKUP(C5664,APOYO!J:K,2,FALSE),C5664)</f>
        <v>PIENDAMÓ</v>
      </c>
      <c r="E5664" s="7">
        <v>2020</v>
      </c>
      <c r="I5664">
        <v>12</v>
      </c>
    </row>
    <row r="5665" spans="1:9" x14ac:dyDescent="0.25">
      <c r="A5665" t="str">
        <f>_xlfn.XLOOKUP(C5665, 'Códigos DANE Municipios'!$B$2:$B$1123, 'Códigos DANE Municipios'!$A$2:$A$1123, "No encontrado")</f>
        <v>63548</v>
      </c>
      <c r="B5665" t="str">
        <f>IFERROR(VLOOKUP(D5665,APOYO!K:L,2,FALSE),A5665)</f>
        <v>63548</v>
      </c>
      <c r="C5665" t="s">
        <v>1622</v>
      </c>
      <c r="D5665" t="str">
        <f>IFERROR(VLOOKUP(C5665,APOYO!J:K,2,FALSE),C5665)</f>
        <v>PIJAO</v>
      </c>
      <c r="E5665" s="7">
        <v>2020</v>
      </c>
      <c r="I5665">
        <v>14</v>
      </c>
    </row>
    <row r="5666" spans="1:9" x14ac:dyDescent="0.25">
      <c r="A5666" t="str">
        <f>_xlfn.XLOOKUP(C5666, 'Códigos DANE Municipios'!$B$2:$B$1123, 'Códigos DANE Municipios'!$A$2:$A$1123, "No encontrado")</f>
        <v>68549</v>
      </c>
      <c r="B5666" t="str">
        <f>IFERROR(VLOOKUP(D5666,APOYO!K:L,2,FALSE),A5666)</f>
        <v>68549</v>
      </c>
      <c r="C5666" t="s">
        <v>1768</v>
      </c>
      <c r="D5666" t="str">
        <f>IFERROR(VLOOKUP(C5666,APOYO!J:K,2,FALSE),C5666)</f>
        <v>PINCHOTE</v>
      </c>
      <c r="E5666" s="7">
        <v>2020</v>
      </c>
      <c r="I5666">
        <v>1</v>
      </c>
    </row>
    <row r="5667" spans="1:9" x14ac:dyDescent="0.25">
      <c r="A5667" t="str">
        <f>_xlfn.XLOOKUP(C5667, 'Códigos DANE Municipios'!$B$2:$B$1123, 'Códigos DANE Municipios'!$A$2:$A$1123, "No encontrado")</f>
        <v>08549</v>
      </c>
      <c r="B5667" t="str">
        <f>IFERROR(VLOOKUP(D5667,APOYO!K:L,2,FALSE),A5667)</f>
        <v>08549</v>
      </c>
      <c r="C5667" t="s">
        <v>282</v>
      </c>
      <c r="D5667" t="str">
        <f>IFERROR(VLOOKUP(C5667,APOYO!J:K,2,FALSE),C5667)</f>
        <v>PIOJÓ</v>
      </c>
      <c r="E5667" s="7">
        <v>2020</v>
      </c>
    </row>
    <row r="5668" spans="1:9" x14ac:dyDescent="0.25">
      <c r="A5668" t="str">
        <f>_xlfn.XLOOKUP(C5668, 'Códigos DANE Municipios'!$B$2:$B$1123, 'Códigos DANE Municipios'!$A$2:$A$1123, "No encontrado")</f>
        <v>41548</v>
      </c>
      <c r="B5668" t="str">
        <f>IFERROR(VLOOKUP(D5668,APOYO!K:L,2,FALSE),A5668)</f>
        <v>41548</v>
      </c>
      <c r="C5668" t="s">
        <v>1245</v>
      </c>
      <c r="D5668" t="str">
        <f>IFERROR(VLOOKUP(C5668,APOYO!J:K,2,FALSE),C5668)</f>
        <v>PITAL</v>
      </c>
      <c r="E5668" s="7">
        <v>2020</v>
      </c>
      <c r="I5668">
        <v>7</v>
      </c>
    </row>
    <row r="5669" spans="1:9" x14ac:dyDescent="0.25">
      <c r="A5669" t="str">
        <f>_xlfn.XLOOKUP(C5669, 'Códigos DANE Municipios'!$B$2:$B$1123, 'Códigos DANE Municipios'!$A$2:$A$1123, "No encontrado")</f>
        <v>41551</v>
      </c>
      <c r="B5669" t="str">
        <f>IFERROR(VLOOKUP(D5669,APOYO!K:L,2,FALSE),A5669)</f>
        <v>41551</v>
      </c>
      <c r="C5669" t="s">
        <v>1247</v>
      </c>
      <c r="D5669" t="str">
        <f>IFERROR(VLOOKUP(C5669,APOYO!J:K,2,FALSE),C5669)</f>
        <v>PITALITO</v>
      </c>
      <c r="E5669" s="7">
        <v>2020</v>
      </c>
      <c r="F5669">
        <v>3582</v>
      </c>
      <c r="I5669">
        <v>221</v>
      </c>
    </row>
    <row r="5670" spans="1:9" x14ac:dyDescent="0.25">
      <c r="A5670" t="str">
        <f>_xlfn.XLOOKUP(C5670, 'Códigos DANE Municipios'!$B$2:$B$1123, 'Códigos DANE Municipios'!$A$2:$A$1123, "No encontrado")</f>
        <v>47551</v>
      </c>
      <c r="B5670" t="str">
        <f>IFERROR(VLOOKUP(D5670,APOYO!K:L,2,FALSE),A5670)</f>
        <v>47551</v>
      </c>
      <c r="C5670" t="s">
        <v>1331</v>
      </c>
      <c r="D5670" t="str">
        <f>IFERROR(VLOOKUP(C5670,APOYO!J:K,2,FALSE),C5670)</f>
        <v>PIVIJAY</v>
      </c>
      <c r="E5670" s="7">
        <v>2020</v>
      </c>
      <c r="I5670">
        <v>2</v>
      </c>
    </row>
    <row r="5671" spans="1:9" x14ac:dyDescent="0.25">
      <c r="A5671" t="str">
        <f>_xlfn.XLOOKUP(C5671, 'Códigos DANE Municipios'!$B$2:$B$1123, 'Códigos DANE Municipios'!$A$2:$A$1123, "No encontrado")</f>
        <v>73555</v>
      </c>
      <c r="B5671" t="str">
        <f>IFERROR(VLOOKUP(D5671,APOYO!K:L,2,FALSE),A5671)</f>
        <v>73555</v>
      </c>
      <c r="C5671" t="s">
        <v>1929</v>
      </c>
      <c r="D5671" t="str">
        <f>IFERROR(VLOOKUP(C5671,APOYO!J:K,2,FALSE),C5671)</f>
        <v>PLANADAS</v>
      </c>
      <c r="E5671" s="7">
        <v>2020</v>
      </c>
      <c r="F5671">
        <v>16</v>
      </c>
      <c r="I5671">
        <v>6</v>
      </c>
    </row>
    <row r="5672" spans="1:9" x14ac:dyDescent="0.25">
      <c r="A5672" t="str">
        <f>_xlfn.XLOOKUP(C5672, 'Códigos DANE Municipios'!$B$2:$B$1123, 'Códigos DANE Municipios'!$A$2:$A$1123, "No encontrado")</f>
        <v>23555</v>
      </c>
      <c r="B5672" t="str">
        <f>IFERROR(VLOOKUP(D5672,APOYO!K:L,2,FALSE),A5672)</f>
        <v>23555</v>
      </c>
      <c r="C5672" t="s">
        <v>887</v>
      </c>
      <c r="D5672" t="str">
        <f>IFERROR(VLOOKUP(C5672,APOYO!J:K,2,FALSE),C5672)</f>
        <v>PLANETA RICA</v>
      </c>
      <c r="E5672" s="7">
        <v>2020</v>
      </c>
      <c r="H5672">
        <v>23</v>
      </c>
    </row>
    <row r="5673" spans="1:9" x14ac:dyDescent="0.25">
      <c r="A5673" t="str">
        <f>_xlfn.XLOOKUP(C5673, 'Códigos DANE Municipios'!$B$2:$B$1123, 'Códigos DANE Municipios'!$A$2:$A$1123, "No encontrado")</f>
        <v>47555</v>
      </c>
      <c r="B5673" t="str">
        <f>IFERROR(VLOOKUP(D5673,APOYO!K:L,2,FALSE),A5673)</f>
        <v>47555</v>
      </c>
      <c r="C5673" t="s">
        <v>1333</v>
      </c>
      <c r="D5673" t="str">
        <f>IFERROR(VLOOKUP(C5673,APOYO!J:K,2,FALSE),C5673)</f>
        <v>PLATO</v>
      </c>
      <c r="E5673" s="7">
        <v>2020</v>
      </c>
      <c r="F5673">
        <v>3</v>
      </c>
      <c r="H5673">
        <v>1</v>
      </c>
    </row>
    <row r="5674" spans="1:9" x14ac:dyDescent="0.25">
      <c r="A5674" t="str">
        <f>_xlfn.XLOOKUP(C5674, 'Códigos DANE Municipios'!$B$2:$B$1123, 'Códigos DANE Municipios'!$A$2:$A$1123, "No encontrado")</f>
        <v>52540</v>
      </c>
      <c r="B5674" t="str">
        <f>IFERROR(VLOOKUP(D5674,APOYO!K:L,2,FALSE),A5674)</f>
        <v>52540</v>
      </c>
      <c r="C5674" t="s">
        <v>1491</v>
      </c>
      <c r="D5674" t="str">
        <f>IFERROR(VLOOKUP(C5674,APOYO!J:K,2,FALSE),C5674)</f>
        <v>POLICARPA</v>
      </c>
      <c r="E5674" s="7">
        <v>2020</v>
      </c>
      <c r="H5674">
        <v>1</v>
      </c>
    </row>
    <row r="5675" spans="1:9" x14ac:dyDescent="0.25">
      <c r="A5675" t="str">
        <f>_xlfn.XLOOKUP(C5675, 'Códigos DANE Municipios'!$B$2:$B$1123, 'Códigos DANE Municipios'!$A$2:$A$1123, "No encontrado")</f>
        <v>08558</v>
      </c>
      <c r="B5675" t="str">
        <f>IFERROR(VLOOKUP(D5675,APOYO!K:L,2,FALSE),A5675)</f>
        <v>08558</v>
      </c>
      <c r="C5675" t="s">
        <v>284</v>
      </c>
      <c r="D5675" t="str">
        <f>IFERROR(VLOOKUP(C5675,APOYO!J:K,2,FALSE),C5675)</f>
        <v>POLONUEVO</v>
      </c>
      <c r="E5675" s="7">
        <v>2020</v>
      </c>
      <c r="H5675">
        <v>6</v>
      </c>
    </row>
    <row r="5676" spans="1:9" x14ac:dyDescent="0.25">
      <c r="A5676" t="str">
        <f>_xlfn.XLOOKUP(C5676, 'Códigos DANE Municipios'!$B$2:$B$1123, 'Códigos DANE Municipios'!$A$2:$A$1123, "No encontrado")</f>
        <v>08560</v>
      </c>
      <c r="B5676" t="str">
        <f>IFERROR(VLOOKUP(D5676,APOYO!K:L,2,FALSE),A5676)</f>
        <v>08560</v>
      </c>
      <c r="C5676" t="s">
        <v>286</v>
      </c>
      <c r="D5676" t="str">
        <f>IFERROR(VLOOKUP(C5676,APOYO!J:K,2,FALSE),C5676)</f>
        <v>PONEDERA</v>
      </c>
      <c r="E5676" s="7">
        <v>2020</v>
      </c>
      <c r="H5676">
        <v>8</v>
      </c>
    </row>
    <row r="5677" spans="1:9" x14ac:dyDescent="0.25">
      <c r="A5677" t="str">
        <f>_xlfn.XLOOKUP(C5677, 'Códigos DANE Municipios'!$B$2:$B$1123, 'Códigos DANE Municipios'!$A$2:$A$1123, "No encontrado")</f>
        <v>19001</v>
      </c>
      <c r="B5677" t="str">
        <f>IFERROR(VLOOKUP(D5677,APOYO!K:L,2,FALSE),A5677)</f>
        <v>19001</v>
      </c>
      <c r="C5677" t="s">
        <v>729</v>
      </c>
      <c r="D5677" t="str">
        <f>IFERROR(VLOOKUP(C5677,APOYO!J:K,2,FALSE),C5677)</f>
        <v>POPAYÁN</v>
      </c>
      <c r="E5677" s="7">
        <v>2020</v>
      </c>
      <c r="F5677">
        <v>15405</v>
      </c>
      <c r="H5677">
        <v>1057</v>
      </c>
    </row>
    <row r="5678" spans="1:9" x14ac:dyDescent="0.25">
      <c r="A5678" t="str">
        <f>_xlfn.XLOOKUP(C5678, 'Códigos DANE Municipios'!$B$2:$B$1123, 'Códigos DANE Municipios'!$A$2:$A$1123, "No encontrado")</f>
        <v>85263</v>
      </c>
      <c r="B5678" t="str">
        <f>IFERROR(VLOOKUP(D5678,APOYO!K:L,2,FALSE),A5678)</f>
        <v>85263</v>
      </c>
      <c r="C5678" t="s">
        <v>2068</v>
      </c>
      <c r="D5678" t="str">
        <f>IFERROR(VLOOKUP(C5678,APOYO!J:K,2,FALSE),C5678)</f>
        <v>PORE</v>
      </c>
      <c r="E5678" s="7">
        <v>2020</v>
      </c>
    </row>
    <row r="5679" spans="1:9" x14ac:dyDescent="0.25">
      <c r="A5679" t="str">
        <f>_xlfn.XLOOKUP(C5679, 'Códigos DANE Municipios'!$B$2:$B$1123, 'Códigos DANE Municipios'!$A$2:$A$1123, "No encontrado")</f>
        <v>76563</v>
      </c>
      <c r="B5679" t="str">
        <f>IFERROR(VLOOKUP(D5679,APOYO!K:L,2,FALSE),A5679)</f>
        <v>76563</v>
      </c>
      <c r="C5679" t="s">
        <v>2006</v>
      </c>
      <c r="D5679" t="str">
        <f>IFERROR(VLOOKUP(C5679,APOYO!J:K,2,FALSE),C5679)</f>
        <v>PRADERA</v>
      </c>
      <c r="E5679" s="7">
        <v>2020</v>
      </c>
      <c r="H5679">
        <v>60</v>
      </c>
    </row>
    <row r="5680" spans="1:9" x14ac:dyDescent="0.25">
      <c r="A5680" t="str">
        <f>_xlfn.XLOOKUP(C5680, 'Códigos DANE Municipios'!$B$2:$B$1123, 'Códigos DANE Municipios'!$A$2:$A$1123, "No encontrado")</f>
        <v>73563</v>
      </c>
      <c r="B5680" t="str">
        <f>IFERROR(VLOOKUP(D5680,APOYO!K:L,2,FALSE),A5680)</f>
        <v>73563</v>
      </c>
      <c r="C5680" t="s">
        <v>1931</v>
      </c>
      <c r="D5680" t="str">
        <f>IFERROR(VLOOKUP(C5680,APOYO!J:K,2,FALSE),C5680)</f>
        <v>PRADO</v>
      </c>
      <c r="E5680" s="7">
        <v>2020</v>
      </c>
      <c r="H5680">
        <v>1</v>
      </c>
    </row>
    <row r="5681" spans="1:9" x14ac:dyDescent="0.25">
      <c r="A5681" t="str">
        <f>_xlfn.XLOOKUP(C5681, 'Códigos DANE Municipios'!$B$2:$B$1123, 'Códigos DANE Municipios'!$A$2:$A$1123, "No encontrado")</f>
        <v>52565</v>
      </c>
      <c r="B5681" t="str">
        <f>IFERROR(VLOOKUP(D5681,APOYO!K:L,2,FALSE),A5681)</f>
        <v>52565</v>
      </c>
      <c r="C5681" t="s">
        <v>1495</v>
      </c>
      <c r="D5681" t="str">
        <f>IFERROR(VLOOKUP(C5681,APOYO!J:K,2,FALSE),C5681)</f>
        <v>PROVIDENCIA</v>
      </c>
      <c r="E5681" s="7">
        <v>2020</v>
      </c>
      <c r="F5681">
        <v>9439</v>
      </c>
      <c r="H5681">
        <v>1212</v>
      </c>
    </row>
    <row r="5682" spans="1:9" x14ac:dyDescent="0.25">
      <c r="A5682" t="str">
        <f>_xlfn.XLOOKUP(C5682, 'Códigos DANE Municipios'!$B$2:$B$1123, 'Códigos DANE Municipios'!$A$2:$A$1123, "No encontrado")</f>
        <v>05585</v>
      </c>
      <c r="B5682" t="str">
        <f>IFERROR(VLOOKUP(D5682,APOYO!K:L,2,FALSE),A5682)</f>
        <v>05585</v>
      </c>
      <c r="C5682" t="s">
        <v>172</v>
      </c>
      <c r="D5682" t="str">
        <f>IFERROR(VLOOKUP(C5682,APOYO!J:K,2,FALSE),C5682)</f>
        <v>PUERTO NARE</v>
      </c>
      <c r="E5682" s="7">
        <v>2020</v>
      </c>
      <c r="H5682">
        <v>2</v>
      </c>
    </row>
    <row r="5683" spans="1:9" x14ac:dyDescent="0.25">
      <c r="A5683" t="str">
        <f>_xlfn.XLOOKUP(C5683, 'Códigos DANE Municipios'!$B$2:$B$1123, 'Códigos DANE Municipios'!$A$2:$A$1123, "No encontrado")</f>
        <v>23570</v>
      </c>
      <c r="B5683" t="str">
        <f>IFERROR(VLOOKUP(D5683,APOYO!K:L,2,FALSE),A5683)</f>
        <v>23570</v>
      </c>
      <c r="C5683" t="s">
        <v>889</v>
      </c>
      <c r="D5683" t="str">
        <f>IFERROR(VLOOKUP(C5683,APOYO!J:K,2,FALSE),C5683)</f>
        <v>PUEBLO NUEVO</v>
      </c>
      <c r="E5683" s="7">
        <v>2020</v>
      </c>
    </row>
    <row r="5684" spans="1:9" x14ac:dyDescent="0.25">
      <c r="A5684" t="str">
        <f>_xlfn.XLOOKUP(C5684, 'Códigos DANE Municipios'!$B$2:$B$1123, 'Códigos DANE Municipios'!$A$2:$A$1123, "No encontrado")</f>
        <v>66572</v>
      </c>
      <c r="B5684" t="str">
        <f>IFERROR(VLOOKUP(D5684,APOYO!K:L,2,FALSE),A5684)</f>
        <v>66572</v>
      </c>
      <c r="C5684" t="s">
        <v>1647</v>
      </c>
      <c r="D5684" t="str">
        <f>IFERROR(VLOOKUP(C5684,APOYO!J:K,2,FALSE),C5684)</f>
        <v>PUEBLO RICO</v>
      </c>
      <c r="E5684" s="7">
        <v>2020</v>
      </c>
      <c r="H5684">
        <v>3</v>
      </c>
    </row>
    <row r="5685" spans="1:9" x14ac:dyDescent="0.25">
      <c r="A5685" t="str">
        <f>_xlfn.XLOOKUP(C5685, 'Códigos DANE Municipios'!$B$2:$B$1123, 'Códigos DANE Municipios'!$A$2:$A$1123, "No encontrado")</f>
        <v>05576</v>
      </c>
      <c r="B5685" t="str">
        <f>IFERROR(VLOOKUP(D5685,APOYO!K:L,2,FALSE),A5685)</f>
        <v>05576</v>
      </c>
      <c r="C5685" t="s">
        <v>168</v>
      </c>
      <c r="D5685" t="str">
        <f>IFERROR(VLOOKUP(C5685,APOYO!J:K,2,FALSE),C5685)</f>
        <v>PUEBLORRICO</v>
      </c>
      <c r="E5685" s="7">
        <v>2020</v>
      </c>
      <c r="H5685">
        <v>4</v>
      </c>
    </row>
    <row r="5686" spans="1:9" x14ac:dyDescent="0.25">
      <c r="A5686" t="str">
        <f>_xlfn.XLOOKUP(C5686, 'Códigos DANE Municipios'!$B$2:$B$1123, 'Códigos DANE Municipios'!$A$2:$A$1123, "No encontrado")</f>
        <v>47570</v>
      </c>
      <c r="B5686" t="str">
        <f>IFERROR(VLOOKUP(D5686,APOYO!K:L,2,FALSE),A5686)</f>
        <v>47570</v>
      </c>
      <c r="C5686" t="s">
        <v>1335</v>
      </c>
      <c r="D5686" t="str">
        <f>IFERROR(VLOOKUP(C5686,APOYO!J:K,2,FALSE),C5686)</f>
        <v>PUEBLOVIEJO</v>
      </c>
      <c r="E5686" s="7">
        <v>2020</v>
      </c>
      <c r="H5686">
        <v>2</v>
      </c>
    </row>
    <row r="5687" spans="1:9" x14ac:dyDescent="0.25">
      <c r="A5687" t="str">
        <f>_xlfn.XLOOKUP(C5687, 'Códigos DANE Municipios'!$B$2:$B$1123, 'Códigos DANE Municipios'!$A$2:$A$1123, "No encontrado")</f>
        <v>68572</v>
      </c>
      <c r="B5687" t="str">
        <f>IFERROR(VLOOKUP(D5687,APOYO!K:L,2,FALSE),A5687)</f>
        <v>68572</v>
      </c>
      <c r="C5687" t="s">
        <v>1770</v>
      </c>
      <c r="D5687" t="str">
        <f>IFERROR(VLOOKUP(C5687,APOYO!J:K,2,FALSE),C5687)</f>
        <v>PUENTE NACIONAL</v>
      </c>
      <c r="E5687" s="7">
        <v>2020</v>
      </c>
      <c r="H5687">
        <v>6</v>
      </c>
    </row>
    <row r="5688" spans="1:9" x14ac:dyDescent="0.25">
      <c r="A5688" t="str">
        <f>_xlfn.XLOOKUP(C5688, 'Códigos DANE Municipios'!$B$2:$B$1123, 'Códigos DANE Municipios'!$A$2:$A$1123, "No encontrado")</f>
        <v>52573</v>
      </c>
      <c r="B5688" t="str">
        <f>IFERROR(VLOOKUP(D5688,APOYO!K:L,2,FALSE),A5688)</f>
        <v>52573</v>
      </c>
      <c r="C5688" t="s">
        <v>1497</v>
      </c>
      <c r="D5688" t="str">
        <f>IFERROR(VLOOKUP(C5688,APOYO!J:K,2,FALSE),C5688)</f>
        <v>PUERRES</v>
      </c>
      <c r="E5688" s="7">
        <v>2020</v>
      </c>
      <c r="H5688">
        <v>3</v>
      </c>
    </row>
    <row r="5689" spans="1:9" x14ac:dyDescent="0.25">
      <c r="A5689" t="str">
        <f>_xlfn.XLOOKUP(C5689, 'Códigos DANE Municipios'!$B$2:$B$1123, 'Códigos DANE Municipios'!$A$2:$A$1123, "No encontrado")</f>
        <v>86568</v>
      </c>
      <c r="B5689" t="str">
        <f>IFERROR(VLOOKUP(D5689,APOYO!K:L,2,FALSE),A5689)</f>
        <v>86568</v>
      </c>
      <c r="C5689" t="s">
        <v>2089</v>
      </c>
      <c r="D5689" t="str">
        <f>IFERROR(VLOOKUP(C5689,APOYO!J:K,2,FALSE),C5689)</f>
        <v>PUERTO ASÍS</v>
      </c>
      <c r="E5689" s="7">
        <v>2020</v>
      </c>
      <c r="F5689">
        <v>19185</v>
      </c>
      <c r="H5689">
        <v>173</v>
      </c>
    </row>
    <row r="5690" spans="1:9" x14ac:dyDescent="0.25">
      <c r="A5690" t="str">
        <f>_xlfn.XLOOKUP(C5690, 'Códigos DANE Municipios'!$B$2:$B$1123, 'Códigos DANE Municipios'!$A$2:$A$1123, "No encontrado")</f>
        <v>05579</v>
      </c>
      <c r="B5690" t="str">
        <f>IFERROR(VLOOKUP(D5690,APOYO!K:L,2,FALSE),A5690)</f>
        <v>05579</v>
      </c>
      <c r="C5690" t="s">
        <v>170</v>
      </c>
      <c r="D5690" t="str">
        <f>IFERROR(VLOOKUP(C5690,APOYO!J:K,2,FALSE),C5690)</f>
        <v>PUERTO BERRÍO</v>
      </c>
      <c r="E5690" s="7">
        <v>2020</v>
      </c>
      <c r="F5690">
        <v>1019</v>
      </c>
      <c r="H5690">
        <v>8</v>
      </c>
    </row>
    <row r="5691" spans="1:9" x14ac:dyDescent="0.25">
      <c r="A5691" t="str">
        <f>_xlfn.XLOOKUP(C5691, 'Códigos DANE Municipios'!$B$2:$B$1123, 'Códigos DANE Municipios'!$A$2:$A$1123, "No encontrado")</f>
        <v>15572</v>
      </c>
      <c r="B5691" t="str">
        <f>IFERROR(VLOOKUP(D5691,APOYO!K:L,2,FALSE),A5691)</f>
        <v>15572</v>
      </c>
      <c r="C5691" t="s">
        <v>544</v>
      </c>
      <c r="D5691" t="str">
        <f>IFERROR(VLOOKUP(C5691,APOYO!J:K,2,FALSE),C5691)</f>
        <v>PUERTO BOYACÁ</v>
      </c>
      <c r="E5691" s="7">
        <v>2020</v>
      </c>
      <c r="H5691">
        <v>15</v>
      </c>
    </row>
    <row r="5692" spans="1:9" x14ac:dyDescent="0.25">
      <c r="A5692" t="str">
        <f>_xlfn.XLOOKUP(C5692, 'Códigos DANE Municipios'!$B$2:$B$1123, 'Códigos DANE Municipios'!$A$2:$A$1123, "No encontrado")</f>
        <v>86569</v>
      </c>
      <c r="B5692" t="str">
        <f>IFERROR(VLOOKUP(D5692,APOYO!K:L,2,FALSE),A5692)</f>
        <v>86569</v>
      </c>
      <c r="C5692" t="s">
        <v>2091</v>
      </c>
      <c r="D5692" t="str">
        <f>IFERROR(VLOOKUP(C5692,APOYO!J:K,2,FALSE),C5692)</f>
        <v>PUERTO CAICEDO</v>
      </c>
      <c r="E5692" s="7">
        <v>2020</v>
      </c>
      <c r="H5692">
        <v>10</v>
      </c>
    </row>
    <row r="5693" spans="1:9" x14ac:dyDescent="0.25">
      <c r="A5693" t="str">
        <f>_xlfn.XLOOKUP(C5693, 'Códigos DANE Municipios'!$B$2:$B$1123, 'Códigos DANE Municipios'!$A$2:$A$1123, "No encontrado")</f>
        <v>99001</v>
      </c>
      <c r="B5693" t="str">
        <f>IFERROR(VLOOKUP(D5693,APOYO!K:L,2,FALSE),A5693)</f>
        <v>99001</v>
      </c>
      <c r="C5693" t="s">
        <v>2163</v>
      </c>
      <c r="D5693" t="str">
        <f>IFERROR(VLOOKUP(C5693,APOYO!J:K,2,FALSE),C5693)</f>
        <v>PUERTO CARREÑO</v>
      </c>
      <c r="E5693" s="7">
        <v>2020</v>
      </c>
      <c r="F5693">
        <v>10544</v>
      </c>
      <c r="H5693">
        <v>69</v>
      </c>
      <c r="I5693">
        <v>190</v>
      </c>
    </row>
    <row r="5694" spans="1:9" x14ac:dyDescent="0.25">
      <c r="A5694" t="str">
        <f>_xlfn.XLOOKUP(C5694, 'Códigos DANE Municipios'!$B$2:$B$1123, 'Códigos DANE Municipios'!$A$2:$A$1123, "No encontrado")</f>
        <v>08573</v>
      </c>
      <c r="B5694" t="str">
        <f>IFERROR(VLOOKUP(D5694,APOYO!K:L,2,FALSE),A5694)</f>
        <v>08573</v>
      </c>
      <c r="C5694" t="s">
        <v>288</v>
      </c>
      <c r="D5694" t="str">
        <f>IFERROR(VLOOKUP(C5694,APOYO!J:K,2,FALSE),C5694)</f>
        <v>PUERTO COLOMBIA</v>
      </c>
      <c r="E5694" s="7">
        <v>2020</v>
      </c>
      <c r="H5694">
        <v>138</v>
      </c>
    </row>
    <row r="5695" spans="1:9" x14ac:dyDescent="0.25">
      <c r="A5695" t="str">
        <f>_xlfn.XLOOKUP(C5695, 'Códigos DANE Municipios'!$B$2:$B$1123, 'Códigos DANE Municipios'!$A$2:$A$1123, "No encontrado")</f>
        <v>50450</v>
      </c>
      <c r="B5695" t="str">
        <f>IFERROR(VLOOKUP(D5695,APOYO!K:L,2,FALSE),A5695)</f>
        <v>50450</v>
      </c>
      <c r="C5695" t="s">
        <v>1392</v>
      </c>
      <c r="D5695" t="str">
        <f>IFERROR(VLOOKUP(C5695,APOYO!J:K,2,FALSE),C5695)</f>
        <v>PUERTO CONCORDIA</v>
      </c>
      <c r="E5695" s="7">
        <v>2020</v>
      </c>
      <c r="H5695">
        <v>10</v>
      </c>
    </row>
    <row r="5696" spans="1:9" x14ac:dyDescent="0.25">
      <c r="A5696" t="str">
        <f>_xlfn.XLOOKUP(C5696, 'Códigos DANE Municipios'!$B$2:$B$1123, 'Códigos DANE Municipios'!$A$2:$A$1123, "No encontrado")</f>
        <v>23574</v>
      </c>
      <c r="B5696" t="str">
        <f>IFERROR(VLOOKUP(D5696,APOYO!K:L,2,FALSE),A5696)</f>
        <v>23574</v>
      </c>
      <c r="C5696" t="s">
        <v>891</v>
      </c>
      <c r="D5696" t="str">
        <f>IFERROR(VLOOKUP(C5696,APOYO!J:K,2,FALSE),C5696)</f>
        <v>PUERTO ESCONDIDO</v>
      </c>
      <c r="E5696" s="7">
        <v>2020</v>
      </c>
      <c r="H5696">
        <v>3</v>
      </c>
    </row>
    <row r="5697" spans="1:8" x14ac:dyDescent="0.25">
      <c r="A5697" t="str">
        <f>_xlfn.XLOOKUP(C5697, 'Códigos DANE Municipios'!$B$2:$B$1123, 'Códigos DANE Municipios'!$A$2:$A$1123, "No encontrado")</f>
        <v>50568</v>
      </c>
      <c r="B5697" t="str">
        <f>IFERROR(VLOOKUP(D5697,APOYO!K:L,2,FALSE),A5697)</f>
        <v>50568</v>
      </c>
      <c r="C5697" t="s">
        <v>1394</v>
      </c>
      <c r="D5697" t="str">
        <f>IFERROR(VLOOKUP(C5697,APOYO!J:K,2,FALSE),C5697)</f>
        <v>PUERTO GAITÁN</v>
      </c>
      <c r="E5697" s="7">
        <v>2020</v>
      </c>
      <c r="F5697">
        <v>15504</v>
      </c>
      <c r="H5697">
        <v>406</v>
      </c>
    </row>
    <row r="5698" spans="1:8" x14ac:dyDescent="0.25">
      <c r="A5698" t="s">
        <v>2092</v>
      </c>
      <c r="B5698" t="s">
        <v>2092</v>
      </c>
      <c r="C5698" t="s">
        <v>2539</v>
      </c>
      <c r="D5698" t="str">
        <f>IFERROR(VLOOKUP(C5698,APOYO!J:K,2,FALSE),C5698)</f>
        <v>PUERTO GUZMAN</v>
      </c>
      <c r="E5698" s="7">
        <v>2020</v>
      </c>
      <c r="H5698">
        <v>1</v>
      </c>
    </row>
    <row r="5699" spans="1:8" x14ac:dyDescent="0.25">
      <c r="A5699" t="str">
        <f>_xlfn.XLOOKUP(C5699, 'Códigos DANE Municipios'!$B$2:$B$1123, 'Códigos DANE Municipios'!$A$2:$A$1123, "No encontrado")</f>
        <v>94001</v>
      </c>
      <c r="B5699" t="str">
        <f>IFERROR(VLOOKUP(D5699,APOYO!K:L,2,FALSE),A5699)</f>
        <v>94001</v>
      </c>
      <c r="C5699" t="s">
        <v>2128</v>
      </c>
      <c r="D5699" t="str">
        <f>IFERROR(VLOOKUP(C5699,APOYO!J:K,2,FALSE),C5699)</f>
        <v>INÍRIDA</v>
      </c>
      <c r="E5699" s="7">
        <v>2020</v>
      </c>
      <c r="F5699">
        <v>11911</v>
      </c>
      <c r="H5699">
        <v>39</v>
      </c>
    </row>
    <row r="5700" spans="1:8" x14ac:dyDescent="0.25">
      <c r="A5700" t="str">
        <f>_xlfn.XLOOKUP(C5700, 'Códigos DANE Municipios'!$B$2:$B$1123, 'Códigos DANE Municipios'!$A$2:$A$1123, "No encontrado")</f>
        <v>86573</v>
      </c>
      <c r="B5700" t="str">
        <f>IFERROR(VLOOKUP(D5700,APOYO!K:L,2,FALSE),A5700)</f>
        <v>86573</v>
      </c>
      <c r="C5700" t="s">
        <v>2095</v>
      </c>
      <c r="D5700" t="str">
        <f>IFERROR(VLOOKUP(C5700,APOYO!J:K,2,FALSE),C5700)</f>
        <v>PUERTO LEGUÍZAMO</v>
      </c>
      <c r="E5700" s="7">
        <v>2020</v>
      </c>
      <c r="F5700">
        <v>3634</v>
      </c>
      <c r="H5700">
        <v>327</v>
      </c>
    </row>
    <row r="5701" spans="1:8" x14ac:dyDescent="0.25">
      <c r="A5701" t="str">
        <f>_xlfn.XLOOKUP(C5701, 'Códigos DANE Municipios'!$B$2:$B$1123, 'Códigos DANE Municipios'!$A$2:$A$1123, "No encontrado")</f>
        <v>23580</v>
      </c>
      <c r="B5701" t="str">
        <f>IFERROR(VLOOKUP(D5701,APOYO!K:L,2,FALSE),A5701)</f>
        <v>23580</v>
      </c>
      <c r="C5701" t="s">
        <v>893</v>
      </c>
      <c r="D5701" t="str">
        <f>IFERROR(VLOOKUP(C5701,APOYO!J:K,2,FALSE),C5701)</f>
        <v>PUERTO LIBERTADOR</v>
      </c>
      <c r="E5701" s="7">
        <v>2020</v>
      </c>
    </row>
    <row r="5702" spans="1:8" x14ac:dyDescent="0.25">
      <c r="A5702" t="str">
        <f>_xlfn.XLOOKUP(C5702, 'Códigos DANE Municipios'!$B$2:$B$1123, 'Códigos DANE Municipios'!$A$2:$A$1123, "No encontrado")</f>
        <v>50577</v>
      </c>
      <c r="B5702" t="str">
        <f>IFERROR(VLOOKUP(D5702,APOYO!K:L,2,FALSE),A5702)</f>
        <v>50577</v>
      </c>
      <c r="C5702" t="s">
        <v>1398</v>
      </c>
      <c r="D5702" t="str">
        <f>IFERROR(VLOOKUP(C5702,APOYO!J:K,2,FALSE),C5702)</f>
        <v>PUERTO LLERAS</v>
      </c>
      <c r="E5702" s="7">
        <v>2020</v>
      </c>
      <c r="H5702">
        <v>0</v>
      </c>
    </row>
    <row r="5703" spans="1:8" x14ac:dyDescent="0.25">
      <c r="A5703" t="str">
        <f>_xlfn.XLOOKUP(C5703, 'Códigos DANE Municipios'!$B$2:$B$1123, 'Códigos DANE Municipios'!$A$2:$A$1123, "No encontrado")</f>
        <v>50573</v>
      </c>
      <c r="B5703" t="str">
        <f>IFERROR(VLOOKUP(D5703,APOYO!K:L,2,FALSE),A5703)</f>
        <v>50573</v>
      </c>
      <c r="C5703" t="s">
        <v>1396</v>
      </c>
      <c r="D5703" t="str">
        <f>IFERROR(VLOOKUP(C5703,APOYO!J:K,2,FALSE),C5703)</f>
        <v>PUERTO LÓPEZ</v>
      </c>
      <c r="E5703" s="7">
        <v>2020</v>
      </c>
      <c r="F5703">
        <v>146</v>
      </c>
      <c r="H5703">
        <v>15</v>
      </c>
    </row>
    <row r="5704" spans="1:8" x14ac:dyDescent="0.25">
      <c r="A5704" t="str">
        <f>_xlfn.XLOOKUP(C5704, 'Códigos DANE Municipios'!$B$2:$B$1123, 'Códigos DANE Municipios'!$A$2:$A$1123, "No encontrado")</f>
        <v>91540</v>
      </c>
      <c r="B5704" t="str">
        <f>IFERROR(VLOOKUP(D5704,APOYO!K:L,2,FALSE),A5704)</f>
        <v>91540</v>
      </c>
      <c r="C5704" t="s">
        <v>2123</v>
      </c>
      <c r="D5704" t="str">
        <f>IFERROR(VLOOKUP(C5704,APOYO!J:K,2,FALSE),C5704)</f>
        <v>PUERTO NARIÑO</v>
      </c>
      <c r="E5704" s="7">
        <v>2020</v>
      </c>
      <c r="H5704">
        <v>20</v>
      </c>
    </row>
    <row r="5705" spans="1:8" x14ac:dyDescent="0.25">
      <c r="A5705" t="str">
        <f>_xlfn.XLOOKUP(C5705, 'Códigos DANE Municipios'!$B$2:$B$1123, 'Códigos DANE Municipios'!$A$2:$A$1123, "No encontrado")</f>
        <v>68573</v>
      </c>
      <c r="B5705" t="str">
        <f>IFERROR(VLOOKUP(D5705,APOYO!K:L,2,FALSE),A5705)</f>
        <v>68573</v>
      </c>
      <c r="C5705" t="s">
        <v>1772</v>
      </c>
      <c r="D5705" t="str">
        <f>IFERROR(VLOOKUP(C5705,APOYO!J:K,2,FALSE),C5705)</f>
        <v>PUERTO PARRA</v>
      </c>
      <c r="E5705" s="7">
        <v>2020</v>
      </c>
    </row>
    <row r="5706" spans="1:8" x14ac:dyDescent="0.25">
      <c r="A5706" t="str">
        <f>_xlfn.XLOOKUP(C5706, 'Códigos DANE Municipios'!$B$2:$B$1123, 'Códigos DANE Municipios'!$A$2:$A$1123, "No encontrado")</f>
        <v>18592</v>
      </c>
      <c r="B5706" t="str">
        <f>IFERROR(VLOOKUP(D5706,APOYO!K:L,2,FALSE),A5706)</f>
        <v>18592</v>
      </c>
      <c r="C5706" t="s">
        <v>718</v>
      </c>
      <c r="D5706" t="str">
        <f>IFERROR(VLOOKUP(C5706,APOYO!J:K,2,FALSE),C5706)</f>
        <v>PUERTO RICO</v>
      </c>
      <c r="E5706" s="7">
        <v>2020</v>
      </c>
      <c r="F5706">
        <v>5</v>
      </c>
      <c r="H5706">
        <v>11</v>
      </c>
    </row>
    <row r="5707" spans="1:8" x14ac:dyDescent="0.25">
      <c r="A5707" t="str">
        <f>_xlfn.XLOOKUP(C5707, 'Códigos DANE Municipios'!$B$2:$B$1123, 'Códigos DANE Municipios'!$A$2:$A$1123, "No encontrado")</f>
        <v>25572</v>
      </c>
      <c r="B5707" t="str">
        <f>IFERROR(VLOOKUP(D5707,APOYO!K:L,2,FALSE),A5707)</f>
        <v>25572</v>
      </c>
      <c r="C5707" t="s">
        <v>1049</v>
      </c>
      <c r="D5707" t="str">
        <f>IFERROR(VLOOKUP(C5707,APOYO!J:K,2,FALSE),C5707)</f>
        <v>PUERTO SALGAR</v>
      </c>
      <c r="E5707" s="7">
        <v>2020</v>
      </c>
      <c r="H5707">
        <v>10</v>
      </c>
    </row>
    <row r="5708" spans="1:8" x14ac:dyDescent="0.25">
      <c r="A5708" t="str">
        <f>_xlfn.XLOOKUP(C5708, 'Códigos DANE Municipios'!$B$2:$B$1123, 'Códigos DANE Municipios'!$A$2:$A$1123, "No encontrado")</f>
        <v>54553</v>
      </c>
      <c r="B5708" t="str">
        <f>IFERROR(VLOOKUP(D5708,APOYO!K:L,2,FALSE),A5708)</f>
        <v>54553</v>
      </c>
      <c r="C5708" t="s">
        <v>1583</v>
      </c>
      <c r="D5708" t="str">
        <f>IFERROR(VLOOKUP(C5708,APOYO!J:K,2,FALSE),C5708)</f>
        <v>PUERTO SANTANDER</v>
      </c>
      <c r="E5708" s="7">
        <v>2020</v>
      </c>
      <c r="H5708">
        <v>5</v>
      </c>
    </row>
    <row r="5709" spans="1:8" x14ac:dyDescent="0.25">
      <c r="A5709" t="str">
        <f>_xlfn.XLOOKUP(C5709, 'Códigos DANE Municipios'!$B$2:$B$1123, 'Códigos DANE Municipios'!$A$2:$A$1123, "No encontrado")</f>
        <v>19573</v>
      </c>
      <c r="B5709" t="str">
        <f>IFERROR(VLOOKUP(D5709,APOYO!K:L,2,FALSE),A5709)</f>
        <v>19573</v>
      </c>
      <c r="C5709" t="s">
        <v>779</v>
      </c>
      <c r="D5709" t="str">
        <f>IFERROR(VLOOKUP(C5709,APOYO!J:K,2,FALSE),C5709)</f>
        <v>PUERTO TEJADA</v>
      </c>
      <c r="E5709" s="7">
        <v>2020</v>
      </c>
      <c r="H5709">
        <v>44</v>
      </c>
    </row>
    <row r="5710" spans="1:8" x14ac:dyDescent="0.25">
      <c r="A5710" t="str">
        <f>_xlfn.XLOOKUP(C5710, 'Códigos DANE Municipios'!$B$2:$B$1123, 'Códigos DANE Municipios'!$A$2:$A$1123, "No encontrado")</f>
        <v>05591</v>
      </c>
      <c r="B5710" t="str">
        <f>IFERROR(VLOOKUP(D5710,APOYO!K:L,2,FALSE),A5710)</f>
        <v>05591</v>
      </c>
      <c r="C5710" t="s">
        <v>174</v>
      </c>
      <c r="D5710" t="str">
        <f>IFERROR(VLOOKUP(C5710,APOYO!J:K,2,FALSE),C5710)</f>
        <v>PUERTO TRIUNFO</v>
      </c>
      <c r="E5710" s="7">
        <v>2020</v>
      </c>
      <c r="H5710">
        <v>18</v>
      </c>
    </row>
    <row r="5711" spans="1:8" x14ac:dyDescent="0.25">
      <c r="A5711" t="str">
        <f>_xlfn.XLOOKUP(C5711, 'Códigos DANE Municipios'!$B$2:$B$1123, 'Códigos DANE Municipios'!$A$2:$A$1123, "No encontrado")</f>
        <v>68575</v>
      </c>
      <c r="B5711" t="str">
        <f>IFERROR(VLOOKUP(D5711,APOYO!K:L,2,FALSE),A5711)</f>
        <v>68575</v>
      </c>
      <c r="C5711" t="s">
        <v>1774</v>
      </c>
      <c r="D5711" t="str">
        <f>IFERROR(VLOOKUP(C5711,APOYO!J:K,2,FALSE),C5711)</f>
        <v>PUERTO WILCHES</v>
      </c>
      <c r="E5711" s="7">
        <v>2020</v>
      </c>
    </row>
    <row r="5712" spans="1:8" x14ac:dyDescent="0.25">
      <c r="A5712" t="str">
        <f>_xlfn.XLOOKUP(C5712, 'Códigos DANE Municipios'!$B$2:$B$1123, 'Códigos DANE Municipios'!$A$2:$A$1123, "No encontrado")</f>
        <v>52585</v>
      </c>
      <c r="B5712" t="str">
        <f>IFERROR(VLOOKUP(D5712,APOYO!K:L,2,FALSE),A5712)</f>
        <v>52585</v>
      </c>
      <c r="C5712" t="s">
        <v>1499</v>
      </c>
      <c r="D5712" t="str">
        <f>IFERROR(VLOOKUP(C5712,APOYO!J:K,2,FALSE),C5712)</f>
        <v>PUPIALES</v>
      </c>
      <c r="E5712" s="7">
        <v>2020</v>
      </c>
    </row>
    <row r="5713" spans="1:8" x14ac:dyDescent="0.25">
      <c r="A5713" t="str">
        <f>_xlfn.XLOOKUP(C5713, 'Códigos DANE Municipios'!$B$2:$B$1123, 'Códigos DANE Municipios'!$A$2:$A$1123, "No encontrado")</f>
        <v>19585</v>
      </c>
      <c r="B5713" t="str">
        <f>IFERROR(VLOOKUP(D5713,APOYO!K:L,2,FALSE),A5713)</f>
        <v>19585</v>
      </c>
      <c r="C5713" t="s">
        <v>781</v>
      </c>
      <c r="D5713" t="str">
        <f>IFERROR(VLOOKUP(C5713,APOYO!J:K,2,FALSE),C5713)</f>
        <v>PURACÉ</v>
      </c>
      <c r="E5713" s="7">
        <v>2020</v>
      </c>
    </row>
    <row r="5714" spans="1:8" x14ac:dyDescent="0.25">
      <c r="A5714" t="str">
        <f>_xlfn.XLOOKUP(C5714, 'Códigos DANE Municipios'!$B$2:$B$1123, 'Códigos DANE Municipios'!$A$2:$A$1123, "No encontrado")</f>
        <v>73585</v>
      </c>
      <c r="B5714" t="str">
        <f>IFERROR(VLOOKUP(D5714,APOYO!K:L,2,FALSE),A5714)</f>
        <v>73585</v>
      </c>
      <c r="C5714" t="s">
        <v>1933</v>
      </c>
      <c r="D5714" t="str">
        <f>IFERROR(VLOOKUP(C5714,APOYO!J:K,2,FALSE),C5714)</f>
        <v>PURIFICACIÓN</v>
      </c>
      <c r="E5714" s="7">
        <v>2020</v>
      </c>
      <c r="H5714">
        <v>12</v>
      </c>
    </row>
    <row r="5715" spans="1:8" x14ac:dyDescent="0.25">
      <c r="A5715" t="str">
        <f>_xlfn.XLOOKUP(C5715, 'Códigos DANE Municipios'!$B$2:$B$1123, 'Códigos DANE Municipios'!$A$2:$A$1123, "No encontrado")</f>
        <v>25592</v>
      </c>
      <c r="B5715" t="str">
        <f>IFERROR(VLOOKUP(D5715,APOYO!K:L,2,FALSE),A5715)</f>
        <v>25592</v>
      </c>
      <c r="C5715" t="s">
        <v>1053</v>
      </c>
      <c r="D5715" t="str">
        <f>IFERROR(VLOOKUP(C5715,APOYO!J:K,2,FALSE),C5715)</f>
        <v>QUEBRADANEGRA</v>
      </c>
      <c r="E5715" s="7">
        <v>2020</v>
      </c>
      <c r="H5715">
        <v>4</v>
      </c>
    </row>
    <row r="5716" spans="1:8" x14ac:dyDescent="0.25">
      <c r="A5716" t="str">
        <f>_xlfn.XLOOKUP(C5716, 'Códigos DANE Municipios'!$B$2:$B$1123, 'Códigos DANE Municipios'!$A$2:$A$1123, "No encontrado")</f>
        <v>25594</v>
      </c>
      <c r="B5716" t="str">
        <f>IFERROR(VLOOKUP(D5716,APOYO!K:L,2,FALSE),A5716)</f>
        <v>25594</v>
      </c>
      <c r="C5716" t="s">
        <v>1055</v>
      </c>
      <c r="D5716" t="str">
        <f>IFERROR(VLOOKUP(C5716,APOYO!J:K,2,FALSE),C5716)</f>
        <v>QUETAME</v>
      </c>
      <c r="E5716" s="7">
        <v>2020</v>
      </c>
    </row>
    <row r="5717" spans="1:8" x14ac:dyDescent="0.25">
      <c r="A5717" t="str">
        <f>_xlfn.XLOOKUP(C5717, 'Códigos DANE Municipios'!$B$2:$B$1123, 'Códigos DANE Municipios'!$A$2:$A$1123, "No encontrado")</f>
        <v>27001</v>
      </c>
      <c r="B5717" t="str">
        <f>IFERROR(VLOOKUP(D5717,APOYO!K:L,2,FALSE),A5717)</f>
        <v>27001</v>
      </c>
      <c r="C5717" t="s">
        <v>1142</v>
      </c>
      <c r="D5717" t="str">
        <f>IFERROR(VLOOKUP(C5717,APOYO!J:K,2,FALSE),C5717)</f>
        <v>QUIBDÓ</v>
      </c>
      <c r="E5717" s="7">
        <v>2020</v>
      </c>
      <c r="F5717">
        <v>73294</v>
      </c>
      <c r="H5717">
        <v>62</v>
      </c>
    </row>
    <row r="5718" spans="1:8" x14ac:dyDescent="0.25">
      <c r="A5718" t="str">
        <f>_xlfn.XLOOKUP(C5718, 'Códigos DANE Municipios'!$B$2:$B$1123, 'Códigos DANE Municipios'!$A$2:$A$1123, "No encontrado")</f>
        <v>63594</v>
      </c>
      <c r="B5718" t="str">
        <f>IFERROR(VLOOKUP(D5718,APOYO!K:L,2,FALSE),A5718)</f>
        <v>63594</v>
      </c>
      <c r="C5718" t="s">
        <v>1624</v>
      </c>
      <c r="D5718" t="str">
        <f>IFERROR(VLOOKUP(C5718,APOYO!J:K,2,FALSE),C5718)</f>
        <v>QUIMBAYA</v>
      </c>
      <c r="E5718" s="7">
        <v>2020</v>
      </c>
      <c r="H5718">
        <v>249</v>
      </c>
    </row>
    <row r="5719" spans="1:8" x14ac:dyDescent="0.25">
      <c r="A5719" t="str">
        <f>_xlfn.XLOOKUP(C5719, 'Códigos DANE Municipios'!$B$2:$B$1123, 'Códigos DANE Municipios'!$A$2:$A$1123, "No encontrado")</f>
        <v>66594</v>
      </c>
      <c r="B5719" t="str">
        <f>IFERROR(VLOOKUP(D5719,APOYO!K:L,2,FALSE),A5719)</f>
        <v>66594</v>
      </c>
      <c r="C5719" t="s">
        <v>1649</v>
      </c>
      <c r="D5719" t="str">
        <f>IFERROR(VLOOKUP(C5719,APOYO!J:K,2,FALSE),C5719)</f>
        <v>QUINCHÍA</v>
      </c>
      <c r="E5719" s="7">
        <v>2020</v>
      </c>
      <c r="H5719">
        <v>9</v>
      </c>
    </row>
    <row r="5720" spans="1:8" x14ac:dyDescent="0.25">
      <c r="A5720" t="str">
        <f>_xlfn.XLOOKUP(C5720, 'Códigos DANE Municipios'!$B$2:$B$1123, 'Códigos DANE Municipios'!$A$2:$A$1123, "No encontrado")</f>
        <v>15580</v>
      </c>
      <c r="B5720" t="str">
        <f>IFERROR(VLOOKUP(D5720,APOYO!K:L,2,FALSE),A5720)</f>
        <v>15580</v>
      </c>
      <c r="C5720" t="s">
        <v>546</v>
      </c>
      <c r="D5720" t="str">
        <f>IFERROR(VLOOKUP(C5720,APOYO!J:K,2,FALSE),C5720)</f>
        <v>QUÍPAMA</v>
      </c>
      <c r="E5720" s="7">
        <v>2020</v>
      </c>
      <c r="F5720">
        <v>5</v>
      </c>
      <c r="H5720">
        <v>1</v>
      </c>
    </row>
    <row r="5721" spans="1:8" x14ac:dyDescent="0.25">
      <c r="A5721" t="str">
        <f>_xlfn.XLOOKUP(C5721, 'Códigos DANE Municipios'!$B$2:$B$1123, 'Códigos DANE Municipios'!$A$2:$A$1123, "No encontrado")</f>
        <v>25596</v>
      </c>
      <c r="B5721" t="str">
        <f>IFERROR(VLOOKUP(D5721,APOYO!K:L,2,FALSE),A5721)</f>
        <v>25596</v>
      </c>
      <c r="C5721" t="s">
        <v>1057</v>
      </c>
      <c r="D5721" t="str">
        <f>IFERROR(VLOOKUP(C5721,APOYO!J:K,2,FALSE),C5721)</f>
        <v>QUIPILE</v>
      </c>
      <c r="E5721" s="7">
        <v>2020</v>
      </c>
    </row>
    <row r="5722" spans="1:8" x14ac:dyDescent="0.25">
      <c r="A5722" t="str">
        <f>_xlfn.XLOOKUP(C5722, 'Códigos DANE Municipios'!$B$2:$B$1123, 'Códigos DANE Municipios'!$A$2:$A$1123, "No encontrado")</f>
        <v>54599</v>
      </c>
      <c r="B5722" t="str">
        <f>IFERROR(VLOOKUP(D5722,APOYO!K:L,2,FALSE),A5722)</f>
        <v>54599</v>
      </c>
      <c r="C5722" t="s">
        <v>1585</v>
      </c>
      <c r="D5722" t="str">
        <f>IFERROR(VLOOKUP(C5722,APOYO!J:K,2,FALSE),C5722)</f>
        <v>RAGONVALIA</v>
      </c>
      <c r="E5722" s="7">
        <v>2020</v>
      </c>
      <c r="H5722">
        <v>1</v>
      </c>
    </row>
    <row r="5723" spans="1:8" x14ac:dyDescent="0.25">
      <c r="A5723" t="str">
        <f>_xlfn.XLOOKUP(C5723, 'Códigos DANE Municipios'!$B$2:$B$1123, 'Códigos DANE Municipios'!$A$2:$A$1123, "No encontrado")</f>
        <v>81794</v>
      </c>
      <c r="B5723" t="str">
        <f>IFERROR(VLOOKUP(D5723,APOYO!K:L,2,FALSE),A5723)</f>
        <v>81794</v>
      </c>
      <c r="C5723" t="s">
        <v>2046</v>
      </c>
      <c r="D5723" t="str">
        <f>IFERROR(VLOOKUP(C5723,APOYO!J:K,2,FALSE),C5723)</f>
        <v>TAME</v>
      </c>
      <c r="E5723" s="7">
        <v>2020</v>
      </c>
    </row>
    <row r="5724" spans="1:8" x14ac:dyDescent="0.25">
      <c r="A5724" t="str">
        <f>_xlfn.XLOOKUP(C5724, 'Códigos DANE Municipios'!$B$2:$B$1123, 'Códigos DANE Municipios'!$A$2:$A$1123, "No encontrado")</f>
        <v>15599</v>
      </c>
      <c r="B5724" t="str">
        <f>IFERROR(VLOOKUP(D5724,APOYO!K:L,2,FALSE),A5724)</f>
        <v>15599</v>
      </c>
      <c r="C5724" t="s">
        <v>548</v>
      </c>
      <c r="D5724" t="str">
        <f>IFERROR(VLOOKUP(C5724,APOYO!J:K,2,FALSE),C5724)</f>
        <v>RAMIRIQUÍ</v>
      </c>
      <c r="E5724" s="7">
        <v>2020</v>
      </c>
    </row>
    <row r="5725" spans="1:8" x14ac:dyDescent="0.25">
      <c r="A5725" t="str">
        <f>_xlfn.XLOOKUP(C5725, 'Códigos DANE Municipios'!$B$2:$B$1123, 'Códigos DANE Municipios'!$A$2:$A$1123, "No encontrado")</f>
        <v>15600</v>
      </c>
      <c r="B5725" t="str">
        <f>IFERROR(VLOOKUP(D5725,APOYO!K:L,2,FALSE),A5725)</f>
        <v>15600</v>
      </c>
      <c r="C5725" t="s">
        <v>550</v>
      </c>
      <c r="D5725" t="str">
        <f>IFERROR(VLOOKUP(C5725,APOYO!J:K,2,FALSE),C5725)</f>
        <v>RÁQUIRA</v>
      </c>
      <c r="E5725" s="7">
        <v>2020</v>
      </c>
      <c r="H5725">
        <v>12</v>
      </c>
    </row>
    <row r="5726" spans="1:8" x14ac:dyDescent="0.25">
      <c r="A5726" t="str">
        <f>_xlfn.XLOOKUP(C5726, 'Códigos DANE Municipios'!$B$2:$B$1123, 'Códigos DANE Municipios'!$A$2:$A$1123, "No encontrado")</f>
        <v>05604</v>
      </c>
      <c r="B5726" t="str">
        <f>IFERROR(VLOOKUP(D5726,APOYO!K:L,2,FALSE),A5726)</f>
        <v>05604</v>
      </c>
      <c r="C5726" t="s">
        <v>176</v>
      </c>
      <c r="D5726" t="str">
        <f>IFERROR(VLOOKUP(C5726,APOYO!J:K,2,FALSE),C5726)</f>
        <v>REMEDIOS</v>
      </c>
      <c r="E5726" s="7">
        <v>2020</v>
      </c>
      <c r="F5726">
        <v>451</v>
      </c>
      <c r="H5726">
        <v>5</v>
      </c>
    </row>
    <row r="5727" spans="1:8" x14ac:dyDescent="0.25">
      <c r="A5727" t="str">
        <f>_xlfn.XLOOKUP(C5727, 'Códigos DANE Municipios'!$B$2:$B$1123, 'Códigos DANE Municipios'!$A$2:$A$1123, "No encontrado")</f>
        <v>50606</v>
      </c>
      <c r="B5727" t="str">
        <f>IFERROR(VLOOKUP(D5727,APOYO!K:L,2,FALSE),A5727)</f>
        <v>50606</v>
      </c>
      <c r="C5727" t="s">
        <v>1401</v>
      </c>
      <c r="D5727" t="str">
        <f>IFERROR(VLOOKUP(C5727,APOYO!J:K,2,FALSE),C5727)</f>
        <v>RESTREPO</v>
      </c>
      <c r="E5727" s="7">
        <v>2020</v>
      </c>
      <c r="H5727">
        <v>49</v>
      </c>
    </row>
    <row r="5728" spans="1:8" x14ac:dyDescent="0.25">
      <c r="A5728" t="str">
        <f>_xlfn.XLOOKUP(C5728, 'Códigos DANE Municipios'!$B$2:$B$1123, 'Códigos DANE Municipios'!$A$2:$A$1123, "No encontrado")</f>
        <v>05607</v>
      </c>
      <c r="B5728" t="str">
        <f>IFERROR(VLOOKUP(D5728,APOYO!K:L,2,FALSE),A5728)</f>
        <v>05607</v>
      </c>
      <c r="C5728" t="s">
        <v>178</v>
      </c>
      <c r="D5728" t="str">
        <f>IFERROR(VLOOKUP(C5728,APOYO!J:K,2,FALSE),C5728)</f>
        <v>RETIRO</v>
      </c>
      <c r="E5728" s="7">
        <v>2020</v>
      </c>
      <c r="H5728">
        <v>201</v>
      </c>
    </row>
    <row r="5729" spans="1:9" x14ac:dyDescent="0.25">
      <c r="A5729" t="str">
        <f>_xlfn.XLOOKUP(C5729, 'Códigos DANE Municipios'!$B$2:$B$1123, 'Códigos DANE Municipios'!$A$2:$A$1123, "No encontrado")</f>
        <v>25612</v>
      </c>
      <c r="B5729" t="str">
        <f>IFERROR(VLOOKUP(D5729,APOYO!K:L,2,FALSE),A5729)</f>
        <v>25612</v>
      </c>
      <c r="C5729" t="s">
        <v>1061</v>
      </c>
      <c r="D5729" t="str">
        <f>IFERROR(VLOOKUP(C5729,APOYO!J:K,2,FALSE),C5729)</f>
        <v>RICAURTE</v>
      </c>
      <c r="E5729" s="7">
        <v>2020</v>
      </c>
      <c r="H5729">
        <v>31</v>
      </c>
    </row>
    <row r="5730" spans="1:9" x14ac:dyDescent="0.25">
      <c r="A5730" t="str">
        <f>_xlfn.XLOOKUP(C5730, 'Códigos DANE Municipios'!$B$2:$B$1123, 'Códigos DANE Municipios'!$A$2:$A$1123, "No encontrado")</f>
        <v>20614</v>
      </c>
      <c r="B5730" t="str">
        <f>IFERROR(VLOOKUP(D5730,APOYO!K:L,2,FALSE),A5730)</f>
        <v>20614</v>
      </c>
      <c r="C5730" t="s">
        <v>846</v>
      </c>
      <c r="D5730" t="str">
        <f>IFERROR(VLOOKUP(C5730,APOYO!J:K,2,FALSE),C5730)</f>
        <v>RÍO DE ORO</v>
      </c>
      <c r="E5730" s="7">
        <v>2020</v>
      </c>
      <c r="H5730">
        <v>2</v>
      </c>
    </row>
    <row r="5731" spans="1:9" x14ac:dyDescent="0.25">
      <c r="A5731" t="str">
        <f>_xlfn.XLOOKUP(C5731, 'Códigos DANE Municipios'!$B$2:$B$1123, 'Códigos DANE Municipios'!$A$2:$A$1123, "No encontrado")</f>
        <v>76616</v>
      </c>
      <c r="B5731" t="str">
        <f>IFERROR(VLOOKUP(D5731,APOYO!K:L,2,FALSE),A5731)</f>
        <v>76616</v>
      </c>
      <c r="C5731" t="s">
        <v>2009</v>
      </c>
      <c r="D5731" t="str">
        <f>IFERROR(VLOOKUP(C5731,APOYO!J:K,2,FALSE),C5731)</f>
        <v>RIOFRÍO</v>
      </c>
      <c r="E5731" s="7">
        <v>2020</v>
      </c>
      <c r="H5731">
        <v>15</v>
      </c>
    </row>
    <row r="5732" spans="1:9" x14ac:dyDescent="0.25">
      <c r="A5732" t="str">
        <f>_xlfn.XLOOKUP(C5732, 'Códigos DANE Municipios'!$B$2:$B$1123, 'Códigos DANE Municipios'!$A$2:$A$1123, "No encontrado")</f>
        <v>44001</v>
      </c>
      <c r="B5732" t="str">
        <f>IFERROR(VLOOKUP(D5732,APOYO!K:L,2,FALSE),A5732)</f>
        <v>44001</v>
      </c>
      <c r="C5732" t="s">
        <v>1272</v>
      </c>
      <c r="D5732" t="str">
        <f>IFERROR(VLOOKUP(C5732,APOYO!J:K,2,FALSE),C5732)</f>
        <v>RIOHACHA</v>
      </c>
      <c r="E5732" s="7">
        <v>2020</v>
      </c>
      <c r="F5732">
        <v>39212</v>
      </c>
      <c r="G5732">
        <v>1178</v>
      </c>
      <c r="H5732">
        <v>627</v>
      </c>
      <c r="I5732">
        <v>4330</v>
      </c>
    </row>
    <row r="5733" spans="1:9" x14ac:dyDescent="0.25">
      <c r="A5733" t="str">
        <f>_xlfn.XLOOKUP(C5733, 'Códigos DANE Municipios'!$B$2:$B$1123, 'Códigos DANE Municipios'!$A$2:$A$1123, "No encontrado")</f>
        <v>05615</v>
      </c>
      <c r="B5733" t="str">
        <f>IFERROR(VLOOKUP(D5733,APOYO!K:L,2,FALSE),A5733)</f>
        <v>05615</v>
      </c>
      <c r="C5733" t="s">
        <v>180</v>
      </c>
      <c r="D5733" t="str">
        <f>IFERROR(VLOOKUP(C5733,APOYO!J:K,2,FALSE),C5733)</f>
        <v>RIONEGRO</v>
      </c>
      <c r="E5733" s="7">
        <v>2020</v>
      </c>
      <c r="F5733">
        <v>1169248</v>
      </c>
      <c r="G5733">
        <v>302811</v>
      </c>
      <c r="H5733">
        <v>2365</v>
      </c>
    </row>
    <row r="5734" spans="1:9" x14ac:dyDescent="0.25">
      <c r="A5734" t="str">
        <f>_xlfn.XLOOKUP(C5734, 'Códigos DANE Municipios'!$B$2:$B$1123, 'Códigos DANE Municipios'!$A$2:$A$1123, "No encontrado")</f>
        <v>17614</v>
      </c>
      <c r="B5734" t="str">
        <f>IFERROR(VLOOKUP(D5734,APOYO!K:L,2,FALSE),A5734)</f>
        <v>17614</v>
      </c>
      <c r="C5734" t="s">
        <v>680</v>
      </c>
      <c r="D5734" t="str">
        <f>IFERROR(VLOOKUP(C5734,APOYO!J:K,2,FALSE),C5734)</f>
        <v>RIOSUCIO</v>
      </c>
      <c r="E5734" s="7">
        <v>2020</v>
      </c>
      <c r="H5734">
        <v>37</v>
      </c>
    </row>
    <row r="5735" spans="1:9" x14ac:dyDescent="0.25">
      <c r="A5735" t="str">
        <f>_xlfn.XLOOKUP(C5735, 'Códigos DANE Municipios'!$B$2:$B$1123, 'Códigos DANE Municipios'!$A$2:$A$1123, "No encontrado")</f>
        <v>17616</v>
      </c>
      <c r="B5735" t="str">
        <f>IFERROR(VLOOKUP(D5735,APOYO!K:L,2,FALSE),A5735)</f>
        <v>17616</v>
      </c>
      <c r="C5735" t="s">
        <v>682</v>
      </c>
      <c r="D5735" t="str">
        <f>IFERROR(VLOOKUP(C5735,APOYO!J:K,2,FALSE),C5735)</f>
        <v>RISARALDA</v>
      </c>
      <c r="E5735" s="7">
        <v>2020</v>
      </c>
      <c r="H5735">
        <v>10</v>
      </c>
    </row>
    <row r="5736" spans="1:9" x14ac:dyDescent="0.25">
      <c r="A5736" t="str">
        <f>_xlfn.XLOOKUP(C5736, 'Códigos DANE Municipios'!$B$2:$B$1123, 'Códigos DANE Municipios'!$A$2:$A$1123, "No encontrado")</f>
        <v>41615</v>
      </c>
      <c r="B5736" t="str">
        <f>IFERROR(VLOOKUP(D5736,APOYO!K:L,2,FALSE),A5736)</f>
        <v>41615</v>
      </c>
      <c r="C5736" t="s">
        <v>1249</v>
      </c>
      <c r="D5736" t="str">
        <f>IFERROR(VLOOKUP(C5736,APOYO!J:K,2,FALSE),C5736)</f>
        <v>RIVERA</v>
      </c>
      <c r="E5736" s="7">
        <v>2020</v>
      </c>
      <c r="H5736">
        <v>20</v>
      </c>
    </row>
    <row r="5737" spans="1:9" x14ac:dyDescent="0.25">
      <c r="A5737" t="str">
        <f>_xlfn.XLOOKUP(C5737, 'Códigos DANE Municipios'!$B$2:$B$1123, 'Códigos DANE Municipios'!$A$2:$A$1123, "No encontrado")</f>
        <v>20621</v>
      </c>
      <c r="B5737" t="str">
        <f>IFERROR(VLOOKUP(D5737,APOYO!K:L,2,FALSE),A5737)</f>
        <v>20621</v>
      </c>
      <c r="C5737" t="s">
        <v>848</v>
      </c>
      <c r="D5737" t="str">
        <f>IFERROR(VLOOKUP(C5737,APOYO!J:K,2,FALSE),C5737)</f>
        <v>LA PAZ</v>
      </c>
      <c r="E5737" s="7">
        <v>2020</v>
      </c>
      <c r="H5737">
        <v>8</v>
      </c>
    </row>
    <row r="5738" spans="1:9" x14ac:dyDescent="0.25">
      <c r="A5738" t="str">
        <f>_xlfn.XLOOKUP(C5738, 'Códigos DANE Municipios'!$B$2:$B$1123, 'Códigos DANE Municipios'!$A$2:$A$1123, "No encontrado")</f>
        <v>76622</v>
      </c>
      <c r="B5738" t="str">
        <f>IFERROR(VLOOKUP(D5738,APOYO!K:L,2,FALSE),A5738)</f>
        <v>76622</v>
      </c>
      <c r="C5738" t="s">
        <v>2011</v>
      </c>
      <c r="D5738" t="str">
        <f>IFERROR(VLOOKUP(C5738,APOYO!J:K,2,FALSE),C5738)</f>
        <v>ROLDANILLO</v>
      </c>
      <c r="E5738" s="7">
        <v>2020</v>
      </c>
      <c r="F5738">
        <v>6</v>
      </c>
      <c r="H5738">
        <v>520</v>
      </c>
    </row>
    <row r="5739" spans="1:9" x14ac:dyDescent="0.25">
      <c r="A5739" t="str">
        <f>_xlfn.XLOOKUP(C5739, 'Códigos DANE Municipios'!$B$2:$B$1123, 'Códigos DANE Municipios'!$A$2:$A$1123, "No encontrado")</f>
        <v>73622</v>
      </c>
      <c r="B5739" t="str">
        <f>IFERROR(VLOOKUP(D5739,APOYO!K:L,2,FALSE),A5739)</f>
        <v>73622</v>
      </c>
      <c r="C5739" t="s">
        <v>1937</v>
      </c>
      <c r="D5739" t="str">
        <f>IFERROR(VLOOKUP(C5739,APOYO!J:K,2,FALSE),C5739)</f>
        <v>RONCESVALLES</v>
      </c>
      <c r="E5739" s="7">
        <v>2020</v>
      </c>
    </row>
    <row r="5740" spans="1:9" x14ac:dyDescent="0.25">
      <c r="A5740" t="str">
        <f>_xlfn.XLOOKUP(C5740, 'Códigos DANE Municipios'!$B$2:$B$1123, 'Códigos DANE Municipios'!$A$2:$A$1123, "No encontrado")</f>
        <v>73624</v>
      </c>
      <c r="B5740" t="str">
        <f>IFERROR(VLOOKUP(D5740,APOYO!K:L,2,FALSE),A5740)</f>
        <v>73624</v>
      </c>
      <c r="C5740" t="s">
        <v>1939</v>
      </c>
      <c r="D5740" t="str">
        <f>IFERROR(VLOOKUP(C5740,APOYO!J:K,2,FALSE),C5740)</f>
        <v>ROVIRA</v>
      </c>
      <c r="E5740" s="7">
        <v>2020</v>
      </c>
      <c r="H5740">
        <v>5</v>
      </c>
    </row>
    <row r="5741" spans="1:9" x14ac:dyDescent="0.25">
      <c r="A5741" t="str">
        <f>_xlfn.XLOOKUP(C5741, 'Códigos DANE Municipios'!$B$2:$B$1123, 'Códigos DANE Municipios'!$A$2:$A$1123, "No encontrado")</f>
        <v>68655</v>
      </c>
      <c r="B5741" t="str">
        <f>IFERROR(VLOOKUP(D5741,APOYO!K:L,2,FALSE),A5741)</f>
        <v>68655</v>
      </c>
      <c r="C5741" t="s">
        <v>1777</v>
      </c>
      <c r="D5741" t="str">
        <f>IFERROR(VLOOKUP(C5741,APOYO!J:K,2,FALSE),C5741)</f>
        <v>SABANA DE TORRES</v>
      </c>
      <c r="E5741" s="7">
        <v>2020</v>
      </c>
      <c r="H5741">
        <v>3</v>
      </c>
    </row>
    <row r="5742" spans="1:9" x14ac:dyDescent="0.25">
      <c r="A5742" t="str">
        <f>_xlfn.XLOOKUP(C5742, 'Códigos DANE Municipios'!$B$2:$B$1123, 'Códigos DANE Municipios'!$A$2:$A$1123, "No encontrado")</f>
        <v>08634</v>
      </c>
      <c r="B5742" t="str">
        <f>IFERROR(VLOOKUP(D5742,APOYO!K:L,2,FALSE),A5742)</f>
        <v>08634</v>
      </c>
      <c r="C5742" t="s">
        <v>292</v>
      </c>
      <c r="D5742" t="str">
        <f>IFERROR(VLOOKUP(C5742,APOYO!J:K,2,FALSE),C5742)</f>
        <v>SABANAGRANDE</v>
      </c>
      <c r="E5742" s="7">
        <v>2020</v>
      </c>
      <c r="H5742">
        <v>21</v>
      </c>
    </row>
    <row r="5743" spans="1:9" x14ac:dyDescent="0.25">
      <c r="A5743" t="str">
        <f>_xlfn.XLOOKUP(C5743, 'Códigos DANE Municipios'!$B$2:$B$1123, 'Códigos DANE Municipios'!$A$2:$A$1123, "No encontrado")</f>
        <v>05628</v>
      </c>
      <c r="B5743" t="str">
        <f>IFERROR(VLOOKUP(D5743,APOYO!K:L,2,FALSE),A5743)</f>
        <v>05628</v>
      </c>
      <c r="C5743" t="s">
        <v>182</v>
      </c>
      <c r="D5743" t="str">
        <f>IFERROR(VLOOKUP(C5743,APOYO!J:K,2,FALSE),C5743)</f>
        <v>SABANALARGA</v>
      </c>
      <c r="E5743" s="7">
        <v>2020</v>
      </c>
      <c r="H5743">
        <v>71</v>
      </c>
    </row>
    <row r="5744" spans="1:9" x14ac:dyDescent="0.25">
      <c r="A5744" t="str">
        <f>_xlfn.XLOOKUP(C5744, 'Códigos DANE Municipios'!$B$2:$B$1123, 'Códigos DANE Municipios'!$A$2:$A$1123, "No encontrado")</f>
        <v>05631</v>
      </c>
      <c r="B5744" t="str">
        <f>IFERROR(VLOOKUP(D5744,APOYO!K:L,2,FALSE),A5744)</f>
        <v>05631</v>
      </c>
      <c r="C5744" t="s">
        <v>184</v>
      </c>
      <c r="D5744" t="str">
        <f>IFERROR(VLOOKUP(C5744,APOYO!J:K,2,FALSE),C5744)</f>
        <v>SABANETA</v>
      </c>
      <c r="E5744" s="7">
        <v>2020</v>
      </c>
      <c r="H5744">
        <v>1034</v>
      </c>
    </row>
    <row r="5745" spans="1:8" x14ac:dyDescent="0.25">
      <c r="A5745" t="str">
        <f>_xlfn.XLOOKUP(C5745, 'Códigos DANE Municipios'!$B$2:$B$1123, 'Códigos DANE Municipios'!$A$2:$A$1123, "No encontrado")</f>
        <v>15632</v>
      </c>
      <c r="B5745" t="str">
        <f>IFERROR(VLOOKUP(D5745,APOYO!K:L,2,FALSE),A5745)</f>
        <v>15632</v>
      </c>
      <c r="C5745" t="s">
        <v>554</v>
      </c>
      <c r="D5745" t="str">
        <f>IFERROR(VLOOKUP(C5745,APOYO!J:K,2,FALSE),C5745)</f>
        <v>SABOYÁ</v>
      </c>
      <c r="E5745" s="7">
        <v>2020</v>
      </c>
      <c r="H5745">
        <v>1</v>
      </c>
    </row>
    <row r="5746" spans="1:8" x14ac:dyDescent="0.25">
      <c r="A5746" t="str">
        <f>_xlfn.XLOOKUP(C5746, 'Códigos DANE Municipios'!$B$2:$B$1123, 'Códigos DANE Municipios'!$A$2:$A$1123, "No encontrado")</f>
        <v>15638</v>
      </c>
      <c r="B5746" t="str">
        <f>IFERROR(VLOOKUP(D5746,APOYO!K:L,2,FALSE),A5746)</f>
        <v>15638</v>
      </c>
      <c r="C5746" t="s">
        <v>556</v>
      </c>
      <c r="D5746" t="str">
        <f>IFERROR(VLOOKUP(C5746,APOYO!J:K,2,FALSE),C5746)</f>
        <v>SÁCHICA</v>
      </c>
      <c r="E5746" s="7">
        <v>2020</v>
      </c>
      <c r="H5746">
        <v>3</v>
      </c>
    </row>
    <row r="5747" spans="1:8" x14ac:dyDescent="0.25">
      <c r="A5747" t="str">
        <f>_xlfn.XLOOKUP(C5747, 'Códigos DANE Municipios'!$B$2:$B$1123, 'Códigos DANE Municipios'!$A$2:$A$1123, "No encontrado")</f>
        <v>23660</v>
      </c>
      <c r="B5747" t="str">
        <f>IFERROR(VLOOKUP(D5747,APOYO!K:L,2,FALSE),A5747)</f>
        <v>23660</v>
      </c>
      <c r="C5747" t="s">
        <v>897</v>
      </c>
      <c r="D5747" t="str">
        <f>IFERROR(VLOOKUP(C5747,APOYO!J:K,2,FALSE),C5747)</f>
        <v>SAHAGÚN</v>
      </c>
      <c r="E5747" s="7">
        <v>2020</v>
      </c>
      <c r="H5747">
        <v>25</v>
      </c>
    </row>
    <row r="5748" spans="1:8" x14ac:dyDescent="0.25">
      <c r="A5748" t="str">
        <f>_xlfn.XLOOKUP(C5748, 'Códigos DANE Municipios'!$B$2:$B$1123, 'Códigos DANE Municipios'!$A$2:$A$1123, "No encontrado")</f>
        <v>41660</v>
      </c>
      <c r="B5748" t="str">
        <f>IFERROR(VLOOKUP(D5748,APOYO!K:L,2,FALSE),A5748)</f>
        <v>41660</v>
      </c>
      <c r="C5748" t="s">
        <v>1251</v>
      </c>
      <c r="D5748" t="str">
        <f>IFERROR(VLOOKUP(C5748,APOYO!J:K,2,FALSE),C5748)</f>
        <v>SALADOBLANCO</v>
      </c>
      <c r="E5748" s="7">
        <v>2020</v>
      </c>
      <c r="H5748">
        <v>2</v>
      </c>
    </row>
    <row r="5749" spans="1:8" x14ac:dyDescent="0.25">
      <c r="A5749" t="str">
        <f>_xlfn.XLOOKUP(C5749, 'Códigos DANE Municipios'!$B$2:$B$1123, 'Códigos DANE Municipios'!$A$2:$A$1123, "No encontrado")</f>
        <v>17653</v>
      </c>
      <c r="B5749" t="str">
        <f>IFERROR(VLOOKUP(D5749,APOYO!K:L,2,FALSE),A5749)</f>
        <v>17653</v>
      </c>
      <c r="C5749" t="s">
        <v>684</v>
      </c>
      <c r="D5749" t="str">
        <f>IFERROR(VLOOKUP(C5749,APOYO!J:K,2,FALSE),C5749)</f>
        <v>SALAMINA</v>
      </c>
      <c r="E5749" s="7">
        <v>2020</v>
      </c>
      <c r="H5749">
        <v>28</v>
      </c>
    </row>
    <row r="5750" spans="1:8" x14ac:dyDescent="0.25">
      <c r="A5750" t="str">
        <f>_xlfn.XLOOKUP(C5750, 'Códigos DANE Municipios'!$B$2:$B$1123, 'Códigos DANE Municipios'!$A$2:$A$1123, "No encontrado")</f>
        <v>54660</v>
      </c>
      <c r="B5750" t="str">
        <f>IFERROR(VLOOKUP(D5750,APOYO!K:L,2,FALSE),A5750)</f>
        <v>54660</v>
      </c>
      <c r="C5750" t="s">
        <v>1587</v>
      </c>
      <c r="D5750" t="str">
        <f>IFERROR(VLOOKUP(C5750,APOYO!J:K,2,FALSE),C5750)</f>
        <v>SALAZAR</v>
      </c>
      <c r="E5750" s="7">
        <v>2020</v>
      </c>
      <c r="H5750">
        <v>1</v>
      </c>
    </row>
    <row r="5751" spans="1:8" x14ac:dyDescent="0.25">
      <c r="A5751" t="str">
        <f>_xlfn.XLOOKUP(C5751, 'Códigos DANE Municipios'!$B$2:$B$1123, 'Códigos DANE Municipios'!$A$2:$A$1123, "No encontrado")</f>
        <v>73671</v>
      </c>
      <c r="B5751" t="str">
        <f>IFERROR(VLOOKUP(D5751,APOYO!K:L,2,FALSE),A5751)</f>
        <v>73671</v>
      </c>
      <c r="C5751" t="s">
        <v>1941</v>
      </c>
      <c r="D5751" t="str">
        <f>IFERROR(VLOOKUP(C5751,APOYO!J:K,2,FALSE),C5751)</f>
        <v>SALDAÑA</v>
      </c>
      <c r="E5751" s="7">
        <v>2020</v>
      </c>
      <c r="F5751">
        <v>39</v>
      </c>
      <c r="H5751">
        <v>2</v>
      </c>
    </row>
    <row r="5752" spans="1:8" x14ac:dyDescent="0.25">
      <c r="A5752" t="str">
        <f>_xlfn.XLOOKUP(C5752, 'Códigos DANE Municipios'!$B$2:$B$1123, 'Códigos DANE Municipios'!$A$2:$A$1123, "No encontrado")</f>
        <v>63690</v>
      </c>
      <c r="B5752" t="str">
        <f>IFERROR(VLOOKUP(D5752,APOYO!K:L,2,FALSE),A5752)</f>
        <v>63690</v>
      </c>
      <c r="C5752" t="s">
        <v>1626</v>
      </c>
      <c r="D5752" t="str">
        <f>IFERROR(VLOOKUP(C5752,APOYO!J:K,2,FALSE),C5752)</f>
        <v>SALENTO</v>
      </c>
      <c r="E5752" s="7">
        <v>2020</v>
      </c>
      <c r="H5752">
        <v>545</v>
      </c>
    </row>
    <row r="5753" spans="1:8" x14ac:dyDescent="0.25">
      <c r="A5753" t="str">
        <f>_xlfn.XLOOKUP(C5753, 'Códigos DANE Municipios'!$B$2:$B$1123, 'Códigos DANE Municipios'!$A$2:$A$1123, "No encontrado")</f>
        <v>05642</v>
      </c>
      <c r="B5753" t="str">
        <f>IFERROR(VLOOKUP(D5753,APOYO!K:L,2,FALSE),A5753)</f>
        <v>05642</v>
      </c>
      <c r="C5753" t="s">
        <v>186</v>
      </c>
      <c r="D5753" t="str">
        <f>IFERROR(VLOOKUP(C5753,APOYO!J:K,2,FALSE),C5753)</f>
        <v>SALGAR</v>
      </c>
      <c r="E5753" s="7">
        <v>2020</v>
      </c>
      <c r="H5753">
        <v>4</v>
      </c>
    </row>
    <row r="5754" spans="1:8" x14ac:dyDescent="0.25">
      <c r="A5754" t="str">
        <f>_xlfn.XLOOKUP(C5754, 'Códigos DANE Municipios'!$B$2:$B$1123, 'Códigos DANE Municipios'!$A$2:$A$1123, "No encontrado")</f>
        <v>15646</v>
      </c>
      <c r="B5754" t="str">
        <f>IFERROR(VLOOKUP(D5754,APOYO!K:L,2,FALSE),A5754)</f>
        <v>15646</v>
      </c>
      <c r="C5754" t="s">
        <v>558</v>
      </c>
      <c r="D5754" t="str">
        <f>IFERROR(VLOOKUP(C5754,APOYO!J:K,2,FALSE),C5754)</f>
        <v>SAMACÁ</v>
      </c>
      <c r="E5754" s="7">
        <v>2020</v>
      </c>
      <c r="H5754">
        <v>1</v>
      </c>
    </row>
    <row r="5755" spans="1:8" x14ac:dyDescent="0.25">
      <c r="A5755" t="str">
        <f>_xlfn.XLOOKUP(C5755, 'Códigos DANE Municipios'!$B$2:$B$1123, 'Códigos DANE Municipios'!$A$2:$A$1123, "No encontrado")</f>
        <v>17662</v>
      </c>
      <c r="B5755" t="str">
        <f>IFERROR(VLOOKUP(D5755,APOYO!K:L,2,FALSE),A5755)</f>
        <v>17662</v>
      </c>
      <c r="C5755" t="s">
        <v>686</v>
      </c>
      <c r="D5755" t="str">
        <f>IFERROR(VLOOKUP(C5755,APOYO!J:K,2,FALSE),C5755)</f>
        <v>SAMANÁ</v>
      </c>
      <c r="E5755" s="7">
        <v>2020</v>
      </c>
      <c r="H5755">
        <v>5</v>
      </c>
    </row>
    <row r="5756" spans="1:8" x14ac:dyDescent="0.25">
      <c r="A5756" t="str">
        <f>_xlfn.XLOOKUP(C5756, 'Códigos DANE Municipios'!$B$2:$B$1123, 'Códigos DANE Municipios'!$A$2:$A$1123, "No encontrado")</f>
        <v>52678</v>
      </c>
      <c r="B5756" t="str">
        <f>IFERROR(VLOOKUP(D5756,APOYO!K:L,2,FALSE),A5756)</f>
        <v>52678</v>
      </c>
      <c r="C5756" t="s">
        <v>1504</v>
      </c>
      <c r="D5756" t="str">
        <f>IFERROR(VLOOKUP(C5756,APOYO!J:K,2,FALSE),C5756)</f>
        <v>SAMANIEGO</v>
      </c>
      <c r="E5756" s="7">
        <v>2020</v>
      </c>
      <c r="H5756">
        <v>4</v>
      </c>
    </row>
    <row r="5757" spans="1:8" x14ac:dyDescent="0.25">
      <c r="A5757" t="str">
        <f>_xlfn.XLOOKUP(C5757, 'Códigos DANE Municipios'!$B$2:$B$1123, 'Códigos DANE Municipios'!$A$2:$A$1123, "No encontrado")</f>
        <v>70670</v>
      </c>
      <c r="B5757" t="str">
        <f>IFERROR(VLOOKUP(D5757,APOYO!K:L,2,FALSE),A5757)</f>
        <v>70670</v>
      </c>
      <c r="C5757" t="s">
        <v>1846</v>
      </c>
      <c r="D5757" t="str">
        <f>IFERROR(VLOOKUP(C5757,APOYO!J:K,2,FALSE),C5757)</f>
        <v>SAMPUÉS</v>
      </c>
      <c r="E5757" s="7">
        <v>2020</v>
      </c>
      <c r="H5757">
        <v>12</v>
      </c>
    </row>
    <row r="5758" spans="1:8" x14ac:dyDescent="0.25">
      <c r="A5758" t="str">
        <f>_xlfn.XLOOKUP(C5758, 'Códigos DANE Municipios'!$B$2:$B$1123, 'Códigos DANE Municipios'!$A$2:$A$1123, "No encontrado")</f>
        <v>41668</v>
      </c>
      <c r="B5758" t="str">
        <f>IFERROR(VLOOKUP(D5758,APOYO!K:L,2,FALSE),A5758)</f>
        <v>41668</v>
      </c>
      <c r="C5758" t="s">
        <v>1253</v>
      </c>
      <c r="D5758" t="str">
        <f>IFERROR(VLOOKUP(C5758,APOYO!J:K,2,FALSE),C5758)</f>
        <v>SAN AGUSTÍN</v>
      </c>
      <c r="E5758" s="7">
        <v>2020</v>
      </c>
      <c r="H5758">
        <v>70</v>
      </c>
    </row>
    <row r="5759" spans="1:8" x14ac:dyDescent="0.25">
      <c r="A5759" t="str">
        <f>_xlfn.XLOOKUP(C5759, 'Códigos DANE Municipios'!$B$2:$B$1123, 'Códigos DANE Municipios'!$A$2:$A$1123, "No encontrado")</f>
        <v>20710</v>
      </c>
      <c r="B5759" t="str">
        <f>IFERROR(VLOOKUP(D5759,APOYO!K:L,2,FALSE),A5759)</f>
        <v>20710</v>
      </c>
      <c r="C5759" t="s">
        <v>850</v>
      </c>
      <c r="D5759" t="str">
        <f>IFERROR(VLOOKUP(C5759,APOYO!J:K,2,FALSE),C5759)</f>
        <v>SAN ALBERTO</v>
      </c>
      <c r="E5759" s="7">
        <v>2020</v>
      </c>
      <c r="H5759">
        <v>4</v>
      </c>
    </row>
    <row r="5760" spans="1:8" x14ac:dyDescent="0.25">
      <c r="A5760" t="str">
        <f>_xlfn.XLOOKUP(C5760, 'Códigos DANE Municipios'!$B$2:$B$1123, 'Códigos DANE Municipios'!$A$2:$A$1123, "No encontrado")</f>
        <v>68669</v>
      </c>
      <c r="B5760" t="str">
        <f>IFERROR(VLOOKUP(D5760,APOYO!K:L,2,FALSE),A5760)</f>
        <v>68669</v>
      </c>
      <c r="C5760" t="s">
        <v>1779</v>
      </c>
      <c r="D5760" t="str">
        <f>IFERROR(VLOOKUP(C5760,APOYO!J:K,2,FALSE),C5760)</f>
        <v>SAN ANDRÉS</v>
      </c>
      <c r="E5760" s="7">
        <v>2020</v>
      </c>
      <c r="F5760">
        <v>343637</v>
      </c>
      <c r="G5760">
        <v>12887</v>
      </c>
      <c r="H5760">
        <v>25661</v>
      </c>
    </row>
    <row r="5761" spans="1:8" x14ac:dyDescent="0.25">
      <c r="A5761" t="str">
        <f>_xlfn.XLOOKUP(C5761, 'Códigos DANE Municipios'!$B$2:$B$1123, 'Códigos DANE Municipios'!$A$2:$A$1123, "No encontrado")</f>
        <v>23670</v>
      </c>
      <c r="B5761" t="str">
        <f>IFERROR(VLOOKUP(D5761,APOYO!K:L,2,FALSE),A5761)</f>
        <v>23670</v>
      </c>
      <c r="C5761" t="s">
        <v>899</v>
      </c>
      <c r="D5761" t="str">
        <f>IFERROR(VLOOKUP(C5761,APOYO!J:K,2,FALSE),C5761)</f>
        <v>SAN ANDRÉS DE SOTAVENTO</v>
      </c>
      <c r="E5761" s="7">
        <v>2020</v>
      </c>
      <c r="H5761">
        <v>3</v>
      </c>
    </row>
    <row r="5762" spans="1:8" x14ac:dyDescent="0.25">
      <c r="A5762" t="str">
        <f>_xlfn.XLOOKUP(C5762, 'Códigos DANE Municipios'!$B$2:$B$1123, 'Códigos DANE Municipios'!$A$2:$A$1123, "No encontrado")</f>
        <v>23672</v>
      </c>
      <c r="B5762" t="str">
        <f>IFERROR(VLOOKUP(D5762,APOYO!K:L,2,FALSE),A5762)</f>
        <v>23672</v>
      </c>
      <c r="C5762" t="s">
        <v>901</v>
      </c>
      <c r="D5762" t="str">
        <f>IFERROR(VLOOKUP(C5762,APOYO!J:K,2,FALSE),C5762)</f>
        <v>SAN ANTERO</v>
      </c>
      <c r="E5762" s="7">
        <v>2020</v>
      </c>
      <c r="H5762">
        <v>13</v>
      </c>
    </row>
    <row r="5763" spans="1:8" x14ac:dyDescent="0.25">
      <c r="A5763" t="str">
        <f>_xlfn.XLOOKUP(C5763, 'Códigos DANE Municipios'!$B$2:$B$1123, 'Códigos DANE Municipios'!$A$2:$A$1123, "No encontrado")</f>
        <v>73675</v>
      </c>
      <c r="B5763" t="str">
        <f>IFERROR(VLOOKUP(D5763,APOYO!K:L,2,FALSE),A5763)</f>
        <v>73675</v>
      </c>
      <c r="C5763" t="s">
        <v>1943</v>
      </c>
      <c r="D5763" t="str">
        <f>IFERROR(VLOOKUP(C5763,APOYO!J:K,2,FALSE),C5763)</f>
        <v>SAN ANTONIO</v>
      </c>
      <c r="E5763" s="7">
        <v>2020</v>
      </c>
      <c r="H5763">
        <v>1</v>
      </c>
    </row>
    <row r="5764" spans="1:8" x14ac:dyDescent="0.25">
      <c r="A5764" t="str">
        <f>_xlfn.XLOOKUP(C5764, 'Códigos DANE Municipios'!$B$2:$B$1123, 'Códigos DANE Municipios'!$A$2:$A$1123, "No encontrado")</f>
        <v>No encontrado</v>
      </c>
      <c r="B5764" t="str">
        <f>IFERROR(VLOOKUP(D5764,APOYO!K:L,2,FALSE),A5764)</f>
        <v>NA</v>
      </c>
      <c r="C5764" t="s">
        <v>2474</v>
      </c>
      <c r="D5764" t="str">
        <f>IFERROR(VLOOKUP(C5764,APOYO!J:K,2,FALSE),C5764)</f>
        <v>SAN ANTONIO DE TENA</v>
      </c>
      <c r="E5764" s="7">
        <v>2020</v>
      </c>
      <c r="H5764">
        <v>13</v>
      </c>
    </row>
    <row r="5765" spans="1:8" x14ac:dyDescent="0.25">
      <c r="A5765" t="str">
        <f>_xlfn.XLOOKUP(C5765, 'Códigos DANE Municipios'!$B$2:$B$1123, 'Códigos DANE Municipios'!$A$2:$A$1123, "No encontrado")</f>
        <v>25649</v>
      </c>
      <c r="B5765" t="str">
        <f>IFERROR(VLOOKUP(D5765,APOYO!K:L,2,FALSE),A5765)</f>
        <v>25649</v>
      </c>
      <c r="C5765" t="s">
        <v>1065</v>
      </c>
      <c r="D5765" t="str">
        <f>IFERROR(VLOOKUP(C5765,APOYO!J:K,2,FALSE),C5765)</f>
        <v>SAN BERNARDO</v>
      </c>
      <c r="E5765" s="7">
        <v>2020</v>
      </c>
      <c r="H5765">
        <v>2</v>
      </c>
    </row>
    <row r="5766" spans="1:8" x14ac:dyDescent="0.25">
      <c r="A5766" t="str">
        <f>_xlfn.XLOOKUP(C5766, 'Códigos DANE Municipios'!$B$2:$B$1123, 'Códigos DANE Municipios'!$A$2:$A$1123, "No encontrado")</f>
        <v>23675</v>
      </c>
      <c r="B5766" t="str">
        <f>IFERROR(VLOOKUP(D5766,APOYO!K:L,2,FALSE),A5766)</f>
        <v>23675</v>
      </c>
      <c r="C5766" t="s">
        <v>903</v>
      </c>
      <c r="D5766" t="str">
        <f>IFERROR(VLOOKUP(C5766,APOYO!J:K,2,FALSE),C5766)</f>
        <v>SAN BERNARDO DEL VIENTO</v>
      </c>
      <c r="E5766" s="7">
        <v>2020</v>
      </c>
      <c r="H5766">
        <v>5</v>
      </c>
    </row>
    <row r="5767" spans="1:8" x14ac:dyDescent="0.25">
      <c r="A5767" t="str">
        <f>_xlfn.XLOOKUP(C5767, 'Códigos DANE Municipios'!$B$2:$B$1123, 'Códigos DANE Municipios'!$A$2:$A$1123, "No encontrado")</f>
        <v>05649</v>
      </c>
      <c r="B5767" t="str">
        <f>IFERROR(VLOOKUP(D5767,APOYO!K:L,2,FALSE),A5767)</f>
        <v>05649</v>
      </c>
      <c r="C5767" t="s">
        <v>190</v>
      </c>
      <c r="D5767" t="str">
        <f>IFERROR(VLOOKUP(C5767,APOYO!J:K,2,FALSE),C5767)</f>
        <v>SAN CARLOS</v>
      </c>
      <c r="E5767" s="7">
        <v>2020</v>
      </c>
      <c r="H5767">
        <v>11</v>
      </c>
    </row>
    <row r="5768" spans="1:8" x14ac:dyDescent="0.25">
      <c r="A5768" t="str">
        <f>_xlfn.XLOOKUP(C5768, 'Códigos DANE Municipios'!$B$2:$B$1123, 'Códigos DANE Municipios'!$A$2:$A$1123, "No encontrado")</f>
        <v>50680</v>
      </c>
      <c r="B5768" t="str">
        <f>IFERROR(VLOOKUP(D5768,APOYO!K:L,2,FALSE),A5768)</f>
        <v>50680</v>
      </c>
      <c r="C5768" t="s">
        <v>1403</v>
      </c>
      <c r="D5768" t="str">
        <f>IFERROR(VLOOKUP(C5768,APOYO!J:K,2,FALSE),C5768)</f>
        <v>SAN CARLOS DE GUAROA</v>
      </c>
      <c r="E5768" s="7">
        <v>2020</v>
      </c>
      <c r="F5768">
        <v>5</v>
      </c>
      <c r="H5768">
        <v>5</v>
      </c>
    </row>
    <row r="5769" spans="1:8" x14ac:dyDescent="0.25">
      <c r="A5769" t="str">
        <f>_xlfn.XLOOKUP(C5769, 'Códigos DANE Municipios'!$B$2:$B$1123, 'Códigos DANE Municipios'!$A$2:$A$1123, "No encontrado")</f>
        <v>20750</v>
      </c>
      <c r="B5769" t="str">
        <f>IFERROR(VLOOKUP(D5769,APOYO!K:L,2,FALSE),A5769)</f>
        <v>20750</v>
      </c>
      <c r="C5769" t="s">
        <v>852</v>
      </c>
      <c r="D5769" t="str">
        <f>IFERROR(VLOOKUP(C5769,APOYO!J:K,2,FALSE),C5769)</f>
        <v>SAN DIEGO</v>
      </c>
      <c r="E5769" s="7">
        <v>2020</v>
      </c>
      <c r="H5769">
        <v>2</v>
      </c>
    </row>
    <row r="5770" spans="1:8" x14ac:dyDescent="0.25">
      <c r="A5770" t="str">
        <f>_xlfn.XLOOKUP(C5770, 'Códigos DANE Municipios'!$B$2:$B$1123, 'Códigos DANE Municipios'!$A$2:$A$1123, "No encontrado")</f>
        <v>13647</v>
      </c>
      <c r="B5770" t="str">
        <f>IFERROR(VLOOKUP(D5770,APOYO!K:L,2,FALSE),A5770)</f>
        <v>13647</v>
      </c>
      <c r="C5770" t="s">
        <v>365</v>
      </c>
      <c r="D5770" t="str">
        <f>IFERROR(VLOOKUP(C5770,APOYO!J:K,2,FALSE),C5770)</f>
        <v>SAN ESTANISLAO</v>
      </c>
      <c r="E5770" s="7">
        <v>2020</v>
      </c>
    </row>
    <row r="5771" spans="1:8" x14ac:dyDescent="0.25">
      <c r="A5771" t="str">
        <f>_xlfn.XLOOKUP(C5771, 'Códigos DANE Municipios'!$B$2:$B$1123, 'Códigos DANE Municipios'!$A$2:$A$1123, "No encontrado")</f>
        <v>05652</v>
      </c>
      <c r="B5771" t="str">
        <f>IFERROR(VLOOKUP(D5771,APOYO!K:L,2,FALSE),A5771)</f>
        <v>05652</v>
      </c>
      <c r="C5771" t="s">
        <v>192</v>
      </c>
      <c r="D5771" t="str">
        <f>IFERROR(VLOOKUP(C5771,APOYO!J:K,2,FALSE),C5771)</f>
        <v>SAN FRANCISCO</v>
      </c>
      <c r="E5771" s="7">
        <v>2020</v>
      </c>
      <c r="H5771">
        <v>34</v>
      </c>
    </row>
    <row r="5772" spans="1:8" x14ac:dyDescent="0.25">
      <c r="A5772" t="str">
        <f>_xlfn.XLOOKUP(C5772, 'Códigos DANE Municipios'!$B$2:$B$1123, 'Códigos DANE Municipios'!$A$2:$A$1123, "No encontrado")</f>
        <v>68679</v>
      </c>
      <c r="B5772" t="str">
        <f>IFERROR(VLOOKUP(D5772,APOYO!K:L,2,FALSE),A5772)</f>
        <v>68679</v>
      </c>
      <c r="C5772" t="s">
        <v>1783</v>
      </c>
      <c r="D5772" t="str">
        <f>IFERROR(VLOOKUP(C5772,APOYO!J:K,2,FALSE),C5772)</f>
        <v>SAN GIL</v>
      </c>
      <c r="E5772" s="7">
        <v>2020</v>
      </c>
      <c r="F5772">
        <v>68</v>
      </c>
      <c r="H5772">
        <v>129</v>
      </c>
    </row>
    <row r="5773" spans="1:8" x14ac:dyDescent="0.25">
      <c r="A5773" t="str">
        <f>_xlfn.XLOOKUP(C5773, 'Códigos DANE Municipios'!$B$2:$B$1123, 'Códigos DANE Municipios'!$A$2:$A$1123, "No encontrado")</f>
        <v>13654</v>
      </c>
      <c r="B5773" t="str">
        <f>IFERROR(VLOOKUP(D5773,APOYO!K:L,2,FALSE),A5773)</f>
        <v>13654</v>
      </c>
      <c r="C5773" t="s">
        <v>369</v>
      </c>
      <c r="D5773" t="str">
        <f>IFERROR(VLOOKUP(C5773,APOYO!J:K,2,FALSE),C5773)</f>
        <v>SAN JACINTO</v>
      </c>
      <c r="E5773" s="7">
        <v>2020</v>
      </c>
      <c r="H5773">
        <v>2</v>
      </c>
    </row>
    <row r="5774" spans="1:8" x14ac:dyDescent="0.25">
      <c r="A5774" t="str">
        <f>_xlfn.XLOOKUP(C5774, 'Códigos DANE Municipios'!$B$2:$B$1123, 'Códigos DANE Municipios'!$A$2:$A$1123, "No encontrado")</f>
        <v>05656</v>
      </c>
      <c r="B5774" t="str">
        <f>IFERROR(VLOOKUP(D5774,APOYO!K:L,2,FALSE),A5774)</f>
        <v>05656</v>
      </c>
      <c r="C5774" t="s">
        <v>194</v>
      </c>
      <c r="D5774" t="str">
        <f>IFERROR(VLOOKUP(C5774,APOYO!J:K,2,FALSE),C5774)</f>
        <v>SAN JERÓNIMO</v>
      </c>
      <c r="E5774" s="7">
        <v>2020</v>
      </c>
      <c r="H5774">
        <v>30</v>
      </c>
    </row>
    <row r="5775" spans="1:8" x14ac:dyDescent="0.25">
      <c r="A5775" t="str">
        <f>_xlfn.XLOOKUP(C5775, 'Códigos DANE Municipios'!$B$2:$B$1123, 'Códigos DANE Municipios'!$A$2:$A$1123, "No encontrado")</f>
        <v>17665</v>
      </c>
      <c r="B5775" t="str">
        <f>IFERROR(VLOOKUP(D5775,APOYO!K:L,2,FALSE),A5775)</f>
        <v>17748</v>
      </c>
      <c r="C5775" t="s">
        <v>688</v>
      </c>
      <c r="D5775" t="str">
        <f>IFERROR(VLOOKUP(C5775,APOYO!J:K,2,FALSE),C5775)</f>
        <v>SAN JOSÉ</v>
      </c>
      <c r="E5775" s="7">
        <v>2020</v>
      </c>
      <c r="H5775">
        <v>3</v>
      </c>
    </row>
    <row r="5776" spans="1:8" x14ac:dyDescent="0.25">
      <c r="A5776" t="str">
        <f>_xlfn.XLOOKUP(C5776, 'Códigos DANE Municipios'!$B$2:$B$1123, 'Códigos DANE Municipios'!$A$2:$A$1123, "No encontrado")</f>
        <v>18610</v>
      </c>
      <c r="B5776" t="str">
        <f>IFERROR(VLOOKUP(D5776,APOYO!K:L,2,FALSE),A5776)</f>
        <v>18610</v>
      </c>
      <c r="C5776" t="s">
        <v>720</v>
      </c>
      <c r="D5776" t="str">
        <f>IFERROR(VLOOKUP(C5776,APOYO!J:K,2,FALSE),C5776)</f>
        <v>SAN JOSÉ DEL FRAGUA</v>
      </c>
      <c r="E5776" s="7">
        <v>2020</v>
      </c>
      <c r="H5776">
        <v>2</v>
      </c>
    </row>
    <row r="5777" spans="1:9" x14ac:dyDescent="0.25">
      <c r="A5777" t="str">
        <f>_xlfn.XLOOKUP(C5777, 'Códigos DANE Municipios'!$B$2:$B$1123, 'Códigos DANE Municipios'!$A$2:$A$1123, "No encontrado")</f>
        <v>41359</v>
      </c>
      <c r="B5777" t="str">
        <f>IFERROR(VLOOKUP(D5777,APOYO!K:L,2,FALSE),A5777)</f>
        <v>41359</v>
      </c>
      <c r="C5777" t="s">
        <v>1230</v>
      </c>
      <c r="D5777" t="str">
        <f>IFERROR(VLOOKUP(C5777,APOYO!J:K,2,FALSE),C5777)</f>
        <v>ISNOS</v>
      </c>
      <c r="E5777" s="7">
        <v>2020</v>
      </c>
    </row>
    <row r="5778" spans="1:9" x14ac:dyDescent="0.25">
      <c r="A5778" t="str">
        <f>_xlfn.XLOOKUP(C5778, 'Códigos DANE Municipios'!$B$2:$B$1123, 'Códigos DANE Municipios'!$A$2:$A$1123, "No encontrado")</f>
        <v>15664</v>
      </c>
      <c r="B5778" t="str">
        <f>IFERROR(VLOOKUP(D5778,APOYO!K:L,2,FALSE),A5778)</f>
        <v>15664</v>
      </c>
      <c r="C5778" t="s">
        <v>562</v>
      </c>
      <c r="D5778" t="str">
        <f>IFERROR(VLOOKUP(C5778,APOYO!J:K,2,FALSE),C5778)</f>
        <v>SAN JOSÉ DE PARE</v>
      </c>
      <c r="E5778" s="7">
        <v>2020</v>
      </c>
      <c r="H5778">
        <v>4</v>
      </c>
    </row>
    <row r="5779" spans="1:9" x14ac:dyDescent="0.25">
      <c r="A5779" t="str">
        <f>_xlfn.XLOOKUP(C5779, 'Códigos DANE Municipios'!$B$2:$B$1123, 'Códigos DANE Municipios'!$A$2:$A$1123, "No encontrado")</f>
        <v>95001</v>
      </c>
      <c r="B5779" t="str">
        <f>IFERROR(VLOOKUP(D5779,APOYO!K:L,2,FALSE),A5779)</f>
        <v>95001</v>
      </c>
      <c r="C5779" t="s">
        <v>2145</v>
      </c>
      <c r="D5779" t="str">
        <f>IFERROR(VLOOKUP(C5779,APOYO!J:K,2,FALSE),C5779)</f>
        <v>SAN JOSÉ DEL GUAVIARE</v>
      </c>
      <c r="E5779" s="7">
        <v>2020</v>
      </c>
      <c r="F5779">
        <v>6555</v>
      </c>
      <c r="H5779">
        <v>34</v>
      </c>
    </row>
    <row r="5780" spans="1:9" x14ac:dyDescent="0.25">
      <c r="A5780" t="str">
        <f>_xlfn.XLOOKUP(C5780, 'Códigos DANE Municipios'!$B$2:$B$1123, 'Códigos DANE Municipios'!$A$2:$A$1123, "No encontrado")</f>
        <v>No encontrado</v>
      </c>
      <c r="B5780" t="str">
        <f>IFERROR(VLOOKUP(D5780,APOYO!K:L,2,FALSE),A5780)</f>
        <v>No encontrado</v>
      </c>
      <c r="C5780" t="s">
        <v>2481</v>
      </c>
      <c r="D5780" t="str">
        <f>IFERROR(VLOOKUP(C5780,APOYO!J:K,2,FALSE),C5780)</f>
        <v>SAN JOSE DE LA MONTAÑA</v>
      </c>
      <c r="E5780" s="7">
        <v>2020</v>
      </c>
    </row>
    <row r="5781" spans="1:9" x14ac:dyDescent="0.25">
      <c r="A5781" t="str">
        <f>_xlfn.XLOOKUP(C5781, 'Códigos DANE Municipios'!$B$2:$B$1123, 'Códigos DANE Municipios'!$A$2:$A$1123, "No encontrado")</f>
        <v>50683</v>
      </c>
      <c r="B5781" t="str">
        <f>IFERROR(VLOOKUP(D5781,APOYO!K:L,2,FALSE),A5781)</f>
        <v>50683</v>
      </c>
      <c r="C5781" t="s">
        <v>1405</v>
      </c>
      <c r="D5781" t="str">
        <f>IFERROR(VLOOKUP(C5781,APOYO!J:K,2,FALSE),C5781)</f>
        <v>SAN JUAN DE ARAMA</v>
      </c>
      <c r="E5781" s="7">
        <v>2020</v>
      </c>
      <c r="H5781">
        <v>3</v>
      </c>
    </row>
    <row r="5782" spans="1:9" x14ac:dyDescent="0.25">
      <c r="A5782" t="str">
        <f>_xlfn.XLOOKUP(C5782, 'Códigos DANE Municipios'!$B$2:$B$1123, 'Códigos DANE Municipios'!$A$2:$A$1123, "No encontrado")</f>
        <v>25662</v>
      </c>
      <c r="B5782" t="str">
        <f>IFERROR(VLOOKUP(D5782,APOYO!K:L,2,FALSE),A5782)</f>
        <v>25662</v>
      </c>
      <c r="C5782" t="s">
        <v>1070</v>
      </c>
      <c r="D5782" t="str">
        <f>IFERROR(VLOOKUP(C5782,APOYO!J:K,2,FALSE),C5782)</f>
        <v>SAN JUAN DE RIOSECO</v>
      </c>
      <c r="E5782" s="7">
        <v>2020</v>
      </c>
      <c r="H5782">
        <v>1</v>
      </c>
    </row>
    <row r="5783" spans="1:9" x14ac:dyDescent="0.25">
      <c r="A5783" t="str">
        <f>_xlfn.XLOOKUP(C5783, 'Códigos DANE Municipios'!$B$2:$B$1123, 'Códigos DANE Municipios'!$A$2:$A$1123, "No encontrado")</f>
        <v>No encontrado</v>
      </c>
      <c r="B5783" t="str">
        <f>IFERROR(VLOOKUP(D5783,APOYO!K:L,2,FALSE),A5783)</f>
        <v>No encontrado</v>
      </c>
      <c r="C5783" t="s">
        <v>2482</v>
      </c>
      <c r="D5783" t="str">
        <f>IFERROR(VLOOKUP(C5783,APOYO!J:K,2,FALSE),C5783)</f>
        <v>SAN JOSE DE URABA</v>
      </c>
      <c r="E5783" s="7">
        <v>2020</v>
      </c>
      <c r="H5783">
        <v>2</v>
      </c>
    </row>
    <row r="5784" spans="1:9" x14ac:dyDescent="0.25">
      <c r="A5784" t="str">
        <f>_xlfn.XLOOKUP(C5784, 'Códigos DANE Municipios'!$B$2:$B$1123, 'Códigos DANE Municipios'!$A$2:$A$1123, "No encontrado")</f>
        <v>44650</v>
      </c>
      <c r="B5784" t="str">
        <f>IFERROR(VLOOKUP(D5784,APOYO!K:L,2,FALSE),A5784)</f>
        <v>44650</v>
      </c>
      <c r="C5784" t="s">
        <v>1293</v>
      </c>
      <c r="D5784" t="str">
        <f>IFERROR(VLOOKUP(C5784,APOYO!J:K,2,FALSE),C5784)</f>
        <v>SAN JUAN DEL CESAR</v>
      </c>
      <c r="E5784" s="7">
        <v>2020</v>
      </c>
      <c r="H5784">
        <v>10</v>
      </c>
    </row>
    <row r="5785" spans="1:9" x14ac:dyDescent="0.25">
      <c r="A5785" t="str">
        <f>_xlfn.XLOOKUP(C5785, 'Códigos DANE Municipios'!$B$2:$B$1123, 'Códigos DANE Municipios'!$A$2:$A$1123, "No encontrado")</f>
        <v>13657</v>
      </c>
      <c r="B5785" t="str">
        <f>IFERROR(VLOOKUP(D5785,APOYO!K:L,2,FALSE),A5785)</f>
        <v>13657</v>
      </c>
      <c r="C5785" t="s">
        <v>373</v>
      </c>
      <c r="D5785" t="str">
        <f>IFERROR(VLOOKUP(C5785,APOYO!J:K,2,FALSE),C5785)</f>
        <v>SAN JUAN NEPOMUCENO</v>
      </c>
      <c r="E5785" s="7">
        <v>2020</v>
      </c>
      <c r="H5785">
        <v>25</v>
      </c>
      <c r="I5785">
        <v>118</v>
      </c>
    </row>
    <row r="5786" spans="1:9" x14ac:dyDescent="0.25">
      <c r="A5786" t="s">
        <v>1508</v>
      </c>
      <c r="B5786" t="s">
        <v>1508</v>
      </c>
      <c r="C5786" t="s">
        <v>1509</v>
      </c>
      <c r="D5786" t="str">
        <f>IFERROR(VLOOKUP(C5786,APOYO!J:K,2,FALSE),C5786)</f>
        <v>SAN LORENZO</v>
      </c>
      <c r="E5786" s="7">
        <v>2020</v>
      </c>
      <c r="H5786">
        <v>1</v>
      </c>
    </row>
    <row r="5787" spans="1:9" x14ac:dyDescent="0.25">
      <c r="A5787" t="str">
        <f>_xlfn.XLOOKUP(C5787, 'Códigos DANE Municipios'!$B$2:$B$1123, 'Códigos DANE Municipios'!$A$2:$A$1123, "No encontrado")</f>
        <v>50686</v>
      </c>
      <c r="B5787" t="str">
        <f>IFERROR(VLOOKUP(D5787,APOYO!K:L,2,FALSE),A5787)</f>
        <v>50686</v>
      </c>
      <c r="C5787" t="s">
        <v>1407</v>
      </c>
      <c r="D5787" t="str">
        <f>IFERROR(VLOOKUP(C5787,APOYO!J:K,2,FALSE),C5787)</f>
        <v>SAN JUANITO</v>
      </c>
      <c r="E5787" s="7">
        <v>2020</v>
      </c>
    </row>
    <row r="5788" spans="1:9" x14ac:dyDescent="0.25">
      <c r="A5788" t="str">
        <f>_xlfn.XLOOKUP(C5788, 'Códigos DANE Municipios'!$B$2:$B$1123, 'Códigos DANE Municipios'!$A$2:$A$1123, "No encontrado")</f>
        <v>05660</v>
      </c>
      <c r="B5788" t="str">
        <f>IFERROR(VLOOKUP(D5788,APOYO!K:L,2,FALSE),A5788)</f>
        <v>05660</v>
      </c>
      <c r="C5788" t="s">
        <v>200</v>
      </c>
      <c r="D5788" t="str">
        <f>IFERROR(VLOOKUP(C5788,APOYO!J:K,2,FALSE),C5788)</f>
        <v>SAN LUIS</v>
      </c>
      <c r="E5788" s="7">
        <v>2020</v>
      </c>
      <c r="H5788">
        <v>6</v>
      </c>
    </row>
    <row r="5789" spans="1:9" x14ac:dyDescent="0.25">
      <c r="A5789" t="str">
        <f>_xlfn.XLOOKUP(C5789, 'Códigos DANE Municipios'!$B$2:$B$1123, 'Códigos DANE Municipios'!$A$2:$A$1123, "No encontrado")</f>
        <v>15667</v>
      </c>
      <c r="B5789" t="str">
        <f>IFERROR(VLOOKUP(D5789,APOYO!K:L,2,FALSE),A5789)</f>
        <v>15667</v>
      </c>
      <c r="C5789" t="s">
        <v>564</v>
      </c>
      <c r="D5789" t="str">
        <f>IFERROR(VLOOKUP(C5789,APOYO!J:K,2,FALSE),C5789)</f>
        <v>SAN LUIS DE GACENO</v>
      </c>
      <c r="E5789" s="7">
        <v>2020</v>
      </c>
      <c r="H5789">
        <v>2</v>
      </c>
    </row>
    <row r="5790" spans="1:9" x14ac:dyDescent="0.25">
      <c r="A5790" t="str">
        <f>_xlfn.XLOOKUP(C5790, 'Códigos DANE Municipios'!$B$2:$B$1123, 'Códigos DANE Municipios'!$A$2:$A$1123, "No encontrado")</f>
        <v>85325</v>
      </c>
      <c r="B5790" t="str">
        <f>IFERROR(VLOOKUP(D5790,APOYO!K:L,2,FALSE),A5790)</f>
        <v>85325</v>
      </c>
      <c r="C5790" t="s">
        <v>2075</v>
      </c>
      <c r="D5790" t="str">
        <f>IFERROR(VLOOKUP(C5790,APOYO!J:K,2,FALSE),C5790)</f>
        <v>SAN LUIS DE PALENQUE</v>
      </c>
      <c r="E5790" s="7">
        <v>2020</v>
      </c>
      <c r="F5790">
        <v>45</v>
      </c>
      <c r="H5790">
        <v>1</v>
      </c>
    </row>
    <row r="5791" spans="1:9" x14ac:dyDescent="0.25">
      <c r="A5791" t="str">
        <f>_xlfn.XLOOKUP(C5791, 'Códigos DANE Municipios'!$B$2:$B$1123, 'Códigos DANE Municipios'!$A$2:$A$1123, "No encontrado")</f>
        <v>70708</v>
      </c>
      <c r="B5791" t="str">
        <f>IFERROR(VLOOKUP(D5791,APOYO!K:L,2,FALSE),A5791)</f>
        <v>70708</v>
      </c>
      <c r="C5791" t="s">
        <v>1852</v>
      </c>
      <c r="D5791" t="str">
        <f>IFERROR(VLOOKUP(C5791,APOYO!J:K,2,FALSE),C5791)</f>
        <v>SAN MARCOS</v>
      </c>
      <c r="E5791" s="7">
        <v>2020</v>
      </c>
      <c r="F5791">
        <v>57</v>
      </c>
      <c r="H5791">
        <v>8</v>
      </c>
    </row>
    <row r="5792" spans="1:9" x14ac:dyDescent="0.25">
      <c r="A5792" t="str">
        <f>_xlfn.XLOOKUP(C5792, 'Códigos DANE Municipios'!$B$2:$B$1123, 'Códigos DANE Municipios'!$A$2:$A$1123, "No encontrado")</f>
        <v>20770</v>
      </c>
      <c r="B5792" t="str">
        <f>IFERROR(VLOOKUP(D5792,APOYO!K:L,2,FALSE),A5792)</f>
        <v>20770</v>
      </c>
      <c r="C5792" t="s">
        <v>854</v>
      </c>
      <c r="D5792" t="str">
        <f>IFERROR(VLOOKUP(C5792,APOYO!J:K,2,FALSE),C5792)</f>
        <v>SAN MARTÍN</v>
      </c>
      <c r="E5792" s="7">
        <v>2020</v>
      </c>
      <c r="F5792">
        <v>48</v>
      </c>
      <c r="H5792">
        <v>17</v>
      </c>
    </row>
    <row r="5793" spans="1:8" x14ac:dyDescent="0.25">
      <c r="A5793" t="s">
        <v>565</v>
      </c>
      <c r="B5793" t="s">
        <v>565</v>
      </c>
      <c r="C5793" t="s">
        <v>566</v>
      </c>
      <c r="D5793" t="str">
        <f>IFERROR(VLOOKUP(C5793,APOYO!J:K,2,FALSE),C5793)</f>
        <v>SAN MATEO</v>
      </c>
      <c r="E5793" s="7">
        <v>2020</v>
      </c>
      <c r="H5793">
        <v>1</v>
      </c>
    </row>
    <row r="5794" spans="1:8" x14ac:dyDescent="0.25">
      <c r="A5794" t="str">
        <f>_xlfn.XLOOKUP(C5794, 'Códigos DANE Municipios'!$B$2:$B$1123, 'Códigos DANE Municipios'!$A$2:$A$1123, "No encontrado")</f>
        <v>68686</v>
      </c>
      <c r="B5794" t="str">
        <f>IFERROR(VLOOKUP(D5794,APOYO!K:L,2,FALSE),A5794)</f>
        <v>68686</v>
      </c>
      <c r="C5794" t="s">
        <v>1789</v>
      </c>
      <c r="D5794" t="str">
        <f>IFERROR(VLOOKUP(C5794,APOYO!J:K,2,FALSE),C5794)</f>
        <v>SAN MIGUEL</v>
      </c>
      <c r="E5794" s="7">
        <v>2020</v>
      </c>
      <c r="H5794">
        <v>13</v>
      </c>
    </row>
    <row r="5795" spans="1:8" x14ac:dyDescent="0.25">
      <c r="A5795" t="str">
        <f>_xlfn.XLOOKUP(C5795, 'Códigos DANE Municipios'!$B$2:$B$1123, 'Códigos DANE Municipios'!$A$2:$A$1123, "No encontrado")</f>
        <v>70713</v>
      </c>
      <c r="B5795" t="str">
        <f>IFERROR(VLOOKUP(D5795,APOYO!K:L,2,FALSE),A5795)</f>
        <v>70713</v>
      </c>
      <c r="C5795" t="s">
        <v>1854</v>
      </c>
      <c r="D5795" t="str">
        <f>IFERROR(VLOOKUP(C5795,APOYO!J:K,2,FALSE),C5795)</f>
        <v>SAN ONOFRE</v>
      </c>
      <c r="E5795" s="7">
        <v>2020</v>
      </c>
      <c r="F5795">
        <v>10</v>
      </c>
      <c r="H5795">
        <v>17</v>
      </c>
    </row>
    <row r="5796" spans="1:8" x14ac:dyDescent="0.25">
      <c r="A5796" t="str">
        <f>_xlfn.XLOOKUP(C5796, 'Códigos DANE Municipios'!$B$2:$B$1123, 'Códigos DANE Municipios'!$A$2:$A$1123, "No encontrado")</f>
        <v>13670</v>
      </c>
      <c r="B5796" t="str">
        <f>IFERROR(VLOOKUP(D5796,APOYO!K:L,2,FALSE),A5796)</f>
        <v>13670</v>
      </c>
      <c r="C5796" t="s">
        <v>377</v>
      </c>
      <c r="D5796" t="str">
        <f>IFERROR(VLOOKUP(C5796,APOYO!J:K,2,FALSE),C5796)</f>
        <v>SAN PABLO</v>
      </c>
      <c r="E5796" s="7">
        <v>2020</v>
      </c>
      <c r="H5796">
        <v>25</v>
      </c>
    </row>
    <row r="5797" spans="1:8" x14ac:dyDescent="0.25">
      <c r="A5797" t="str">
        <f>_xlfn.XLOOKUP(C5797, 'Códigos DANE Municipios'!$B$2:$B$1123, 'Códigos DANE Municipios'!$A$2:$A$1123, "No encontrado")</f>
        <v>15681</v>
      </c>
      <c r="B5797" t="str">
        <f>IFERROR(VLOOKUP(D5797,APOYO!K:L,2,FALSE),A5797)</f>
        <v>15681</v>
      </c>
      <c r="C5797" t="s">
        <v>570</v>
      </c>
      <c r="D5797" t="str">
        <f>IFERROR(VLOOKUP(C5797,APOYO!J:K,2,FALSE),C5797)</f>
        <v>SAN PABLO DE BORBUR</v>
      </c>
      <c r="E5797" s="7">
        <v>2020</v>
      </c>
      <c r="H5797">
        <v>3</v>
      </c>
    </row>
    <row r="5798" spans="1:8" x14ac:dyDescent="0.25">
      <c r="A5798" t="str">
        <f>_xlfn.XLOOKUP(C5798, 'Códigos DANE Municipios'!$B$2:$B$1123, 'Códigos DANE Municipios'!$A$2:$A$1123, "No encontrado")</f>
        <v>70717</v>
      </c>
      <c r="B5798" t="str">
        <f>IFERROR(VLOOKUP(D5798,APOYO!K:L,2,FALSE),A5798)</f>
        <v>70717</v>
      </c>
      <c r="C5798" t="s">
        <v>1856</v>
      </c>
      <c r="D5798" t="str">
        <f>IFERROR(VLOOKUP(C5798,APOYO!J:K,2,FALSE),C5798)</f>
        <v>SAN PEDRO</v>
      </c>
      <c r="E5798" s="7">
        <v>2020</v>
      </c>
      <c r="H5798">
        <v>42</v>
      </c>
    </row>
    <row r="5799" spans="1:8" x14ac:dyDescent="0.25">
      <c r="A5799" t="str">
        <f>_xlfn.XLOOKUP(C5799, 'Códigos DANE Municipios'!$B$2:$B$1123, 'Códigos DANE Municipios'!$A$2:$A$1123, "No encontrado")</f>
        <v>52694</v>
      </c>
      <c r="B5799" t="str">
        <f>IFERROR(VLOOKUP(D5799,APOYO!K:L,2,FALSE),A5799)</f>
        <v>52694</v>
      </c>
      <c r="C5799" t="s">
        <v>1512</v>
      </c>
      <c r="D5799" t="str">
        <f>IFERROR(VLOOKUP(C5799,APOYO!J:K,2,FALSE),C5799)</f>
        <v>SAN PEDRO DE CARTAGO</v>
      </c>
      <c r="E5799" s="7">
        <v>2020</v>
      </c>
    </row>
    <row r="5800" spans="1:8" x14ac:dyDescent="0.25">
      <c r="A5800" t="str">
        <f>_xlfn.XLOOKUP(C5800, 'Códigos DANE Municipios'!$B$2:$B$1123, 'Códigos DANE Municipios'!$A$2:$A$1123, "No encontrado")</f>
        <v>05665</v>
      </c>
      <c r="B5800" t="str">
        <f>IFERROR(VLOOKUP(D5800,APOYO!K:L,2,FALSE),A5800)</f>
        <v>05665</v>
      </c>
      <c r="C5800" t="s">
        <v>204</v>
      </c>
      <c r="D5800" t="str">
        <f>IFERROR(VLOOKUP(C5800,APOYO!J:K,2,FALSE),C5800)</f>
        <v>SAN PEDRO DE URABÁ</v>
      </c>
      <c r="E5800" s="7">
        <v>2020</v>
      </c>
      <c r="H5800">
        <v>1</v>
      </c>
    </row>
    <row r="5801" spans="1:8" x14ac:dyDescent="0.25">
      <c r="A5801" t="str">
        <f>_xlfn.XLOOKUP(C5801, 'Códigos DANE Municipios'!$B$2:$B$1123, 'Códigos DANE Municipios'!$A$2:$A$1123, "No encontrado")</f>
        <v>05667</v>
      </c>
      <c r="B5801" t="str">
        <f>IFERROR(VLOOKUP(D5801,APOYO!K:L,2,FALSE),A5801)</f>
        <v>05667</v>
      </c>
      <c r="C5801" t="s">
        <v>206</v>
      </c>
      <c r="D5801" t="str">
        <f>IFERROR(VLOOKUP(C5801,APOYO!J:K,2,FALSE),C5801)</f>
        <v>SAN RAFAEL</v>
      </c>
      <c r="E5801" s="7">
        <v>2020</v>
      </c>
      <c r="H5801">
        <v>10</v>
      </c>
    </row>
    <row r="5802" spans="1:8" x14ac:dyDescent="0.25">
      <c r="A5802" t="str">
        <f>_xlfn.XLOOKUP(C5802, 'Códigos DANE Municipios'!$B$2:$B$1123, 'Códigos DANE Municipios'!$A$2:$A$1123, "No encontrado")</f>
        <v>05670</v>
      </c>
      <c r="B5802" t="str">
        <f>IFERROR(VLOOKUP(D5802,APOYO!K:L,2,FALSE),A5802)</f>
        <v>05670</v>
      </c>
      <c r="C5802" t="s">
        <v>208</v>
      </c>
      <c r="D5802" t="str">
        <f>IFERROR(VLOOKUP(C5802,APOYO!J:K,2,FALSE),C5802)</f>
        <v>SAN ROQUE</v>
      </c>
      <c r="E5802" s="7">
        <v>2020</v>
      </c>
      <c r="H5802">
        <v>5</v>
      </c>
    </row>
    <row r="5803" spans="1:8" x14ac:dyDescent="0.25">
      <c r="A5803" t="str">
        <f>_xlfn.XLOOKUP(C5803, 'Códigos DANE Municipios'!$B$2:$B$1123, 'Códigos DANE Municipios'!$A$2:$A$1123, "No encontrado")</f>
        <v>19693</v>
      </c>
      <c r="B5803" t="str">
        <f>IFERROR(VLOOKUP(D5803,APOYO!K:L,2,FALSE),A5803)</f>
        <v>19693</v>
      </c>
      <c r="C5803" t="s">
        <v>785</v>
      </c>
      <c r="D5803" t="str">
        <f>IFERROR(VLOOKUP(C5803,APOYO!J:K,2,FALSE),C5803)</f>
        <v>SAN SEBASTIÁN</v>
      </c>
      <c r="E5803" s="7">
        <v>2020</v>
      </c>
      <c r="H5803">
        <v>1</v>
      </c>
    </row>
    <row r="5804" spans="1:8" x14ac:dyDescent="0.25">
      <c r="A5804" t="str">
        <f>_xlfn.XLOOKUP(C5804, 'Códigos DANE Municipios'!$B$2:$B$1123, 'Códigos DANE Municipios'!$A$2:$A$1123, "No encontrado")</f>
        <v>47692</v>
      </c>
      <c r="B5804" t="str">
        <f>IFERROR(VLOOKUP(D5804,APOYO!K:L,2,FALSE),A5804)</f>
        <v>47692</v>
      </c>
      <c r="C5804" t="s">
        <v>1342</v>
      </c>
      <c r="D5804" t="str">
        <f>IFERROR(VLOOKUP(C5804,APOYO!J:K,2,FALSE),C5804)</f>
        <v>SAN SEBASTIÁN DE BUENAVISTA</v>
      </c>
      <c r="E5804" s="7">
        <v>2020</v>
      </c>
      <c r="H5804">
        <v>18</v>
      </c>
    </row>
    <row r="5805" spans="1:8" x14ac:dyDescent="0.25">
      <c r="A5805" t="str">
        <f>_xlfn.XLOOKUP(C5805, 'Códigos DANE Municipios'!$B$2:$B$1123, 'Códigos DANE Municipios'!$A$2:$A$1123, "No encontrado")</f>
        <v>05674</v>
      </c>
      <c r="B5805" t="str">
        <f>IFERROR(VLOOKUP(D5805,APOYO!K:L,2,FALSE),A5805)</f>
        <v>05674</v>
      </c>
      <c r="C5805" t="s">
        <v>210</v>
      </c>
      <c r="D5805" t="str">
        <f>IFERROR(VLOOKUP(C5805,APOYO!J:K,2,FALSE),C5805)</f>
        <v>SAN VICENTE FERRER</v>
      </c>
      <c r="E5805" s="7">
        <v>2020</v>
      </c>
    </row>
    <row r="5806" spans="1:8" x14ac:dyDescent="0.25">
      <c r="A5806" t="str">
        <f>_xlfn.XLOOKUP(C5806, 'Códigos DANE Municipios'!$B$2:$B$1123, 'Códigos DANE Municipios'!$A$2:$A$1123, "No encontrado")</f>
        <v>68689</v>
      </c>
      <c r="B5806" t="str">
        <f>IFERROR(VLOOKUP(D5806,APOYO!K:L,2,FALSE),A5806)</f>
        <v>68689</v>
      </c>
      <c r="C5806" t="s">
        <v>1791</v>
      </c>
      <c r="D5806" t="str">
        <f>IFERROR(VLOOKUP(C5806,APOYO!J:K,2,FALSE),C5806)</f>
        <v>SAN VICENTE DE CHUCURÍ</v>
      </c>
      <c r="E5806" s="7">
        <v>2020</v>
      </c>
      <c r="H5806">
        <v>13</v>
      </c>
    </row>
    <row r="5807" spans="1:8" x14ac:dyDescent="0.25">
      <c r="A5807" t="str">
        <f>_xlfn.XLOOKUP(C5807, 'Códigos DANE Municipios'!$B$2:$B$1123, 'Códigos DANE Municipios'!$A$2:$A$1123, "No encontrado")</f>
        <v>18753</v>
      </c>
      <c r="B5807" t="str">
        <f>IFERROR(VLOOKUP(D5807,APOYO!K:L,2,FALSE),A5807)</f>
        <v>18753</v>
      </c>
      <c r="C5807" t="s">
        <v>722</v>
      </c>
      <c r="D5807" t="str">
        <f>IFERROR(VLOOKUP(C5807,APOYO!J:K,2,FALSE),C5807)</f>
        <v>SAN VICENTE DEL CAGUÁN</v>
      </c>
      <c r="E5807" s="7">
        <v>2020</v>
      </c>
    </row>
    <row r="5808" spans="1:8" x14ac:dyDescent="0.25">
      <c r="A5808" t="str">
        <f>_xlfn.XLOOKUP(C5808, 'Códigos DANE Municipios'!$B$2:$B$1123, 'Códigos DANE Municipios'!$A$2:$A$1123, "No encontrado")</f>
        <v>52683</v>
      </c>
      <c r="B5808" t="str">
        <f>IFERROR(VLOOKUP(D5808,APOYO!K:L,2,FALSE),A5808)</f>
        <v>52683</v>
      </c>
      <c r="C5808" t="s">
        <v>1506</v>
      </c>
      <c r="D5808" t="str">
        <f>IFERROR(VLOOKUP(C5808,APOYO!J:K,2,FALSE),C5808)</f>
        <v>SANDONÁ</v>
      </c>
      <c r="E5808" s="7">
        <v>2020</v>
      </c>
    </row>
    <row r="5809" spans="1:5" x14ac:dyDescent="0.25">
      <c r="A5809" t="str">
        <f>_xlfn.XLOOKUP(C5809, 'Códigos DANE Municipios'!$B$2:$B$1123, 'Códigos DANE Municipios'!$A$2:$A$1123, "No encontrado")</f>
        <v>47707</v>
      </c>
      <c r="B5809" t="str">
        <f>IFERROR(VLOOKUP(D5809,APOYO!K:L,2,FALSE),A5809)</f>
        <v>47707</v>
      </c>
      <c r="C5809" t="s">
        <v>1346</v>
      </c>
      <c r="D5809" t="str">
        <f>IFERROR(VLOOKUP(C5809,APOYO!J:K,2,FALSE),C5809)</f>
        <v>SANTA ANA</v>
      </c>
      <c r="E5809" s="7">
        <v>2020</v>
      </c>
    </row>
    <row r="5810" spans="1:5" x14ac:dyDescent="0.25">
      <c r="A5810" t="str">
        <f>_xlfn.XLOOKUP(C5810, 'Códigos DANE Municipios'!$B$2:$B$1123, 'Códigos DANE Municipios'!$A$2:$A$1123, "No encontrado")</f>
        <v>05679</v>
      </c>
      <c r="B5810" t="str">
        <f>IFERROR(VLOOKUP(D5810,APOYO!K:L,2,FALSE),A5810)</f>
        <v>05679</v>
      </c>
      <c r="C5810" t="s">
        <v>212</v>
      </c>
      <c r="D5810" t="str">
        <f>IFERROR(VLOOKUP(C5810,APOYO!J:K,2,FALSE),C5810)</f>
        <v>SANTA BÁRBARA</v>
      </c>
      <c r="E5810" s="7">
        <v>2020</v>
      </c>
    </row>
    <row r="5811" spans="1:5" x14ac:dyDescent="0.25">
      <c r="A5811" t="str">
        <f>_xlfn.XLOOKUP(C5811, 'Códigos DANE Municipios'!$B$2:$B$1123, 'Códigos DANE Municipios'!$A$2:$A$1123, "No encontrado")</f>
        <v>13673</v>
      </c>
      <c r="B5811" t="str">
        <f>IFERROR(VLOOKUP(D5811,APOYO!K:L,2,FALSE),A5811)</f>
        <v>13673</v>
      </c>
      <c r="C5811" t="s">
        <v>379</v>
      </c>
      <c r="D5811" t="str">
        <f>IFERROR(VLOOKUP(C5811,APOYO!J:K,2,FALSE),C5811)</f>
        <v>SANTA CATALINA</v>
      </c>
      <c r="E5811" s="7">
        <v>2020</v>
      </c>
    </row>
    <row r="5812" spans="1:5" x14ac:dyDescent="0.25">
      <c r="A5812" t="str">
        <f>_xlfn.XLOOKUP(C5812, 'Códigos DANE Municipios'!$B$2:$B$1123, 'Códigos DANE Municipios'!$A$2:$A$1123, "No encontrado")</f>
        <v>73686</v>
      </c>
      <c r="B5812" t="str">
        <f>IFERROR(VLOOKUP(D5812,APOYO!K:L,2,FALSE),A5812)</f>
        <v>73686</v>
      </c>
      <c r="C5812" t="s">
        <v>1946</v>
      </c>
      <c r="D5812" t="str">
        <f>IFERROR(VLOOKUP(C5812,APOYO!J:K,2,FALSE),C5812)</f>
        <v>SANTA ISABEL</v>
      </c>
      <c r="E5812" s="7">
        <v>2020</v>
      </c>
    </row>
    <row r="5813" spans="1:5" x14ac:dyDescent="0.25">
      <c r="A5813" t="str">
        <f>_xlfn.XLOOKUP(C5813, 'Códigos DANE Municipios'!$B$2:$B$1123, 'Códigos DANE Municipios'!$A$2:$A$1123, "No encontrado")</f>
        <v>15690</v>
      </c>
      <c r="B5813" t="str">
        <f>IFERROR(VLOOKUP(D5813,APOYO!K:L,2,FALSE),A5813)</f>
        <v>15690</v>
      </c>
      <c r="C5813" t="s">
        <v>574</v>
      </c>
      <c r="D5813" t="str">
        <f>IFERROR(VLOOKUP(C5813,APOYO!J:K,2,FALSE),C5813)</f>
        <v>SANTA MARÍA</v>
      </c>
      <c r="E5813" s="7">
        <v>2020</v>
      </c>
    </row>
    <row r="5814" spans="1:5" x14ac:dyDescent="0.25">
      <c r="A5814" t="str">
        <f>_xlfn.XLOOKUP(C5814, 'Códigos DANE Municipios'!$B$2:$B$1123, 'Códigos DANE Municipios'!$A$2:$A$1123, "No encontrado")</f>
        <v>47001</v>
      </c>
      <c r="B5814" t="str">
        <f>IFERROR(VLOOKUP(D5814,APOYO!K:L,2,FALSE),A5814)</f>
        <v>47001</v>
      </c>
      <c r="C5814" t="s">
        <v>1300</v>
      </c>
      <c r="D5814" t="str">
        <f>IFERROR(VLOOKUP(C5814,APOYO!J:K,2,FALSE),C5814)</f>
        <v>SANTA MARTA</v>
      </c>
      <c r="E5814" s="7">
        <v>2020</v>
      </c>
    </row>
    <row r="5815" spans="1:5" x14ac:dyDescent="0.25">
      <c r="A5815" t="str">
        <f>_xlfn.XLOOKUP(C5815, 'Códigos DANE Municipios'!$B$2:$B$1123, 'Códigos DANE Municipios'!$A$2:$A$1123, "No encontrado")</f>
        <v>13683</v>
      </c>
      <c r="B5815" t="str">
        <f>IFERROR(VLOOKUP(D5815,APOYO!K:L,2,FALSE),A5815)</f>
        <v>13683</v>
      </c>
      <c r="C5815" t="s">
        <v>381</v>
      </c>
      <c r="D5815" t="str">
        <f>IFERROR(VLOOKUP(C5815,APOYO!J:K,2,FALSE),C5815)</f>
        <v>SANTA ROSA</v>
      </c>
      <c r="E5815" s="7">
        <v>2020</v>
      </c>
    </row>
    <row r="5816" spans="1:5" x14ac:dyDescent="0.25">
      <c r="A5816" t="str">
        <f>_xlfn.XLOOKUP(C5816, 'Códigos DANE Municipios'!$B$2:$B$1123, 'Códigos DANE Municipios'!$A$2:$A$1123, "No encontrado")</f>
        <v>66682</v>
      </c>
      <c r="B5816" t="str">
        <f>IFERROR(VLOOKUP(D5816,APOYO!K:L,2,FALSE),A5816)</f>
        <v>66682</v>
      </c>
      <c r="C5816" t="s">
        <v>1651</v>
      </c>
      <c r="D5816" t="str">
        <f>IFERROR(VLOOKUP(C5816,APOYO!J:K,2,FALSE),C5816)</f>
        <v>SANTA ROSA DE CABAL</v>
      </c>
      <c r="E5816" s="7">
        <v>2020</v>
      </c>
    </row>
    <row r="5817" spans="1:5" x14ac:dyDescent="0.25">
      <c r="A5817" t="str">
        <f>_xlfn.XLOOKUP(C5817, 'Códigos DANE Municipios'!$B$2:$B$1123, 'Códigos DANE Municipios'!$A$2:$A$1123, "No encontrado")</f>
        <v>15693</v>
      </c>
      <c r="B5817" t="str">
        <f>IFERROR(VLOOKUP(D5817,APOYO!K:L,2,FALSE),A5817)</f>
        <v>15693</v>
      </c>
      <c r="C5817" t="s">
        <v>576</v>
      </c>
      <c r="D5817" t="str">
        <f>IFERROR(VLOOKUP(C5817,APOYO!J:K,2,FALSE),C5817)</f>
        <v>SANTA ROSA DE VITERBO</v>
      </c>
      <c r="E5817" s="7">
        <v>2020</v>
      </c>
    </row>
    <row r="5818" spans="1:5" x14ac:dyDescent="0.25">
      <c r="A5818" t="str">
        <f>_xlfn.XLOOKUP(C5818, 'Códigos DANE Municipios'!$B$2:$B$1123, 'Códigos DANE Municipios'!$A$2:$A$1123, "No encontrado")</f>
        <v>13688</v>
      </c>
      <c r="B5818" t="str">
        <f>IFERROR(VLOOKUP(D5818,APOYO!K:L,2,FALSE),A5818)</f>
        <v>13688</v>
      </c>
      <c r="C5818" t="s">
        <v>383</v>
      </c>
      <c r="D5818" t="str">
        <f>IFERROR(VLOOKUP(C5818,APOYO!J:K,2,FALSE),C5818)</f>
        <v>SANTA ROSA DEL SUR</v>
      </c>
      <c r="E5818" s="7">
        <v>2020</v>
      </c>
    </row>
    <row r="5819" spans="1:5" x14ac:dyDescent="0.25">
      <c r="A5819" t="str">
        <f>_xlfn.XLOOKUP(C5819, 'Códigos DANE Municipios'!$B$2:$B$1123, 'Códigos DANE Municipios'!$A$2:$A$1123, "No encontrado")</f>
        <v>15696</v>
      </c>
      <c r="B5819" t="str">
        <f>IFERROR(VLOOKUP(D5819,APOYO!K:L,2,FALSE),A5819)</f>
        <v>15696</v>
      </c>
      <c r="C5819" t="s">
        <v>578</v>
      </c>
      <c r="D5819" t="str">
        <f>IFERROR(VLOOKUP(C5819,APOYO!J:K,2,FALSE),C5819)</f>
        <v>SANTA SOFÍA</v>
      </c>
      <c r="E5819" s="7">
        <v>2020</v>
      </c>
    </row>
    <row r="5820" spans="1:5" x14ac:dyDescent="0.25">
      <c r="A5820" t="str">
        <f>_xlfn.XLOOKUP(C5820, 'Códigos DANE Municipios'!$B$2:$B$1123, 'Códigos DANE Municipios'!$A$2:$A$1123, "No encontrado")</f>
        <v>15686</v>
      </c>
      <c r="B5820" t="str">
        <f>IFERROR(VLOOKUP(D5820,APOYO!K:L,2,FALSE),A5820)</f>
        <v>15686</v>
      </c>
      <c r="C5820" t="s">
        <v>572</v>
      </c>
      <c r="D5820" t="str">
        <f>IFERROR(VLOOKUP(C5820,APOYO!J:K,2,FALSE),C5820)</f>
        <v>SANTANA</v>
      </c>
      <c r="E5820" s="7">
        <v>2020</v>
      </c>
    </row>
    <row r="5821" spans="1:5" x14ac:dyDescent="0.25">
      <c r="A5821" t="str">
        <f>_xlfn.XLOOKUP(C5821, 'Códigos DANE Municipios'!$B$2:$B$1123, 'Códigos DANE Municipios'!$A$2:$A$1123, "No encontrado")</f>
        <v>19698</v>
      </c>
      <c r="B5821" t="str">
        <f>IFERROR(VLOOKUP(D5821,APOYO!K:L,2,FALSE),A5821)</f>
        <v>19698</v>
      </c>
      <c r="C5821" t="s">
        <v>787</v>
      </c>
      <c r="D5821" t="str">
        <f>IFERROR(VLOOKUP(C5821,APOYO!J:K,2,FALSE),C5821)</f>
        <v>SANTANDER DE QUILICHAO</v>
      </c>
      <c r="E5821" s="7">
        <v>2020</v>
      </c>
    </row>
    <row r="5822" spans="1:5" x14ac:dyDescent="0.25">
      <c r="A5822" t="str">
        <f>_xlfn.XLOOKUP(C5822, 'Códigos DANE Municipios'!$B$2:$B$1123, 'Códigos DANE Municipios'!$A$2:$A$1123, "No encontrado")</f>
        <v>08685</v>
      </c>
      <c r="B5822" t="str">
        <f>IFERROR(VLOOKUP(D5822,APOYO!K:L,2,FALSE),A5822)</f>
        <v>08685</v>
      </c>
      <c r="C5822" t="s">
        <v>297</v>
      </c>
      <c r="D5822" t="str">
        <f>IFERROR(VLOOKUP(C5822,APOYO!J:K,2,FALSE),C5822)</f>
        <v>SANTO TOMÁS</v>
      </c>
      <c r="E5822" s="7">
        <v>2020</v>
      </c>
    </row>
    <row r="5823" spans="1:5" x14ac:dyDescent="0.25">
      <c r="A5823" t="str">
        <f>_xlfn.XLOOKUP(C5823, 'Códigos DANE Municipios'!$B$2:$B$1123, 'Códigos DANE Municipios'!$A$2:$A$1123, "No encontrado")</f>
        <v>66687</v>
      </c>
      <c r="B5823" t="str">
        <f>IFERROR(VLOOKUP(D5823,APOYO!K:L,2,FALSE),A5823)</f>
        <v>66687</v>
      </c>
      <c r="C5823" t="s">
        <v>1653</v>
      </c>
      <c r="D5823" t="str">
        <f>IFERROR(VLOOKUP(C5823,APOYO!J:K,2,FALSE),C5823)</f>
        <v>SANTUARIO</v>
      </c>
      <c r="E5823" s="7">
        <v>2020</v>
      </c>
    </row>
    <row r="5824" spans="1:5" x14ac:dyDescent="0.25">
      <c r="A5824" t="str">
        <f>_xlfn.XLOOKUP(C5824, 'Códigos DANE Municipios'!$B$2:$B$1123, 'Códigos DANE Municipios'!$A$2:$A$1123, "No encontrado")</f>
        <v>81736</v>
      </c>
      <c r="B5824" t="str">
        <f>IFERROR(VLOOKUP(D5824,APOYO!K:L,2,FALSE),A5824)</f>
        <v>81736</v>
      </c>
      <c r="C5824" t="s">
        <v>2044</v>
      </c>
      <c r="D5824" t="str">
        <f>IFERROR(VLOOKUP(C5824,APOYO!J:K,2,FALSE),C5824)</f>
        <v>SARAVENA</v>
      </c>
      <c r="E5824" s="7">
        <v>2020</v>
      </c>
    </row>
    <row r="5825" spans="1:5" x14ac:dyDescent="0.25">
      <c r="A5825" t="str">
        <f>_xlfn.XLOOKUP(C5825, 'Códigos DANE Municipios'!$B$2:$B$1123, 'Códigos DANE Municipios'!$A$2:$A$1123, "No encontrado")</f>
        <v>52720</v>
      </c>
      <c r="B5825" t="str">
        <f>IFERROR(VLOOKUP(D5825,APOYO!K:L,2,FALSE),A5825)</f>
        <v>52720</v>
      </c>
      <c r="C5825" t="s">
        <v>1517</v>
      </c>
      <c r="D5825" t="str">
        <f>IFERROR(VLOOKUP(C5825,APOYO!J:K,2,FALSE),C5825)</f>
        <v>SAPUYES</v>
      </c>
      <c r="E5825" s="7">
        <v>2020</v>
      </c>
    </row>
    <row r="5826" spans="1:5" x14ac:dyDescent="0.25">
      <c r="A5826" t="str">
        <f>_xlfn.XLOOKUP(C5826, 'Códigos DANE Municipios'!$B$2:$B$1123, 'Códigos DANE Municipios'!$A$2:$A$1123, "No encontrado")</f>
        <v>81736</v>
      </c>
      <c r="B5826" t="str">
        <f>IFERROR(VLOOKUP(D5826,APOYO!K:L,2,FALSE),A5826)</f>
        <v>81736</v>
      </c>
      <c r="C5826" t="s">
        <v>2044</v>
      </c>
      <c r="D5826" t="str">
        <f>IFERROR(VLOOKUP(C5826,APOYO!J:K,2,FALSE),C5826)</f>
        <v>SARAVENA</v>
      </c>
      <c r="E5826" s="7">
        <v>2020</v>
      </c>
    </row>
    <row r="5827" spans="1:5" x14ac:dyDescent="0.25">
      <c r="A5827" t="str">
        <f>_xlfn.XLOOKUP(C5827, 'Códigos DANE Municipios'!$B$2:$B$1123, 'Códigos DANE Municipios'!$A$2:$A$1123, "No encontrado")</f>
        <v>54720</v>
      </c>
      <c r="B5827" t="str">
        <f>IFERROR(VLOOKUP(D5827,APOYO!K:L,2,FALSE),A5827)</f>
        <v>54720</v>
      </c>
      <c r="C5827" t="s">
        <v>1594</v>
      </c>
      <c r="D5827" t="str">
        <f>IFERROR(VLOOKUP(C5827,APOYO!J:K,2,FALSE),C5827)</f>
        <v>SARDINATA</v>
      </c>
      <c r="E5827" s="7">
        <v>2020</v>
      </c>
    </row>
    <row r="5828" spans="1:5" x14ac:dyDescent="0.25">
      <c r="A5828" t="str">
        <f>_xlfn.XLOOKUP(C5828, 'Códigos DANE Municipios'!$B$2:$B$1123, 'Códigos DANE Municipios'!$A$2:$A$1123, "No encontrado")</f>
        <v>25718</v>
      </c>
      <c r="B5828" t="str">
        <f>IFERROR(VLOOKUP(D5828,APOYO!K:L,2,FALSE),A5828)</f>
        <v>25718</v>
      </c>
      <c r="C5828" t="s">
        <v>1072</v>
      </c>
      <c r="D5828" t="str">
        <f>IFERROR(VLOOKUP(C5828,APOYO!J:K,2,FALSE),C5828)</f>
        <v>SASAIMA</v>
      </c>
      <c r="E5828" s="7">
        <v>2020</v>
      </c>
    </row>
    <row r="5829" spans="1:5" x14ac:dyDescent="0.25">
      <c r="A5829" t="str">
        <f>_xlfn.XLOOKUP(C5829, 'Códigos DANE Municipios'!$B$2:$B$1123, 'Códigos DANE Municipios'!$A$2:$A$1123, "No encontrado")</f>
        <v>05736</v>
      </c>
      <c r="B5829" t="str">
        <f>IFERROR(VLOOKUP(D5829,APOYO!K:L,2,FALSE),A5829)</f>
        <v>05736</v>
      </c>
      <c r="C5829" t="s">
        <v>220</v>
      </c>
      <c r="D5829" t="str">
        <f>IFERROR(VLOOKUP(C5829,APOYO!J:K,2,FALSE),C5829)</f>
        <v>SEGOVIA</v>
      </c>
      <c r="E5829" s="7">
        <v>2020</v>
      </c>
    </row>
    <row r="5830" spans="1:5" x14ac:dyDescent="0.25">
      <c r="A5830" t="str">
        <f>_xlfn.XLOOKUP(C5830, 'Códigos DANE Municipios'!$B$2:$B$1123, 'Códigos DANE Municipios'!$A$2:$A$1123, "No encontrado")</f>
        <v>25736</v>
      </c>
      <c r="B5830" t="str">
        <f>IFERROR(VLOOKUP(D5830,APOYO!K:L,2,FALSE),A5830)</f>
        <v>25736</v>
      </c>
      <c r="C5830" t="s">
        <v>1074</v>
      </c>
      <c r="D5830" t="str">
        <f>IFERROR(VLOOKUP(C5830,APOYO!J:K,2,FALSE),C5830)</f>
        <v>SESQUILÉ</v>
      </c>
      <c r="E5830" s="7">
        <v>2020</v>
      </c>
    </row>
    <row r="5831" spans="1:5" x14ac:dyDescent="0.25">
      <c r="A5831" t="str">
        <f>_xlfn.XLOOKUP(C5831, 'Códigos DANE Municipios'!$B$2:$B$1123, 'Códigos DANE Municipios'!$A$2:$A$1123, "No encontrado")</f>
        <v>76736</v>
      </c>
      <c r="B5831" t="str">
        <f>IFERROR(VLOOKUP(D5831,APOYO!K:L,2,FALSE),A5831)</f>
        <v>76736</v>
      </c>
      <c r="C5831" t="s">
        <v>2014</v>
      </c>
      <c r="D5831" t="str">
        <f>IFERROR(VLOOKUP(C5831,APOYO!J:K,2,FALSE),C5831)</f>
        <v>SEVILLA</v>
      </c>
      <c r="E5831" s="7">
        <v>2020</v>
      </c>
    </row>
    <row r="5832" spans="1:5" x14ac:dyDescent="0.25">
      <c r="A5832" t="str">
        <f>_xlfn.XLOOKUP(C5832, 'Códigos DANE Municipios'!$B$2:$B$1123, 'Códigos DANE Municipios'!$A$2:$A$1123, "No encontrado")</f>
        <v>15740</v>
      </c>
      <c r="B5832" t="str">
        <f>IFERROR(VLOOKUP(D5832,APOYO!K:L,2,FALSE),A5832)</f>
        <v>15740</v>
      </c>
      <c r="C5832" t="s">
        <v>584</v>
      </c>
      <c r="D5832" t="str">
        <f>IFERROR(VLOOKUP(C5832,APOYO!J:K,2,FALSE),C5832)</f>
        <v>SIACHOQUE</v>
      </c>
      <c r="E5832" s="7">
        <v>2020</v>
      </c>
    </row>
    <row r="5833" spans="1:5" x14ac:dyDescent="0.25">
      <c r="A5833" t="str">
        <f>_xlfn.XLOOKUP(C5833, 'Códigos DANE Municipios'!$B$2:$B$1123, 'Códigos DANE Municipios'!$A$2:$A$1123, "No encontrado")</f>
        <v>25740</v>
      </c>
      <c r="B5833" t="str">
        <f>IFERROR(VLOOKUP(D5833,APOYO!K:L,2,FALSE),A5833)</f>
        <v>25740</v>
      </c>
      <c r="C5833" t="s">
        <v>1076</v>
      </c>
      <c r="D5833" t="str">
        <f>IFERROR(VLOOKUP(C5833,APOYO!J:K,2,FALSE),C5833)</f>
        <v>SIBATÉ</v>
      </c>
      <c r="E5833" s="7">
        <v>2020</v>
      </c>
    </row>
    <row r="5834" spans="1:5" x14ac:dyDescent="0.25">
      <c r="A5834" t="str">
        <f>_xlfn.XLOOKUP(C5834, 'Códigos DANE Municipios'!$B$2:$B$1123, 'Códigos DANE Municipios'!$A$2:$A$1123, "No encontrado")</f>
        <v>86749</v>
      </c>
      <c r="B5834" t="str">
        <f>IFERROR(VLOOKUP(D5834,APOYO!K:L,2,FALSE),A5834)</f>
        <v>86749</v>
      </c>
      <c r="C5834" t="s">
        <v>2097</v>
      </c>
      <c r="D5834" t="str">
        <f>IFERROR(VLOOKUP(C5834,APOYO!J:K,2,FALSE),C5834)</f>
        <v>SIBUNDOY</v>
      </c>
      <c r="E5834" s="7">
        <v>2020</v>
      </c>
    </row>
    <row r="5835" spans="1:5" x14ac:dyDescent="0.25">
      <c r="A5835" t="str">
        <f>_xlfn.XLOOKUP(C5835, 'Códigos DANE Municipios'!$B$2:$B$1123, 'Códigos DANE Municipios'!$A$2:$A$1123, "No encontrado")</f>
        <v>25743</v>
      </c>
      <c r="B5835" t="str">
        <f>IFERROR(VLOOKUP(D5835,APOYO!K:L,2,FALSE),A5835)</f>
        <v>25743</v>
      </c>
      <c r="C5835" t="s">
        <v>1078</v>
      </c>
      <c r="D5835" t="str">
        <f>IFERROR(VLOOKUP(C5835,APOYO!J:K,2,FALSE),C5835)</f>
        <v>SILVANIA</v>
      </c>
      <c r="E5835" s="7">
        <v>2020</v>
      </c>
    </row>
    <row r="5836" spans="1:5" x14ac:dyDescent="0.25">
      <c r="A5836" t="str">
        <f>_xlfn.XLOOKUP(C5836, 'Códigos DANE Municipios'!$B$2:$B$1123, 'Códigos DANE Municipios'!$A$2:$A$1123, "No encontrado")</f>
        <v>19743</v>
      </c>
      <c r="B5836" t="str">
        <f>IFERROR(VLOOKUP(D5836,APOYO!K:L,2,FALSE),A5836)</f>
        <v>19743</v>
      </c>
      <c r="C5836" t="s">
        <v>790</v>
      </c>
      <c r="D5836" t="str">
        <f>IFERROR(VLOOKUP(C5836,APOYO!J:K,2,FALSE),C5836)</f>
        <v>SILVIA</v>
      </c>
      <c r="E5836" s="7">
        <v>2020</v>
      </c>
    </row>
    <row r="5837" spans="1:5" x14ac:dyDescent="0.25">
      <c r="A5837" t="str">
        <f>_xlfn.XLOOKUP(C5837, 'Códigos DANE Municipios'!$B$2:$B$1123, 'Códigos DANE Municipios'!$A$2:$A$1123, "No encontrado")</f>
        <v>25745</v>
      </c>
      <c r="B5837" t="str">
        <f>IFERROR(VLOOKUP(D5837,APOYO!K:L,2,FALSE),A5837)</f>
        <v>25745</v>
      </c>
      <c r="C5837" t="s">
        <v>1080</v>
      </c>
      <c r="D5837" t="str">
        <f>IFERROR(VLOOKUP(C5837,APOYO!J:K,2,FALSE),C5837)</f>
        <v>SIMIJACA</v>
      </c>
      <c r="E5837" s="7">
        <v>2020</v>
      </c>
    </row>
    <row r="5838" spans="1:5" x14ac:dyDescent="0.25">
      <c r="A5838" t="str">
        <f>_xlfn.XLOOKUP(C5838, 'Códigos DANE Municipios'!$B$2:$B$1123, 'Códigos DANE Municipios'!$A$2:$A$1123, "No encontrado")</f>
        <v>70742</v>
      </c>
      <c r="B5838" t="str">
        <f>IFERROR(VLOOKUP(D5838,APOYO!K:L,2,FALSE),A5838)</f>
        <v>70742</v>
      </c>
      <c r="C5838" t="s">
        <v>1858</v>
      </c>
      <c r="D5838" t="str">
        <f>IFERROR(VLOOKUP(C5838,APOYO!J:K,2,FALSE),C5838)</f>
        <v>SAN LUIS DE SINCÉ</v>
      </c>
      <c r="E5838" s="7">
        <v>2020</v>
      </c>
    </row>
    <row r="5839" spans="1:5" x14ac:dyDescent="0.25">
      <c r="A5839" t="str">
        <f>_xlfn.XLOOKUP(C5839, 'Códigos DANE Municipios'!$B$2:$B$1123, 'Códigos DANE Municipios'!$A$2:$A$1123, "No encontrado")</f>
        <v>70001</v>
      </c>
      <c r="B5839" t="str">
        <f>IFERROR(VLOOKUP(D5839,APOYO!K:L,2,FALSE),A5839)</f>
        <v>70001</v>
      </c>
      <c r="C5839" t="s">
        <v>1816</v>
      </c>
      <c r="D5839" t="str">
        <f>IFERROR(VLOOKUP(C5839,APOYO!J:K,2,FALSE),C5839)</f>
        <v>SINCELEJO</v>
      </c>
      <c r="E5839" s="7">
        <v>2020</v>
      </c>
    </row>
    <row r="5840" spans="1:5" x14ac:dyDescent="0.25">
      <c r="A5840" t="str">
        <f>_xlfn.XLOOKUP(C5840, 'Códigos DANE Municipios'!$B$2:$B$1123, 'Códigos DANE Municipios'!$A$2:$A$1123, "No encontrado")</f>
        <v>47745</v>
      </c>
      <c r="B5840" t="str">
        <f>IFERROR(VLOOKUP(D5840,APOYO!K:L,2,FALSE),A5840)</f>
        <v>47745</v>
      </c>
      <c r="C5840" t="s">
        <v>1350</v>
      </c>
      <c r="D5840" t="str">
        <f>IFERROR(VLOOKUP(C5840,APOYO!J:K,2,FALSE),C5840)</f>
        <v>SITIONUEVO</v>
      </c>
      <c r="E5840" s="7">
        <v>2020</v>
      </c>
    </row>
    <row r="5841" spans="1:5" x14ac:dyDescent="0.25">
      <c r="A5841" t="str">
        <f>_xlfn.XLOOKUP(C5841, 'Códigos DANE Municipios'!$B$2:$B$1123, 'Códigos DANE Municipios'!$A$2:$A$1123, "No encontrado")</f>
        <v>25754</v>
      </c>
      <c r="B5841" t="str">
        <f>IFERROR(VLOOKUP(D5841,APOYO!K:L,2,FALSE),A5841)</f>
        <v>25754</v>
      </c>
      <c r="C5841" t="s">
        <v>1082</v>
      </c>
      <c r="D5841" t="str">
        <f>IFERROR(VLOOKUP(C5841,APOYO!J:K,2,FALSE),C5841)</f>
        <v>SOACHA</v>
      </c>
      <c r="E5841" s="7">
        <v>2020</v>
      </c>
    </row>
    <row r="5842" spans="1:5" x14ac:dyDescent="0.25">
      <c r="A5842" t="str">
        <f>_xlfn.XLOOKUP(C5842, 'Códigos DANE Municipios'!$B$2:$B$1123, 'Códigos DANE Municipios'!$A$2:$A$1123, "No encontrado")</f>
        <v>15753</v>
      </c>
      <c r="B5842" t="str">
        <f>IFERROR(VLOOKUP(D5842,APOYO!K:L,2,FALSE),A5842)</f>
        <v>15753</v>
      </c>
      <c r="C5842" t="s">
        <v>586</v>
      </c>
      <c r="D5842" t="str">
        <f>IFERROR(VLOOKUP(C5842,APOYO!J:K,2,FALSE),C5842)</f>
        <v>SOATÁ</v>
      </c>
      <c r="E5842" s="7">
        <v>2020</v>
      </c>
    </row>
    <row r="5843" spans="1:5" x14ac:dyDescent="0.25">
      <c r="A5843" t="str">
        <f>_xlfn.XLOOKUP(C5843, 'Códigos DANE Municipios'!$B$2:$B$1123, 'Códigos DANE Municipios'!$A$2:$A$1123, "No encontrado")</f>
        <v>15757</v>
      </c>
      <c r="B5843" t="str">
        <f>IFERROR(VLOOKUP(D5843,APOYO!K:L,2,FALSE),A5843)</f>
        <v>15757</v>
      </c>
      <c r="C5843" t="s">
        <v>590</v>
      </c>
      <c r="D5843" t="str">
        <f>IFERROR(VLOOKUP(C5843,APOYO!J:K,2,FALSE),C5843)</f>
        <v>SOCHA</v>
      </c>
      <c r="E5843" s="7">
        <v>2020</v>
      </c>
    </row>
    <row r="5844" spans="1:5" x14ac:dyDescent="0.25">
      <c r="A5844" t="str">
        <f>_xlfn.XLOOKUP(C5844, 'Códigos DANE Municipios'!$B$2:$B$1123, 'Códigos DANE Municipios'!$A$2:$A$1123, "No encontrado")</f>
        <v>68755</v>
      </c>
      <c r="B5844" t="str">
        <f>IFERROR(VLOOKUP(D5844,APOYO!K:L,2,FALSE),A5844)</f>
        <v>68755</v>
      </c>
      <c r="C5844" t="s">
        <v>1798</v>
      </c>
      <c r="D5844" t="str">
        <f>IFERROR(VLOOKUP(C5844,APOYO!J:K,2,FALSE),C5844)</f>
        <v>SOCORRO</v>
      </c>
      <c r="E5844" s="7">
        <v>2020</v>
      </c>
    </row>
    <row r="5845" spans="1:5" x14ac:dyDescent="0.25">
      <c r="A5845" t="str">
        <f>_xlfn.XLOOKUP(C5845, 'Códigos DANE Municipios'!$B$2:$B$1123, 'Códigos DANE Municipios'!$A$2:$A$1123, "No encontrado")</f>
        <v>15759</v>
      </c>
      <c r="B5845" t="str">
        <f>IFERROR(VLOOKUP(D5845,APOYO!K:L,2,FALSE),A5845)</f>
        <v>15759</v>
      </c>
      <c r="C5845" t="s">
        <v>592</v>
      </c>
      <c r="D5845" t="str">
        <f>IFERROR(VLOOKUP(C5845,APOYO!J:K,2,FALSE),C5845)</f>
        <v>SOGAMOSO</v>
      </c>
      <c r="E5845" s="7">
        <v>2020</v>
      </c>
    </row>
    <row r="5846" spans="1:5" x14ac:dyDescent="0.25">
      <c r="A5846" t="str">
        <f>_xlfn.XLOOKUP(C5846, 'Códigos DANE Municipios'!$B$2:$B$1123, 'Códigos DANE Municipios'!$A$2:$A$1123, "No encontrado")</f>
        <v>18756</v>
      </c>
      <c r="B5846" t="str">
        <f>IFERROR(VLOOKUP(D5846,APOYO!K:L,2,FALSE),A5846)</f>
        <v>18756</v>
      </c>
      <c r="C5846" t="s">
        <v>724</v>
      </c>
      <c r="D5846" t="str">
        <f>IFERROR(VLOOKUP(C5846,APOYO!J:K,2,FALSE),C5846)</f>
        <v>SOLANO</v>
      </c>
      <c r="E5846" s="7">
        <v>2020</v>
      </c>
    </row>
    <row r="5847" spans="1:5" x14ac:dyDescent="0.25">
      <c r="A5847" t="str">
        <f>_xlfn.XLOOKUP(C5847, 'Códigos DANE Municipios'!$B$2:$B$1123, 'Códigos DANE Municipios'!$A$2:$A$1123, "No encontrado")</f>
        <v>08758</v>
      </c>
      <c r="B5847" t="str">
        <f>IFERROR(VLOOKUP(D5847,APOYO!K:L,2,FALSE),A5847)</f>
        <v>08758</v>
      </c>
      <c r="C5847" t="s">
        <v>299</v>
      </c>
      <c r="D5847" t="str">
        <f>IFERROR(VLOOKUP(C5847,APOYO!J:K,2,FALSE),C5847)</f>
        <v>SOLEDAD</v>
      </c>
      <c r="E5847" s="7">
        <v>2020</v>
      </c>
    </row>
    <row r="5848" spans="1:5" x14ac:dyDescent="0.25">
      <c r="A5848" t="str">
        <f>_xlfn.XLOOKUP(C5848, 'Códigos DANE Municipios'!$B$2:$B$1123, 'Códigos DANE Municipios'!$A$2:$A$1123, "No encontrado")</f>
        <v>15761</v>
      </c>
      <c r="B5848" t="str">
        <f>IFERROR(VLOOKUP(D5848,APOYO!K:L,2,FALSE),A5848)</f>
        <v>15761</v>
      </c>
      <c r="C5848" t="s">
        <v>594</v>
      </c>
      <c r="D5848" t="str">
        <f>IFERROR(VLOOKUP(C5848,APOYO!J:K,2,FALSE),C5848)</f>
        <v>SOMONDOCO</v>
      </c>
      <c r="E5848" s="7">
        <v>2020</v>
      </c>
    </row>
    <row r="5849" spans="1:5" x14ac:dyDescent="0.25">
      <c r="A5849" t="str">
        <f>_xlfn.XLOOKUP(C5849, 'Códigos DANE Municipios'!$B$2:$B$1123, 'Códigos DANE Municipios'!$A$2:$A$1123, "No encontrado")</f>
        <v>05756</v>
      </c>
      <c r="B5849" t="str">
        <f>IFERROR(VLOOKUP(D5849,APOYO!K:L,2,FALSE),A5849)</f>
        <v>05756</v>
      </c>
      <c r="C5849" t="s">
        <v>222</v>
      </c>
      <c r="D5849" t="str">
        <f>IFERROR(VLOOKUP(C5849,APOYO!J:K,2,FALSE),C5849)</f>
        <v>SONSÓN</v>
      </c>
      <c r="E5849" s="7">
        <v>2020</v>
      </c>
    </row>
    <row r="5850" spans="1:5" x14ac:dyDescent="0.25">
      <c r="A5850" t="str">
        <f>_xlfn.XLOOKUP(C5850, 'Códigos DANE Municipios'!$B$2:$B$1123, 'Códigos DANE Municipios'!$A$2:$A$1123, "No encontrado")</f>
        <v>05761</v>
      </c>
      <c r="B5850" t="str">
        <f>IFERROR(VLOOKUP(D5850,APOYO!K:L,2,FALSE),A5850)</f>
        <v>05761</v>
      </c>
      <c r="C5850" t="s">
        <v>224</v>
      </c>
      <c r="D5850" t="str">
        <f>IFERROR(VLOOKUP(C5850,APOYO!J:K,2,FALSE),C5850)</f>
        <v>SOPETRÁN</v>
      </c>
      <c r="E5850" s="7">
        <v>2020</v>
      </c>
    </row>
    <row r="5851" spans="1:5" x14ac:dyDescent="0.25">
      <c r="A5851" t="str">
        <f>_xlfn.XLOOKUP(C5851, 'Códigos DANE Municipios'!$B$2:$B$1123, 'Códigos DANE Municipios'!$A$2:$A$1123, "No encontrado")</f>
        <v>25758</v>
      </c>
      <c r="B5851" t="str">
        <f>IFERROR(VLOOKUP(D5851,APOYO!K:L,2,FALSE),A5851)</f>
        <v>25758</v>
      </c>
      <c r="C5851" t="s">
        <v>1084</v>
      </c>
      <c r="D5851" t="str">
        <f>IFERROR(VLOOKUP(C5851,APOYO!J:K,2,FALSE),C5851)</f>
        <v>SOPÓ</v>
      </c>
      <c r="E5851" s="7">
        <v>2020</v>
      </c>
    </row>
    <row r="5852" spans="1:5" x14ac:dyDescent="0.25">
      <c r="A5852" t="str">
        <f>_xlfn.XLOOKUP(C5852, 'Códigos DANE Municipios'!$B$2:$B$1123, 'Códigos DANE Municipios'!$A$2:$A$1123, "No encontrado")</f>
        <v>15762</v>
      </c>
      <c r="B5852" t="str">
        <f>IFERROR(VLOOKUP(D5852,APOYO!K:L,2,FALSE),A5852)</f>
        <v>15762</v>
      </c>
      <c r="C5852" t="s">
        <v>596</v>
      </c>
      <c r="D5852" t="str">
        <f>IFERROR(VLOOKUP(C5852,APOYO!J:K,2,FALSE),C5852)</f>
        <v>SORA</v>
      </c>
      <c r="E5852" s="7">
        <v>2020</v>
      </c>
    </row>
    <row r="5853" spans="1:5" x14ac:dyDescent="0.25">
      <c r="A5853" t="str">
        <f>_xlfn.XLOOKUP(C5853, 'Códigos DANE Municipios'!$B$2:$B$1123, 'Códigos DANE Municipios'!$A$2:$A$1123, "No encontrado")</f>
        <v>15763</v>
      </c>
      <c r="B5853" t="str">
        <f>IFERROR(VLOOKUP(D5853,APOYO!K:L,2,FALSE),A5853)</f>
        <v>15763</v>
      </c>
      <c r="C5853" t="s">
        <v>598</v>
      </c>
      <c r="D5853" t="str">
        <f>IFERROR(VLOOKUP(C5853,APOYO!J:K,2,FALSE),C5853)</f>
        <v>SOTAQUIRÁ</v>
      </c>
      <c r="E5853" s="7">
        <v>2020</v>
      </c>
    </row>
    <row r="5854" spans="1:5" x14ac:dyDescent="0.25">
      <c r="A5854" t="str">
        <f>_xlfn.XLOOKUP(C5854, 'Códigos DANE Municipios'!$B$2:$B$1123, 'Códigos DANE Municipios'!$A$2:$A$1123, "No encontrado")</f>
        <v>05686</v>
      </c>
      <c r="B5854" t="str">
        <f>IFERROR(VLOOKUP(D5854,APOYO!K:L,2,FALSE),A5854)</f>
        <v>05686</v>
      </c>
      <c r="C5854" t="s">
        <v>214</v>
      </c>
      <c r="D5854" t="str">
        <f>IFERROR(VLOOKUP(C5854,APOYO!J:K,2,FALSE),C5854)</f>
        <v>SANTA ROSA DE OSOS</v>
      </c>
      <c r="E5854" s="7">
        <v>2020</v>
      </c>
    </row>
    <row r="5855" spans="1:5" x14ac:dyDescent="0.25">
      <c r="A5855" t="str">
        <f>_xlfn.XLOOKUP(C5855, 'Códigos DANE Municipios'!$B$2:$B$1123, 'Códigos DANE Municipios'!$A$2:$A$1123, "No encontrado")</f>
        <v>68770</v>
      </c>
      <c r="B5855" t="str">
        <f>IFERROR(VLOOKUP(D5855,APOYO!K:L,2,FALSE),A5855)</f>
        <v>68770</v>
      </c>
      <c r="C5855" t="s">
        <v>1800</v>
      </c>
      <c r="D5855" t="str">
        <f>IFERROR(VLOOKUP(C5855,APOYO!J:K,2,FALSE),C5855)</f>
        <v>SUAITA</v>
      </c>
      <c r="E5855" s="7">
        <v>2020</v>
      </c>
    </row>
    <row r="5856" spans="1:5" x14ac:dyDescent="0.25">
      <c r="A5856" t="str">
        <f>_xlfn.XLOOKUP(C5856, 'Códigos DANE Municipios'!$B$2:$B$1123, 'Códigos DANE Municipios'!$A$2:$A$1123, "No encontrado")</f>
        <v>08770</v>
      </c>
      <c r="B5856" t="str">
        <f>IFERROR(VLOOKUP(D5856,APOYO!K:L,2,FALSE),A5856)</f>
        <v>08770</v>
      </c>
      <c r="C5856" t="s">
        <v>301</v>
      </c>
      <c r="D5856" t="str">
        <f>IFERROR(VLOOKUP(C5856,APOYO!J:K,2,FALSE),C5856)</f>
        <v>SUAN</v>
      </c>
      <c r="E5856" s="7">
        <v>2020</v>
      </c>
    </row>
    <row r="5857" spans="1:5" x14ac:dyDescent="0.25">
      <c r="A5857" t="str">
        <f>_xlfn.XLOOKUP(C5857, 'Códigos DANE Municipios'!$B$2:$B$1123, 'Códigos DANE Municipios'!$A$2:$A$1123, "No encontrado")</f>
        <v>19780</v>
      </c>
      <c r="B5857" t="str">
        <f>IFERROR(VLOOKUP(D5857,APOYO!K:L,2,FALSE),A5857)</f>
        <v>19780</v>
      </c>
      <c r="C5857" t="s">
        <v>794</v>
      </c>
      <c r="D5857" t="str">
        <f>IFERROR(VLOOKUP(C5857,APOYO!J:K,2,FALSE),C5857)</f>
        <v>SUÁREZ</v>
      </c>
      <c r="E5857" s="7">
        <v>2020</v>
      </c>
    </row>
    <row r="5858" spans="1:5" x14ac:dyDescent="0.25">
      <c r="A5858" t="str">
        <f>_xlfn.XLOOKUP(C5858, 'Códigos DANE Municipios'!$B$2:$B$1123, 'Códigos DANE Municipios'!$A$2:$A$1123, "No encontrado")</f>
        <v>41770</v>
      </c>
      <c r="B5858" t="str">
        <f>IFERROR(VLOOKUP(D5858,APOYO!K:L,2,FALSE),A5858)</f>
        <v>41770</v>
      </c>
      <c r="C5858" t="s">
        <v>1256</v>
      </c>
      <c r="D5858" t="str">
        <f>IFERROR(VLOOKUP(C5858,APOYO!J:K,2,FALSE),C5858)</f>
        <v>SUAZA</v>
      </c>
      <c r="E5858" s="7">
        <v>2020</v>
      </c>
    </row>
    <row r="5859" spans="1:5" x14ac:dyDescent="0.25">
      <c r="A5859" t="str">
        <f>_xlfn.XLOOKUP(C5859, 'Códigos DANE Municipios'!$B$2:$B$1123, 'Códigos DANE Municipios'!$A$2:$A$1123, "No encontrado")</f>
        <v>25769</v>
      </c>
      <c r="B5859" t="str">
        <f>IFERROR(VLOOKUP(D5859,APOYO!K:L,2,FALSE),A5859)</f>
        <v>25769</v>
      </c>
      <c r="C5859" t="s">
        <v>1086</v>
      </c>
      <c r="D5859" t="str">
        <f>IFERROR(VLOOKUP(C5859,APOYO!J:K,2,FALSE),C5859)</f>
        <v>SUBACHOQUE</v>
      </c>
      <c r="E5859" s="7">
        <v>2020</v>
      </c>
    </row>
    <row r="5860" spans="1:5" x14ac:dyDescent="0.25">
      <c r="A5860" t="str">
        <f>_xlfn.XLOOKUP(C5860, 'Códigos DANE Municipios'!$B$2:$B$1123, 'Códigos DANE Municipios'!$A$2:$A$1123, "No encontrado")</f>
        <v>19785</v>
      </c>
      <c r="B5860" t="str">
        <f>IFERROR(VLOOKUP(D5860,APOYO!K:L,2,FALSE),A5860)</f>
        <v>19785</v>
      </c>
      <c r="C5860" t="s">
        <v>796</v>
      </c>
      <c r="D5860" t="str">
        <f>IFERROR(VLOOKUP(C5860,APOYO!J:K,2,FALSE),C5860)</f>
        <v>SUCRE</v>
      </c>
      <c r="E5860" s="7">
        <v>2020</v>
      </c>
    </row>
    <row r="5861" spans="1:5" x14ac:dyDescent="0.25">
      <c r="A5861" t="str">
        <f>_xlfn.XLOOKUP(C5861, 'Códigos DANE Municipios'!$B$2:$B$1123, 'Códigos DANE Municipios'!$A$2:$A$1123, "No encontrado")</f>
        <v>25772</v>
      </c>
      <c r="B5861" t="str">
        <f>IFERROR(VLOOKUP(D5861,APOYO!K:L,2,FALSE),A5861)</f>
        <v>25772</v>
      </c>
      <c r="C5861" t="s">
        <v>1088</v>
      </c>
      <c r="D5861" t="str">
        <f>IFERROR(VLOOKUP(C5861,APOYO!J:K,2,FALSE),C5861)</f>
        <v>SUESCA</v>
      </c>
      <c r="E5861" s="7">
        <v>2020</v>
      </c>
    </row>
    <row r="5862" spans="1:5" x14ac:dyDescent="0.25">
      <c r="A5862" t="str">
        <f>_xlfn.XLOOKUP(C5862, 'Códigos DANE Municipios'!$B$2:$B$1123, 'Códigos DANE Municipios'!$A$2:$A$1123, "No encontrado")</f>
        <v>25777</v>
      </c>
      <c r="B5862" t="str">
        <f>IFERROR(VLOOKUP(D5862,APOYO!K:L,2,FALSE),A5862)</f>
        <v>25777</v>
      </c>
      <c r="C5862" t="s">
        <v>1090</v>
      </c>
      <c r="D5862" t="str">
        <f>IFERROR(VLOOKUP(C5862,APOYO!J:K,2,FALSE),C5862)</f>
        <v>SUPATÁ</v>
      </c>
      <c r="E5862" s="7">
        <v>2020</v>
      </c>
    </row>
    <row r="5863" spans="1:5" x14ac:dyDescent="0.25">
      <c r="A5863" t="str">
        <f>_xlfn.XLOOKUP(C5863, 'Códigos DANE Municipios'!$B$2:$B$1123, 'Códigos DANE Municipios'!$A$2:$A$1123, "No encontrado")</f>
        <v>17777</v>
      </c>
      <c r="B5863" t="str">
        <f>IFERROR(VLOOKUP(D5863,APOYO!K:L,2,FALSE),A5863)</f>
        <v>17777</v>
      </c>
      <c r="C5863" t="s">
        <v>690</v>
      </c>
      <c r="D5863" t="str">
        <f>IFERROR(VLOOKUP(C5863,APOYO!J:K,2,FALSE),C5863)</f>
        <v>SUPÍA</v>
      </c>
      <c r="E5863" s="7">
        <v>2020</v>
      </c>
    </row>
    <row r="5864" spans="1:5" x14ac:dyDescent="0.25">
      <c r="A5864" t="str">
        <f>_xlfn.XLOOKUP(C5864, 'Códigos DANE Municipios'!$B$2:$B$1123, 'Códigos DANE Municipios'!$A$2:$A$1123, "No encontrado")</f>
        <v>25779</v>
      </c>
      <c r="B5864" t="str">
        <f>IFERROR(VLOOKUP(D5864,APOYO!K:L,2,FALSE),A5864)</f>
        <v>25779</v>
      </c>
      <c r="C5864" t="s">
        <v>1092</v>
      </c>
      <c r="D5864" t="str">
        <f>IFERROR(VLOOKUP(C5864,APOYO!J:K,2,FALSE),C5864)</f>
        <v>SUSA</v>
      </c>
      <c r="E5864" s="7">
        <v>2020</v>
      </c>
    </row>
    <row r="5865" spans="1:5" x14ac:dyDescent="0.25">
      <c r="A5865" t="str">
        <f>_xlfn.XLOOKUP(C5865, 'Códigos DANE Municipios'!$B$2:$B$1123, 'Códigos DANE Municipios'!$A$2:$A$1123, "No encontrado")</f>
        <v>25779</v>
      </c>
      <c r="B5865" t="str">
        <f>IFERROR(VLOOKUP(D5865,APOYO!K:L,2,FALSE),A5865)</f>
        <v>25779</v>
      </c>
      <c r="C5865" t="s">
        <v>1092</v>
      </c>
      <c r="D5865" t="str">
        <f>IFERROR(VLOOKUP(C5865,APOYO!J:K,2,FALSE),C5865)</f>
        <v>SUSA</v>
      </c>
      <c r="E5865" s="7">
        <v>2020</v>
      </c>
    </row>
    <row r="5866" spans="1:5" x14ac:dyDescent="0.25">
      <c r="A5866" t="str">
        <f>_xlfn.XLOOKUP(C5866, 'Códigos DANE Municipios'!$B$2:$B$1123, 'Códigos DANE Municipios'!$A$2:$A$1123, "No encontrado")</f>
        <v>68780</v>
      </c>
      <c r="B5866" t="str">
        <f>IFERROR(VLOOKUP(D5866,APOYO!K:L,2,FALSE),A5866)</f>
        <v>68780</v>
      </c>
      <c r="C5866" t="s">
        <v>1803</v>
      </c>
      <c r="D5866" t="str">
        <f>IFERROR(VLOOKUP(C5866,APOYO!J:K,2,FALSE),C5866)</f>
        <v>SURATÁ</v>
      </c>
      <c r="E5866" s="7">
        <v>2020</v>
      </c>
    </row>
    <row r="5867" spans="1:5" x14ac:dyDescent="0.25">
      <c r="A5867" t="str">
        <f>_xlfn.XLOOKUP(C5867, 'Códigos DANE Municipios'!$B$2:$B$1123, 'Códigos DANE Municipios'!$A$2:$A$1123, "No encontrado")</f>
        <v>15776</v>
      </c>
      <c r="B5867" t="str">
        <f>IFERROR(VLOOKUP(D5867,APOYO!K:L,2,FALSE),A5867)</f>
        <v>15776</v>
      </c>
      <c r="C5867" t="s">
        <v>604</v>
      </c>
      <c r="D5867" t="str">
        <f>IFERROR(VLOOKUP(C5867,APOYO!J:K,2,FALSE),C5867)</f>
        <v>SUTAMARCHÁN</v>
      </c>
      <c r="E5867" s="7">
        <v>2020</v>
      </c>
    </row>
    <row r="5868" spans="1:5" x14ac:dyDescent="0.25">
      <c r="A5868" t="str">
        <f>_xlfn.XLOOKUP(C5868, 'Códigos DANE Municipios'!$B$2:$B$1123, 'Códigos DANE Municipios'!$A$2:$A$1123, "No encontrado")</f>
        <v>25781</v>
      </c>
      <c r="B5868" t="str">
        <f>IFERROR(VLOOKUP(D5868,APOYO!K:L,2,FALSE),A5868)</f>
        <v>25781</v>
      </c>
      <c r="C5868" t="s">
        <v>1094</v>
      </c>
      <c r="D5868" t="str">
        <f>IFERROR(VLOOKUP(C5868,APOYO!J:K,2,FALSE),C5868)</f>
        <v>SUTATAUSA</v>
      </c>
      <c r="E5868" s="7">
        <v>2020</v>
      </c>
    </row>
    <row r="5869" spans="1:5" x14ac:dyDescent="0.25">
      <c r="A5869" t="str">
        <f>_xlfn.XLOOKUP(C5869, 'Códigos DANE Municipios'!$B$2:$B$1123, 'Códigos DANE Municipios'!$A$2:$A$1123, "No encontrado")</f>
        <v>15778</v>
      </c>
      <c r="B5869" t="str">
        <f>IFERROR(VLOOKUP(D5869,APOYO!K:L,2,FALSE),A5869)</f>
        <v>15778</v>
      </c>
      <c r="C5869" t="s">
        <v>606</v>
      </c>
      <c r="D5869" t="str">
        <f>IFERROR(VLOOKUP(C5869,APOYO!J:K,2,FALSE),C5869)</f>
        <v>SUTATENZA</v>
      </c>
      <c r="E5869" s="7">
        <v>2020</v>
      </c>
    </row>
    <row r="5870" spans="1:5" x14ac:dyDescent="0.25">
      <c r="A5870" t="str">
        <f>_xlfn.XLOOKUP(C5870, 'Códigos DANE Municipios'!$B$2:$B$1123, 'Códigos DANE Municipios'!$A$2:$A$1123, "No encontrado")</f>
        <v>25785</v>
      </c>
      <c r="B5870" t="str">
        <f>IFERROR(VLOOKUP(D5870,APOYO!K:L,2,FALSE),A5870)</f>
        <v>25785</v>
      </c>
      <c r="C5870" t="s">
        <v>1096</v>
      </c>
      <c r="D5870" t="str">
        <f>IFERROR(VLOOKUP(C5870,APOYO!J:K,2,FALSE),C5870)</f>
        <v>TABIO</v>
      </c>
      <c r="E5870" s="7">
        <v>2020</v>
      </c>
    </row>
    <row r="5871" spans="1:5" x14ac:dyDescent="0.25">
      <c r="A5871" t="str">
        <f>_xlfn.XLOOKUP(C5871, 'Códigos DANE Municipios'!$B$2:$B$1123, 'Códigos DANE Municipios'!$A$2:$A$1123, "No encontrado")</f>
        <v>27787</v>
      </c>
      <c r="B5871" t="str">
        <f>IFERROR(VLOOKUP(D5871,APOYO!K:L,2,FALSE),A5871)</f>
        <v>27787</v>
      </c>
      <c r="C5871" t="s">
        <v>1195</v>
      </c>
      <c r="D5871" t="str">
        <f>IFERROR(VLOOKUP(C5871,APOYO!J:K,2,FALSE),C5871)</f>
        <v>TADÓ</v>
      </c>
      <c r="E5871" s="7">
        <v>2020</v>
      </c>
    </row>
    <row r="5872" spans="1:5" x14ac:dyDescent="0.25">
      <c r="A5872" t="str">
        <f>_xlfn.XLOOKUP(C5872, 'Códigos DANE Municipios'!$B$2:$B$1123, 'Códigos DANE Municipios'!$A$2:$A$1123, "No encontrado")</f>
        <v>13780</v>
      </c>
      <c r="B5872" t="str">
        <f>IFERROR(VLOOKUP(D5872,APOYO!K:L,2,FALSE),A5872)</f>
        <v>13780</v>
      </c>
      <c r="C5872" t="s">
        <v>389</v>
      </c>
      <c r="D5872" t="str">
        <f>IFERROR(VLOOKUP(C5872,APOYO!J:K,2,FALSE),C5872)</f>
        <v>TALAIGUA NUEVO</v>
      </c>
      <c r="E5872" s="7">
        <v>2020</v>
      </c>
    </row>
    <row r="5873" spans="1:5" x14ac:dyDescent="0.25">
      <c r="A5873" t="str">
        <f>_xlfn.XLOOKUP(C5873, 'Códigos DANE Municipios'!$B$2:$B$1123, 'Códigos DANE Municipios'!$A$2:$A$1123, "No encontrado")</f>
        <v>85400</v>
      </c>
      <c r="B5873" t="str">
        <f>IFERROR(VLOOKUP(D5873,APOYO!K:L,2,FALSE),A5873)</f>
        <v>85400</v>
      </c>
      <c r="C5873" t="s">
        <v>2077</v>
      </c>
      <c r="D5873" t="str">
        <f>IFERROR(VLOOKUP(C5873,APOYO!J:K,2,FALSE),C5873)</f>
        <v>TÁMARA</v>
      </c>
      <c r="E5873" s="7">
        <v>2020</v>
      </c>
    </row>
    <row r="5874" spans="1:5" x14ac:dyDescent="0.25">
      <c r="A5874" t="str">
        <f>_xlfn.XLOOKUP(C5874, 'Códigos DANE Municipios'!$B$2:$B$1123, 'Códigos DANE Municipios'!$A$2:$A$1123, "No encontrado")</f>
        <v>81794</v>
      </c>
      <c r="B5874" t="str">
        <f>IFERROR(VLOOKUP(D5874,APOYO!K:L,2,FALSE),A5874)</f>
        <v>81794</v>
      </c>
      <c r="C5874" t="s">
        <v>2046</v>
      </c>
      <c r="D5874" t="str">
        <f>IFERROR(VLOOKUP(C5874,APOYO!J:K,2,FALSE),C5874)</f>
        <v>TAME</v>
      </c>
      <c r="E5874" s="7">
        <v>2020</v>
      </c>
    </row>
    <row r="5875" spans="1:5" x14ac:dyDescent="0.25">
      <c r="A5875" t="str">
        <f>_xlfn.XLOOKUP(C5875, 'Códigos DANE Municipios'!$B$2:$B$1123, 'Códigos DANE Municipios'!$A$2:$A$1123, "No encontrado")</f>
        <v>05789</v>
      </c>
      <c r="B5875" t="str">
        <f>IFERROR(VLOOKUP(D5875,APOYO!K:L,2,FALSE),A5875)</f>
        <v>05789</v>
      </c>
      <c r="C5875" t="s">
        <v>226</v>
      </c>
      <c r="D5875" t="str">
        <f>IFERROR(VLOOKUP(C5875,APOYO!J:K,2,FALSE),C5875)</f>
        <v>TÁMESIS</v>
      </c>
      <c r="E5875" s="7">
        <v>2020</v>
      </c>
    </row>
    <row r="5876" spans="1:5" x14ac:dyDescent="0.25">
      <c r="A5876" t="str">
        <f>_xlfn.XLOOKUP(C5876, 'Códigos DANE Municipios'!$B$2:$B$1123, 'Códigos DANE Municipios'!$A$2:$A$1123, "No encontrado")</f>
        <v>52786</v>
      </c>
      <c r="B5876" t="str">
        <f>IFERROR(VLOOKUP(D5876,APOYO!K:L,2,FALSE),A5876)</f>
        <v>52786</v>
      </c>
      <c r="C5876" t="s">
        <v>1519</v>
      </c>
      <c r="D5876" t="str">
        <f>IFERROR(VLOOKUP(C5876,APOYO!J:K,2,FALSE),C5876)</f>
        <v>TAMINANGO</v>
      </c>
      <c r="E5876" s="7">
        <v>2020</v>
      </c>
    </row>
    <row r="5877" spans="1:5" x14ac:dyDescent="0.25">
      <c r="A5877" t="str">
        <f>_xlfn.XLOOKUP(C5877, 'Códigos DANE Municipios'!$B$2:$B$1123, 'Códigos DANE Municipios'!$A$2:$A$1123, "No encontrado")</f>
        <v>05790</v>
      </c>
      <c r="B5877" t="str">
        <f>IFERROR(VLOOKUP(D5877,APOYO!K:L,2,FALSE),A5877)</f>
        <v>05790</v>
      </c>
      <c r="C5877" t="s">
        <v>228</v>
      </c>
      <c r="D5877" t="str">
        <f>IFERROR(VLOOKUP(C5877,APOYO!J:K,2,FALSE),C5877)</f>
        <v>TARAZÁ</v>
      </c>
      <c r="E5877" s="7">
        <v>2020</v>
      </c>
    </row>
    <row r="5878" spans="1:5" x14ac:dyDescent="0.25">
      <c r="A5878" t="str">
        <f>_xlfn.XLOOKUP(C5878, 'Códigos DANE Municipios'!$B$2:$B$1123, 'Códigos DANE Municipios'!$A$2:$A$1123, "No encontrado")</f>
        <v>41791</v>
      </c>
      <c r="B5878" t="str">
        <f>IFERROR(VLOOKUP(D5878,APOYO!K:L,2,FALSE),A5878)</f>
        <v>41791</v>
      </c>
      <c r="C5878" t="s">
        <v>1258</v>
      </c>
      <c r="D5878" t="str">
        <f>IFERROR(VLOOKUP(C5878,APOYO!J:K,2,FALSE),C5878)</f>
        <v>TARQUI</v>
      </c>
      <c r="E5878" s="7">
        <v>2020</v>
      </c>
    </row>
    <row r="5879" spans="1:5" x14ac:dyDescent="0.25">
      <c r="A5879" t="str">
        <f>_xlfn.XLOOKUP(C5879, 'Códigos DANE Municipios'!$B$2:$B$1123, 'Códigos DANE Municipios'!$A$2:$A$1123, "No encontrado")</f>
        <v>05792</v>
      </c>
      <c r="B5879" t="str">
        <f>IFERROR(VLOOKUP(D5879,APOYO!K:L,2,FALSE),A5879)</f>
        <v>05792</v>
      </c>
      <c r="C5879" t="s">
        <v>230</v>
      </c>
      <c r="D5879" t="str">
        <f>IFERROR(VLOOKUP(C5879,APOYO!J:K,2,FALSE),C5879)</f>
        <v>TARSO</v>
      </c>
      <c r="E5879" s="7">
        <v>2020</v>
      </c>
    </row>
    <row r="5880" spans="1:5" x14ac:dyDescent="0.25">
      <c r="A5880" t="str">
        <f>_xlfn.XLOOKUP(C5880, 'Códigos DANE Municipios'!$B$2:$B$1123, 'Códigos DANE Municipios'!$A$2:$A$1123, "No encontrado")</f>
        <v>85410</v>
      </c>
      <c r="B5880" t="str">
        <f>IFERROR(VLOOKUP(D5880,APOYO!K:L,2,FALSE),A5880)</f>
        <v>85410</v>
      </c>
      <c r="C5880" t="s">
        <v>2079</v>
      </c>
      <c r="D5880" t="str">
        <f>IFERROR(VLOOKUP(C5880,APOYO!J:K,2,FALSE),C5880)</f>
        <v>TAURAMENA</v>
      </c>
      <c r="E5880" s="7">
        <v>2020</v>
      </c>
    </row>
    <row r="5881" spans="1:5" x14ac:dyDescent="0.25">
      <c r="A5881" t="str">
        <f>_xlfn.XLOOKUP(C5881, 'Códigos DANE Municipios'!$B$2:$B$1123, 'Códigos DANE Municipios'!$A$2:$A$1123, "No encontrado")</f>
        <v>25793</v>
      </c>
      <c r="B5881" t="str">
        <f>IFERROR(VLOOKUP(D5881,APOYO!K:L,2,FALSE),A5881)</f>
        <v>25793</v>
      </c>
      <c r="C5881" t="s">
        <v>1098</v>
      </c>
      <c r="D5881" t="str">
        <f>IFERROR(VLOOKUP(C5881,APOYO!J:K,2,FALSE),C5881)</f>
        <v>TAUSA</v>
      </c>
      <c r="E5881" s="7">
        <v>2020</v>
      </c>
    </row>
    <row r="5882" spans="1:5" x14ac:dyDescent="0.25">
      <c r="A5882" t="str">
        <f>_xlfn.XLOOKUP(C5882, 'Códigos DANE Municipios'!$B$2:$B$1123, 'Códigos DANE Municipios'!$A$2:$A$1123, "No encontrado")</f>
        <v>41799</v>
      </c>
      <c r="B5882" t="str">
        <f>IFERROR(VLOOKUP(D5882,APOYO!K:L,2,FALSE),A5882)</f>
        <v>41799</v>
      </c>
      <c r="C5882" t="s">
        <v>1262</v>
      </c>
      <c r="D5882" t="str">
        <f>IFERROR(VLOOKUP(C5882,APOYO!J:K,2,FALSE),C5882)</f>
        <v>TELLO</v>
      </c>
      <c r="E5882" s="7">
        <v>2020</v>
      </c>
    </row>
    <row r="5883" spans="1:5" x14ac:dyDescent="0.25">
      <c r="A5883" t="str">
        <f>_xlfn.XLOOKUP(C5883, 'Códigos DANE Municipios'!$B$2:$B$1123, 'Códigos DANE Municipios'!$A$2:$A$1123, "No encontrado")</f>
        <v>25797</v>
      </c>
      <c r="B5883" t="str">
        <f>IFERROR(VLOOKUP(D5883,APOYO!K:L,2,FALSE),A5883)</f>
        <v>25797</v>
      </c>
      <c r="C5883" t="s">
        <v>1100</v>
      </c>
      <c r="D5883" t="str">
        <f>IFERROR(VLOOKUP(C5883,APOYO!J:K,2,FALSE),C5883)</f>
        <v>TENA</v>
      </c>
      <c r="E5883" s="7">
        <v>2020</v>
      </c>
    </row>
    <row r="5884" spans="1:5" x14ac:dyDescent="0.25">
      <c r="A5884" t="str">
        <f>_xlfn.XLOOKUP(C5884, 'Códigos DANE Municipios'!$B$2:$B$1123, 'Códigos DANE Municipios'!$A$2:$A$1123, "No encontrado")</f>
        <v>25799</v>
      </c>
      <c r="B5884" t="str">
        <f>IFERROR(VLOOKUP(D5884,APOYO!K:L,2,FALSE),A5884)</f>
        <v>25799</v>
      </c>
      <c r="C5884" t="s">
        <v>1102</v>
      </c>
      <c r="D5884" t="str">
        <f>IFERROR(VLOOKUP(C5884,APOYO!J:K,2,FALSE),C5884)</f>
        <v>TENJO</v>
      </c>
      <c r="E5884" s="7">
        <v>2020</v>
      </c>
    </row>
    <row r="5885" spans="1:5" x14ac:dyDescent="0.25">
      <c r="A5885" t="str">
        <f>_xlfn.XLOOKUP(C5885, 'Códigos DANE Municipios'!$B$2:$B$1123, 'Códigos DANE Municipios'!$A$2:$A$1123, "No encontrado")</f>
        <v>15798</v>
      </c>
      <c r="B5885" t="str">
        <f>IFERROR(VLOOKUP(D5885,APOYO!K:L,2,FALSE),A5885)</f>
        <v>15798</v>
      </c>
      <c r="C5885" t="s">
        <v>610</v>
      </c>
      <c r="D5885" t="str">
        <f>IFERROR(VLOOKUP(C5885,APOYO!J:K,2,FALSE),C5885)</f>
        <v>TENZA</v>
      </c>
      <c r="E5885" s="7">
        <v>2020</v>
      </c>
    </row>
    <row r="5886" spans="1:5" x14ac:dyDescent="0.25">
      <c r="A5886" t="str">
        <f>_xlfn.XLOOKUP(C5886, 'Códigos DANE Municipios'!$B$2:$B$1123, 'Códigos DANE Municipios'!$A$2:$A$1123, "No encontrado")</f>
        <v>41801</v>
      </c>
      <c r="B5886" t="str">
        <f>IFERROR(VLOOKUP(D5886,APOYO!K:L,2,FALSE),A5886)</f>
        <v>41801</v>
      </c>
      <c r="C5886" t="s">
        <v>1264</v>
      </c>
      <c r="D5886" t="str">
        <f>IFERROR(VLOOKUP(C5886,APOYO!J:K,2,FALSE),C5886)</f>
        <v>TERUEL</v>
      </c>
      <c r="E5886" s="7">
        <v>2020</v>
      </c>
    </row>
    <row r="5887" spans="1:5" x14ac:dyDescent="0.25">
      <c r="A5887" t="str">
        <f>_xlfn.XLOOKUP(C5887, 'Códigos DANE Municipios'!$B$2:$B$1123, 'Códigos DANE Municipios'!$A$2:$A$1123, "No encontrado")</f>
        <v>41797</v>
      </c>
      <c r="B5887" t="str">
        <f>IFERROR(VLOOKUP(D5887,APOYO!K:L,2,FALSE),A5887)</f>
        <v>41797</v>
      </c>
      <c r="C5887" t="s">
        <v>1260</v>
      </c>
      <c r="D5887" t="str">
        <f>IFERROR(VLOOKUP(C5887,APOYO!J:K,2,FALSE),C5887)</f>
        <v>TESALIA</v>
      </c>
      <c r="E5887" s="7">
        <v>2020</v>
      </c>
    </row>
    <row r="5888" spans="1:5" x14ac:dyDescent="0.25">
      <c r="A5888" t="str">
        <f>_xlfn.XLOOKUP(C5888, 'Códigos DANE Municipios'!$B$2:$B$1123, 'Códigos DANE Municipios'!$A$2:$A$1123, "No encontrado")</f>
        <v>25805</v>
      </c>
      <c r="B5888" t="str">
        <f>IFERROR(VLOOKUP(D5888,APOYO!K:L,2,FALSE),A5888)</f>
        <v>25805</v>
      </c>
      <c r="C5888" t="s">
        <v>1104</v>
      </c>
      <c r="D5888" t="str">
        <f>IFERROR(VLOOKUP(C5888,APOYO!J:K,2,FALSE),C5888)</f>
        <v>TIBACUY</v>
      </c>
      <c r="E5888" s="7">
        <v>2020</v>
      </c>
    </row>
    <row r="5889" spans="1:5" x14ac:dyDescent="0.25">
      <c r="A5889" t="str">
        <f>_xlfn.XLOOKUP(C5889, 'Códigos DANE Municipios'!$B$2:$B$1123, 'Códigos DANE Municipios'!$A$2:$A$1123, "No encontrado")</f>
        <v>15804</v>
      </c>
      <c r="B5889" t="str">
        <f>IFERROR(VLOOKUP(D5889,APOYO!K:L,2,FALSE),A5889)</f>
        <v>15804</v>
      </c>
      <c r="C5889" t="s">
        <v>612</v>
      </c>
      <c r="D5889" t="str">
        <f>IFERROR(VLOOKUP(C5889,APOYO!J:K,2,FALSE),C5889)</f>
        <v>TIBANÁ</v>
      </c>
      <c r="E5889" s="7">
        <v>2020</v>
      </c>
    </row>
    <row r="5890" spans="1:5" x14ac:dyDescent="0.25">
      <c r="A5890" t="str">
        <f>_xlfn.XLOOKUP(C5890, 'Códigos DANE Municipios'!$B$2:$B$1123, 'Códigos DANE Municipios'!$A$2:$A$1123, "No encontrado")</f>
        <v>15806</v>
      </c>
      <c r="B5890" t="str">
        <f>IFERROR(VLOOKUP(D5890,APOYO!K:L,2,FALSE),A5890)</f>
        <v>15806</v>
      </c>
      <c r="C5890" t="s">
        <v>614</v>
      </c>
      <c r="D5890" t="str">
        <f>IFERROR(VLOOKUP(C5890,APOYO!J:K,2,FALSE),C5890)</f>
        <v>TIBASOSA</v>
      </c>
      <c r="E5890" s="7">
        <v>2020</v>
      </c>
    </row>
    <row r="5891" spans="1:5" x14ac:dyDescent="0.25">
      <c r="A5891" t="str">
        <f>_xlfn.XLOOKUP(C5891, 'Códigos DANE Municipios'!$B$2:$B$1123, 'Códigos DANE Municipios'!$A$2:$A$1123, "No encontrado")</f>
        <v>25807</v>
      </c>
      <c r="B5891" t="str">
        <f>IFERROR(VLOOKUP(D5891,APOYO!K:L,2,FALSE),A5891)</f>
        <v>25807</v>
      </c>
      <c r="C5891" t="s">
        <v>1106</v>
      </c>
      <c r="D5891" t="str">
        <f>IFERROR(VLOOKUP(C5891,APOYO!J:K,2,FALSE),C5891)</f>
        <v>TIBIRITA</v>
      </c>
      <c r="E5891" s="7">
        <v>2020</v>
      </c>
    </row>
    <row r="5892" spans="1:5" x14ac:dyDescent="0.25">
      <c r="A5892" t="str">
        <f>_xlfn.XLOOKUP(C5892, 'Códigos DANE Municipios'!$B$2:$B$1123, 'Códigos DANE Municipios'!$A$2:$A$1123, "No encontrado")</f>
        <v>54810</v>
      </c>
      <c r="B5892" t="str">
        <f>IFERROR(VLOOKUP(D5892,APOYO!K:L,2,FALSE),A5892)</f>
        <v>54810</v>
      </c>
      <c r="C5892" t="s">
        <v>1600</v>
      </c>
      <c r="D5892" t="str">
        <f>IFERROR(VLOOKUP(C5892,APOYO!J:K,2,FALSE),C5892)</f>
        <v>TIBÚ</v>
      </c>
      <c r="E5892" s="7">
        <v>2020</v>
      </c>
    </row>
    <row r="5893" spans="1:5" x14ac:dyDescent="0.25">
      <c r="A5893" t="str">
        <f>_xlfn.XLOOKUP(C5893, 'Códigos DANE Municipios'!$B$2:$B$1123, 'Códigos DANE Municipios'!$A$2:$A$1123, "No encontrado")</f>
        <v>23807</v>
      </c>
      <c r="B5893" t="str">
        <f>IFERROR(VLOOKUP(D5893,APOYO!K:L,2,FALSE),A5893)</f>
        <v>23807</v>
      </c>
      <c r="C5893" t="s">
        <v>910</v>
      </c>
      <c r="D5893" t="str">
        <f>IFERROR(VLOOKUP(C5893,APOYO!J:K,2,FALSE),C5893)</f>
        <v>TIERRALTA</v>
      </c>
      <c r="E5893" s="7">
        <v>2020</v>
      </c>
    </row>
    <row r="5894" spans="1:5" x14ac:dyDescent="0.25">
      <c r="A5894" t="str">
        <f>_xlfn.XLOOKUP(C5894, 'Códigos DANE Municipios'!$B$2:$B$1123, 'Códigos DANE Municipios'!$A$2:$A$1123, "No encontrado")</f>
        <v>41807</v>
      </c>
      <c r="B5894" t="str">
        <f>IFERROR(VLOOKUP(D5894,APOYO!K:L,2,FALSE),A5894)</f>
        <v>41807</v>
      </c>
      <c r="C5894" t="s">
        <v>1266</v>
      </c>
      <c r="D5894" t="str">
        <f>IFERROR(VLOOKUP(C5894,APOYO!J:K,2,FALSE),C5894)</f>
        <v>TIMANÁ</v>
      </c>
      <c r="E5894" s="7">
        <v>2020</v>
      </c>
    </row>
    <row r="5895" spans="1:5" x14ac:dyDescent="0.25">
      <c r="A5895" t="str">
        <f>_xlfn.XLOOKUP(C5895, 'Códigos DANE Municipios'!$B$2:$B$1123, 'Códigos DANE Municipios'!$A$2:$A$1123, "No encontrado")</f>
        <v>19807</v>
      </c>
      <c r="B5895" t="str">
        <f>IFERROR(VLOOKUP(D5895,APOYO!K:L,2,FALSE),A5895)</f>
        <v>19807</v>
      </c>
      <c r="C5895" t="s">
        <v>798</v>
      </c>
      <c r="D5895" t="str">
        <f>IFERROR(VLOOKUP(C5895,APOYO!J:K,2,FALSE),C5895)</f>
        <v>TIMBÍO</v>
      </c>
      <c r="E5895" s="7">
        <v>2020</v>
      </c>
    </row>
    <row r="5896" spans="1:5" x14ac:dyDescent="0.25">
      <c r="A5896" t="str">
        <f>_xlfn.XLOOKUP(C5896, 'Códigos DANE Municipios'!$B$2:$B$1123, 'Códigos DANE Municipios'!$A$2:$A$1123, "No encontrado")</f>
        <v>19809</v>
      </c>
      <c r="B5896" t="str">
        <f>IFERROR(VLOOKUP(D5896,APOYO!K:L,2,FALSE),A5896)</f>
        <v>19809</v>
      </c>
      <c r="C5896" t="s">
        <v>800</v>
      </c>
      <c r="D5896" t="str">
        <f>IFERROR(VLOOKUP(C5896,APOYO!J:K,2,FALSE),C5896)</f>
        <v>TIMBIQUÍ</v>
      </c>
      <c r="E5896" s="7">
        <v>2020</v>
      </c>
    </row>
    <row r="5897" spans="1:5" x14ac:dyDescent="0.25">
      <c r="A5897" t="str">
        <f>_xlfn.XLOOKUP(C5897, 'Códigos DANE Municipios'!$B$2:$B$1123, 'Códigos DANE Municipios'!$A$2:$A$1123, "No encontrado")</f>
        <v>15808</v>
      </c>
      <c r="B5897" t="str">
        <f>IFERROR(VLOOKUP(D5897,APOYO!K:L,2,FALSE),A5897)</f>
        <v>15808</v>
      </c>
      <c r="C5897" t="s">
        <v>616</v>
      </c>
      <c r="D5897" t="str">
        <f>IFERROR(VLOOKUP(C5897,APOYO!J:K,2,FALSE),C5897)</f>
        <v>TINJACÁ</v>
      </c>
      <c r="E5897" s="7">
        <v>2020</v>
      </c>
    </row>
    <row r="5898" spans="1:5" x14ac:dyDescent="0.25">
      <c r="A5898" t="str">
        <f>_xlfn.XLOOKUP(C5898, 'Códigos DANE Municipios'!$B$2:$B$1123, 'Códigos DANE Municipios'!$A$2:$A$1123, "No encontrado")</f>
        <v>05809</v>
      </c>
      <c r="B5898" t="str">
        <f>IFERROR(VLOOKUP(D5898,APOYO!K:L,2,FALSE),A5898)</f>
        <v>05809</v>
      </c>
      <c r="C5898" t="s">
        <v>232</v>
      </c>
      <c r="D5898" t="str">
        <f>IFERROR(VLOOKUP(C5898,APOYO!J:K,2,FALSE),C5898)</f>
        <v>TITIRIBÍ</v>
      </c>
      <c r="E5898" s="7">
        <v>2020</v>
      </c>
    </row>
    <row r="5899" spans="1:5" x14ac:dyDescent="0.25">
      <c r="A5899" t="str">
        <f>_xlfn.XLOOKUP(C5899, 'Códigos DANE Municipios'!$B$2:$B$1123, 'Códigos DANE Municipios'!$A$2:$A$1123, "No encontrado")</f>
        <v>15814</v>
      </c>
      <c r="B5899" t="str">
        <f>IFERROR(VLOOKUP(D5899,APOYO!K:L,2,FALSE),A5899)</f>
        <v>15814</v>
      </c>
      <c r="C5899" s="7" t="s">
        <v>620</v>
      </c>
      <c r="D5899" t="str">
        <f>IFERROR(VLOOKUP(C5899,APOYO!J:K,2,FALSE),C5899)</f>
        <v>TOCA</v>
      </c>
      <c r="E5899" s="7">
        <v>2020</v>
      </c>
    </row>
    <row r="5900" spans="1:5" x14ac:dyDescent="0.25">
      <c r="A5900" t="str">
        <f>_xlfn.XLOOKUP(C5900, 'Códigos DANE Municipios'!$B$2:$B$1123, 'Códigos DANE Municipios'!$A$2:$A$1123, "No encontrado")</f>
        <v>25815</v>
      </c>
      <c r="B5900" t="str">
        <f>IFERROR(VLOOKUP(D5900,APOYO!K:L,2,FALSE),A5900)</f>
        <v>25815</v>
      </c>
      <c r="C5900" s="7" t="s">
        <v>1108</v>
      </c>
      <c r="D5900" t="str">
        <f>IFERROR(VLOOKUP(C5900,APOYO!J:K,2,FALSE),C5900)</f>
        <v>TOCAIMA</v>
      </c>
      <c r="E5900" s="7">
        <v>2020</v>
      </c>
    </row>
    <row r="5901" spans="1:5" x14ac:dyDescent="0.25">
      <c r="A5901" t="str">
        <f>_xlfn.XLOOKUP(C5901, 'Códigos DANE Municipios'!$B$2:$B$1123, 'Códigos DANE Municipios'!$A$2:$A$1123, "No encontrado")</f>
        <v>25817</v>
      </c>
      <c r="B5901" t="str">
        <f>IFERROR(VLOOKUP(D5901,APOYO!K:L,2,FALSE),A5901)</f>
        <v>25817</v>
      </c>
      <c r="C5901" s="7" t="s">
        <v>1110</v>
      </c>
      <c r="D5901" t="str">
        <f>IFERROR(VLOOKUP(C5901,APOYO!J:K,2,FALSE),C5901)</f>
        <v>TOCANCIPÁ</v>
      </c>
      <c r="E5901" s="7">
        <v>2020</v>
      </c>
    </row>
    <row r="5902" spans="1:5" x14ac:dyDescent="0.25">
      <c r="A5902" t="str">
        <f>_xlfn.XLOOKUP(C5902, 'Códigos DANE Municipios'!$B$2:$B$1123, 'Códigos DANE Municipios'!$A$2:$A$1123, "No encontrado")</f>
        <v>15816</v>
      </c>
      <c r="B5902" t="str">
        <f>IFERROR(VLOOKUP(D5902,APOYO!K:L,2,FALSE),A5902)</f>
        <v>15816</v>
      </c>
      <c r="C5902" s="7" t="s">
        <v>622</v>
      </c>
      <c r="D5902" t="str">
        <f>IFERROR(VLOOKUP(C5902,APOYO!J:K,2,FALSE),C5902)</f>
        <v>TOGÜÍ</v>
      </c>
      <c r="E5902" s="7">
        <v>2020</v>
      </c>
    </row>
    <row r="5903" spans="1:5" x14ac:dyDescent="0.25">
      <c r="A5903" t="str">
        <f>_xlfn.XLOOKUP(C5903, 'Códigos DANE Municipios'!$B$2:$B$1123, 'Códigos DANE Municipios'!$A$2:$A$1123, "No encontrado")</f>
        <v>05819</v>
      </c>
      <c r="B5903" t="str">
        <f>IFERROR(VLOOKUP(D5903,APOYO!K:L,2,FALSE),A5903)</f>
        <v>05819</v>
      </c>
      <c r="C5903" s="7" t="s">
        <v>234</v>
      </c>
      <c r="D5903" t="str">
        <f>IFERROR(VLOOKUP(C5903,APOYO!J:K,2,FALSE),C5903)</f>
        <v>TOLEDO</v>
      </c>
      <c r="E5903" s="7">
        <v>2020</v>
      </c>
    </row>
    <row r="5904" spans="1:5" x14ac:dyDescent="0.25">
      <c r="A5904" t="str">
        <f>_xlfn.XLOOKUP(C5904, 'Códigos DANE Municipios'!$B$2:$B$1123, 'Códigos DANE Municipios'!$A$2:$A$1123, "No encontrado")</f>
        <v>70820</v>
      </c>
      <c r="B5904" t="str">
        <f>IFERROR(VLOOKUP(D5904,APOYO!K:L,2,FALSE),A5904)</f>
        <v>70820</v>
      </c>
      <c r="C5904" s="7" t="s">
        <v>1861</v>
      </c>
      <c r="D5904" t="str">
        <f>IFERROR(VLOOKUP(C5904,APOYO!J:K,2,FALSE),C5904)</f>
        <v>SANTIAGO DE TOLÚ</v>
      </c>
      <c r="E5904" s="7">
        <v>2020</v>
      </c>
    </row>
    <row r="5905" spans="1:5" x14ac:dyDescent="0.25">
      <c r="A5905" t="str">
        <f>_xlfn.XLOOKUP(C5905, 'Códigos DANE Municipios'!$B$2:$B$1123, 'Códigos DANE Municipios'!$A$2:$A$1123, "No encontrado")</f>
        <v>70823</v>
      </c>
      <c r="B5905" t="str">
        <f>IFERROR(VLOOKUP(D5905,APOYO!K:L,2,FALSE),A5905)</f>
        <v>70823</v>
      </c>
      <c r="C5905" s="7" t="s">
        <v>1863</v>
      </c>
      <c r="D5905" t="str">
        <f>IFERROR(VLOOKUP(C5905,APOYO!J:K,2,FALSE),C5905)</f>
        <v>TOLÚ VIEJO</v>
      </c>
      <c r="E5905" s="7">
        <v>2020</v>
      </c>
    </row>
    <row r="5906" spans="1:5" x14ac:dyDescent="0.25">
      <c r="A5906" t="str">
        <f>_xlfn.XLOOKUP(C5906, 'Códigos DANE Municipios'!$B$2:$B$1123, 'Códigos DANE Municipios'!$A$2:$A$1123, "No encontrado")</f>
        <v>68820</v>
      </c>
      <c r="B5906" t="str">
        <f>IFERROR(VLOOKUP(D5906,APOYO!K:L,2,FALSE),A5906)</f>
        <v>68820</v>
      </c>
      <c r="C5906" s="7" t="s">
        <v>1805</v>
      </c>
      <c r="D5906" t="str">
        <f>IFERROR(VLOOKUP(C5906,APOYO!J:K,2,FALSE),C5906)</f>
        <v>TONA</v>
      </c>
      <c r="E5906" s="7">
        <v>2020</v>
      </c>
    </row>
    <row r="5907" spans="1:5" x14ac:dyDescent="0.25">
      <c r="A5907" t="str">
        <f>_xlfn.XLOOKUP(C5907, 'Códigos DANE Municipios'!$B$2:$B$1123, 'Códigos DANE Municipios'!$A$2:$A$1123, "No encontrado")</f>
        <v>76823</v>
      </c>
      <c r="B5907" t="str">
        <f>IFERROR(VLOOKUP(D5907,APOYO!K:L,2,FALSE),A5907)</f>
        <v>76823</v>
      </c>
      <c r="C5907" s="7" t="s">
        <v>2016</v>
      </c>
      <c r="D5907" t="str">
        <f>IFERROR(VLOOKUP(C5907,APOYO!J:K,2,FALSE),C5907)</f>
        <v>TORO</v>
      </c>
      <c r="E5907" s="7">
        <v>2020</v>
      </c>
    </row>
    <row r="5908" spans="1:5" x14ac:dyDescent="0.25">
      <c r="A5908" t="str">
        <f>_xlfn.XLOOKUP(C5908, 'Códigos DANE Municipios'!$B$2:$B$1123, 'Códigos DANE Municipios'!$A$2:$A$1123, "No encontrado")</f>
        <v>19824</v>
      </c>
      <c r="B5908" t="str">
        <f>IFERROR(VLOOKUP(D5908,APOYO!K:L,2,FALSE),A5908)</f>
        <v>19824</v>
      </c>
      <c r="C5908" s="7" t="s">
        <v>804</v>
      </c>
      <c r="D5908" t="str">
        <f>IFERROR(VLOOKUP(C5908,APOYO!J:K,2,FALSE),C5908)</f>
        <v>TOTORÓ</v>
      </c>
      <c r="E5908" s="7">
        <v>2020</v>
      </c>
    </row>
    <row r="5909" spans="1:5" x14ac:dyDescent="0.25">
      <c r="A5909" t="str">
        <f>_xlfn.XLOOKUP(C5909, 'Códigos DANE Municipios'!$B$2:$B$1123, 'Códigos DANE Municipios'!$A$2:$A$1123, "No encontrado")</f>
        <v>85430</v>
      </c>
      <c r="B5909" t="str">
        <f>IFERROR(VLOOKUP(D5909,APOYO!K:L,2,FALSE),A5909)</f>
        <v>85430</v>
      </c>
      <c r="C5909" s="7" t="s">
        <v>2081</v>
      </c>
      <c r="D5909" t="str">
        <f>IFERROR(VLOOKUP(C5909,APOYO!J:K,2,FALSE),C5909)</f>
        <v>TRINIDAD</v>
      </c>
      <c r="E5909" s="7">
        <v>2020</v>
      </c>
    </row>
    <row r="5910" spans="1:5" x14ac:dyDescent="0.25">
      <c r="A5910" t="str">
        <f>_xlfn.XLOOKUP(C5910, 'Códigos DANE Municipios'!$B$2:$B$1123, 'Códigos DANE Municipios'!$A$2:$A$1123, "No encontrado")</f>
        <v>76828</v>
      </c>
      <c r="B5910" t="str">
        <f>IFERROR(VLOOKUP(D5910,APOYO!K:L,2,FALSE),A5910)</f>
        <v>76828</v>
      </c>
      <c r="C5910" s="7" t="s">
        <v>2018</v>
      </c>
      <c r="D5910" t="str">
        <f>IFERROR(VLOOKUP(C5910,APOYO!J:K,2,FALSE),C5910)</f>
        <v>TRUJILLO</v>
      </c>
      <c r="E5910" s="7">
        <v>2020</v>
      </c>
    </row>
    <row r="5911" spans="1:5" x14ac:dyDescent="0.25">
      <c r="A5911" t="str">
        <f>_xlfn.XLOOKUP(C5911, 'Códigos DANE Municipios'!$B$2:$B$1123, 'Códigos DANE Municipios'!$A$2:$A$1123, "No encontrado")</f>
        <v>08832</v>
      </c>
      <c r="B5911" t="str">
        <f>IFERROR(VLOOKUP(D5911,APOYO!K:L,2,FALSE),A5911)</f>
        <v>08832</v>
      </c>
      <c r="C5911" s="7" t="s">
        <v>303</v>
      </c>
      <c r="D5911" t="str">
        <f>IFERROR(VLOOKUP(C5911,APOYO!J:K,2,FALSE),C5911)</f>
        <v>TUBARÁ</v>
      </c>
      <c r="E5911" s="7">
        <v>2020</v>
      </c>
    </row>
    <row r="5912" spans="1:5" x14ac:dyDescent="0.25">
      <c r="A5912" t="str">
        <f>_xlfn.XLOOKUP(C5912, 'Códigos DANE Municipios'!$B$2:$B$1123, 'Códigos DANE Municipios'!$A$2:$A$1123, "No encontrado")</f>
        <v>23815</v>
      </c>
      <c r="B5912" t="str">
        <f>IFERROR(VLOOKUP(D5912,APOYO!K:L,2,FALSE),A5912)</f>
        <v>23815</v>
      </c>
      <c r="C5912" s="7" t="s">
        <v>912</v>
      </c>
      <c r="D5912" t="str">
        <f>IFERROR(VLOOKUP(C5912,APOYO!J:K,2,FALSE),C5912)</f>
        <v>TUCHÍN</v>
      </c>
      <c r="E5912" s="7">
        <v>2020</v>
      </c>
    </row>
    <row r="5913" spans="1:5" x14ac:dyDescent="0.25">
      <c r="A5913" t="str">
        <f>_xlfn.XLOOKUP(C5913, 'Códigos DANE Municipios'!$B$2:$B$1123, 'Códigos DANE Municipios'!$A$2:$A$1123, "No encontrado")</f>
        <v>76834</v>
      </c>
      <c r="B5913" t="str">
        <f>IFERROR(VLOOKUP(D5913,APOYO!K:L,2,FALSE),A5913)</f>
        <v>76834</v>
      </c>
      <c r="C5913" s="7" t="s">
        <v>2020</v>
      </c>
      <c r="D5913" t="str">
        <f>IFERROR(VLOOKUP(C5913,APOYO!J:K,2,FALSE),C5913)</f>
        <v>TULUÁ</v>
      </c>
      <c r="E5913" s="7">
        <v>2020</v>
      </c>
    </row>
    <row r="5914" spans="1:5" x14ac:dyDescent="0.25">
      <c r="A5914" t="str">
        <f>_xlfn.XLOOKUP(C5914, 'Códigos DANE Municipios'!$B$2:$B$1123, 'Códigos DANE Municipios'!$A$2:$A$1123, "No encontrado")</f>
        <v>52835</v>
      </c>
      <c r="B5914" t="str">
        <f>IFERROR(VLOOKUP(D5914,APOYO!K:L,2,FALSE),A5914)</f>
        <v>52835</v>
      </c>
      <c r="C5914" s="7" t="s">
        <v>1523</v>
      </c>
      <c r="D5914" t="str">
        <f>IFERROR(VLOOKUP(C5914,APOYO!J:K,2,FALSE),C5914)</f>
        <v>SAN ANDRÉS DE TUMACO</v>
      </c>
      <c r="E5914" s="7">
        <v>2020</v>
      </c>
    </row>
    <row r="5915" spans="1:5" x14ac:dyDescent="0.25">
      <c r="A5915" t="str">
        <f>_xlfn.XLOOKUP(C5915, 'Códigos DANE Municipios'!$B$2:$B$1123, 'Códigos DANE Municipios'!$A$2:$A$1123, "No encontrado")</f>
        <v>15001</v>
      </c>
      <c r="B5915" t="str">
        <f>IFERROR(VLOOKUP(D5915,APOYO!K:L,2,FALSE),A5915)</f>
        <v>15001</v>
      </c>
      <c r="C5915" s="7" t="s">
        <v>401</v>
      </c>
      <c r="D5915" t="str">
        <f>IFERROR(VLOOKUP(C5915,APOYO!J:K,2,FALSE),C5915)</f>
        <v>TUNJA</v>
      </c>
      <c r="E5915" s="7">
        <v>2020</v>
      </c>
    </row>
    <row r="5916" spans="1:5" x14ac:dyDescent="0.25">
      <c r="A5916" t="str">
        <f>_xlfn.XLOOKUP(C5916, 'Códigos DANE Municipios'!$B$2:$B$1123, 'Códigos DANE Municipios'!$A$2:$A$1123, "No encontrado")</f>
        <v>52838</v>
      </c>
      <c r="B5916" t="str">
        <f>IFERROR(VLOOKUP(D5916,APOYO!K:L,2,FALSE),A5916)</f>
        <v>52838</v>
      </c>
      <c r="C5916" s="7" t="s">
        <v>1525</v>
      </c>
      <c r="D5916" t="str">
        <f>IFERROR(VLOOKUP(C5916,APOYO!J:K,2,FALSE),C5916)</f>
        <v>TÚQUERRES</v>
      </c>
      <c r="E5916" s="7">
        <v>2020</v>
      </c>
    </row>
    <row r="5917" spans="1:5" x14ac:dyDescent="0.25">
      <c r="A5917" t="str">
        <f>_xlfn.XLOOKUP(C5917, 'Códigos DANE Municipios'!$B$2:$B$1123, 'Códigos DANE Municipios'!$A$2:$A$1123, "No encontrado")</f>
        <v>13836</v>
      </c>
      <c r="B5917" t="str">
        <f>IFERROR(VLOOKUP(D5917,APOYO!K:L,2,FALSE),A5917)</f>
        <v>13836</v>
      </c>
      <c r="C5917" s="7" t="s">
        <v>393</v>
      </c>
      <c r="D5917" t="str">
        <f>IFERROR(VLOOKUP(C5917,APOYO!J:K,2,FALSE),C5917)</f>
        <v>TURBACO</v>
      </c>
      <c r="E5917" s="7">
        <v>2020</v>
      </c>
    </row>
    <row r="5918" spans="1:5" x14ac:dyDescent="0.25">
      <c r="A5918" t="str">
        <f>_xlfn.XLOOKUP(C5918, 'Códigos DANE Municipios'!$B$2:$B$1123, 'Códigos DANE Municipios'!$A$2:$A$1123, "No encontrado")</f>
        <v>13838</v>
      </c>
      <c r="B5918" t="str">
        <f>IFERROR(VLOOKUP(D5918,APOYO!K:L,2,FALSE),A5918)</f>
        <v>13838</v>
      </c>
      <c r="C5918" s="7" t="s">
        <v>395</v>
      </c>
      <c r="D5918" t="str">
        <f>IFERROR(VLOOKUP(C5918,APOYO!J:K,2,FALSE),C5918)</f>
        <v>TURBANÁ</v>
      </c>
      <c r="E5918" s="7">
        <v>2020</v>
      </c>
    </row>
    <row r="5919" spans="1:5" x14ac:dyDescent="0.25">
      <c r="A5919" t="str">
        <f>_xlfn.XLOOKUP(C5919, 'Códigos DANE Municipios'!$B$2:$B$1123, 'Códigos DANE Municipios'!$A$2:$A$1123, "No encontrado")</f>
        <v>05837</v>
      </c>
      <c r="B5919" t="str">
        <f>IFERROR(VLOOKUP(D5919,APOYO!K:L,2,FALSE),A5919)</f>
        <v>05837</v>
      </c>
      <c r="C5919" s="7" t="s">
        <v>236</v>
      </c>
      <c r="D5919" t="str">
        <f>IFERROR(VLOOKUP(C5919,APOYO!J:K,2,FALSE),C5919)</f>
        <v>TURBO</v>
      </c>
      <c r="E5919" s="7">
        <v>2020</v>
      </c>
    </row>
    <row r="5920" spans="1:5" x14ac:dyDescent="0.25">
      <c r="A5920" t="str">
        <f>_xlfn.XLOOKUP(C5920, 'Códigos DANE Municipios'!$B$2:$B$1123, 'Códigos DANE Municipios'!$A$2:$A$1123, "No encontrado")</f>
        <v>15835</v>
      </c>
      <c r="B5920" t="str">
        <f>IFERROR(VLOOKUP(D5920,APOYO!K:L,2,FALSE),A5920)</f>
        <v>15835</v>
      </c>
      <c r="C5920" s="7" t="s">
        <v>630</v>
      </c>
      <c r="D5920" t="str">
        <f>IFERROR(VLOOKUP(C5920,APOYO!J:K,2,FALSE),C5920)</f>
        <v>TURMEQUÉ</v>
      </c>
      <c r="E5920" s="7">
        <v>2020</v>
      </c>
    </row>
    <row r="5921" spans="1:5" x14ac:dyDescent="0.25">
      <c r="A5921" t="str">
        <f>_xlfn.XLOOKUP(C5921, 'Códigos DANE Municipios'!$B$2:$B$1123, 'Códigos DANE Municipios'!$A$2:$A$1123, "No encontrado")</f>
        <v>15837</v>
      </c>
      <c r="B5921" t="str">
        <f>IFERROR(VLOOKUP(D5921,APOYO!K:L,2,FALSE),A5921)</f>
        <v>15837</v>
      </c>
      <c r="C5921" s="7" t="s">
        <v>632</v>
      </c>
      <c r="D5921" t="str">
        <f>IFERROR(VLOOKUP(C5921,APOYO!J:K,2,FALSE),C5921)</f>
        <v>TUTA</v>
      </c>
      <c r="E5921" s="7">
        <v>2020</v>
      </c>
    </row>
    <row r="5922" spans="1:5" x14ac:dyDescent="0.25">
      <c r="A5922" t="str">
        <f>_xlfn.XLOOKUP(C5922, 'Códigos DANE Municipios'!$B$2:$B$1123, 'Códigos DANE Municipios'!$A$2:$A$1123, "No encontrado")</f>
        <v>25839</v>
      </c>
      <c r="B5922" t="str">
        <f>IFERROR(VLOOKUP(D5922,APOYO!K:L,2,FALSE),A5922)</f>
        <v>25839</v>
      </c>
      <c r="C5922" s="7" t="s">
        <v>1114</v>
      </c>
      <c r="D5922" t="str">
        <f>IFERROR(VLOOKUP(C5922,APOYO!J:K,2,FALSE),C5922)</f>
        <v>UBALÁ</v>
      </c>
      <c r="E5922" s="7">
        <v>2020</v>
      </c>
    </row>
    <row r="5923" spans="1:5" x14ac:dyDescent="0.25">
      <c r="A5923" t="str">
        <f>_xlfn.XLOOKUP(C5923, 'Códigos DANE Municipios'!$B$2:$B$1123, 'Códigos DANE Municipios'!$A$2:$A$1123, "No encontrado")</f>
        <v>25841</v>
      </c>
      <c r="B5923" t="str">
        <f>IFERROR(VLOOKUP(D5923,APOYO!K:L,2,FALSE),A5923)</f>
        <v>25841</v>
      </c>
      <c r="C5923" s="7" t="s">
        <v>1116</v>
      </c>
      <c r="D5923" t="str">
        <f>IFERROR(VLOOKUP(C5923,APOYO!J:K,2,FALSE),C5923)</f>
        <v>UBAQUE</v>
      </c>
      <c r="E5923" s="7">
        <v>2020</v>
      </c>
    </row>
    <row r="5924" spans="1:5" x14ac:dyDescent="0.25">
      <c r="A5924" t="str">
        <f>_xlfn.XLOOKUP(C5924, 'Códigos DANE Municipios'!$B$2:$B$1123, 'Códigos DANE Municipios'!$A$2:$A$1123, "No encontrado")</f>
        <v>25843</v>
      </c>
      <c r="B5924" t="str">
        <f>IFERROR(VLOOKUP(D5924,APOYO!K:L,2,FALSE),A5924)</f>
        <v>25843</v>
      </c>
      <c r="C5924" s="7" t="s">
        <v>1118</v>
      </c>
      <c r="D5924" t="str">
        <f>IFERROR(VLOOKUP(C5924,APOYO!J:K,2,FALSE),C5924)</f>
        <v>VILLA DE SAN DIEGO DE UBATÉ</v>
      </c>
      <c r="E5924" s="7">
        <v>2020</v>
      </c>
    </row>
    <row r="5925" spans="1:5" x14ac:dyDescent="0.25">
      <c r="A5925" t="str">
        <f>_xlfn.XLOOKUP(C5925, 'Códigos DANE Municipios'!$B$2:$B$1123, 'Códigos DANE Municipios'!$A$2:$A$1123, "No encontrado")</f>
        <v>76845</v>
      </c>
      <c r="B5925" t="str">
        <f>IFERROR(VLOOKUP(D5925,APOYO!K:L,2,FALSE),A5925)</f>
        <v>76845</v>
      </c>
      <c r="C5925" s="7" t="s">
        <v>2022</v>
      </c>
      <c r="D5925" t="str">
        <f>IFERROR(VLOOKUP(C5925,APOYO!J:K,2,FALSE),C5925)</f>
        <v>ULLOA</v>
      </c>
      <c r="E5925" s="7">
        <v>2020</v>
      </c>
    </row>
    <row r="5926" spans="1:5" x14ac:dyDescent="0.25">
      <c r="A5926" t="str">
        <f>_xlfn.XLOOKUP(C5926, 'Códigos DANE Municipios'!$B$2:$B$1123, 'Códigos DANE Municipios'!$A$2:$A$1123, "No encontrado")</f>
        <v>15842</v>
      </c>
      <c r="B5926" t="str">
        <f>IFERROR(VLOOKUP(D5926,APOYO!K:L,2,FALSE),A5926)</f>
        <v>15842</v>
      </c>
      <c r="C5926" s="7" t="s">
        <v>636</v>
      </c>
      <c r="D5926" t="str">
        <f>IFERROR(VLOOKUP(C5926,APOYO!J:K,2,FALSE),C5926)</f>
        <v>ÚMBITA</v>
      </c>
      <c r="E5926" s="7">
        <v>2020</v>
      </c>
    </row>
    <row r="5927" spans="1:5" x14ac:dyDescent="0.25">
      <c r="A5927" t="str">
        <f>_xlfn.XLOOKUP(C5927, 'Códigos DANE Municipios'!$B$2:$B$1123, 'Códigos DANE Municipios'!$A$2:$A$1123, "No encontrado")</f>
        <v>25845</v>
      </c>
      <c r="B5927" t="str">
        <f>IFERROR(VLOOKUP(D5927,APOYO!K:L,2,FALSE),A5927)</f>
        <v>25845</v>
      </c>
      <c r="C5927" s="7" t="s">
        <v>1120</v>
      </c>
      <c r="D5927" t="str">
        <f>IFERROR(VLOOKUP(C5927,APOYO!J:K,2,FALSE),C5927)</f>
        <v>UNE</v>
      </c>
      <c r="E5927" s="7">
        <v>2020</v>
      </c>
    </row>
    <row r="5928" spans="1:5" x14ac:dyDescent="0.25">
      <c r="A5928" t="str">
        <f>_xlfn.XLOOKUP(C5928, 'Códigos DANE Municipios'!$B$2:$B$1123, 'Códigos DANE Municipios'!$A$2:$A$1123, "No encontrado")</f>
        <v>27800</v>
      </c>
      <c r="B5928" t="str">
        <f>IFERROR(VLOOKUP(D5928,APOYO!K:L,2,FALSE),A5928)</f>
        <v>27800</v>
      </c>
      <c r="C5928" s="7" t="s">
        <v>1197</v>
      </c>
      <c r="D5928" t="str">
        <f>IFERROR(VLOOKUP(C5928,APOYO!J:K,2,FALSE),C5928)</f>
        <v>UNGUÍA</v>
      </c>
      <c r="E5928" s="7">
        <v>2020</v>
      </c>
    </row>
    <row r="5929" spans="1:5" x14ac:dyDescent="0.25">
      <c r="A5929" t="str">
        <f>_xlfn.XLOOKUP(C5929, 'Códigos DANE Municipios'!$B$2:$B$1123, 'Códigos DANE Municipios'!$A$2:$A$1123, "No encontrado")</f>
        <v>44847</v>
      </c>
      <c r="B5929" t="str">
        <f>IFERROR(VLOOKUP(D5929,APOYO!K:L,2,FALSE),A5929)</f>
        <v>44847</v>
      </c>
      <c r="C5929" s="7" t="s">
        <v>1295</v>
      </c>
      <c r="D5929" t="str">
        <f>IFERROR(VLOOKUP(C5929,APOYO!J:K,2,FALSE),C5929)</f>
        <v>URIBIA</v>
      </c>
      <c r="E5929" s="7">
        <v>2020</v>
      </c>
    </row>
    <row r="5930" spans="1:5" x14ac:dyDescent="0.25">
      <c r="A5930" t="str">
        <f>_xlfn.XLOOKUP(C5930, 'Códigos DANE Municipios'!$B$2:$B$1123, 'Códigos DANE Municipios'!$A$2:$A$1123, "No encontrado")</f>
        <v>05847</v>
      </c>
      <c r="B5930" t="str">
        <f>IFERROR(VLOOKUP(D5930,APOYO!K:L,2,FALSE),A5930)</f>
        <v>05847</v>
      </c>
      <c r="C5930" s="7" t="s">
        <v>240</v>
      </c>
      <c r="D5930" t="str">
        <f>IFERROR(VLOOKUP(C5930,APOYO!J:K,2,FALSE),C5930)</f>
        <v>URRAO</v>
      </c>
      <c r="E5930" s="7">
        <v>2020</v>
      </c>
    </row>
    <row r="5931" spans="1:5" x14ac:dyDescent="0.25">
      <c r="A5931" t="str">
        <f>_xlfn.XLOOKUP(C5931, 'Códigos DANE Municipios'!$B$2:$B$1123, 'Códigos DANE Municipios'!$A$2:$A$1123, "No encontrado")</f>
        <v>44855</v>
      </c>
      <c r="B5931" t="str">
        <f>IFERROR(VLOOKUP(D5931,APOYO!K:L,2,FALSE),A5931)</f>
        <v>44855</v>
      </c>
      <c r="C5931" s="7" t="s">
        <v>1297</v>
      </c>
      <c r="D5931" t="str">
        <f>IFERROR(VLOOKUP(C5931,APOYO!J:K,2,FALSE),C5931)</f>
        <v>URUMITA</v>
      </c>
      <c r="E5931" s="7">
        <v>2020</v>
      </c>
    </row>
    <row r="5932" spans="1:5" x14ac:dyDescent="0.25">
      <c r="A5932" t="str">
        <f>_xlfn.XLOOKUP(C5932, 'Códigos DANE Municipios'!$B$2:$B$1123, 'Códigos DANE Municipios'!$A$2:$A$1123, "No encontrado")</f>
        <v>08849</v>
      </c>
      <c r="B5932" t="str">
        <f>IFERROR(VLOOKUP(D5932,APOYO!K:L,2,FALSE),A5932)</f>
        <v>08849</v>
      </c>
      <c r="C5932" s="7" t="s">
        <v>305</v>
      </c>
      <c r="D5932" t="str">
        <f>IFERROR(VLOOKUP(C5932,APOYO!J:K,2,FALSE),C5932)</f>
        <v>USIACURÍ</v>
      </c>
      <c r="E5932" s="7">
        <v>2020</v>
      </c>
    </row>
    <row r="5933" spans="1:5" x14ac:dyDescent="0.25">
      <c r="A5933" t="str">
        <f>_xlfn.XLOOKUP(C5933, 'Códigos DANE Municipios'!$B$2:$B$1123, 'Códigos DANE Municipios'!$A$2:$A$1123, "No encontrado")</f>
        <v>25851</v>
      </c>
      <c r="B5933" t="str">
        <f>IFERROR(VLOOKUP(D5933,APOYO!K:L,2,FALSE),A5933)</f>
        <v>25851</v>
      </c>
      <c r="C5933" s="7" t="s">
        <v>1122</v>
      </c>
      <c r="D5933" t="str">
        <f>IFERROR(VLOOKUP(C5933,APOYO!J:K,2,FALSE),C5933)</f>
        <v>ÚTICA</v>
      </c>
      <c r="E5933" s="7">
        <v>2020</v>
      </c>
    </row>
    <row r="5934" spans="1:5" x14ac:dyDescent="0.25">
      <c r="A5934" t="str">
        <f>_xlfn.XLOOKUP(C5934, 'Códigos DANE Municipios'!$B$2:$B$1123, 'Códigos DANE Municipios'!$A$2:$A$1123, "No encontrado")</f>
        <v>05854</v>
      </c>
      <c r="B5934" t="str">
        <f>IFERROR(VLOOKUP(D5934,APOYO!K:L,2,FALSE),A5934)</f>
        <v>05854</v>
      </c>
      <c r="C5934" s="7" t="s">
        <v>242</v>
      </c>
      <c r="D5934" t="str">
        <f>IFERROR(VLOOKUP(C5934,APOYO!J:K,2,FALSE),C5934)</f>
        <v>VALDIVIA</v>
      </c>
      <c r="E5934" s="7">
        <v>2020</v>
      </c>
    </row>
    <row r="5935" spans="1:5" x14ac:dyDescent="0.25">
      <c r="A5935" t="str">
        <f>_xlfn.XLOOKUP(C5935, 'Códigos DANE Municipios'!$B$2:$B$1123, 'Códigos DANE Municipios'!$A$2:$A$1123, "No encontrado")</f>
        <v>23855</v>
      </c>
      <c r="B5935" t="str">
        <f>IFERROR(VLOOKUP(D5935,APOYO!K:L,2,FALSE),A5935)</f>
        <v>23855</v>
      </c>
      <c r="C5935" s="7" t="s">
        <v>914</v>
      </c>
      <c r="D5935" t="str">
        <f>IFERROR(VLOOKUP(C5935,APOYO!J:K,2,FALSE),C5935)</f>
        <v>VALENCIA</v>
      </c>
      <c r="E5935" s="7">
        <v>2020</v>
      </c>
    </row>
    <row r="5936" spans="1:5" x14ac:dyDescent="0.25">
      <c r="A5936" t="str">
        <f>_xlfn.XLOOKUP(C5936, 'Códigos DANE Municipios'!$B$2:$B$1123, 'Códigos DANE Municipios'!$A$2:$A$1123, "No encontrado")</f>
        <v>86865</v>
      </c>
      <c r="B5936" t="str">
        <f>IFERROR(VLOOKUP(D5936,APOYO!K:L,2,FALSE),A5936)</f>
        <v>86865</v>
      </c>
      <c r="C5936" s="7" t="s">
        <v>2102</v>
      </c>
      <c r="D5936" t="str">
        <f>IFERROR(VLOOKUP(C5936,APOYO!J:K,2,FALSE),C5936)</f>
        <v>VALLE DEL GUAMUEZ</v>
      </c>
      <c r="E5936" s="7">
        <v>2020</v>
      </c>
    </row>
    <row r="5937" spans="1:5" x14ac:dyDescent="0.25">
      <c r="A5937" t="str">
        <f>_xlfn.XLOOKUP(C5937, 'Códigos DANE Municipios'!$B$2:$B$1123, 'Códigos DANE Municipios'!$A$2:$A$1123, "No encontrado")</f>
        <v>68855</v>
      </c>
      <c r="B5937" t="str">
        <f>IFERROR(VLOOKUP(D5937,APOYO!K:L,2,FALSE),A5937)</f>
        <v>68855</v>
      </c>
      <c r="C5937" s="7" t="s">
        <v>1807</v>
      </c>
      <c r="D5937" t="str">
        <f>IFERROR(VLOOKUP(C5937,APOYO!J:K,2,FALSE),C5937)</f>
        <v>VALLE DE SAN JOSÉ</v>
      </c>
      <c r="E5937" s="7">
        <v>2020</v>
      </c>
    </row>
    <row r="5938" spans="1:5" x14ac:dyDescent="0.25">
      <c r="A5938" t="str">
        <f>_xlfn.XLOOKUP(C5938, 'Códigos DANE Municipios'!$B$2:$B$1123, 'Códigos DANE Municipios'!$A$2:$A$1123, "No encontrado")</f>
        <v>20001</v>
      </c>
      <c r="B5938" t="str">
        <f>IFERROR(VLOOKUP(D5938,APOYO!K:L,2,FALSE),A5938)</f>
        <v>20001</v>
      </c>
      <c r="C5938" s="7" t="s">
        <v>808</v>
      </c>
      <c r="D5938" t="str">
        <f>IFERROR(VLOOKUP(C5938,APOYO!J:K,2,FALSE),C5938)</f>
        <v>VALLEDUPAR</v>
      </c>
      <c r="E5938" s="7">
        <v>2020</v>
      </c>
    </row>
    <row r="5939" spans="1:5" x14ac:dyDescent="0.25">
      <c r="A5939" t="str">
        <f>_xlfn.XLOOKUP(C5939, 'Códigos DANE Municipios'!$B$2:$B$1123, 'Códigos DANE Municipios'!$A$2:$A$1123, "No encontrado")</f>
        <v>05856</v>
      </c>
      <c r="B5939" t="str">
        <f>IFERROR(VLOOKUP(D5939,APOYO!K:L,2,FALSE),A5939)</f>
        <v>05856</v>
      </c>
      <c r="C5939" s="7" t="s">
        <v>244</v>
      </c>
      <c r="D5939" t="str">
        <f>IFERROR(VLOOKUP(C5939,APOYO!J:K,2,FALSE),C5939)</f>
        <v>VALPARAÍSO</v>
      </c>
      <c r="E5939" s="7">
        <v>2020</v>
      </c>
    </row>
    <row r="5940" spans="1:5" x14ac:dyDescent="0.25">
      <c r="A5940" t="str">
        <f>_xlfn.XLOOKUP(C5940, 'Códigos DANE Municipios'!$B$2:$B$1123, 'Códigos DANE Municipios'!$A$2:$A$1123, "No encontrado")</f>
        <v>05858</v>
      </c>
      <c r="B5940" t="str">
        <f>IFERROR(VLOOKUP(D5940,APOYO!K:L,2,FALSE),A5940)</f>
        <v>05858</v>
      </c>
      <c r="C5940" s="7" t="s">
        <v>246</v>
      </c>
      <c r="D5940" t="str">
        <f>IFERROR(VLOOKUP(C5940,APOYO!J:K,2,FALSE),C5940)</f>
        <v>VEGACHÍ</v>
      </c>
      <c r="E5940" s="7">
        <v>2020</v>
      </c>
    </row>
    <row r="5941" spans="1:5" x14ac:dyDescent="0.25">
      <c r="A5941" t="str">
        <f>_xlfn.XLOOKUP(C5941, 'Códigos DANE Municipios'!$B$2:$B$1123, 'Códigos DANE Municipios'!$A$2:$A$1123, "No encontrado")</f>
        <v>68861</v>
      </c>
      <c r="B5941" t="str">
        <f>IFERROR(VLOOKUP(D5941,APOYO!K:L,2,FALSE),A5941)</f>
        <v>68861</v>
      </c>
      <c r="C5941" s="7" t="s">
        <v>1809</v>
      </c>
      <c r="D5941" t="str">
        <f>IFERROR(VLOOKUP(C5941,APOYO!J:K,2,FALSE),C5941)</f>
        <v>VÉLEZ</v>
      </c>
      <c r="E5941" s="7">
        <v>2020</v>
      </c>
    </row>
    <row r="5942" spans="1:5" x14ac:dyDescent="0.25">
      <c r="A5942" t="str">
        <f>_xlfn.XLOOKUP(C5942, 'Códigos DANE Municipios'!$B$2:$B$1123, 'Códigos DANE Municipios'!$A$2:$A$1123, "No encontrado")</f>
        <v>73861</v>
      </c>
      <c r="B5942" t="str">
        <f>IFERROR(VLOOKUP(D5942,APOYO!K:L,2,FALSE),A5942)</f>
        <v>73861</v>
      </c>
      <c r="C5942" s="7" t="s">
        <v>1951</v>
      </c>
      <c r="D5942" t="str">
        <f>IFERROR(VLOOKUP(C5942,APOYO!J:K,2,FALSE),C5942)</f>
        <v>VENADILLO</v>
      </c>
      <c r="E5942" s="7">
        <v>2020</v>
      </c>
    </row>
    <row r="5943" spans="1:5" x14ac:dyDescent="0.25">
      <c r="A5943" t="str">
        <f>_xlfn.XLOOKUP(C5943, 'Códigos DANE Municipios'!$B$2:$B$1123, 'Códigos DANE Municipios'!$A$2:$A$1123, "No encontrado")</f>
        <v>05861</v>
      </c>
      <c r="B5943" t="str">
        <f>IFERROR(VLOOKUP(D5943,APOYO!K:L,2,FALSE),A5943)</f>
        <v>05861</v>
      </c>
      <c r="C5943" s="7" t="s">
        <v>248</v>
      </c>
      <c r="D5943" t="str">
        <f>IFERROR(VLOOKUP(C5943,APOYO!J:K,2,FALSE),C5943)</f>
        <v>VENECIA</v>
      </c>
      <c r="E5943" s="7">
        <v>2020</v>
      </c>
    </row>
    <row r="5944" spans="1:5" x14ac:dyDescent="0.25">
      <c r="A5944" t="str">
        <f>_xlfn.XLOOKUP(C5944, 'Códigos DANE Municipios'!$B$2:$B$1123, 'Códigos DANE Municipios'!$A$2:$A$1123, "No encontrado")</f>
        <v>15861</v>
      </c>
      <c r="B5944" t="str">
        <f>IFERROR(VLOOKUP(D5944,APOYO!K:L,2,FALSE),A5944)</f>
        <v>15861</v>
      </c>
      <c r="C5944" s="7" t="s">
        <v>638</v>
      </c>
      <c r="D5944" t="str">
        <f>IFERROR(VLOOKUP(C5944,APOYO!J:K,2,FALSE),C5944)</f>
        <v>VENTAQUEMADA</v>
      </c>
      <c r="E5944" s="7">
        <v>2020</v>
      </c>
    </row>
    <row r="5945" spans="1:5" x14ac:dyDescent="0.25">
      <c r="A5945" t="str">
        <f>_xlfn.XLOOKUP(C5945, 'Códigos DANE Municipios'!$B$2:$B$1123, 'Códigos DANE Municipios'!$A$2:$A$1123, "No encontrado")</f>
        <v>25862</v>
      </c>
      <c r="B5945" t="str">
        <f>IFERROR(VLOOKUP(D5945,APOYO!K:L,2,FALSE),A5945)</f>
        <v>25862</v>
      </c>
      <c r="C5945" s="7" t="s">
        <v>1124</v>
      </c>
      <c r="D5945" t="str">
        <f>IFERROR(VLOOKUP(C5945,APOYO!J:K,2,FALSE),C5945)</f>
        <v>VERGARA</v>
      </c>
      <c r="E5945" s="7">
        <v>2020</v>
      </c>
    </row>
    <row r="5946" spans="1:5" x14ac:dyDescent="0.25">
      <c r="A5946" t="str">
        <f>_xlfn.XLOOKUP(C5946, 'Códigos DANE Municipios'!$B$2:$B$1123, 'Códigos DANE Municipios'!$A$2:$A$1123, "No encontrado")</f>
        <v>76863</v>
      </c>
      <c r="B5946" t="str">
        <f>IFERROR(VLOOKUP(D5946,APOYO!K:L,2,FALSE),A5946)</f>
        <v>76863</v>
      </c>
      <c r="C5946" s="7" t="s">
        <v>2024</v>
      </c>
      <c r="D5946" t="str">
        <f>IFERROR(VLOOKUP(C5946,APOYO!J:K,2,FALSE),C5946)</f>
        <v>VERSALLES</v>
      </c>
      <c r="E5946" s="7">
        <v>2020</v>
      </c>
    </row>
    <row r="5947" spans="1:5" x14ac:dyDescent="0.25">
      <c r="A5947" t="str">
        <f>_xlfn.XLOOKUP(C5947, 'Códigos DANE Municipios'!$B$2:$B$1123, 'Códigos DANE Municipios'!$A$2:$A$1123, "No encontrado")</f>
        <v>25867</v>
      </c>
      <c r="B5947" t="str">
        <f>IFERROR(VLOOKUP(D5947,APOYO!K:L,2,FALSE),A5947)</f>
        <v>25867</v>
      </c>
      <c r="C5947" s="7" t="s">
        <v>1126</v>
      </c>
      <c r="D5947" t="str">
        <f>IFERROR(VLOOKUP(C5947,APOYO!J:K,2,FALSE),C5947)</f>
        <v>VIANÍ</v>
      </c>
      <c r="E5947" s="7">
        <v>2020</v>
      </c>
    </row>
    <row r="5948" spans="1:5" x14ac:dyDescent="0.25">
      <c r="A5948" t="str">
        <f>_xlfn.XLOOKUP(C5948, 'Códigos DANE Municipios'!$B$2:$B$1123, 'Códigos DANE Municipios'!$A$2:$A$1123, "No encontrado")</f>
        <v>17867</v>
      </c>
      <c r="B5948" t="str">
        <f>IFERROR(VLOOKUP(D5948,APOYO!K:L,2,FALSE),A5948)</f>
        <v>17867</v>
      </c>
      <c r="C5948" s="7" t="s">
        <v>692</v>
      </c>
      <c r="D5948" t="str">
        <f>IFERROR(VLOOKUP(C5948,APOYO!J:K,2,FALSE),C5948)</f>
        <v>VICTORIA</v>
      </c>
      <c r="E5948" s="7">
        <v>2020</v>
      </c>
    </row>
    <row r="5949" spans="1:5" x14ac:dyDescent="0.25">
      <c r="A5949" t="str">
        <f>_xlfn.XLOOKUP(C5949, 'Códigos DANE Municipios'!$B$2:$B$1123, 'Códigos DANE Municipios'!$A$2:$A$1123, "No encontrado")</f>
        <v>76869</v>
      </c>
      <c r="B5949" t="str">
        <f>IFERROR(VLOOKUP(D5949,APOYO!K:L,2,FALSE),A5949)</f>
        <v>76869</v>
      </c>
      <c r="C5949" s="7" t="s">
        <v>2026</v>
      </c>
      <c r="D5949" t="str">
        <f>IFERROR(VLOOKUP(C5949,APOYO!J:K,2,FALSE),C5949)</f>
        <v>VIJES</v>
      </c>
      <c r="E5949" s="7">
        <v>2020</v>
      </c>
    </row>
    <row r="5950" spans="1:5" x14ac:dyDescent="0.25">
      <c r="A5950" t="str">
        <f>_xlfn.XLOOKUP(C5950, 'Códigos DANE Municipios'!$B$2:$B$1123, 'Códigos DANE Municipios'!$A$2:$A$1123, "No encontrado")</f>
        <v>15407</v>
      </c>
      <c r="B5950" t="str">
        <f>IFERROR(VLOOKUP(D5950,APOYO!K:L,2,FALSE),A5950)</f>
        <v>15407</v>
      </c>
      <c r="C5950" s="7" t="s">
        <v>498</v>
      </c>
      <c r="D5950" t="str">
        <f>IFERROR(VLOOKUP(C5950,APOYO!J:K,2,FALSE),C5950)</f>
        <v>VILLA DE LEYVA</v>
      </c>
      <c r="E5950" s="7">
        <v>2020</v>
      </c>
    </row>
    <row r="5951" spans="1:5" x14ac:dyDescent="0.25">
      <c r="A5951" t="str">
        <f>_xlfn.XLOOKUP(C5951, 'Códigos DANE Municipios'!$B$2:$B$1123, 'Códigos DANE Municipios'!$A$2:$A$1123, "No encontrado")</f>
        <v>19845</v>
      </c>
      <c r="B5951" t="str">
        <f>IFERROR(VLOOKUP(D5951,APOYO!K:L,2,FALSE),A5951)</f>
        <v>19845</v>
      </c>
      <c r="C5951" s="7" t="s">
        <v>806</v>
      </c>
      <c r="D5951" t="str">
        <f>IFERROR(VLOOKUP(C5951,APOYO!J:K,2,FALSE),C5951)</f>
        <v>VILLA RICA</v>
      </c>
      <c r="E5951" s="7">
        <v>2020</v>
      </c>
    </row>
    <row r="5952" spans="1:5" x14ac:dyDescent="0.25">
      <c r="A5952" t="str">
        <f>_xlfn.XLOOKUP(C5952, 'Códigos DANE Municipios'!$B$2:$B$1123, 'Códigos DANE Municipios'!$A$2:$A$1123, "No encontrado")</f>
        <v>54874</v>
      </c>
      <c r="B5952" t="str">
        <f>IFERROR(VLOOKUP(D5952,APOYO!K:L,2,FALSE),A5952)</f>
        <v>54874</v>
      </c>
      <c r="C5952" s="7" t="s">
        <v>1605</v>
      </c>
      <c r="D5952" t="str">
        <f>IFERROR(VLOOKUP(C5952,APOYO!J:K,2,FALSE),C5952)</f>
        <v>VILLA DEL ROSARIO</v>
      </c>
      <c r="E5952" s="7">
        <v>2020</v>
      </c>
    </row>
    <row r="5953" spans="1:5" x14ac:dyDescent="0.25">
      <c r="A5953" t="str">
        <f>_xlfn.XLOOKUP(C5953, 'Códigos DANE Municipios'!$B$2:$B$1123, 'Códigos DANE Municipios'!$A$2:$A$1123, "No encontrado")</f>
        <v>86885</v>
      </c>
      <c r="B5953" t="str">
        <f>IFERROR(VLOOKUP(D5953,APOYO!K:L,2,FALSE),A5953)</f>
        <v>86885</v>
      </c>
      <c r="C5953" s="7" t="s">
        <v>2104</v>
      </c>
      <c r="D5953" t="str">
        <f>IFERROR(VLOOKUP(C5953,APOYO!J:K,2,FALSE),C5953)</f>
        <v>VILLAGARZÓN</v>
      </c>
      <c r="E5953" s="7">
        <v>2020</v>
      </c>
    </row>
    <row r="5954" spans="1:5" x14ac:dyDescent="0.25">
      <c r="A5954" t="str">
        <f>_xlfn.XLOOKUP(C5954, 'Códigos DANE Municipios'!$B$2:$B$1123, 'Códigos DANE Municipios'!$A$2:$A$1123, "No encontrado")</f>
        <v>17873</v>
      </c>
      <c r="B5954" t="str">
        <f>IFERROR(VLOOKUP(D5954,APOYO!K:L,2,FALSE),A5954)</f>
        <v>17873</v>
      </c>
      <c r="C5954" s="7" t="s">
        <v>694</v>
      </c>
      <c r="D5954" t="str">
        <f>IFERROR(VLOOKUP(C5954,APOYO!J:K,2,FALSE),C5954)</f>
        <v>VILLAMARÍA</v>
      </c>
      <c r="E5954" s="7">
        <v>2020</v>
      </c>
    </row>
    <row r="5955" spans="1:5" x14ac:dyDescent="0.25">
      <c r="A5955" t="str">
        <f>_xlfn.XLOOKUP(C5955, 'Códigos DANE Municipios'!$B$2:$B$1123, 'Códigos DANE Municipios'!$A$2:$A$1123, "No encontrado")</f>
        <v>13873</v>
      </c>
      <c r="B5955" t="str">
        <f>IFERROR(VLOOKUP(D5955,APOYO!K:L,2,FALSE),A5955)</f>
        <v>13873</v>
      </c>
      <c r="C5955" s="7" t="s">
        <v>397</v>
      </c>
      <c r="D5955" t="str">
        <f>IFERROR(VLOOKUP(C5955,APOYO!J:K,2,FALSE),C5955)</f>
        <v>VILLANUEVA</v>
      </c>
      <c r="E5955" s="7">
        <v>2020</v>
      </c>
    </row>
    <row r="5956" spans="1:5" x14ac:dyDescent="0.25">
      <c r="A5956" t="str">
        <f>_xlfn.XLOOKUP(C5956, 'Códigos DANE Municipios'!$B$2:$B$1123, 'Códigos DANE Municipios'!$A$2:$A$1123, "No encontrado")</f>
        <v>25873</v>
      </c>
      <c r="B5956" t="str">
        <f>IFERROR(VLOOKUP(D5956,APOYO!K:L,2,FALSE),A5956)</f>
        <v>25873</v>
      </c>
      <c r="C5956" s="7" t="s">
        <v>1130</v>
      </c>
      <c r="D5956" t="str">
        <f>IFERROR(VLOOKUP(C5956,APOYO!J:K,2,FALSE),C5956)</f>
        <v>VILLAPINZÓN</v>
      </c>
      <c r="E5956" s="7">
        <v>2020</v>
      </c>
    </row>
    <row r="5957" spans="1:5" x14ac:dyDescent="0.25">
      <c r="A5957" t="str">
        <f>_xlfn.XLOOKUP(C5957, 'Códigos DANE Municipios'!$B$2:$B$1123, 'Códigos DANE Municipios'!$A$2:$A$1123, "No encontrado")</f>
        <v>50001</v>
      </c>
      <c r="B5957" t="str">
        <f>IFERROR(VLOOKUP(D5957,APOYO!K:L,2,FALSE),A5957)</f>
        <v>50001</v>
      </c>
      <c r="C5957" s="7" t="s">
        <v>1358</v>
      </c>
      <c r="D5957" t="str">
        <f>IFERROR(VLOOKUP(C5957,APOYO!J:K,2,FALSE),C5957)</f>
        <v>VILLAVICENCIO</v>
      </c>
      <c r="E5957" s="7">
        <v>2020</v>
      </c>
    </row>
    <row r="5958" spans="1:5" x14ac:dyDescent="0.25">
      <c r="A5958" t="str">
        <f>_xlfn.XLOOKUP(C5958, 'Códigos DANE Municipios'!$B$2:$B$1123, 'Códigos DANE Municipios'!$A$2:$A$1123, "No encontrado")</f>
        <v>41872</v>
      </c>
      <c r="B5958" t="str">
        <f>IFERROR(VLOOKUP(D5958,APOYO!K:L,2,FALSE),A5958)</f>
        <v>41872</v>
      </c>
      <c r="C5958" s="7" t="s">
        <v>1268</v>
      </c>
      <c r="D5958" t="str">
        <f>IFERROR(VLOOKUP(C5958,APOYO!J:K,2,FALSE),C5958)</f>
        <v>VILLAVIEJA</v>
      </c>
      <c r="E5958" s="7">
        <v>2020</v>
      </c>
    </row>
    <row r="5959" spans="1:5" x14ac:dyDescent="0.25">
      <c r="A5959" t="str">
        <f>_xlfn.XLOOKUP(C5959, 'Códigos DANE Municipios'!$B$2:$B$1123, 'Códigos DANE Municipios'!$A$2:$A$1123, "No encontrado")</f>
        <v>25875</v>
      </c>
      <c r="B5959" t="str">
        <f>IFERROR(VLOOKUP(D5959,APOYO!K:L,2,FALSE),A5959)</f>
        <v>25875</v>
      </c>
      <c r="C5959" s="7" t="s">
        <v>1132</v>
      </c>
      <c r="D5959" t="str">
        <f>IFERROR(VLOOKUP(C5959,APOYO!J:K,2,FALSE),C5959)</f>
        <v>VILLETA</v>
      </c>
      <c r="E5959" s="7">
        <v>2020</v>
      </c>
    </row>
    <row r="5960" spans="1:5" x14ac:dyDescent="0.25">
      <c r="A5960" t="str">
        <f>_xlfn.XLOOKUP(C5960, 'Códigos DANE Municipios'!$B$2:$B$1123, 'Códigos DANE Municipios'!$A$2:$A$1123, "No encontrado")</f>
        <v>25878</v>
      </c>
      <c r="B5960" t="str">
        <f>IFERROR(VLOOKUP(D5960,APOYO!K:L,2,FALSE),A5960)</f>
        <v>25878</v>
      </c>
      <c r="C5960" s="7" t="s">
        <v>1134</v>
      </c>
      <c r="D5960" t="str">
        <f>IFERROR(VLOOKUP(C5960,APOYO!J:K,2,FALSE),C5960)</f>
        <v>VIOTÁ</v>
      </c>
      <c r="E5960" s="7">
        <v>2020</v>
      </c>
    </row>
    <row r="5961" spans="1:5" x14ac:dyDescent="0.25">
      <c r="A5961" t="str">
        <f>_xlfn.XLOOKUP(C5961, 'Códigos DANE Municipios'!$B$2:$B$1123, 'Códigos DANE Municipios'!$A$2:$A$1123, "No encontrado")</f>
        <v>15879</v>
      </c>
      <c r="B5961" t="str">
        <f>IFERROR(VLOOKUP(D5961,APOYO!K:L,2,FALSE),A5961)</f>
        <v>15879</v>
      </c>
      <c r="C5961" s="7" t="s">
        <v>640</v>
      </c>
      <c r="D5961" t="str">
        <f>IFERROR(VLOOKUP(C5961,APOYO!J:K,2,FALSE),C5961)</f>
        <v>VIRACACHÁ</v>
      </c>
      <c r="E5961" s="7">
        <v>2020</v>
      </c>
    </row>
    <row r="5962" spans="1:5" x14ac:dyDescent="0.25">
      <c r="A5962" t="str">
        <f>_xlfn.XLOOKUP(C5962, 'Códigos DANE Municipios'!$B$2:$B$1123, 'Códigos DANE Municipios'!$A$2:$A$1123, "No encontrado")</f>
        <v>50711</v>
      </c>
      <c r="B5962" t="str">
        <f>IFERROR(VLOOKUP(D5962,APOYO!K:L,2,FALSE),A5962)</f>
        <v>50711</v>
      </c>
      <c r="C5962" s="7" t="s">
        <v>1410</v>
      </c>
      <c r="D5962" t="str">
        <f>IFERROR(VLOOKUP(C5962,APOYO!J:K,2,FALSE),C5962)</f>
        <v>VISTAHERMOSA</v>
      </c>
      <c r="E5962" s="7">
        <v>2020</v>
      </c>
    </row>
    <row r="5963" spans="1:5" x14ac:dyDescent="0.25">
      <c r="A5963" t="str">
        <f>_xlfn.XLOOKUP(C5963, 'Códigos DANE Municipios'!$B$2:$B$1123, 'Códigos DANE Municipios'!$A$2:$A$1123, "No encontrado")</f>
        <v>17877</v>
      </c>
      <c r="B5963" t="str">
        <f>IFERROR(VLOOKUP(D5963,APOYO!K:L,2,FALSE),A5963)</f>
        <v>17877</v>
      </c>
      <c r="C5963" s="7" t="s">
        <v>696</v>
      </c>
      <c r="D5963" t="str">
        <f>IFERROR(VLOOKUP(C5963,APOYO!J:K,2,FALSE),C5963)</f>
        <v>VITERBO</v>
      </c>
      <c r="E5963" s="7">
        <v>2020</v>
      </c>
    </row>
    <row r="5964" spans="1:5" x14ac:dyDescent="0.25">
      <c r="A5964" t="str">
        <f>_xlfn.XLOOKUP(C5964, 'Códigos DANE Municipios'!$B$2:$B$1123, 'Códigos DANE Municipios'!$A$2:$A$1123, "No encontrado")</f>
        <v>41885</v>
      </c>
      <c r="B5964" t="str">
        <f>IFERROR(VLOOKUP(D5964,APOYO!K:L,2,FALSE),A5964)</f>
        <v>41885</v>
      </c>
      <c r="C5964" s="7" t="s">
        <v>1270</v>
      </c>
      <c r="D5964" t="str">
        <f>IFERROR(VLOOKUP(C5964,APOYO!J:K,2,FALSE),C5964)</f>
        <v>YAGUARÁ</v>
      </c>
      <c r="E5964" s="7">
        <v>2020</v>
      </c>
    </row>
    <row r="5965" spans="1:5" x14ac:dyDescent="0.25">
      <c r="A5965" t="str">
        <f>_xlfn.XLOOKUP(C5965, 'Códigos DANE Municipios'!$B$2:$B$1123, 'Códigos DANE Municipios'!$A$2:$A$1123, "No encontrado")</f>
        <v>05885</v>
      </c>
      <c r="B5965" t="str">
        <f>IFERROR(VLOOKUP(D5965,APOYO!K:L,2,FALSE),A5965)</f>
        <v>05885</v>
      </c>
      <c r="C5965" s="7" t="s">
        <v>252</v>
      </c>
      <c r="D5965" t="str">
        <f>IFERROR(VLOOKUP(C5965,APOYO!J:K,2,FALSE),C5965)</f>
        <v>YALÍ</v>
      </c>
      <c r="E5965" s="7">
        <v>2020</v>
      </c>
    </row>
    <row r="5966" spans="1:5" x14ac:dyDescent="0.25">
      <c r="A5966" t="str">
        <f>_xlfn.XLOOKUP(C5966, 'Códigos DANE Municipios'!$B$2:$B$1123, 'Códigos DANE Municipios'!$A$2:$A$1123, "No encontrado")</f>
        <v>05887</v>
      </c>
      <c r="B5966" t="str">
        <f>IFERROR(VLOOKUP(D5966,APOYO!K:L,2,FALSE),A5966)</f>
        <v>05887</v>
      </c>
      <c r="C5966" s="7" t="s">
        <v>254</v>
      </c>
      <c r="D5966" t="str">
        <f>IFERROR(VLOOKUP(C5966,APOYO!J:K,2,FALSE),C5966)</f>
        <v>YARUMAL</v>
      </c>
      <c r="E5966" s="7">
        <v>2020</v>
      </c>
    </row>
    <row r="5967" spans="1:5" x14ac:dyDescent="0.25">
      <c r="A5967" t="str">
        <f>_xlfn.XLOOKUP(C5967, 'Códigos DANE Municipios'!$B$2:$B$1123, 'Códigos DANE Municipios'!$A$2:$A$1123, "No encontrado")</f>
        <v>05890</v>
      </c>
      <c r="B5967" t="str">
        <f>IFERROR(VLOOKUP(D5967,APOYO!K:L,2,FALSE),A5967)</f>
        <v>05890</v>
      </c>
      <c r="C5967" s="7" t="s">
        <v>256</v>
      </c>
      <c r="D5967" t="str">
        <f>IFERROR(VLOOKUP(C5967,APOYO!J:K,2,FALSE),C5967)</f>
        <v>YOLOMBÓ</v>
      </c>
      <c r="E5967" s="7">
        <v>2020</v>
      </c>
    </row>
    <row r="5968" spans="1:5" x14ac:dyDescent="0.25">
      <c r="A5968" t="str">
        <f>_xlfn.XLOOKUP(C5968, 'Códigos DANE Municipios'!$B$2:$B$1123, 'Códigos DANE Municipios'!$A$2:$A$1123, "No encontrado")</f>
        <v>05893</v>
      </c>
      <c r="B5968" t="str">
        <f>IFERROR(VLOOKUP(D5968,APOYO!K:L,2,FALSE),A5968)</f>
        <v>05893</v>
      </c>
      <c r="C5968" s="7" t="s">
        <v>258</v>
      </c>
      <c r="D5968" t="str">
        <f>IFERROR(VLOOKUP(C5968,APOYO!J:K,2,FALSE),C5968)</f>
        <v>YONDÓ</v>
      </c>
      <c r="E5968" s="7">
        <v>2020</v>
      </c>
    </row>
    <row r="5969" spans="1:11" x14ac:dyDescent="0.25">
      <c r="A5969" t="str">
        <f>_xlfn.XLOOKUP(C5969, 'Códigos DANE Municipios'!$B$2:$B$1123, 'Códigos DANE Municipios'!$A$2:$A$1123, "No encontrado")</f>
        <v>85001</v>
      </c>
      <c r="B5969" t="str">
        <f>IFERROR(VLOOKUP(D5969,APOYO!K:L,2,FALSE),A5969)</f>
        <v>85001</v>
      </c>
      <c r="C5969" s="7" t="s">
        <v>2048</v>
      </c>
      <c r="D5969" t="str">
        <f>IFERROR(VLOOKUP(C5969,APOYO!J:K,2,FALSE),C5969)</f>
        <v>YOPAL</v>
      </c>
      <c r="E5969" s="7">
        <v>2020</v>
      </c>
    </row>
    <row r="5970" spans="1:11" x14ac:dyDescent="0.25">
      <c r="A5970" t="str">
        <f>_xlfn.XLOOKUP(C5970, 'Códigos DANE Municipios'!$B$2:$B$1123, 'Códigos DANE Municipios'!$A$2:$A$1123, "No encontrado")</f>
        <v>76890</v>
      </c>
      <c r="B5970" t="str">
        <f>IFERROR(VLOOKUP(D5970,APOYO!K:L,2,FALSE),A5970)</f>
        <v>76890</v>
      </c>
      <c r="C5970" s="7" t="s">
        <v>2028</v>
      </c>
      <c r="D5970" t="str">
        <f>IFERROR(VLOOKUP(C5970,APOYO!J:K,2,FALSE),C5970)</f>
        <v>YOTOCO</v>
      </c>
      <c r="E5970" s="7">
        <v>2020</v>
      </c>
    </row>
    <row r="5971" spans="1:11" x14ac:dyDescent="0.25">
      <c r="A5971" t="str">
        <f>_xlfn.XLOOKUP(C5971, 'Códigos DANE Municipios'!$B$2:$B$1123, 'Códigos DANE Municipios'!$A$2:$A$1123, "No encontrado")</f>
        <v>76892</v>
      </c>
      <c r="B5971" t="str">
        <f>IFERROR(VLOOKUP(D5971,APOYO!K:L,2,FALSE),A5971)</f>
        <v>76892</v>
      </c>
      <c r="C5971" s="7" t="s">
        <v>2030</v>
      </c>
      <c r="D5971" t="str">
        <f>IFERROR(VLOOKUP(C5971,APOYO!J:K,2,FALSE),C5971)</f>
        <v>YUMBO</v>
      </c>
      <c r="E5971" s="7">
        <v>2020</v>
      </c>
    </row>
    <row r="5972" spans="1:11" x14ac:dyDescent="0.25">
      <c r="A5972" t="str">
        <f>_xlfn.XLOOKUP(C5972, 'Códigos DANE Municipios'!$B$2:$B$1123, 'Códigos DANE Municipios'!$A$2:$A$1123, "No encontrado")</f>
        <v>68895</v>
      </c>
      <c r="B5972" t="str">
        <f>IFERROR(VLOOKUP(D5972,APOYO!K:L,2,FALSE),A5972)</f>
        <v>68895</v>
      </c>
      <c r="C5972" s="7" t="s">
        <v>1814</v>
      </c>
      <c r="D5972" t="str">
        <f>IFERROR(VLOOKUP(C5972,APOYO!J:K,2,FALSE),C5972)</f>
        <v>ZAPATOCA</v>
      </c>
      <c r="E5972" s="7">
        <v>2020</v>
      </c>
    </row>
    <row r="5973" spans="1:11" x14ac:dyDescent="0.25">
      <c r="A5973" t="str">
        <f>_xlfn.XLOOKUP(C5973, 'Códigos DANE Municipios'!$B$2:$B$1123, 'Códigos DANE Municipios'!$A$2:$A$1123, "No encontrado")</f>
        <v>05895</v>
      </c>
      <c r="B5973" t="str">
        <f>IFERROR(VLOOKUP(D5973,APOYO!K:L,2,FALSE),A5973)</f>
        <v>05895</v>
      </c>
      <c r="C5973" s="7" t="s">
        <v>260</v>
      </c>
      <c r="D5973" t="str">
        <f>IFERROR(VLOOKUP(C5973,APOYO!J:K,2,FALSE),C5973)</f>
        <v>ZARAGOZA</v>
      </c>
      <c r="E5973" s="7">
        <v>2020</v>
      </c>
    </row>
    <row r="5974" spans="1:11" x14ac:dyDescent="0.25">
      <c r="A5974" t="str">
        <f>_xlfn.XLOOKUP(C5974, 'Códigos DANE Municipios'!$B$2:$B$1123, 'Códigos DANE Municipios'!$A$2:$A$1123, "No encontrado")</f>
        <v>76895</v>
      </c>
      <c r="B5974" t="str">
        <f>IFERROR(VLOOKUP(D5974,APOYO!K:L,2,FALSE),A5974)</f>
        <v>76895</v>
      </c>
      <c r="C5974" s="7" t="s">
        <v>2032</v>
      </c>
      <c r="D5974" t="str">
        <f>IFERROR(VLOOKUP(C5974,APOYO!J:K,2,FALSE),C5974)</f>
        <v>ZARZAL</v>
      </c>
      <c r="E5974" s="7">
        <v>2020</v>
      </c>
    </row>
    <row r="5975" spans="1:11" x14ac:dyDescent="0.25">
      <c r="A5975" t="str">
        <f>_xlfn.XLOOKUP(C5975, 'Códigos DANE Municipios'!$B$2:$B$1123, 'Códigos DANE Municipios'!$A$2:$A$1123, "No encontrado")</f>
        <v>15897</v>
      </c>
      <c r="B5975" t="str">
        <f>IFERROR(VLOOKUP(D5975,APOYO!K:L,2,FALSE),A5975)</f>
        <v>15897</v>
      </c>
      <c r="C5975" s="7" t="s">
        <v>642</v>
      </c>
      <c r="D5975" t="str">
        <f>IFERROR(VLOOKUP(C5975,APOYO!J:K,2,FALSE),C5975)</f>
        <v>ZETAQUIRA</v>
      </c>
      <c r="E5975" s="7">
        <v>2020</v>
      </c>
    </row>
    <row r="5976" spans="1:11" x14ac:dyDescent="0.25">
      <c r="A5976" t="str">
        <f>_xlfn.XLOOKUP(C5976, 'Códigos DANE Municipios'!$B$2:$B$1123, 'Códigos DANE Municipios'!$A$2:$A$1123, "No encontrado")</f>
        <v>25898</v>
      </c>
      <c r="B5976" t="str">
        <f>IFERROR(VLOOKUP(D5976,APOYO!K:L,2,FALSE),A5976)</f>
        <v>25898</v>
      </c>
      <c r="C5976" s="7" t="s">
        <v>1138</v>
      </c>
      <c r="D5976" t="str">
        <f>IFERROR(VLOOKUP(C5976,APOYO!J:K,2,FALSE),C5976)</f>
        <v>ZIPACÓN</v>
      </c>
      <c r="E5976" s="7">
        <v>2020</v>
      </c>
    </row>
    <row r="5977" spans="1:11" x14ac:dyDescent="0.25">
      <c r="A5977" t="str">
        <f>_xlfn.XLOOKUP(C5977, 'Códigos DANE Municipios'!$B$2:$B$1123, 'Códigos DANE Municipios'!$A$2:$A$1123, "No encontrado")</f>
        <v>25899</v>
      </c>
      <c r="B5977" t="str">
        <f>IFERROR(VLOOKUP(D5977,APOYO!K:L,2,FALSE),A5977)</f>
        <v>25899</v>
      </c>
      <c r="C5977" s="7" t="s">
        <v>1140</v>
      </c>
      <c r="D5977" t="str">
        <f>IFERROR(VLOOKUP(C5977,APOYO!J:K,2,FALSE),C5977)</f>
        <v>ZIPAQUIRÁ</v>
      </c>
      <c r="E5977" s="7">
        <v>2020</v>
      </c>
    </row>
    <row r="5978" spans="1:11" x14ac:dyDescent="0.25">
      <c r="A5978" t="str">
        <f>_xlfn.XLOOKUP(C5978, 'Códigos DANE Municipios'!$B$2:$B$1123, 'Códigos DANE Municipios'!$A$2:$A$1123, "No encontrado")</f>
        <v>47980</v>
      </c>
      <c r="B5978" t="str">
        <f>IFERROR(VLOOKUP(D5978,APOYO!K:L,2,FALSE),A5978)</f>
        <v>47980</v>
      </c>
      <c r="C5978" s="7" t="s">
        <v>1356</v>
      </c>
      <c r="D5978" t="str">
        <f>IFERROR(VLOOKUP(C5978,APOYO!J:K,2,FALSE),C5978)</f>
        <v>ZONA BANANERA</v>
      </c>
      <c r="E5978" s="7">
        <v>2020</v>
      </c>
    </row>
    <row r="5979" spans="1:11" hidden="1" x14ac:dyDescent="0.25">
      <c r="A5979" t="str">
        <f>_xlfn.XLOOKUP(C5979, 'Códigos DANE Municipios'!$B$2:$B$1123, 'Códigos DANE Municipios'!$A$2:$A$1123, "No encontrado")</f>
        <v>20570</v>
      </c>
      <c r="B5979" t="str">
        <f>IFERROR(VLOOKUP(D5979,APOYO!K:L,2,FALSE),A5979)</f>
        <v>20570</v>
      </c>
      <c r="C5979" s="8" t="s">
        <v>844</v>
      </c>
      <c r="D5979" t="str">
        <f>IFERROR(VLOOKUP(C5979,APOYO!J:K,2,FALSE),C5979)</f>
        <v>PUEBLO BELLO</v>
      </c>
      <c r="E5979" s="8">
        <v>2021</v>
      </c>
      <c r="F5979" s="8"/>
      <c r="G5979" s="8"/>
      <c r="H5979" s="8">
        <v>12</v>
      </c>
      <c r="I5979" s="8"/>
      <c r="J5979" s="8"/>
      <c r="K5979" s="8"/>
    </row>
    <row r="5980" spans="1:11" hidden="1" x14ac:dyDescent="0.25">
      <c r="A5980" t="str">
        <f>_xlfn.XLOOKUP(C5980, 'Códigos DANE Municipios'!$B$2:$B$1123, 'Códigos DANE Municipios'!$A$2:$A$1123, "No encontrado")</f>
        <v>44378</v>
      </c>
      <c r="B5980" t="str">
        <f>IFERROR(VLOOKUP(D5980,APOYO!K:L,2,FALSE),A5980)</f>
        <v>44378</v>
      </c>
      <c r="C5980" s="8" t="s">
        <v>1285</v>
      </c>
      <c r="D5980" t="str">
        <f>IFERROR(VLOOKUP(C5980,APOYO!J:K,2,FALSE),C5980)</f>
        <v>HATONUEVO</v>
      </c>
      <c r="E5980" s="8">
        <v>2021</v>
      </c>
      <c r="F5980" s="8"/>
      <c r="G5980" s="8"/>
      <c r="H5980" s="8">
        <v>16</v>
      </c>
      <c r="I5980" s="8"/>
      <c r="J5980" s="8"/>
      <c r="K5980" s="8"/>
    </row>
    <row r="5981" spans="1:11" hidden="1" x14ac:dyDescent="0.25">
      <c r="A5981" t="str">
        <f>_xlfn.XLOOKUP(C5981, 'Códigos DANE Municipios'!$B$2:$B$1123, 'Códigos DANE Municipios'!$A$2:$A$1123, "No encontrado")</f>
        <v>99624</v>
      </c>
      <c r="B5981" t="str">
        <f>IFERROR(VLOOKUP(D5981,APOYO!K:L,2,FALSE),A5981)</f>
        <v>99624</v>
      </c>
      <c r="C5981" t="s">
        <v>2167</v>
      </c>
      <c r="D5981" t="str">
        <f>IFERROR(VLOOKUP(C5981,APOYO!J:K,2,FALSE),C5981)</f>
        <v>SANTA ROSALÍA</v>
      </c>
      <c r="E5981">
        <v>2021</v>
      </c>
      <c r="F5981">
        <v>649</v>
      </c>
      <c r="H5981">
        <v>2</v>
      </c>
    </row>
    <row r="5982" spans="1:11" hidden="1" x14ac:dyDescent="0.25">
      <c r="A5982" t="str">
        <f>_xlfn.XLOOKUP(C5982, 'Códigos DANE Municipios'!$B$2:$B$1123, 'Códigos DANE Municipios'!$A$2:$A$1123, "No encontrado")</f>
        <v>05002</v>
      </c>
      <c r="B5982" t="str">
        <f>IFERROR(VLOOKUP(D5982,APOYO!K:L,2,FALSE),A5982)</f>
        <v>05002</v>
      </c>
      <c r="C5982" s="8" t="s">
        <v>14</v>
      </c>
      <c r="D5982" t="str">
        <f>IFERROR(VLOOKUP(C5982,APOYO!J:K,2,FALSE),C5982)</f>
        <v>ABEJORRAL</v>
      </c>
      <c r="E5982" s="8">
        <v>2021</v>
      </c>
      <c r="F5982" s="8"/>
      <c r="G5982" s="8"/>
      <c r="H5982" s="8">
        <v>735</v>
      </c>
      <c r="I5982" s="8"/>
      <c r="J5982" s="8"/>
      <c r="K5982" s="8"/>
    </row>
    <row r="5983" spans="1:11" hidden="1" x14ac:dyDescent="0.25">
      <c r="A5983" t="str">
        <f>_xlfn.XLOOKUP(C5983, 'Códigos DANE Municipios'!$B$2:$B$1123, 'Códigos DANE Municipios'!$A$2:$A$1123, "No encontrado")</f>
        <v>54003</v>
      </c>
      <c r="B5983" t="str">
        <f>IFERROR(VLOOKUP(D5983,APOYO!K:L,2,FALSE),A5983)</f>
        <v>54003</v>
      </c>
      <c r="C5983" t="s">
        <v>1531</v>
      </c>
      <c r="D5983" t="str">
        <f>IFERROR(VLOOKUP(C5983,APOYO!J:K,2,FALSE),C5983)</f>
        <v>ÁBREGO</v>
      </c>
      <c r="E5983">
        <v>2021</v>
      </c>
      <c r="H5983">
        <v>58</v>
      </c>
    </row>
    <row r="5984" spans="1:11" hidden="1" x14ac:dyDescent="0.25">
      <c r="A5984" t="str">
        <f>_xlfn.XLOOKUP(C5984, 'Códigos DANE Municipios'!$B$2:$B$1123, 'Códigos DANE Municipios'!$A$2:$A$1123, "No encontrado")</f>
        <v>05004</v>
      </c>
      <c r="B5984" t="str">
        <f>IFERROR(VLOOKUP(D5984,APOYO!K:L,2,FALSE),A5984)</f>
        <v>05004</v>
      </c>
      <c r="C5984" t="s">
        <v>16</v>
      </c>
      <c r="D5984" t="str">
        <f>IFERROR(VLOOKUP(C5984,APOYO!J:K,2,FALSE),C5984)</f>
        <v>ABRIAQUÍ</v>
      </c>
      <c r="E5984">
        <v>2021</v>
      </c>
      <c r="H5984">
        <v>33</v>
      </c>
    </row>
    <row r="5985" spans="1:11" hidden="1" x14ac:dyDescent="0.25">
      <c r="A5985" t="str">
        <f>_xlfn.XLOOKUP(C5985, 'Códigos DANE Municipios'!$B$2:$B$1123, 'Códigos DANE Municipios'!$A$2:$A$1123, "No encontrado")</f>
        <v>50006</v>
      </c>
      <c r="B5985" t="str">
        <f>IFERROR(VLOOKUP(D5985,APOYO!K:L,2,FALSE),A5985)</f>
        <v>50006</v>
      </c>
      <c r="C5985" t="s">
        <v>1360</v>
      </c>
      <c r="D5985" t="str">
        <f>IFERROR(VLOOKUP(C5985,APOYO!J:K,2,FALSE),C5985)</f>
        <v>ACACÍAS</v>
      </c>
      <c r="E5985">
        <v>2021</v>
      </c>
      <c r="H5985">
        <v>178</v>
      </c>
    </row>
    <row r="5986" spans="1:11" hidden="1" x14ac:dyDescent="0.25">
      <c r="A5986" t="str">
        <f>_xlfn.XLOOKUP(C5986, 'Códigos DANE Municipios'!$B$2:$B$1123, 'Códigos DANE Municipios'!$A$2:$A$1123, "No encontrado")</f>
        <v>27006</v>
      </c>
      <c r="B5986" t="str">
        <f>IFERROR(VLOOKUP(D5986,APOYO!K:L,2,FALSE),A5986)</f>
        <v>27006</v>
      </c>
      <c r="C5986" t="s">
        <v>1144</v>
      </c>
      <c r="D5986" t="str">
        <f>IFERROR(VLOOKUP(C5986,APOYO!J:K,2,FALSE),C5986)</f>
        <v>ACANDÍ</v>
      </c>
      <c r="E5986">
        <v>2021</v>
      </c>
      <c r="F5986">
        <v>7327</v>
      </c>
      <c r="G5986">
        <v>32</v>
      </c>
      <c r="H5986">
        <v>73</v>
      </c>
    </row>
    <row r="5987" spans="1:11" hidden="1" x14ac:dyDescent="0.25">
      <c r="A5987" t="str">
        <f>_xlfn.XLOOKUP(C5987, 'Códigos DANE Municipios'!$B$2:$B$1123, 'Códigos DANE Municipios'!$A$2:$A$1123, "No encontrado")</f>
        <v>41006</v>
      </c>
      <c r="B5987" t="str">
        <f>IFERROR(VLOOKUP(D5987,APOYO!K:L,2,FALSE),A5987)</f>
        <v>41006</v>
      </c>
      <c r="C5987" s="8" t="s">
        <v>1203</v>
      </c>
      <c r="D5987" t="str">
        <f>IFERROR(VLOOKUP(C5987,APOYO!J:K,2,FALSE),C5987)</f>
        <v>ACEVEDO</v>
      </c>
      <c r="E5987" s="8">
        <v>2021</v>
      </c>
      <c r="F5987" s="8"/>
      <c r="G5987" s="8"/>
      <c r="H5987" s="8">
        <v>15</v>
      </c>
      <c r="I5987" s="8">
        <v>135</v>
      </c>
      <c r="J5987" s="8"/>
      <c r="K5987" s="8"/>
    </row>
    <row r="5988" spans="1:11" hidden="1" x14ac:dyDescent="0.25">
      <c r="A5988" t="str">
        <f>_xlfn.XLOOKUP(C5988, 'Códigos DANE Municipios'!$B$2:$B$1123, 'Códigos DANE Municipios'!$A$2:$A$1123, "No encontrado")</f>
        <v>13006</v>
      </c>
      <c r="B5988" t="str">
        <f>IFERROR(VLOOKUP(D5988,APOYO!K:L,2,FALSE),A5988)</f>
        <v>13006</v>
      </c>
      <c r="C5988" t="s">
        <v>311</v>
      </c>
      <c r="D5988" t="str">
        <f>IFERROR(VLOOKUP(C5988,APOYO!J:K,2,FALSE),C5988)</f>
        <v>ACHÍ</v>
      </c>
      <c r="E5988">
        <v>2021</v>
      </c>
      <c r="H5988">
        <v>331</v>
      </c>
    </row>
    <row r="5989" spans="1:11" hidden="1" x14ac:dyDescent="0.25">
      <c r="A5989" t="str">
        <f>_xlfn.XLOOKUP(C5989, 'Códigos DANE Municipios'!$B$2:$B$1123, 'Códigos DANE Municipios'!$A$2:$A$1123, "No encontrado")</f>
        <v>41013</v>
      </c>
      <c r="B5989" t="str">
        <f>IFERROR(VLOOKUP(D5989,APOYO!K:L,2,FALSE),A5989)</f>
        <v>41013</v>
      </c>
      <c r="C5989" s="8" t="s">
        <v>1205</v>
      </c>
      <c r="D5989" t="str">
        <f>IFERROR(VLOOKUP(C5989,APOYO!J:K,2,FALSE),C5989)</f>
        <v>AGRADO</v>
      </c>
      <c r="E5989" s="8">
        <v>2021</v>
      </c>
      <c r="F5989" s="8"/>
      <c r="G5989" s="8"/>
      <c r="H5989" s="8">
        <v>4</v>
      </c>
      <c r="I5989" s="8"/>
      <c r="J5989" s="8"/>
      <c r="K5989" s="8"/>
    </row>
    <row r="5990" spans="1:11" hidden="1" x14ac:dyDescent="0.25">
      <c r="A5990" t="str">
        <f>_xlfn.XLOOKUP(C5990, 'Códigos DANE Municipios'!$B$2:$B$1123, 'Códigos DANE Municipios'!$A$2:$A$1123, "No encontrado")</f>
        <v>25001</v>
      </c>
      <c r="B5990" t="str">
        <f>IFERROR(VLOOKUP(D5990,APOYO!K:L,2,FALSE),A5990)</f>
        <v>25001</v>
      </c>
      <c r="C5990" s="8" t="s">
        <v>916</v>
      </c>
      <c r="D5990" t="str">
        <f>IFERROR(VLOOKUP(C5990,APOYO!J:K,2,FALSE),C5990)</f>
        <v>AGUA DE DIOS</v>
      </c>
      <c r="E5990" s="8">
        <v>2021</v>
      </c>
      <c r="F5990" s="8"/>
      <c r="G5990" s="8"/>
      <c r="H5990" s="8">
        <v>115</v>
      </c>
      <c r="I5990" s="8"/>
      <c r="J5990" s="8"/>
      <c r="K5990" s="8"/>
    </row>
    <row r="5991" spans="1:11" hidden="1" x14ac:dyDescent="0.25">
      <c r="A5991" t="str">
        <f>_xlfn.XLOOKUP(C5991, 'Códigos DANE Municipios'!$B$2:$B$1123, 'Códigos DANE Municipios'!$A$2:$A$1123, "No encontrado")</f>
        <v>20011</v>
      </c>
      <c r="B5991" t="str">
        <f>IFERROR(VLOOKUP(D5991,APOYO!K:L,2,FALSE),A5991)</f>
        <v>20011</v>
      </c>
      <c r="C5991" s="8" t="s">
        <v>810</v>
      </c>
      <c r="D5991" t="str">
        <f>IFERROR(VLOOKUP(C5991,APOYO!J:K,2,FALSE),C5991)</f>
        <v>AGUACHICA</v>
      </c>
      <c r="E5991" s="8">
        <v>2021</v>
      </c>
      <c r="F5991" s="8">
        <v>4431</v>
      </c>
      <c r="G5991" s="8"/>
      <c r="H5991" s="8">
        <v>92</v>
      </c>
      <c r="I5991" s="8"/>
      <c r="J5991" s="8"/>
      <c r="K5991" s="8"/>
    </row>
    <row r="5992" spans="1:11" hidden="1" x14ac:dyDescent="0.25">
      <c r="A5992" t="str">
        <f>_xlfn.XLOOKUP(C5992, 'Códigos DANE Municipios'!$B$2:$B$1123, 'Códigos DANE Municipios'!$A$2:$A$1123, "No encontrado")</f>
        <v>68013</v>
      </c>
      <c r="B5992" t="str">
        <f>IFERROR(VLOOKUP(D5992,APOYO!K:L,2,FALSE),A5992)</f>
        <v>68013</v>
      </c>
      <c r="C5992" s="8" t="s">
        <v>1657</v>
      </c>
      <c r="D5992" t="str">
        <f>IFERROR(VLOOKUP(C5992,APOYO!J:K,2,FALSE),C5992)</f>
        <v>AGUADA</v>
      </c>
      <c r="E5992" s="8">
        <v>2021</v>
      </c>
      <c r="F5992" s="8"/>
      <c r="G5992" s="8"/>
      <c r="H5992" s="8">
        <v>31</v>
      </c>
      <c r="I5992" s="8"/>
      <c r="J5992" s="8"/>
      <c r="K5992" s="8"/>
    </row>
    <row r="5993" spans="1:11" hidden="1" x14ac:dyDescent="0.25">
      <c r="A5993" t="str">
        <f>_xlfn.XLOOKUP(C5993, 'Códigos DANE Municipios'!$B$2:$B$1123, 'Códigos DANE Municipios'!$A$2:$A$1123, "No encontrado")</f>
        <v>17013</v>
      </c>
      <c r="B5993" t="str">
        <f>IFERROR(VLOOKUP(D5993,APOYO!K:L,2,FALSE),A5993)</f>
        <v>17013</v>
      </c>
      <c r="C5993" s="8" t="s">
        <v>646</v>
      </c>
      <c r="D5993" t="str">
        <f>IFERROR(VLOOKUP(C5993,APOYO!J:K,2,FALSE),C5993)</f>
        <v>AGUADAS</v>
      </c>
      <c r="E5993" s="8">
        <v>2021</v>
      </c>
      <c r="F5993" s="8"/>
      <c r="G5993" s="8"/>
      <c r="H5993" s="8">
        <v>56</v>
      </c>
      <c r="I5993" s="8"/>
      <c r="J5993" s="8"/>
      <c r="K5993" s="8"/>
    </row>
    <row r="5994" spans="1:11" hidden="1" x14ac:dyDescent="0.25">
      <c r="A5994" t="str">
        <f>_xlfn.XLOOKUP(C5994, 'Códigos DANE Municipios'!$B$2:$B$1123, 'Códigos DANE Municipios'!$A$2:$A$1123, "No encontrado")</f>
        <v>85010</v>
      </c>
      <c r="B5994" t="str">
        <f>IFERROR(VLOOKUP(D5994,APOYO!K:L,2,FALSE),A5994)</f>
        <v>85010</v>
      </c>
      <c r="C5994" s="8" t="s">
        <v>2050</v>
      </c>
      <c r="D5994" t="str">
        <f>IFERROR(VLOOKUP(C5994,APOYO!J:K,2,FALSE),C5994)</f>
        <v>AGUAZUL</v>
      </c>
      <c r="E5994" s="8">
        <v>2021</v>
      </c>
      <c r="F5994" s="8">
        <v>456</v>
      </c>
      <c r="G5994" s="8"/>
      <c r="H5994" s="8">
        <v>45</v>
      </c>
      <c r="I5994" s="8"/>
      <c r="J5994" s="8"/>
      <c r="K5994" s="8"/>
    </row>
    <row r="5995" spans="1:11" hidden="1" x14ac:dyDescent="0.25">
      <c r="A5995" t="str">
        <f>_xlfn.XLOOKUP(C5995, 'Códigos DANE Municipios'!$B$2:$B$1123, 'Códigos DANE Municipios'!$A$2:$A$1123, "No encontrado")</f>
        <v>20013</v>
      </c>
      <c r="B5995" t="str">
        <f>IFERROR(VLOOKUP(D5995,APOYO!K:L,2,FALSE),A5995)</f>
        <v>20013</v>
      </c>
      <c r="C5995" t="s">
        <v>812</v>
      </c>
      <c r="D5995" t="str">
        <f>IFERROR(VLOOKUP(C5995,APOYO!J:K,2,FALSE),C5995)</f>
        <v>AGUSTÍN CODAZZI</v>
      </c>
      <c r="E5995">
        <v>2021</v>
      </c>
      <c r="F5995">
        <v>310</v>
      </c>
      <c r="H5995">
        <v>24</v>
      </c>
    </row>
    <row r="5996" spans="1:11" hidden="1" x14ac:dyDescent="0.25">
      <c r="A5996" t="str">
        <f>_xlfn.XLOOKUP(C5996, 'Códigos DANE Municipios'!$B$2:$B$1123, 'Códigos DANE Municipios'!$A$2:$A$1123, "No encontrado")</f>
        <v>41016</v>
      </c>
      <c r="B5996" t="str">
        <f>IFERROR(VLOOKUP(D5996,APOYO!K:L,2,FALSE),A5996)</f>
        <v>41016</v>
      </c>
      <c r="C5996" s="8" t="s">
        <v>1207</v>
      </c>
      <c r="D5996" t="str">
        <f>IFERROR(VLOOKUP(C5996,APOYO!J:K,2,FALSE),C5996)</f>
        <v>AIPE</v>
      </c>
      <c r="E5996" s="8">
        <v>2021</v>
      </c>
      <c r="F5996" s="8"/>
      <c r="G5996" s="8"/>
      <c r="H5996" s="8">
        <v>12</v>
      </c>
      <c r="I5996" s="8"/>
      <c r="J5996" s="8"/>
      <c r="K5996" s="8"/>
    </row>
    <row r="5997" spans="1:11" hidden="1" x14ac:dyDescent="0.25">
      <c r="A5997" t="str">
        <f>_xlfn.XLOOKUP(C5997, 'Códigos DANE Municipios'!$B$2:$B$1123, 'Códigos DANE Municipios'!$A$2:$A$1123, "No encontrado")</f>
        <v>25019</v>
      </c>
      <c r="B5997" t="str">
        <f>IFERROR(VLOOKUP(D5997,APOYO!K:L,2,FALSE),A5997)</f>
        <v>25019</v>
      </c>
      <c r="C5997" t="s">
        <v>918</v>
      </c>
      <c r="D5997" t="str">
        <f>IFERROR(VLOOKUP(C5997,APOYO!J:K,2,FALSE),C5997)</f>
        <v>ALBÁN</v>
      </c>
      <c r="E5997">
        <v>2021</v>
      </c>
      <c r="H5997">
        <v>17</v>
      </c>
    </row>
    <row r="5998" spans="1:11" hidden="1" x14ac:dyDescent="0.25">
      <c r="A5998" t="str">
        <f>_xlfn.XLOOKUP(C5998, 'Códigos DANE Municipios'!$B$2:$B$1123, 'Códigos DANE Municipios'!$A$2:$A$1123, "No encontrado")</f>
        <v>18029</v>
      </c>
      <c r="B5998" t="str">
        <f>IFERROR(VLOOKUP(D5998,APOYO!K:L,2,FALSE),A5998)</f>
        <v>18029</v>
      </c>
      <c r="C5998" s="8" t="s">
        <v>700</v>
      </c>
      <c r="D5998" t="str">
        <f>IFERROR(VLOOKUP(C5998,APOYO!J:K,2,FALSE),C5998)</f>
        <v>ALBANIA</v>
      </c>
      <c r="E5998" s="8">
        <v>2021</v>
      </c>
      <c r="F5998" s="8"/>
      <c r="G5998" s="8"/>
      <c r="H5998" s="8">
        <v>52</v>
      </c>
      <c r="I5998" s="8"/>
      <c r="J5998" s="8"/>
      <c r="K5998" s="8"/>
    </row>
    <row r="5999" spans="1:11" hidden="1" x14ac:dyDescent="0.25">
      <c r="A5999" t="str">
        <f>_xlfn.XLOOKUP(C5999, 'Códigos DANE Municipios'!$B$2:$B$1123, 'Códigos DANE Municipios'!$A$2:$A$1123, "No encontrado")</f>
        <v>76020</v>
      </c>
      <c r="B5999" t="str">
        <f>IFERROR(VLOOKUP(D5999,APOYO!K:L,2,FALSE),A5999)</f>
        <v>76020</v>
      </c>
      <c r="C5999" t="s">
        <v>1959</v>
      </c>
      <c r="D5999" t="str">
        <f>IFERROR(VLOOKUP(C5999,APOYO!J:K,2,FALSE),C5999)</f>
        <v>ALCALÁ</v>
      </c>
      <c r="E5999">
        <v>2021</v>
      </c>
      <c r="H5999">
        <v>373</v>
      </c>
    </row>
    <row r="6000" spans="1:11" hidden="1" x14ac:dyDescent="0.25">
      <c r="A6000" t="str">
        <f>_xlfn.XLOOKUP(C6000, 'Códigos DANE Municipios'!$B$2:$B$1123, 'Códigos DANE Municipios'!$A$2:$A$1123, "No encontrado")</f>
        <v>05021</v>
      </c>
      <c r="B6000" t="str">
        <f>IFERROR(VLOOKUP(D6000,APOYO!K:L,2,FALSE),A6000)</f>
        <v>05021</v>
      </c>
      <c r="C6000" t="s">
        <v>18</v>
      </c>
      <c r="D6000" t="str">
        <f>IFERROR(VLOOKUP(C6000,APOYO!J:K,2,FALSE),C6000)</f>
        <v>ALEJANDRÍA</v>
      </c>
      <c r="E6000">
        <v>2021</v>
      </c>
      <c r="H6000">
        <v>121</v>
      </c>
    </row>
    <row r="6001" spans="1:11" hidden="1" x14ac:dyDescent="0.25">
      <c r="A6001" t="str">
        <f>_xlfn.XLOOKUP(C6001, 'Códigos DANE Municipios'!$B$2:$B$1123, 'Códigos DANE Municipios'!$A$2:$A$1123, "No encontrado")</f>
        <v>41020</v>
      </c>
      <c r="B6001" t="str">
        <f>IFERROR(VLOOKUP(D6001,APOYO!K:L,2,FALSE),A6001)</f>
        <v>41020</v>
      </c>
      <c r="C6001" s="8" t="s">
        <v>1209</v>
      </c>
      <c r="D6001" t="str">
        <f>IFERROR(VLOOKUP(C6001,APOYO!J:K,2,FALSE),C6001)</f>
        <v>ALGECIRAS</v>
      </c>
      <c r="E6001" s="8">
        <v>2021</v>
      </c>
      <c r="F6001" s="8"/>
      <c r="G6001" s="8"/>
      <c r="H6001" s="8">
        <v>12</v>
      </c>
      <c r="I6001" s="8"/>
      <c r="J6001" s="8"/>
      <c r="K6001" s="8"/>
    </row>
    <row r="6002" spans="1:11" hidden="1" x14ac:dyDescent="0.25">
      <c r="A6002" t="str">
        <f>_xlfn.XLOOKUP(C6002, 'Códigos DANE Municipios'!$B$2:$B$1123, 'Códigos DANE Municipios'!$A$2:$A$1123, "No encontrado")</f>
        <v>73024</v>
      </c>
      <c r="B6002" t="str">
        <f>IFERROR(VLOOKUP(D6002,APOYO!K:L,2,FALSE),A6002)</f>
        <v>73024</v>
      </c>
      <c r="C6002" s="8" t="s">
        <v>1867</v>
      </c>
      <c r="D6002" t="str">
        <f>IFERROR(VLOOKUP(C6002,APOYO!J:K,2,FALSE),C6002)</f>
        <v>ALPUJARRA</v>
      </c>
      <c r="E6002" s="8">
        <v>2021</v>
      </c>
      <c r="F6002" s="8"/>
      <c r="G6002" s="8"/>
      <c r="H6002" s="8">
        <v>12</v>
      </c>
      <c r="I6002" s="8"/>
      <c r="J6002" s="8"/>
      <c r="K6002" s="8"/>
    </row>
    <row r="6003" spans="1:11" hidden="1" x14ac:dyDescent="0.25">
      <c r="A6003" t="str">
        <f>_xlfn.XLOOKUP(C6003, 'Códigos DANE Municipios'!$B$2:$B$1123, 'Códigos DANE Municipios'!$A$2:$A$1123, "No encontrado")</f>
        <v>41026</v>
      </c>
      <c r="B6003" t="str">
        <f>IFERROR(VLOOKUP(D6003,APOYO!K:L,2,FALSE),A6003)</f>
        <v>41026</v>
      </c>
      <c r="C6003" s="8" t="s">
        <v>1211</v>
      </c>
      <c r="D6003" t="str">
        <f>IFERROR(VLOOKUP(C6003,APOYO!J:K,2,FALSE),C6003)</f>
        <v>ALTAMIRA</v>
      </c>
      <c r="E6003" s="8">
        <v>2021</v>
      </c>
      <c r="F6003" s="8"/>
      <c r="G6003" s="8"/>
      <c r="H6003" s="8">
        <v>6</v>
      </c>
      <c r="I6003" s="8"/>
      <c r="J6003" s="8"/>
      <c r="K6003" s="8"/>
    </row>
    <row r="6004" spans="1:11" hidden="1" x14ac:dyDescent="0.25">
      <c r="A6004" t="str">
        <f>_xlfn.XLOOKUP(C6004, 'Códigos DANE Municipios'!$B$2:$B$1123, 'Códigos DANE Municipios'!$A$2:$A$1123, "No encontrado")</f>
        <v>73026</v>
      </c>
      <c r="B6004" t="str">
        <f>IFERROR(VLOOKUP(D6004,APOYO!K:L,2,FALSE),A6004)</f>
        <v>73026</v>
      </c>
      <c r="C6004" s="8" t="s">
        <v>1869</v>
      </c>
      <c r="D6004" t="str">
        <f>IFERROR(VLOOKUP(C6004,APOYO!J:K,2,FALSE),C6004)</f>
        <v>ALVARADO</v>
      </c>
      <c r="E6004" s="8">
        <v>2021</v>
      </c>
      <c r="F6004" s="8"/>
      <c r="G6004" s="8"/>
      <c r="H6004" s="8">
        <v>3</v>
      </c>
      <c r="I6004" s="8"/>
      <c r="J6004" s="8"/>
      <c r="K6004" s="8"/>
    </row>
    <row r="6005" spans="1:11" hidden="1" x14ac:dyDescent="0.25">
      <c r="A6005" t="str">
        <f>_xlfn.XLOOKUP(C6005, 'Códigos DANE Municipios'!$B$2:$B$1123, 'Códigos DANE Municipios'!$A$2:$A$1123, "No encontrado")</f>
        <v>05030</v>
      </c>
      <c r="B6005" t="str">
        <f>IFERROR(VLOOKUP(D6005,APOYO!K:L,2,FALSE),A6005)</f>
        <v>05030</v>
      </c>
      <c r="C6005" t="s">
        <v>20</v>
      </c>
      <c r="D6005" t="str">
        <f>IFERROR(VLOOKUP(C6005,APOYO!J:K,2,FALSE),C6005)</f>
        <v>AMAGÁ</v>
      </c>
      <c r="E6005">
        <v>2021</v>
      </c>
      <c r="H6005">
        <v>55</v>
      </c>
    </row>
    <row r="6006" spans="1:11" hidden="1" x14ac:dyDescent="0.25">
      <c r="A6006" t="str">
        <f>_xlfn.XLOOKUP(C6006, 'Códigos DANE Municipios'!$B$2:$B$1123, 'Códigos DANE Municipios'!$A$2:$A$1123, "No encontrado")</f>
        <v>05031</v>
      </c>
      <c r="B6006" t="str">
        <f>IFERROR(VLOOKUP(D6006,APOYO!K:L,2,FALSE),A6006)</f>
        <v>05031</v>
      </c>
      <c r="C6006" s="8" t="s">
        <v>22</v>
      </c>
      <c r="D6006" t="str">
        <f>IFERROR(VLOOKUP(C6006,APOYO!J:K,2,FALSE),C6006)</f>
        <v>AMALFI</v>
      </c>
      <c r="E6006" s="8">
        <v>2021</v>
      </c>
      <c r="F6006" s="8"/>
      <c r="G6006" s="8"/>
      <c r="H6006" s="8">
        <v>23</v>
      </c>
      <c r="I6006" s="8"/>
      <c r="J6006" s="8"/>
      <c r="K6006" s="8"/>
    </row>
    <row r="6007" spans="1:11" hidden="1" x14ac:dyDescent="0.25">
      <c r="A6007" t="str">
        <f>_xlfn.XLOOKUP(C6007, 'Códigos DANE Municipios'!$B$2:$B$1123, 'Códigos DANE Municipios'!$A$2:$A$1123, "No encontrado")</f>
        <v>73030</v>
      </c>
      <c r="B6007" t="str">
        <f>IFERROR(VLOOKUP(D6007,APOYO!K:L,2,FALSE),A6007)</f>
        <v>73030</v>
      </c>
      <c r="C6007" s="8" t="s">
        <v>1871</v>
      </c>
      <c r="D6007" t="str">
        <f>IFERROR(VLOOKUP(C6007,APOYO!J:K,2,FALSE),C6007)</f>
        <v>AMBALEMA</v>
      </c>
      <c r="E6007" s="8">
        <v>2021</v>
      </c>
      <c r="F6007" s="8"/>
      <c r="G6007" s="8"/>
      <c r="H6007" s="8">
        <v>2</v>
      </c>
      <c r="I6007" s="8"/>
      <c r="J6007" s="8"/>
      <c r="K6007" s="8"/>
    </row>
    <row r="6008" spans="1:11" hidden="1" x14ac:dyDescent="0.25">
      <c r="A6008" t="str">
        <f>_xlfn.XLOOKUP(C6008, 'Códigos DANE Municipios'!$B$2:$B$1123, 'Códigos DANE Municipios'!$A$2:$A$1123, "No encontrado")</f>
        <v>25035</v>
      </c>
      <c r="B6008" t="str">
        <f>IFERROR(VLOOKUP(D6008,APOYO!K:L,2,FALSE),A6008)</f>
        <v>25035</v>
      </c>
      <c r="C6008" s="8" t="s">
        <v>920</v>
      </c>
      <c r="D6008" t="str">
        <f>IFERROR(VLOOKUP(C6008,APOYO!J:K,2,FALSE),C6008)</f>
        <v>ANAPOIMA</v>
      </c>
      <c r="E6008" s="8">
        <v>2021</v>
      </c>
      <c r="F6008" s="8"/>
      <c r="G6008" s="8"/>
      <c r="H6008" s="8">
        <v>161</v>
      </c>
      <c r="I6008" s="8"/>
      <c r="J6008" s="8"/>
      <c r="K6008" s="8"/>
    </row>
    <row r="6009" spans="1:11" hidden="1" x14ac:dyDescent="0.25">
      <c r="A6009" t="str">
        <f>_xlfn.XLOOKUP(C6009, 'Códigos DANE Municipios'!$B$2:$B$1123, 'Códigos DANE Municipios'!$A$2:$A$1123, "No encontrado")</f>
        <v>76036</v>
      </c>
      <c r="B6009" t="str">
        <f>IFERROR(VLOOKUP(D6009,APOYO!K:L,2,FALSE),A6009)</f>
        <v>76036</v>
      </c>
      <c r="C6009" t="s">
        <v>1961</v>
      </c>
      <c r="D6009" t="str">
        <f>IFERROR(VLOOKUP(C6009,APOYO!J:K,2,FALSE),C6009)</f>
        <v>ANDALUCÍA</v>
      </c>
      <c r="E6009">
        <v>2021</v>
      </c>
      <c r="H6009">
        <v>208</v>
      </c>
    </row>
    <row r="6010" spans="1:11" hidden="1" x14ac:dyDescent="0.25">
      <c r="A6010" t="str">
        <f>_xlfn.XLOOKUP(C6010, 'Códigos DANE Municipios'!$B$2:$B$1123, 'Códigos DANE Municipios'!$A$2:$A$1123, "No encontrado")</f>
        <v>05034</v>
      </c>
      <c r="B6010" t="str">
        <f>IFERROR(VLOOKUP(D6010,APOYO!K:L,2,FALSE),A6010)</f>
        <v>05034</v>
      </c>
      <c r="C6010" s="8" t="s">
        <v>24</v>
      </c>
      <c r="D6010" t="str">
        <f>IFERROR(VLOOKUP(C6010,APOYO!J:K,2,FALSE),C6010)</f>
        <v>ANDES</v>
      </c>
      <c r="E6010" s="8">
        <v>2021</v>
      </c>
      <c r="F6010" s="8"/>
      <c r="G6010" s="8"/>
      <c r="H6010" s="8">
        <v>75</v>
      </c>
      <c r="I6010" s="8"/>
      <c r="J6010" s="8"/>
      <c r="K6010" s="8"/>
    </row>
    <row r="6011" spans="1:11" hidden="1" x14ac:dyDescent="0.25">
      <c r="A6011" t="str">
        <f>_xlfn.XLOOKUP(C6011, 'Códigos DANE Municipios'!$B$2:$B$1123, 'Códigos DANE Municipios'!$A$2:$A$1123, "No encontrado")</f>
        <v>05036</v>
      </c>
      <c r="B6011" t="str">
        <f>IFERROR(VLOOKUP(D6011,APOYO!K:L,2,FALSE),A6011)</f>
        <v>05036</v>
      </c>
      <c r="C6011" t="s">
        <v>26</v>
      </c>
      <c r="D6011" t="str">
        <f>IFERROR(VLOOKUP(C6011,APOYO!J:K,2,FALSE),C6011)</f>
        <v>ANGELÓPOLIS</v>
      </c>
      <c r="E6011">
        <v>2021</v>
      </c>
      <c r="H6011">
        <v>15</v>
      </c>
    </row>
    <row r="6012" spans="1:11" hidden="1" x14ac:dyDescent="0.25">
      <c r="A6012" t="str">
        <f>_xlfn.XLOOKUP(C6012, 'Códigos DANE Municipios'!$B$2:$B$1123, 'Códigos DANE Municipios'!$A$2:$A$1123, "No encontrado")</f>
        <v>05038</v>
      </c>
      <c r="B6012" t="str">
        <f>IFERROR(VLOOKUP(D6012,APOYO!K:L,2,FALSE),A6012)</f>
        <v>05038</v>
      </c>
      <c r="C6012" s="8" t="s">
        <v>28</v>
      </c>
      <c r="D6012" t="str">
        <f>IFERROR(VLOOKUP(C6012,APOYO!J:K,2,FALSE),C6012)</f>
        <v>ANGOSTURA</v>
      </c>
      <c r="E6012" s="8">
        <v>2021</v>
      </c>
      <c r="F6012" s="8"/>
      <c r="G6012" s="8"/>
      <c r="H6012" s="8">
        <v>10</v>
      </c>
      <c r="I6012" s="8"/>
      <c r="J6012" s="8"/>
      <c r="K6012" s="8"/>
    </row>
    <row r="6013" spans="1:11" hidden="1" x14ac:dyDescent="0.25">
      <c r="A6013" t="str">
        <f>_xlfn.XLOOKUP(C6013, 'Códigos DANE Municipios'!$B$2:$B$1123, 'Códigos DANE Municipios'!$A$2:$A$1123, "No encontrado")</f>
        <v>25040</v>
      </c>
      <c r="B6013" t="str">
        <f>IFERROR(VLOOKUP(D6013,APOYO!K:L,2,FALSE),A6013)</f>
        <v>25040</v>
      </c>
      <c r="C6013" s="8" t="s">
        <v>922</v>
      </c>
      <c r="D6013" t="str">
        <f>IFERROR(VLOOKUP(C6013,APOYO!J:K,2,FALSE),C6013)</f>
        <v>ANOLAIMA</v>
      </c>
      <c r="E6013" s="8">
        <v>2021</v>
      </c>
      <c r="F6013" s="8"/>
      <c r="G6013" s="8"/>
      <c r="H6013" s="8">
        <v>34</v>
      </c>
      <c r="I6013" s="8"/>
      <c r="J6013" s="8"/>
      <c r="K6013" s="8"/>
    </row>
    <row r="6014" spans="1:11" hidden="1" x14ac:dyDescent="0.25">
      <c r="A6014" t="str">
        <f>_xlfn.XLOOKUP(C6014, 'Códigos DANE Municipios'!$B$2:$B$1123, 'Códigos DANE Municipios'!$A$2:$A$1123, "No encontrado")</f>
        <v>05040</v>
      </c>
      <c r="B6014" t="str">
        <f>IFERROR(VLOOKUP(D6014,APOYO!K:L,2,FALSE),A6014)</f>
        <v>05040</v>
      </c>
      <c r="C6014" t="s">
        <v>30</v>
      </c>
      <c r="D6014" t="str">
        <f>IFERROR(VLOOKUP(C6014,APOYO!J:K,2,FALSE),C6014)</f>
        <v>ANORÍ</v>
      </c>
      <c r="E6014">
        <v>2021</v>
      </c>
      <c r="H6014">
        <v>7</v>
      </c>
    </row>
    <row r="6015" spans="1:11" hidden="1" x14ac:dyDescent="0.25">
      <c r="A6015" t="str">
        <f>_xlfn.XLOOKUP(C6015, 'Códigos DANE Municipios'!$B$2:$B$1123, 'Códigos DANE Municipios'!$A$2:$A$1123, "No encontrado")</f>
        <v>17042</v>
      </c>
      <c r="B6015" t="str">
        <f>IFERROR(VLOOKUP(D6015,APOYO!K:L,2,FALSE),A6015)</f>
        <v>17042</v>
      </c>
      <c r="C6015" s="8" t="s">
        <v>648</v>
      </c>
      <c r="D6015" t="str">
        <f>IFERROR(VLOOKUP(C6015,APOYO!J:K,2,FALSE),C6015)</f>
        <v>ANSERMA</v>
      </c>
      <c r="E6015" s="8">
        <v>2021</v>
      </c>
      <c r="F6015" s="8"/>
      <c r="G6015" s="8"/>
      <c r="H6015" s="8">
        <v>159</v>
      </c>
      <c r="I6015" s="8"/>
      <c r="J6015" s="8"/>
      <c r="K6015" s="8"/>
    </row>
    <row r="6016" spans="1:11" hidden="1" x14ac:dyDescent="0.25">
      <c r="A6016" t="str">
        <f>_xlfn.XLOOKUP(C6016, 'Códigos DANE Municipios'!$B$2:$B$1123, 'Códigos DANE Municipios'!$A$2:$A$1123, "No encontrado")</f>
        <v>76041</v>
      </c>
      <c r="B6016" t="str">
        <f>IFERROR(VLOOKUP(D6016,APOYO!K:L,2,FALSE),A6016)</f>
        <v>76041</v>
      </c>
      <c r="C6016" s="8" t="s">
        <v>1963</v>
      </c>
      <c r="D6016" t="str">
        <f>IFERROR(VLOOKUP(C6016,APOYO!J:K,2,FALSE),C6016)</f>
        <v>ANSERMANUEVO</v>
      </c>
      <c r="E6016" s="8">
        <v>2021</v>
      </c>
      <c r="F6016" s="8"/>
      <c r="G6016" s="8"/>
      <c r="H6016" s="8">
        <v>58</v>
      </c>
      <c r="I6016" s="8"/>
      <c r="J6016" s="8"/>
      <c r="K6016" s="8"/>
    </row>
    <row r="6017" spans="1:11" hidden="1" x14ac:dyDescent="0.25">
      <c r="A6017" t="str">
        <f>_xlfn.XLOOKUP(C6017, 'Códigos DANE Municipios'!$B$2:$B$1123, 'Códigos DANE Municipios'!$A$2:$A$1123, "No encontrado")</f>
        <v>05042</v>
      </c>
      <c r="B6017" t="str">
        <f>IFERROR(VLOOKUP(D6017,APOYO!K:L,2,FALSE),A6017)</f>
        <v>05042</v>
      </c>
      <c r="C6017" t="s">
        <v>32</v>
      </c>
      <c r="D6017" t="str">
        <f>IFERROR(VLOOKUP(C6017,APOYO!J:K,2,FALSE),C6017)</f>
        <v>SANTA FÉ DE ANTIOQUIA</v>
      </c>
      <c r="E6017">
        <v>2021</v>
      </c>
      <c r="H6017">
        <v>176</v>
      </c>
    </row>
    <row r="6018" spans="1:11" hidden="1" x14ac:dyDescent="0.25">
      <c r="A6018" t="str">
        <f>_xlfn.XLOOKUP(C6018, 'Códigos DANE Municipios'!$B$2:$B$1123, 'Códigos DANE Municipios'!$A$2:$A$1123, "No encontrado")</f>
        <v>05044</v>
      </c>
      <c r="B6018" t="str">
        <f>IFERROR(VLOOKUP(D6018,APOYO!K:L,2,FALSE),A6018)</f>
        <v>05044</v>
      </c>
      <c r="C6018" t="s">
        <v>34</v>
      </c>
      <c r="D6018" t="str">
        <f>IFERROR(VLOOKUP(C6018,APOYO!J:K,2,FALSE),C6018)</f>
        <v>ANZÁ</v>
      </c>
      <c r="E6018">
        <v>2021</v>
      </c>
      <c r="H6018">
        <v>8</v>
      </c>
    </row>
    <row r="6019" spans="1:11" hidden="1" x14ac:dyDescent="0.25">
      <c r="A6019" t="str">
        <f>_xlfn.XLOOKUP(C6019, 'Códigos DANE Municipios'!$B$2:$B$1123, 'Códigos DANE Municipios'!$A$2:$A$1123, "No encontrado")</f>
        <v>73043</v>
      </c>
      <c r="B6019" t="str">
        <f>IFERROR(VLOOKUP(D6019,APOYO!K:L,2,FALSE),A6019)</f>
        <v>73043</v>
      </c>
      <c r="C6019" t="s">
        <v>1873</v>
      </c>
      <c r="D6019" t="str">
        <f>IFERROR(VLOOKUP(C6019,APOYO!J:K,2,FALSE),C6019)</f>
        <v>ANZOÁTEGUI</v>
      </c>
      <c r="E6019">
        <v>2021</v>
      </c>
      <c r="H6019">
        <v>1</v>
      </c>
    </row>
    <row r="6020" spans="1:11" hidden="1" x14ac:dyDescent="0.25">
      <c r="A6020" t="str">
        <f>_xlfn.XLOOKUP(C6020, 'Códigos DANE Municipios'!$B$2:$B$1123, 'Códigos DANE Municipios'!$A$2:$A$1123, "No encontrado")</f>
        <v>05045</v>
      </c>
      <c r="B6020" t="str">
        <f>IFERROR(VLOOKUP(D6020,APOYO!K:L,2,FALSE),A6020)</f>
        <v>05045</v>
      </c>
      <c r="C6020" t="s">
        <v>36</v>
      </c>
      <c r="D6020" t="str">
        <f>IFERROR(VLOOKUP(C6020,APOYO!J:K,2,FALSE),C6020)</f>
        <v>APARTADÓ</v>
      </c>
      <c r="E6020">
        <v>2021</v>
      </c>
      <c r="H6020">
        <v>204</v>
      </c>
    </row>
    <row r="6021" spans="1:11" hidden="1" x14ac:dyDescent="0.25">
      <c r="A6021" t="str">
        <f>_xlfn.XLOOKUP(C6021, 'Códigos DANE Municipios'!$B$2:$B$1123, 'Códigos DANE Municipios'!$A$2:$A$1123, "No encontrado")</f>
        <v>66045</v>
      </c>
      <c r="B6021" t="str">
        <f>IFERROR(VLOOKUP(D6021,APOYO!K:L,2,FALSE),A6021)</f>
        <v>66045</v>
      </c>
      <c r="C6021" t="s">
        <v>1630</v>
      </c>
      <c r="D6021" t="str">
        <f>IFERROR(VLOOKUP(C6021,APOYO!J:K,2,FALSE),C6021)</f>
        <v>APÍA</v>
      </c>
      <c r="E6021">
        <v>2021</v>
      </c>
      <c r="H6021">
        <v>76</v>
      </c>
    </row>
    <row r="6022" spans="1:11" hidden="1" x14ac:dyDescent="0.25">
      <c r="A6022" t="str">
        <f>_xlfn.XLOOKUP(C6022, 'Códigos DANE Municipios'!$B$2:$B$1123, 'Códigos DANE Municipios'!$A$2:$A$1123, "No encontrado")</f>
        <v>15047</v>
      </c>
      <c r="B6022" t="str">
        <f>IFERROR(VLOOKUP(D6022,APOYO!K:L,2,FALSE),A6022)</f>
        <v>15047</v>
      </c>
      <c r="C6022" s="8" t="s">
        <v>405</v>
      </c>
      <c r="D6022" t="str">
        <f>IFERROR(VLOOKUP(C6022,APOYO!J:K,2,FALSE),C6022)</f>
        <v>AQUITANIA</v>
      </c>
      <c r="E6022" s="8">
        <v>2021</v>
      </c>
      <c r="F6022" s="8"/>
      <c r="G6022" s="8"/>
      <c r="H6022" s="8">
        <v>8</v>
      </c>
      <c r="I6022" s="8"/>
      <c r="J6022" s="8"/>
      <c r="K6022" s="8"/>
    </row>
    <row r="6023" spans="1:11" hidden="1" x14ac:dyDescent="0.25">
      <c r="A6023" t="str">
        <f>_xlfn.XLOOKUP(C6023, 'Códigos DANE Municipios'!$B$2:$B$1123, 'Códigos DANE Municipios'!$A$2:$A$1123, "No encontrado")</f>
        <v>47053</v>
      </c>
      <c r="B6023" t="str">
        <f>IFERROR(VLOOKUP(D6023,APOYO!K:L,2,FALSE),A6023)</f>
        <v>47053</v>
      </c>
      <c r="C6023" s="8" t="s">
        <v>1304</v>
      </c>
      <c r="D6023" t="str">
        <f>IFERROR(VLOOKUP(C6023,APOYO!J:K,2,FALSE),C6023)</f>
        <v>ARACATACA</v>
      </c>
      <c r="E6023" s="8">
        <v>2021</v>
      </c>
      <c r="F6023" s="8"/>
      <c r="G6023" s="8"/>
      <c r="H6023" s="8">
        <v>12</v>
      </c>
      <c r="I6023" s="8"/>
      <c r="J6023" s="8"/>
      <c r="K6023" s="8"/>
    </row>
    <row r="6024" spans="1:11" hidden="1" x14ac:dyDescent="0.25">
      <c r="A6024" t="str">
        <f>_xlfn.XLOOKUP(C6024, 'Códigos DANE Municipios'!$B$2:$B$1123, 'Códigos DANE Municipios'!$A$2:$A$1123, "No encontrado")</f>
        <v>17050</v>
      </c>
      <c r="B6024" t="str">
        <f>IFERROR(VLOOKUP(D6024,APOYO!K:L,2,FALSE),A6024)</f>
        <v>17050</v>
      </c>
      <c r="C6024" s="8" t="s">
        <v>650</v>
      </c>
      <c r="D6024" t="str">
        <f>IFERROR(VLOOKUP(C6024,APOYO!J:K,2,FALSE),C6024)</f>
        <v>ARANZAZU</v>
      </c>
      <c r="E6024" s="8">
        <v>2021</v>
      </c>
      <c r="F6024" s="8"/>
      <c r="G6024" s="8"/>
      <c r="H6024" s="8">
        <v>47</v>
      </c>
      <c r="I6024" s="8"/>
      <c r="J6024" s="8"/>
      <c r="K6024" s="8"/>
    </row>
    <row r="6025" spans="1:11" hidden="1" x14ac:dyDescent="0.25">
      <c r="A6025" t="str">
        <f>_xlfn.XLOOKUP(C6025, 'Códigos DANE Municipios'!$B$2:$B$1123, 'Códigos DANE Municipios'!$A$2:$A$1123, "No encontrado")</f>
        <v>68051</v>
      </c>
      <c r="B6025" t="str">
        <f>IFERROR(VLOOKUP(D6025,APOYO!K:L,2,FALSE),A6025)</f>
        <v>68051</v>
      </c>
      <c r="C6025" s="8" t="s">
        <v>1660</v>
      </c>
      <c r="D6025" t="str">
        <f>IFERROR(VLOOKUP(C6025,APOYO!J:K,2,FALSE),C6025)</f>
        <v>ARATOCA</v>
      </c>
      <c r="E6025" s="8">
        <v>2021</v>
      </c>
      <c r="F6025" s="8"/>
      <c r="G6025" s="8"/>
      <c r="H6025" s="8"/>
      <c r="I6025" s="8"/>
      <c r="J6025" s="8"/>
      <c r="K6025" s="8"/>
    </row>
    <row r="6026" spans="1:11" hidden="1" x14ac:dyDescent="0.25">
      <c r="A6026" t="str">
        <f>_xlfn.XLOOKUP(C6026, 'Códigos DANE Municipios'!$B$2:$B$1123, 'Códigos DANE Municipios'!$A$2:$A$1123, "No encontrado")</f>
        <v>81001</v>
      </c>
      <c r="B6026" t="str">
        <f>IFERROR(VLOOKUP(D6026,APOYO!K:L,2,FALSE),A6026)</f>
        <v>81001</v>
      </c>
      <c r="C6026" s="8" t="s">
        <v>2034</v>
      </c>
      <c r="D6026" t="str">
        <f>IFERROR(VLOOKUP(C6026,APOYO!J:K,2,FALSE),C6026)</f>
        <v>ARAUCA</v>
      </c>
      <c r="E6026" s="8">
        <v>2021</v>
      </c>
      <c r="F6026" s="8">
        <v>68200</v>
      </c>
      <c r="G6026" s="8"/>
      <c r="H6026" s="8">
        <v>447</v>
      </c>
      <c r="I6026" s="8"/>
      <c r="J6026" s="8"/>
      <c r="K6026" s="8"/>
    </row>
    <row r="6027" spans="1:11" hidden="1" x14ac:dyDescent="0.25">
      <c r="A6027" t="str">
        <f>_xlfn.XLOOKUP(C6027, 'Códigos DANE Municipios'!$B$2:$B$1123, 'Códigos DANE Municipios'!$A$2:$A$1123, "No encontrado")</f>
        <v>81065</v>
      </c>
      <c r="B6027" t="str">
        <f>IFERROR(VLOOKUP(D6027,APOYO!K:L,2,FALSE),A6027)</f>
        <v>81065</v>
      </c>
      <c r="C6027" t="s">
        <v>2036</v>
      </c>
      <c r="D6027" t="str">
        <f>IFERROR(VLOOKUP(C6027,APOYO!J:K,2,FALSE),C6027)</f>
        <v>ARAUQUITA</v>
      </c>
      <c r="E6027">
        <v>2021</v>
      </c>
      <c r="F6027">
        <v>1</v>
      </c>
      <c r="H6027">
        <v>20</v>
      </c>
    </row>
    <row r="6028" spans="1:11" hidden="1" x14ac:dyDescent="0.25">
      <c r="A6028" t="str">
        <f>_xlfn.XLOOKUP(C6028, 'Códigos DANE Municipios'!$B$2:$B$1123, 'Códigos DANE Municipios'!$A$2:$A$1123, "No encontrado")</f>
        <v>25053</v>
      </c>
      <c r="B6028" t="str">
        <f>IFERROR(VLOOKUP(D6028,APOYO!K:L,2,FALSE),A6028)</f>
        <v>25053</v>
      </c>
      <c r="C6028" t="s">
        <v>924</v>
      </c>
      <c r="D6028" t="str">
        <f>IFERROR(VLOOKUP(C6028,APOYO!J:K,2,FALSE),C6028)</f>
        <v>ARBELÁEZ</v>
      </c>
      <c r="E6028">
        <v>2021</v>
      </c>
      <c r="H6028">
        <v>34</v>
      </c>
    </row>
    <row r="6029" spans="1:11" hidden="1" x14ac:dyDescent="0.25">
      <c r="A6029" t="str">
        <f>_xlfn.XLOOKUP(C6029, 'Códigos DANE Municipios'!$B$2:$B$1123, 'Códigos DANE Municipios'!$A$2:$A$1123, "No encontrado")</f>
        <v>54051</v>
      </c>
      <c r="B6029" t="str">
        <f>IFERROR(VLOOKUP(D6029,APOYO!K:L,2,FALSE),A6029)</f>
        <v>54051</v>
      </c>
      <c r="C6029" t="s">
        <v>1533</v>
      </c>
      <c r="D6029" t="str">
        <f>IFERROR(VLOOKUP(C6029,APOYO!J:K,2,FALSE),C6029)</f>
        <v>ARBOLEDAS</v>
      </c>
      <c r="E6029">
        <v>2021</v>
      </c>
      <c r="H6029">
        <v>3</v>
      </c>
    </row>
    <row r="6030" spans="1:11" hidden="1" x14ac:dyDescent="0.25">
      <c r="A6030" t="str">
        <f>_xlfn.XLOOKUP(C6030, 'Códigos DANE Municipios'!$B$2:$B$1123, 'Códigos DANE Municipios'!$A$2:$A$1123, "No encontrado")</f>
        <v>54051</v>
      </c>
      <c r="B6030" t="str">
        <f>IFERROR(VLOOKUP(D6030,APOYO!K:L,2,FALSE),A6030)</f>
        <v>54051</v>
      </c>
      <c r="C6030" s="8" t="s">
        <v>1533</v>
      </c>
      <c r="D6030" t="str">
        <f>IFERROR(VLOOKUP(C6030,APOYO!J:K,2,FALSE),C6030)</f>
        <v>ARBOLEDAS</v>
      </c>
      <c r="E6030" s="8">
        <v>2021</v>
      </c>
      <c r="F6030" s="8"/>
      <c r="G6030" s="8"/>
      <c r="H6030" s="8">
        <v>3</v>
      </c>
      <c r="I6030" s="8"/>
      <c r="J6030" s="8"/>
      <c r="K6030" s="8"/>
    </row>
    <row r="6031" spans="1:11" hidden="1" x14ac:dyDescent="0.25">
      <c r="A6031" t="str">
        <f>_xlfn.XLOOKUP(C6031, 'Códigos DANE Municipios'!$B$2:$B$1123, 'Códigos DANE Municipios'!$A$2:$A$1123, "No encontrado")</f>
        <v>05051</v>
      </c>
      <c r="B6031" t="str">
        <f>IFERROR(VLOOKUP(D6031,APOYO!K:L,2,FALSE),A6031)</f>
        <v>05051</v>
      </c>
      <c r="C6031" s="8" t="s">
        <v>38</v>
      </c>
      <c r="D6031" t="str">
        <f>IFERROR(VLOOKUP(C6031,APOYO!J:K,2,FALSE),C6031)</f>
        <v>ARBOLETES</v>
      </c>
      <c r="E6031" s="8">
        <v>2021</v>
      </c>
      <c r="F6031" s="8"/>
      <c r="G6031" s="8"/>
      <c r="H6031" s="8">
        <v>24</v>
      </c>
      <c r="I6031" s="8"/>
      <c r="J6031" s="8"/>
      <c r="K6031" s="8"/>
    </row>
    <row r="6032" spans="1:11" hidden="1" x14ac:dyDescent="0.25">
      <c r="A6032" t="str">
        <f>_xlfn.XLOOKUP(C6032, 'Códigos DANE Municipios'!$B$2:$B$1123, 'Códigos DANE Municipios'!$A$2:$A$1123, "No encontrado")</f>
        <v>15051</v>
      </c>
      <c r="B6032" t="str">
        <f>IFERROR(VLOOKUP(D6032,APOYO!K:L,2,FALSE),A6032)</f>
        <v>15051</v>
      </c>
      <c r="C6032" s="8" t="s">
        <v>407</v>
      </c>
      <c r="D6032" t="str">
        <f>IFERROR(VLOOKUP(C6032,APOYO!J:K,2,FALSE),C6032)</f>
        <v>ARCABUCO</v>
      </c>
      <c r="E6032" s="8">
        <v>2021</v>
      </c>
      <c r="F6032" s="8"/>
      <c r="G6032" s="8"/>
      <c r="H6032" s="8">
        <v>12</v>
      </c>
      <c r="I6032" s="8"/>
      <c r="J6032" s="8"/>
      <c r="K6032" s="8"/>
    </row>
    <row r="6033" spans="1:11" hidden="1" x14ac:dyDescent="0.25">
      <c r="A6033" t="str">
        <f>_xlfn.XLOOKUP(C6033, 'Códigos DANE Municipios'!$B$2:$B$1123, 'Códigos DANE Municipios'!$A$2:$A$1123, "No encontrado")</f>
        <v>05055</v>
      </c>
      <c r="B6033" t="str">
        <f>IFERROR(VLOOKUP(D6033,APOYO!K:L,2,FALSE),A6033)</f>
        <v>05055</v>
      </c>
      <c r="C6033" s="8" t="s">
        <v>40</v>
      </c>
      <c r="D6033" t="str">
        <f>IFERROR(VLOOKUP(C6033,APOYO!J:K,2,FALSE),C6033)</f>
        <v>ARGELIA</v>
      </c>
      <c r="E6033" s="8">
        <v>2021</v>
      </c>
      <c r="F6033" s="8"/>
      <c r="G6033" s="8"/>
      <c r="H6033" s="8">
        <v>20</v>
      </c>
      <c r="I6033" s="8"/>
      <c r="J6033" s="8"/>
      <c r="K6033" s="8"/>
    </row>
    <row r="6034" spans="1:11" hidden="1" x14ac:dyDescent="0.25">
      <c r="A6034" t="str">
        <f>_xlfn.XLOOKUP(C6034, 'Códigos DANE Municipios'!$B$2:$B$1123, 'Códigos DANE Municipios'!$A$2:$A$1123, "No encontrado")</f>
        <v>47058</v>
      </c>
      <c r="B6034" t="str">
        <f>IFERROR(VLOOKUP(D6034,APOYO!K:L,2,FALSE),A6034)</f>
        <v>47058</v>
      </c>
      <c r="C6034" t="s">
        <v>1306</v>
      </c>
      <c r="D6034" t="str">
        <f>IFERROR(VLOOKUP(C6034,APOYO!J:K,2,FALSE),C6034)</f>
        <v>ARIGUANÍ</v>
      </c>
      <c r="E6034">
        <v>2021</v>
      </c>
      <c r="F6034">
        <v>51</v>
      </c>
      <c r="H6034">
        <v>4</v>
      </c>
    </row>
    <row r="6035" spans="1:11" hidden="1" x14ac:dyDescent="0.25">
      <c r="A6035" t="str">
        <f>_xlfn.XLOOKUP(C6035, 'Códigos DANE Municipios'!$B$2:$B$1123, 'Códigos DANE Municipios'!$A$2:$A$1123, "No encontrado")</f>
        <v>13052</v>
      </c>
      <c r="B6035" t="str">
        <f>IFERROR(VLOOKUP(D6035,APOYO!K:L,2,FALSE),A6035)</f>
        <v>13052</v>
      </c>
      <c r="C6035" s="8" t="s">
        <v>317</v>
      </c>
      <c r="D6035" t="str">
        <f>IFERROR(VLOOKUP(C6035,APOYO!J:K,2,FALSE),C6035)</f>
        <v>ARJONA</v>
      </c>
      <c r="E6035" s="8">
        <v>2021</v>
      </c>
      <c r="F6035" s="8"/>
      <c r="G6035" s="8"/>
      <c r="H6035" s="8">
        <v>117</v>
      </c>
      <c r="I6035" s="8"/>
      <c r="J6035" s="8"/>
      <c r="K6035" s="8"/>
    </row>
    <row r="6036" spans="1:11" hidden="1" x14ac:dyDescent="0.25">
      <c r="A6036" t="str">
        <f>_xlfn.XLOOKUP(C6036, 'Códigos DANE Municipios'!$B$2:$B$1123, 'Códigos DANE Municipios'!$A$2:$A$1123, "No encontrado")</f>
        <v>05059</v>
      </c>
      <c r="B6036" t="str">
        <f>IFERROR(VLOOKUP(D6036,APOYO!K:L,2,FALSE),A6036)</f>
        <v>05059</v>
      </c>
      <c r="C6036" s="8" t="s">
        <v>42</v>
      </c>
      <c r="D6036" t="str">
        <f>IFERROR(VLOOKUP(C6036,APOYO!J:K,2,FALSE),C6036)</f>
        <v>ARMENIA</v>
      </c>
      <c r="E6036" s="8">
        <v>2021</v>
      </c>
      <c r="F6036" s="8">
        <v>132544</v>
      </c>
      <c r="G6036" s="8"/>
      <c r="H6036" s="8">
        <v>7513</v>
      </c>
      <c r="I6036" s="8"/>
      <c r="J6036" s="8"/>
      <c r="K6036" s="8"/>
    </row>
    <row r="6037" spans="1:11" hidden="1" x14ac:dyDescent="0.25">
      <c r="A6037" t="str">
        <f>_xlfn.XLOOKUP(C6037, 'Códigos DANE Municipios'!$B$2:$B$1123, 'Códigos DANE Municipios'!$A$2:$A$1123, "No encontrado")</f>
        <v>73055</v>
      </c>
      <c r="B6037" t="str">
        <f>IFERROR(VLOOKUP(D6037,APOYO!K:L,2,FALSE),A6037)</f>
        <v>73055</v>
      </c>
      <c r="C6037" t="s">
        <v>1875</v>
      </c>
      <c r="D6037" t="str">
        <f>IFERROR(VLOOKUP(C6037,APOYO!J:K,2,FALSE),C6037)</f>
        <v>ARMERO GUAYABAL</v>
      </c>
      <c r="E6037">
        <v>2021</v>
      </c>
      <c r="H6037">
        <v>11</v>
      </c>
    </row>
    <row r="6038" spans="1:11" hidden="1" x14ac:dyDescent="0.25">
      <c r="A6038" t="str">
        <f>_xlfn.XLOOKUP(C6038, 'Códigos DANE Municipios'!$B$2:$B$1123, 'Códigos DANE Municipios'!$A$2:$A$1123, "No encontrado")</f>
        <v>20032</v>
      </c>
      <c r="B6038" t="str">
        <f>IFERROR(VLOOKUP(D6038,APOYO!K:L,2,FALSE),A6038)</f>
        <v>20032</v>
      </c>
      <c r="C6038" s="8" t="s">
        <v>814</v>
      </c>
      <c r="D6038" t="str">
        <f>IFERROR(VLOOKUP(C6038,APOYO!J:K,2,FALSE),C6038)</f>
        <v>ASTREA</v>
      </c>
      <c r="E6038" s="8">
        <v>2021</v>
      </c>
      <c r="F6038" s="8"/>
      <c r="G6038" s="8"/>
      <c r="H6038" s="8">
        <v>1</v>
      </c>
      <c r="I6038" s="8"/>
      <c r="J6038" s="8"/>
      <c r="K6038" s="8"/>
    </row>
    <row r="6039" spans="1:11" hidden="1" x14ac:dyDescent="0.25">
      <c r="A6039" t="str">
        <f>_xlfn.XLOOKUP(C6039, 'Códigos DANE Municipios'!$B$2:$B$1123, 'Códigos DANE Municipios'!$A$2:$A$1123, "No encontrado")</f>
        <v>23068</v>
      </c>
      <c r="B6039" t="str">
        <f>IFERROR(VLOOKUP(D6039,APOYO!K:L,2,FALSE),A6039)</f>
        <v>23068</v>
      </c>
      <c r="C6039" s="8" t="s">
        <v>860</v>
      </c>
      <c r="D6039" t="str">
        <f>IFERROR(VLOOKUP(C6039,APOYO!J:K,2,FALSE),C6039)</f>
        <v>AYAPEL</v>
      </c>
      <c r="E6039" s="8">
        <v>2021</v>
      </c>
      <c r="F6039" s="8">
        <v>99</v>
      </c>
      <c r="G6039" s="8"/>
      <c r="H6039" s="8">
        <v>26</v>
      </c>
      <c r="I6039" s="8"/>
      <c r="J6039" s="8"/>
      <c r="K6039" s="8"/>
    </row>
    <row r="6040" spans="1:11" hidden="1" x14ac:dyDescent="0.25">
      <c r="A6040" t="str">
        <f>_xlfn.XLOOKUP(C6040, 'Códigos DANE Municipios'!$B$2:$B$1123, 'Códigos DANE Municipios'!$A$2:$A$1123, "No encontrado")</f>
        <v>27073</v>
      </c>
      <c r="B6040" t="str">
        <f>IFERROR(VLOOKUP(D6040,APOYO!K:L,2,FALSE),A6040)</f>
        <v>27073</v>
      </c>
      <c r="C6040" t="s">
        <v>1150</v>
      </c>
      <c r="D6040" t="str">
        <f>IFERROR(VLOOKUP(C6040,APOYO!J:K,2,FALSE),C6040)</f>
        <v>BAGADÓ</v>
      </c>
      <c r="E6040">
        <v>2021</v>
      </c>
      <c r="H6040">
        <v>3</v>
      </c>
    </row>
    <row r="6041" spans="1:11" hidden="1" x14ac:dyDescent="0.25">
      <c r="A6041" t="str">
        <f>_xlfn.XLOOKUP(C6041, 'Códigos DANE Municipios'!$B$2:$B$1123, 'Códigos DANE Municipios'!$A$2:$A$1123, "No encontrado")</f>
        <v>27075</v>
      </c>
      <c r="B6041" t="str">
        <f>IFERROR(VLOOKUP(D6041,APOYO!K:L,2,FALSE),A6041)</f>
        <v>27075</v>
      </c>
      <c r="C6041" t="s">
        <v>1152</v>
      </c>
      <c r="D6041" t="str">
        <f>IFERROR(VLOOKUP(C6041,APOYO!J:K,2,FALSE),C6041)</f>
        <v>BAHÍA SOLANO</v>
      </c>
      <c r="E6041">
        <v>2021</v>
      </c>
      <c r="F6041">
        <v>36944</v>
      </c>
      <c r="H6041">
        <v>196</v>
      </c>
    </row>
    <row r="6042" spans="1:11" hidden="1" x14ac:dyDescent="0.25">
      <c r="A6042" t="str">
        <f>_xlfn.XLOOKUP(C6042, 'Códigos DANE Municipios'!$B$2:$B$1123, 'Códigos DANE Municipios'!$A$2:$A$1123, "No encontrado")</f>
        <v>27077</v>
      </c>
      <c r="B6042" t="str">
        <f>IFERROR(VLOOKUP(D6042,APOYO!K:L,2,FALSE),A6042)</f>
        <v>27077</v>
      </c>
      <c r="C6042" t="s">
        <v>1154</v>
      </c>
      <c r="D6042" t="str">
        <f>IFERROR(VLOOKUP(C6042,APOYO!J:K,2,FALSE),C6042)</f>
        <v>BAJO BAUDÓ</v>
      </c>
      <c r="E6042">
        <v>2021</v>
      </c>
      <c r="F6042">
        <v>3341</v>
      </c>
      <c r="H6042">
        <v>1</v>
      </c>
    </row>
    <row r="6043" spans="1:11" hidden="1" x14ac:dyDescent="0.25">
      <c r="A6043" t="str">
        <f>_xlfn.XLOOKUP(C6043, 'Códigos DANE Municipios'!$B$2:$B$1123, 'Códigos DANE Municipios'!$A$2:$A$1123, "No encontrado")</f>
        <v>19075</v>
      </c>
      <c r="B6043" t="str">
        <f>IFERROR(VLOOKUP(D6043,APOYO!K:L,2,FALSE),A6043)</f>
        <v>19075</v>
      </c>
      <c r="C6043" s="8" t="s">
        <v>734</v>
      </c>
      <c r="D6043" t="str">
        <f>IFERROR(VLOOKUP(C6043,APOYO!J:K,2,FALSE),C6043)</f>
        <v>BALBOA</v>
      </c>
      <c r="E6043" s="8">
        <v>2021</v>
      </c>
      <c r="F6043" s="8"/>
      <c r="G6043" s="8"/>
      <c r="H6043" s="8">
        <v>35</v>
      </c>
      <c r="I6043" s="8"/>
      <c r="J6043" s="8"/>
      <c r="K6043" s="8"/>
    </row>
    <row r="6044" spans="1:11" hidden="1" x14ac:dyDescent="0.25">
      <c r="A6044" t="str">
        <f>_xlfn.XLOOKUP(C6044, 'Códigos DANE Municipios'!$B$2:$B$1123, 'Códigos DANE Municipios'!$A$2:$A$1123, "No encontrado")</f>
        <v>08078</v>
      </c>
      <c r="B6044" t="str">
        <f>IFERROR(VLOOKUP(D6044,APOYO!K:L,2,FALSE),A6044)</f>
        <v>08078</v>
      </c>
      <c r="C6044" s="8" t="s">
        <v>264</v>
      </c>
      <c r="D6044" t="str">
        <f>IFERROR(VLOOKUP(C6044,APOYO!J:K,2,FALSE),C6044)</f>
        <v>BARANOA</v>
      </c>
      <c r="E6044" s="8">
        <v>2021</v>
      </c>
      <c r="F6044" s="8"/>
      <c r="G6044" s="8"/>
      <c r="H6044" s="8">
        <v>249</v>
      </c>
      <c r="I6044" s="8"/>
      <c r="J6044" s="8"/>
      <c r="K6044" s="8"/>
    </row>
    <row r="6045" spans="1:11" hidden="1" x14ac:dyDescent="0.25">
      <c r="A6045" t="str">
        <f>_xlfn.XLOOKUP(C6045, 'Códigos DANE Municipios'!$B$2:$B$1123, 'Códigos DANE Municipios'!$A$2:$A$1123, "No encontrado")</f>
        <v>41078</v>
      </c>
      <c r="B6045" t="str">
        <f>IFERROR(VLOOKUP(D6045,APOYO!K:L,2,FALSE),A6045)</f>
        <v>41078</v>
      </c>
      <c r="C6045" s="8" t="s">
        <v>1213</v>
      </c>
      <c r="D6045" t="str">
        <f>IFERROR(VLOOKUP(C6045,APOYO!J:K,2,FALSE),C6045)</f>
        <v>BARAYA</v>
      </c>
      <c r="E6045" s="8">
        <v>2021</v>
      </c>
      <c r="F6045" s="8"/>
      <c r="G6045" s="8"/>
      <c r="H6045" s="8"/>
      <c r="I6045" s="8"/>
      <c r="J6045" s="8"/>
      <c r="K6045" s="8"/>
    </row>
    <row r="6046" spans="1:11" hidden="1" x14ac:dyDescent="0.25">
      <c r="A6046" t="str">
        <f>_xlfn.XLOOKUP(C6046, 'Códigos DANE Municipios'!$B$2:$B$1123, 'Códigos DANE Municipios'!$A$2:$A$1123, "No encontrado")</f>
        <v>52079</v>
      </c>
      <c r="B6046" t="str">
        <f>IFERROR(VLOOKUP(D6046,APOYO!K:L,2,FALSE),A6046)</f>
        <v>52079</v>
      </c>
      <c r="C6046" s="8" t="s">
        <v>1421</v>
      </c>
      <c r="D6046" t="str">
        <f>IFERROR(VLOOKUP(C6046,APOYO!J:K,2,FALSE),C6046)</f>
        <v>BARBACOAS</v>
      </c>
      <c r="E6046" s="8">
        <v>2021</v>
      </c>
      <c r="F6046" s="8"/>
      <c r="G6046" s="8"/>
      <c r="H6046" s="8">
        <v>3</v>
      </c>
      <c r="I6046" s="8"/>
      <c r="J6046" s="8"/>
      <c r="K6046" s="8"/>
    </row>
    <row r="6047" spans="1:11" hidden="1" x14ac:dyDescent="0.25">
      <c r="A6047" t="str">
        <f>_xlfn.XLOOKUP(C6047, 'Códigos DANE Municipios'!$B$2:$B$1123, 'Códigos DANE Municipios'!$A$2:$A$1123, "No encontrado")</f>
        <v>05079</v>
      </c>
      <c r="B6047" t="str">
        <f>IFERROR(VLOOKUP(D6047,APOYO!K:L,2,FALSE),A6047)</f>
        <v>05079</v>
      </c>
      <c r="C6047" s="8" t="s">
        <v>44</v>
      </c>
      <c r="D6047" t="str">
        <f>IFERROR(VLOOKUP(C6047,APOYO!J:K,2,FALSE),C6047)</f>
        <v>BARBOSA</v>
      </c>
      <c r="E6047" s="8">
        <v>2021</v>
      </c>
      <c r="F6047" s="8"/>
      <c r="G6047" s="8"/>
      <c r="H6047" s="8">
        <v>409</v>
      </c>
      <c r="I6047" s="8"/>
      <c r="J6047" s="8"/>
      <c r="K6047" s="8"/>
    </row>
    <row r="6048" spans="1:11" hidden="1" x14ac:dyDescent="0.25">
      <c r="A6048" t="str">
        <f>_xlfn.XLOOKUP(C6048, 'Códigos DANE Municipios'!$B$2:$B$1123, 'Códigos DANE Municipios'!$A$2:$A$1123, "No encontrado")</f>
        <v>68079</v>
      </c>
      <c r="B6048" t="str">
        <f>IFERROR(VLOOKUP(D6048,APOYO!K:L,2,FALSE),A6048)</f>
        <v>68079</v>
      </c>
      <c r="C6048" s="8" t="s">
        <v>1663</v>
      </c>
      <c r="D6048" t="str">
        <f>IFERROR(VLOOKUP(C6048,APOYO!J:K,2,FALSE),C6048)</f>
        <v>BARICHARA</v>
      </c>
      <c r="E6048" s="8">
        <v>2021</v>
      </c>
      <c r="F6048" s="8"/>
      <c r="G6048" s="8"/>
      <c r="H6048" s="8">
        <v>197</v>
      </c>
      <c r="I6048" s="8"/>
      <c r="J6048" s="8"/>
      <c r="K6048" s="8"/>
    </row>
    <row r="6049" spans="1:11" hidden="1" x14ac:dyDescent="0.25">
      <c r="A6049" t="str">
        <f>_xlfn.XLOOKUP(C6049, 'Códigos DANE Municipios'!$B$2:$B$1123, 'Códigos DANE Municipios'!$A$2:$A$1123, "No encontrado")</f>
        <v>50110</v>
      </c>
      <c r="B6049" t="str">
        <f>IFERROR(VLOOKUP(D6049,APOYO!K:L,2,FALSE),A6049)</f>
        <v>50110</v>
      </c>
      <c r="C6049" t="s">
        <v>1362</v>
      </c>
      <c r="D6049" t="str">
        <f>IFERROR(VLOOKUP(C6049,APOYO!J:K,2,FALSE),C6049)</f>
        <v>BARRANCA DE UPÍA</v>
      </c>
      <c r="E6049">
        <v>2021</v>
      </c>
      <c r="H6049">
        <v>4</v>
      </c>
    </row>
    <row r="6050" spans="1:11" hidden="1" x14ac:dyDescent="0.25">
      <c r="A6050" t="str">
        <f>_xlfn.XLOOKUP(C6050, 'Códigos DANE Municipios'!$B$2:$B$1123, 'Códigos DANE Municipios'!$A$2:$A$1123, "No encontrado")</f>
        <v>68081</v>
      </c>
      <c r="B6050" t="str">
        <f>IFERROR(VLOOKUP(D6050,APOYO!K:L,2,FALSE),A6050)</f>
        <v>68081</v>
      </c>
      <c r="C6050" s="8" t="s">
        <v>1665</v>
      </c>
      <c r="D6050" t="str">
        <f>IFERROR(VLOOKUP(C6050,APOYO!J:K,2,FALSE),C6050)</f>
        <v>BARRANCABERMEJA</v>
      </c>
      <c r="E6050" s="8">
        <v>2021</v>
      </c>
      <c r="F6050" s="8">
        <v>26497</v>
      </c>
      <c r="G6050" s="8"/>
      <c r="H6050" s="8">
        <v>540</v>
      </c>
      <c r="I6050" s="8"/>
      <c r="J6050" s="8"/>
      <c r="K6050" s="8"/>
    </row>
    <row r="6051" spans="1:11" hidden="1" x14ac:dyDescent="0.25">
      <c r="A6051" t="str">
        <f>_xlfn.XLOOKUP(C6051, 'Códigos DANE Municipios'!$B$2:$B$1123, 'Códigos DANE Municipios'!$A$2:$A$1123, "No encontrado")</f>
        <v>44078</v>
      </c>
      <c r="B6051" t="str">
        <f>IFERROR(VLOOKUP(D6051,APOYO!K:L,2,FALSE),A6051)</f>
        <v>44078</v>
      </c>
      <c r="C6051" s="8" t="s">
        <v>1275</v>
      </c>
      <c r="D6051" t="str">
        <f>IFERROR(VLOOKUP(C6051,APOYO!J:K,2,FALSE),C6051)</f>
        <v>BARRANCAS</v>
      </c>
      <c r="E6051" s="8">
        <v>2021</v>
      </c>
      <c r="F6051" s="8"/>
      <c r="G6051" s="8"/>
      <c r="H6051" s="8">
        <v>18</v>
      </c>
      <c r="I6051" s="8"/>
      <c r="J6051" s="8"/>
      <c r="K6051" s="8"/>
    </row>
    <row r="6052" spans="1:11" hidden="1" x14ac:dyDescent="0.25">
      <c r="A6052" t="str">
        <f>_xlfn.XLOOKUP(C6052, 'Códigos DANE Municipios'!$B$2:$B$1123, 'Códigos DANE Municipios'!$A$2:$A$1123, "No encontrado")</f>
        <v>08001</v>
      </c>
      <c r="B6052" t="str">
        <f>IFERROR(VLOOKUP(D6052,APOYO!K:L,2,FALSE),A6052)</f>
        <v>08001</v>
      </c>
      <c r="C6052" s="8" t="s">
        <v>262</v>
      </c>
      <c r="D6052" t="str">
        <f>IFERROR(VLOOKUP(C6052,APOYO!J:K,2,FALSE),C6052)</f>
        <v>BARRANQUILLA</v>
      </c>
      <c r="E6052" s="8">
        <v>2021</v>
      </c>
      <c r="F6052" s="8">
        <v>909139</v>
      </c>
      <c r="G6052" s="8"/>
      <c r="H6052" s="8">
        <v>43395</v>
      </c>
      <c r="I6052" s="8"/>
      <c r="J6052" s="8"/>
      <c r="K6052" s="8"/>
    </row>
    <row r="6053" spans="1:11" hidden="1" x14ac:dyDescent="0.25">
      <c r="A6053" t="str">
        <f>_xlfn.XLOOKUP(C6053, 'Códigos DANE Municipios'!$B$2:$B$1123, 'Códigos DANE Municipios'!$A$2:$A$1123, "No encontrado")</f>
        <v>17088</v>
      </c>
      <c r="B6053" t="str">
        <f>IFERROR(VLOOKUP(D6053,APOYO!K:L,2,FALSE),A6053)</f>
        <v>17088</v>
      </c>
      <c r="C6053" t="s">
        <v>652</v>
      </c>
      <c r="D6053" t="str">
        <f>IFERROR(VLOOKUP(C6053,APOYO!J:K,2,FALSE),C6053)</f>
        <v>BELALCÁZAR</v>
      </c>
      <c r="E6053">
        <v>2021</v>
      </c>
      <c r="H6053">
        <v>26</v>
      </c>
    </row>
    <row r="6054" spans="1:11" hidden="1" x14ac:dyDescent="0.25">
      <c r="A6054" t="str">
        <f>_xlfn.XLOOKUP(C6054, 'Códigos DANE Municipios'!$B$2:$B$1123, 'Códigos DANE Municipios'!$A$2:$A$1123, "No encontrado")</f>
        <v>15087</v>
      </c>
      <c r="B6054" t="str">
        <f>IFERROR(VLOOKUP(D6054,APOYO!K:L,2,FALSE),A6054)</f>
        <v>15087</v>
      </c>
      <c r="C6054" t="s">
        <v>409</v>
      </c>
      <c r="D6054" t="str">
        <f>IFERROR(VLOOKUP(C6054,APOYO!J:K,2,FALSE),C6054)</f>
        <v>BELÉN</v>
      </c>
      <c r="E6054">
        <v>2021</v>
      </c>
      <c r="H6054">
        <v>11</v>
      </c>
    </row>
    <row r="6055" spans="1:11" hidden="1" x14ac:dyDescent="0.25">
      <c r="A6055" t="str">
        <f>_xlfn.XLOOKUP(C6055, 'Códigos DANE Municipios'!$B$2:$B$1123, 'Códigos DANE Municipios'!$A$2:$A$1123, "No encontrado")</f>
        <v>18094</v>
      </c>
      <c r="B6055" t="str">
        <f>IFERROR(VLOOKUP(D6055,APOYO!K:L,2,FALSE),A6055)</f>
        <v>18094</v>
      </c>
      <c r="C6055" t="s">
        <v>702</v>
      </c>
      <c r="D6055" t="str">
        <f>IFERROR(VLOOKUP(C6055,APOYO!J:K,2,FALSE),C6055)</f>
        <v>BELÉN DE LOS ANDAQUÍES</v>
      </c>
      <c r="E6055">
        <v>2021</v>
      </c>
      <c r="H6055">
        <v>6</v>
      </c>
    </row>
    <row r="6056" spans="1:11" hidden="1" x14ac:dyDescent="0.25">
      <c r="A6056" t="str">
        <f>_xlfn.XLOOKUP(C6056, 'Códigos DANE Municipios'!$B$2:$B$1123, 'Códigos DANE Municipios'!$A$2:$A$1123, "No encontrado")</f>
        <v>66088</v>
      </c>
      <c r="B6056" t="str">
        <f>IFERROR(VLOOKUP(D6056,APOYO!K:L,2,FALSE),A6056)</f>
        <v>66088</v>
      </c>
      <c r="C6056" t="s">
        <v>1633</v>
      </c>
      <c r="D6056" t="str">
        <f>IFERROR(VLOOKUP(C6056,APOYO!J:K,2,FALSE),C6056)</f>
        <v>BELÉN DE UMBRÍA</v>
      </c>
      <c r="E6056">
        <v>2021</v>
      </c>
      <c r="H6056">
        <v>125</v>
      </c>
    </row>
    <row r="6057" spans="1:11" hidden="1" x14ac:dyDescent="0.25">
      <c r="A6057" t="str">
        <f>_xlfn.XLOOKUP(C6057, 'Códigos DANE Municipios'!$B$2:$B$1123, 'Códigos DANE Municipios'!$A$2:$A$1123, "No encontrado")</f>
        <v>05088</v>
      </c>
      <c r="B6057" t="str">
        <f>IFERROR(VLOOKUP(D6057,APOYO!K:L,2,FALSE),A6057)</f>
        <v>05088</v>
      </c>
      <c r="C6057" s="8" t="s">
        <v>48</v>
      </c>
      <c r="D6057" t="str">
        <f>IFERROR(VLOOKUP(C6057,APOYO!J:K,2,FALSE),C6057)</f>
        <v>BELLO</v>
      </c>
      <c r="E6057" s="8">
        <v>2021</v>
      </c>
      <c r="F6057" s="8"/>
      <c r="G6057" s="8"/>
      <c r="H6057" s="8">
        <v>3502</v>
      </c>
      <c r="I6057" s="8"/>
      <c r="J6057" s="8"/>
      <c r="K6057" s="8"/>
    </row>
    <row r="6058" spans="1:11" hidden="1" x14ac:dyDescent="0.25">
      <c r="A6058" t="str">
        <f>_xlfn.XLOOKUP(C6058, 'Códigos DANE Municipios'!$B$2:$B$1123, 'Códigos DANE Municipios'!$A$2:$A$1123, "No encontrado")</f>
        <v>05086</v>
      </c>
      <c r="B6058" t="str">
        <f>IFERROR(VLOOKUP(D6058,APOYO!K:L,2,FALSE),A6058)</f>
        <v>05086</v>
      </c>
      <c r="C6058" s="8" t="s">
        <v>46</v>
      </c>
      <c r="D6058" t="str">
        <f>IFERROR(VLOOKUP(C6058,APOYO!J:K,2,FALSE),C6058)</f>
        <v>BELMIRA</v>
      </c>
      <c r="E6058" s="8">
        <v>2021</v>
      </c>
      <c r="F6058" s="8"/>
      <c r="G6058" s="8"/>
      <c r="H6058" s="8">
        <v>10</v>
      </c>
      <c r="I6058" s="8"/>
      <c r="J6058" s="8"/>
      <c r="K6058" s="8"/>
    </row>
    <row r="6059" spans="1:11" hidden="1" x14ac:dyDescent="0.25">
      <c r="A6059" t="str">
        <f>_xlfn.XLOOKUP(C6059, 'Códigos DANE Municipios'!$B$2:$B$1123, 'Códigos DANE Municipios'!$A$2:$A$1123, "No encontrado")</f>
        <v>25086</v>
      </c>
      <c r="B6059" t="str">
        <f>IFERROR(VLOOKUP(D6059,APOYO!K:L,2,FALSE),A6059)</f>
        <v>25086</v>
      </c>
      <c r="C6059" t="s">
        <v>926</v>
      </c>
      <c r="D6059" t="str">
        <f>IFERROR(VLOOKUP(C6059,APOYO!J:K,2,FALSE),C6059)</f>
        <v>BELTRÁN</v>
      </c>
      <c r="E6059">
        <v>2021</v>
      </c>
      <c r="H6059">
        <v>7</v>
      </c>
    </row>
    <row r="6060" spans="1:11" hidden="1" x14ac:dyDescent="0.25">
      <c r="A6060" t="str">
        <f>_xlfn.XLOOKUP(C6060, 'Códigos DANE Municipios'!$B$2:$B$1123, 'Códigos DANE Municipios'!$A$2:$A$1123, "No encontrado")</f>
        <v>15090</v>
      </c>
      <c r="B6060" t="str">
        <f>IFERROR(VLOOKUP(D6060,APOYO!K:L,2,FALSE),A6060)</f>
        <v>15090</v>
      </c>
      <c r="C6060" s="8" t="s">
        <v>411</v>
      </c>
      <c r="D6060" t="str">
        <f>IFERROR(VLOOKUP(C6060,APOYO!J:K,2,FALSE),C6060)</f>
        <v>BERBEO</v>
      </c>
      <c r="E6060" s="8">
        <v>2021</v>
      </c>
      <c r="F6060" s="8"/>
      <c r="G6060" s="8"/>
      <c r="H6060" s="8">
        <v>5</v>
      </c>
      <c r="I6060" s="8"/>
      <c r="J6060" s="8"/>
      <c r="K6060" s="8"/>
    </row>
    <row r="6061" spans="1:11" hidden="1" x14ac:dyDescent="0.25">
      <c r="A6061" t="str">
        <f>_xlfn.XLOOKUP(C6061, 'Códigos DANE Municipios'!$B$2:$B$1123, 'Códigos DANE Municipios'!$A$2:$A$1123, "No encontrado")</f>
        <v>05091</v>
      </c>
      <c r="B6061" t="str">
        <f>IFERROR(VLOOKUP(D6061,APOYO!K:L,2,FALSE),A6061)</f>
        <v>05091</v>
      </c>
      <c r="C6061" s="8" t="s">
        <v>50</v>
      </c>
      <c r="D6061" t="str">
        <f>IFERROR(VLOOKUP(C6061,APOYO!J:K,2,FALSE),C6061)</f>
        <v>BETANIA</v>
      </c>
      <c r="E6061" s="8">
        <v>2021</v>
      </c>
      <c r="F6061" s="8"/>
      <c r="G6061" s="8"/>
      <c r="H6061" s="8">
        <v>8</v>
      </c>
      <c r="I6061" s="8"/>
      <c r="J6061" s="8"/>
      <c r="K6061" s="8"/>
    </row>
    <row r="6062" spans="1:11" hidden="1" x14ac:dyDescent="0.25">
      <c r="A6062" t="str">
        <f>_xlfn.XLOOKUP(C6062, 'Códigos DANE Municipios'!$B$2:$B$1123, 'Códigos DANE Municipios'!$A$2:$A$1123, "No encontrado")</f>
        <v>05093</v>
      </c>
      <c r="B6062" t="str">
        <f>IFERROR(VLOOKUP(D6062,APOYO!K:L,2,FALSE),A6062)</f>
        <v>05093</v>
      </c>
      <c r="C6062" s="8" t="s">
        <v>52</v>
      </c>
      <c r="D6062" t="str">
        <f>IFERROR(VLOOKUP(C6062,APOYO!J:K,2,FALSE),C6062)</f>
        <v>BETULIA</v>
      </c>
      <c r="E6062" s="8">
        <v>2021</v>
      </c>
      <c r="F6062" s="8"/>
      <c r="G6062" s="8"/>
      <c r="H6062" s="8">
        <v>4</v>
      </c>
      <c r="I6062" s="8"/>
      <c r="J6062" s="8"/>
      <c r="K6062" s="8"/>
    </row>
    <row r="6063" spans="1:11" hidden="1" x14ac:dyDescent="0.25">
      <c r="A6063" t="str">
        <f>_xlfn.XLOOKUP(C6063, 'Códigos DANE Municipios'!$B$2:$B$1123, 'Códigos DANE Municipios'!$A$2:$A$1123, "No encontrado")</f>
        <v>25095</v>
      </c>
      <c r="B6063" t="str">
        <f>IFERROR(VLOOKUP(D6063,APOYO!K:L,2,FALSE),A6063)</f>
        <v>25095</v>
      </c>
      <c r="C6063" s="8" t="s">
        <v>928</v>
      </c>
      <c r="D6063" t="str">
        <f>IFERROR(VLOOKUP(C6063,APOYO!J:K,2,FALSE),C6063)</f>
        <v>BITUIMA</v>
      </c>
      <c r="E6063" s="8">
        <v>2021</v>
      </c>
      <c r="F6063" s="8"/>
      <c r="G6063" s="8"/>
      <c r="H6063" s="8">
        <v>7</v>
      </c>
      <c r="I6063" s="8"/>
      <c r="J6063" s="8"/>
      <c r="K6063" s="8"/>
    </row>
    <row r="6064" spans="1:11" hidden="1" x14ac:dyDescent="0.25">
      <c r="A6064" t="str">
        <f>_xlfn.XLOOKUP(C6064, 'Códigos DANE Municipios'!$B$2:$B$1123, 'Códigos DANE Municipios'!$A$2:$A$1123, "No encontrado")</f>
        <v>15097</v>
      </c>
      <c r="B6064" t="str">
        <f>IFERROR(VLOOKUP(D6064,APOYO!K:L,2,FALSE),A6064)</f>
        <v>15097</v>
      </c>
      <c r="C6064" s="8" t="s">
        <v>415</v>
      </c>
      <c r="D6064" t="str">
        <f>IFERROR(VLOOKUP(C6064,APOYO!J:K,2,FALSE),C6064)</f>
        <v>BOAVITA</v>
      </c>
      <c r="E6064" s="8">
        <v>2021</v>
      </c>
      <c r="F6064" s="8"/>
      <c r="G6064" s="8"/>
      <c r="H6064" s="8">
        <v>3</v>
      </c>
      <c r="I6064" s="8"/>
      <c r="J6064" s="8"/>
      <c r="K6064" s="8"/>
    </row>
    <row r="6065" spans="1:11" hidden="1" x14ac:dyDescent="0.25">
      <c r="A6065" t="str">
        <f>_xlfn.XLOOKUP(C6065, 'Códigos DANE Municipios'!$B$2:$B$1123, 'Códigos DANE Municipios'!$A$2:$A$1123, "No encontrado")</f>
        <v>54099</v>
      </c>
      <c r="B6065" t="str">
        <f>IFERROR(VLOOKUP(D6065,APOYO!K:L,2,FALSE),A6065)</f>
        <v>54099</v>
      </c>
      <c r="C6065" s="8" t="s">
        <v>1535</v>
      </c>
      <c r="D6065" t="str">
        <f>IFERROR(VLOOKUP(C6065,APOYO!J:K,2,FALSE),C6065)</f>
        <v>BOCHALEMA</v>
      </c>
      <c r="E6065" s="8">
        <v>2021</v>
      </c>
      <c r="F6065" s="8"/>
      <c r="G6065" s="8"/>
      <c r="H6065" s="8">
        <v>9</v>
      </c>
      <c r="I6065" s="8"/>
      <c r="J6065" s="8"/>
      <c r="K6065" s="8"/>
    </row>
    <row r="6066" spans="1:11" hidden="1" x14ac:dyDescent="0.25">
      <c r="A6066" t="str">
        <f>_xlfn.XLOOKUP(C6066, 'Códigos DANE Municipios'!$B$2:$B$1123, 'Códigos DANE Municipios'!$A$2:$A$1123, "No encontrado")</f>
        <v>11001</v>
      </c>
      <c r="B6066" t="str">
        <f>IFERROR(VLOOKUP(D6066,APOYO!K:L,2,FALSE),A6066)</f>
        <v>11001</v>
      </c>
      <c r="C6066" t="s">
        <v>307</v>
      </c>
      <c r="D6066" t="str">
        <f>IFERROR(VLOOKUP(C6066,APOYO!J:K,2,FALSE),C6066)</f>
        <v>BOGOTÁ, D.C.</v>
      </c>
      <c r="E6066">
        <v>2021</v>
      </c>
      <c r="F6066">
        <v>7366338</v>
      </c>
      <c r="G6066">
        <v>2101614</v>
      </c>
      <c r="H6066">
        <v>461042</v>
      </c>
      <c r="I6066">
        <v>9857</v>
      </c>
    </row>
    <row r="6067" spans="1:11" hidden="1" x14ac:dyDescent="0.25">
      <c r="A6067" t="str">
        <f>_xlfn.XLOOKUP(C6067, 'Códigos DANE Municipios'!$B$2:$B$1123, 'Códigos DANE Municipios'!$A$2:$A$1123, "No encontrado")</f>
        <v>25099</v>
      </c>
      <c r="B6067" t="str">
        <f>IFERROR(VLOOKUP(D6067,APOYO!K:L,2,FALSE),A6067)</f>
        <v>25099</v>
      </c>
      <c r="C6067" t="s">
        <v>930</v>
      </c>
      <c r="D6067" t="str">
        <f>IFERROR(VLOOKUP(C6067,APOYO!J:K,2,FALSE),C6067)</f>
        <v>BOJACÁ</v>
      </c>
      <c r="E6067">
        <v>2021</v>
      </c>
      <c r="H6067">
        <v>218</v>
      </c>
    </row>
    <row r="6068" spans="1:11" hidden="1" x14ac:dyDescent="0.25">
      <c r="A6068" t="str">
        <f>_xlfn.XLOOKUP(C6068, 'Códigos DANE Municipios'!$B$2:$B$1123, 'Códigos DANE Municipios'!$A$2:$A$1123, "No encontrado")</f>
        <v>19100</v>
      </c>
      <c r="B6068" t="str">
        <f>IFERROR(VLOOKUP(D6068,APOYO!K:L,2,FALSE),A6068)</f>
        <v>19100</v>
      </c>
      <c r="C6068" t="s">
        <v>736</v>
      </c>
      <c r="D6068" t="str">
        <f>IFERROR(VLOOKUP(C6068,APOYO!J:K,2,FALSE),C6068)</f>
        <v>BOLÍVAR</v>
      </c>
      <c r="E6068">
        <v>2021</v>
      </c>
      <c r="H6068">
        <v>178</v>
      </c>
    </row>
    <row r="6069" spans="1:11" hidden="1" x14ac:dyDescent="0.25">
      <c r="A6069" t="str">
        <f>_xlfn.XLOOKUP(C6069, 'Códigos DANE Municipios'!$B$2:$B$1123, 'Códigos DANE Municipios'!$A$2:$A$1123, "No encontrado")</f>
        <v>20060</v>
      </c>
      <c r="B6069" t="str">
        <f>IFERROR(VLOOKUP(D6069,APOYO!K:L,2,FALSE),A6069)</f>
        <v>20060</v>
      </c>
      <c r="C6069" s="8" t="s">
        <v>818</v>
      </c>
      <c r="D6069" t="str">
        <f>IFERROR(VLOOKUP(C6069,APOYO!J:K,2,FALSE),C6069)</f>
        <v>BOSCONIA</v>
      </c>
      <c r="E6069" s="8">
        <v>2021</v>
      </c>
      <c r="F6069" s="8">
        <v>506</v>
      </c>
      <c r="G6069" s="8"/>
      <c r="H6069" s="8">
        <v>91</v>
      </c>
      <c r="I6069" s="8"/>
      <c r="J6069" s="8"/>
      <c r="K6069" s="8"/>
    </row>
    <row r="6070" spans="1:11" hidden="1" x14ac:dyDescent="0.25">
      <c r="A6070" t="str">
        <f>_xlfn.XLOOKUP(C6070, 'Códigos DANE Municipios'!$B$2:$B$1123, 'Códigos DANE Municipios'!$A$2:$A$1123, "No encontrado")</f>
        <v>15104</v>
      </c>
      <c r="B6070" t="str">
        <f>IFERROR(VLOOKUP(D6070,APOYO!K:L,2,FALSE),A6070)</f>
        <v>15104</v>
      </c>
      <c r="C6070" t="s">
        <v>417</v>
      </c>
      <c r="D6070" t="str">
        <f>IFERROR(VLOOKUP(C6070,APOYO!J:K,2,FALSE),C6070)</f>
        <v>BOYACÁ</v>
      </c>
      <c r="E6070">
        <v>2021</v>
      </c>
      <c r="H6070">
        <v>89</v>
      </c>
    </row>
    <row r="6071" spans="1:11" hidden="1" x14ac:dyDescent="0.25">
      <c r="A6071" t="str">
        <f>_xlfn.XLOOKUP(C6071, 'Códigos DANE Municipios'!$B$2:$B$1123, 'Códigos DANE Municipios'!$A$2:$A$1123, "No encontrado")</f>
        <v>05107</v>
      </c>
      <c r="B6071" t="str">
        <f>IFERROR(VLOOKUP(D6071,APOYO!K:L,2,FALSE),A6071)</f>
        <v>05107</v>
      </c>
      <c r="C6071" t="s">
        <v>56</v>
      </c>
      <c r="D6071" t="str">
        <f>IFERROR(VLOOKUP(C6071,APOYO!J:K,2,FALSE),C6071)</f>
        <v>BRICEÑO</v>
      </c>
      <c r="E6071">
        <v>2021</v>
      </c>
      <c r="H6071">
        <v>6</v>
      </c>
    </row>
    <row r="6072" spans="1:11" hidden="1" x14ac:dyDescent="0.25">
      <c r="A6072" t="str">
        <f>_xlfn.XLOOKUP(C6072, 'Códigos DANE Municipios'!$B$2:$B$1123, 'Códigos DANE Municipios'!$A$2:$A$1123, "No encontrado")</f>
        <v>05107</v>
      </c>
      <c r="B6072" t="str">
        <f>IFERROR(VLOOKUP(D6072,APOYO!K:L,2,FALSE),A6072)</f>
        <v>05107</v>
      </c>
      <c r="C6072" s="8" t="s">
        <v>56</v>
      </c>
      <c r="D6072" t="str">
        <f>IFERROR(VLOOKUP(C6072,APOYO!J:K,2,FALSE),C6072)</f>
        <v>BRICEÑO</v>
      </c>
      <c r="E6072" s="8">
        <v>2021</v>
      </c>
      <c r="F6072" s="8"/>
      <c r="G6072" s="8"/>
      <c r="H6072" s="8"/>
      <c r="I6072" s="8"/>
      <c r="J6072" s="8"/>
      <c r="K6072" s="8"/>
    </row>
    <row r="6073" spans="1:11" hidden="1" x14ac:dyDescent="0.25">
      <c r="A6073" t="str">
        <f>_xlfn.XLOOKUP(C6073, 'Códigos DANE Municipios'!$B$2:$B$1123, 'Códigos DANE Municipios'!$A$2:$A$1123, "No encontrado")</f>
        <v>68001</v>
      </c>
      <c r="B6073" t="str">
        <f>IFERROR(VLOOKUP(D6073,APOYO!K:L,2,FALSE),A6073)</f>
        <v>68001</v>
      </c>
      <c r="C6073" s="8" t="s">
        <v>1655</v>
      </c>
      <c r="D6073" t="str">
        <f>IFERROR(VLOOKUP(C6073,APOYO!J:K,2,FALSE),C6073)</f>
        <v>BUCARAMANGA</v>
      </c>
      <c r="E6073" s="8">
        <v>2021</v>
      </c>
      <c r="F6073" s="8">
        <v>595657</v>
      </c>
      <c r="G6073" s="8">
        <v>39661</v>
      </c>
      <c r="H6073" s="8">
        <v>19787</v>
      </c>
      <c r="I6073" s="8"/>
      <c r="J6073" s="8"/>
      <c r="K6073" s="8"/>
    </row>
    <row r="6074" spans="1:11" hidden="1" x14ac:dyDescent="0.25">
      <c r="A6074" t="str">
        <f>_xlfn.XLOOKUP(C6074, 'Códigos DANE Municipios'!$B$2:$B$1123, 'Códigos DANE Municipios'!$A$2:$A$1123, "No encontrado")</f>
        <v>76109</v>
      </c>
      <c r="B6074" t="str">
        <f>IFERROR(VLOOKUP(D6074,APOYO!K:L,2,FALSE),A6074)</f>
        <v>76109</v>
      </c>
      <c r="C6074" s="8" t="s">
        <v>1967</v>
      </c>
      <c r="D6074" t="str">
        <f>IFERROR(VLOOKUP(C6074,APOYO!J:K,2,FALSE),C6074)</f>
        <v>BUENAVENTURA</v>
      </c>
      <c r="E6074" s="8">
        <v>2021</v>
      </c>
      <c r="F6074" s="8">
        <v>3894</v>
      </c>
      <c r="G6074" s="8"/>
      <c r="H6074" s="8">
        <v>791</v>
      </c>
      <c r="I6074" s="8">
        <v>249</v>
      </c>
      <c r="J6074" s="8"/>
      <c r="K6074" s="8"/>
    </row>
    <row r="6075" spans="1:11" hidden="1" x14ac:dyDescent="0.25">
      <c r="A6075" t="str">
        <f>_xlfn.XLOOKUP(C6075, 'Códigos DANE Municipios'!$B$2:$B$1123, 'Códigos DANE Municipios'!$A$2:$A$1123, "No encontrado")</f>
        <v>15109</v>
      </c>
      <c r="B6075" t="str">
        <f>IFERROR(VLOOKUP(D6075,APOYO!K:L,2,FALSE),A6075)</f>
        <v>15109</v>
      </c>
      <c r="C6075" s="8" t="s">
        <v>420</v>
      </c>
      <c r="D6075" t="str">
        <f>IFERROR(VLOOKUP(C6075,APOYO!J:K,2,FALSE),C6075)</f>
        <v>BUENAVISTA</v>
      </c>
      <c r="E6075" s="8">
        <v>2021</v>
      </c>
      <c r="F6075" s="8"/>
      <c r="G6075" s="8"/>
      <c r="H6075" s="8">
        <v>44</v>
      </c>
      <c r="I6075" s="8"/>
      <c r="J6075" s="8"/>
      <c r="K6075" s="8"/>
    </row>
    <row r="6076" spans="1:11" hidden="1" x14ac:dyDescent="0.25">
      <c r="A6076" t="str">
        <f>_xlfn.XLOOKUP(C6076, 'Códigos DANE Municipios'!$B$2:$B$1123, 'Códigos DANE Municipios'!$A$2:$A$1123, "No encontrado")</f>
        <v>19110</v>
      </c>
      <c r="B6076" t="str">
        <f>IFERROR(VLOOKUP(D6076,APOYO!K:L,2,FALSE),A6076)</f>
        <v>19110</v>
      </c>
      <c r="C6076" s="8" t="s">
        <v>738</v>
      </c>
      <c r="D6076" t="str">
        <f>IFERROR(VLOOKUP(C6076,APOYO!J:K,2,FALSE),C6076)</f>
        <v>BUENOS AIRES</v>
      </c>
      <c r="E6076" s="8">
        <v>2021</v>
      </c>
      <c r="F6076" s="8"/>
      <c r="G6076" s="8"/>
      <c r="H6076" s="8">
        <v>17</v>
      </c>
      <c r="I6076" s="8"/>
      <c r="J6076" s="8"/>
      <c r="K6076" s="8"/>
    </row>
    <row r="6077" spans="1:11" hidden="1" x14ac:dyDescent="0.25">
      <c r="A6077" t="str">
        <f>_xlfn.XLOOKUP(C6077, 'Códigos DANE Municipios'!$B$2:$B$1123, 'Códigos DANE Municipios'!$A$2:$A$1123, "No encontrado")</f>
        <v>52110</v>
      </c>
      <c r="B6077" t="str">
        <f>IFERROR(VLOOKUP(D6077,APOYO!K:L,2,FALSE),A6077)</f>
        <v>52110</v>
      </c>
      <c r="C6077" s="8" t="s">
        <v>1424</v>
      </c>
      <c r="D6077" t="str">
        <f>IFERROR(VLOOKUP(C6077,APOYO!J:K,2,FALSE),C6077)</f>
        <v>BUESACO</v>
      </c>
      <c r="E6077" s="8">
        <v>2021</v>
      </c>
      <c r="F6077" s="8"/>
      <c r="G6077" s="8"/>
      <c r="H6077" s="8">
        <v>4</v>
      </c>
      <c r="I6077" s="8"/>
      <c r="J6077" s="8"/>
      <c r="K6077" s="8"/>
    </row>
    <row r="6078" spans="1:11" hidden="1" x14ac:dyDescent="0.25">
      <c r="A6078" t="str">
        <f>_xlfn.XLOOKUP(C6078, 'Códigos DANE Municipios'!$B$2:$B$1123, 'Códigos DANE Municipios'!$A$2:$A$1123, "No encontrado")</f>
        <v>76111</v>
      </c>
      <c r="B6078" t="str">
        <f>IFERROR(VLOOKUP(D6078,APOYO!K:L,2,FALSE),A6078)</f>
        <v>76111</v>
      </c>
      <c r="C6078" t="s">
        <v>1969</v>
      </c>
      <c r="D6078" t="str">
        <f>IFERROR(VLOOKUP(C6078,APOYO!J:K,2,FALSE),C6078)</f>
        <v>GUADALAJARA DE BUGA</v>
      </c>
      <c r="E6078">
        <v>2021</v>
      </c>
      <c r="F6078">
        <v>0</v>
      </c>
      <c r="H6078">
        <v>944</v>
      </c>
    </row>
    <row r="6079" spans="1:11" hidden="1" x14ac:dyDescent="0.25">
      <c r="A6079" t="str">
        <f>_xlfn.XLOOKUP(C6079, 'Códigos DANE Municipios'!$B$2:$B$1123, 'Códigos DANE Municipios'!$A$2:$A$1123, "No encontrado")</f>
        <v>76113</v>
      </c>
      <c r="B6079" t="str">
        <f>IFERROR(VLOOKUP(D6079,APOYO!K:L,2,FALSE),A6079)</f>
        <v>76113</v>
      </c>
      <c r="C6079" s="8" t="s">
        <v>1971</v>
      </c>
      <c r="D6079" t="str">
        <f>IFERROR(VLOOKUP(C6079,APOYO!J:K,2,FALSE),C6079)</f>
        <v>BUGALAGRANDE</v>
      </c>
      <c r="E6079" s="8">
        <v>2021</v>
      </c>
      <c r="F6079" s="8"/>
      <c r="G6079" s="8"/>
      <c r="H6079" s="8">
        <v>520</v>
      </c>
      <c r="I6079" s="8"/>
      <c r="J6079" s="8"/>
      <c r="K6079" s="8"/>
    </row>
    <row r="6080" spans="1:11" hidden="1" x14ac:dyDescent="0.25">
      <c r="A6080" t="str">
        <f>_xlfn.XLOOKUP(C6080, 'Códigos DANE Municipios'!$B$2:$B$1123, 'Códigos DANE Municipios'!$A$2:$A$1123, "No encontrado")</f>
        <v>05113</v>
      </c>
      <c r="B6080" t="str">
        <f>IFERROR(VLOOKUP(D6080,APOYO!K:L,2,FALSE),A6080)</f>
        <v>05113</v>
      </c>
      <c r="C6080" s="8" t="s">
        <v>58</v>
      </c>
      <c r="D6080" t="str">
        <f>IFERROR(VLOOKUP(C6080,APOYO!J:K,2,FALSE),C6080)</f>
        <v>BURITICÁ</v>
      </c>
      <c r="E6080" s="8">
        <v>2021</v>
      </c>
      <c r="F6080" s="8"/>
      <c r="G6080" s="8"/>
      <c r="H6080" s="8">
        <v>52</v>
      </c>
      <c r="I6080" s="8"/>
      <c r="J6080" s="8"/>
      <c r="K6080" s="8"/>
    </row>
    <row r="6081" spans="1:11" hidden="1" x14ac:dyDescent="0.25">
      <c r="A6081" t="str">
        <f>_xlfn.XLOOKUP(C6081, 'Códigos DANE Municipios'!$B$2:$B$1123, 'Códigos DANE Municipios'!$A$2:$A$1123, "No encontrado")</f>
        <v>25120</v>
      </c>
      <c r="B6081" t="str">
        <f>IFERROR(VLOOKUP(D6081,APOYO!K:L,2,FALSE),A6081)</f>
        <v>25120</v>
      </c>
      <c r="C6081" s="8" t="s">
        <v>932</v>
      </c>
      <c r="D6081" t="str">
        <f>IFERROR(VLOOKUP(C6081,APOYO!J:K,2,FALSE),C6081)</f>
        <v>CABRERA</v>
      </c>
      <c r="E6081" s="8">
        <v>2021</v>
      </c>
      <c r="F6081" s="8"/>
      <c r="G6081" s="8"/>
      <c r="H6081" s="8">
        <v>15</v>
      </c>
      <c r="I6081" s="8"/>
      <c r="J6081" s="8"/>
      <c r="K6081" s="8"/>
    </row>
    <row r="6082" spans="1:11" hidden="1" x14ac:dyDescent="0.25">
      <c r="A6082" t="str">
        <f>_xlfn.XLOOKUP(C6082, 'Códigos DANE Municipios'!$B$2:$B$1123, 'Códigos DANE Municipios'!$A$2:$A$1123, "No encontrado")</f>
        <v>50124</v>
      </c>
      <c r="B6082" t="str">
        <f>IFERROR(VLOOKUP(D6082,APOYO!K:L,2,FALSE),A6082)</f>
        <v>50124</v>
      </c>
      <c r="C6082" s="8" t="s">
        <v>1364</v>
      </c>
      <c r="D6082" t="str">
        <f>IFERROR(VLOOKUP(C6082,APOYO!J:K,2,FALSE),C6082)</f>
        <v>CABUYARO</v>
      </c>
      <c r="E6082" s="8">
        <v>2021</v>
      </c>
      <c r="F6082" s="8"/>
      <c r="G6082" s="8"/>
      <c r="H6082" s="8">
        <v>7</v>
      </c>
      <c r="I6082" s="8"/>
      <c r="J6082" s="8"/>
      <c r="K6082" s="8"/>
    </row>
    <row r="6083" spans="1:11" hidden="1" x14ac:dyDescent="0.25">
      <c r="A6083" t="str">
        <f>_xlfn.XLOOKUP(C6083, 'Códigos DANE Municipios'!$B$2:$B$1123, 'Códigos DANE Municipios'!$A$2:$A$1123, "No encontrado")</f>
        <v>05120</v>
      </c>
      <c r="B6083" t="str">
        <f>IFERROR(VLOOKUP(D6083,APOYO!K:L,2,FALSE),A6083)</f>
        <v>05120</v>
      </c>
      <c r="C6083" s="8" t="s">
        <v>60</v>
      </c>
      <c r="D6083" t="str">
        <f>IFERROR(VLOOKUP(C6083,APOYO!J:K,2,FALSE),C6083)</f>
        <v>CÁCERES</v>
      </c>
      <c r="E6083" s="8">
        <v>2021</v>
      </c>
      <c r="F6083" s="8"/>
      <c r="G6083" s="8"/>
      <c r="H6083" s="8">
        <v>5</v>
      </c>
      <c r="I6083" s="8"/>
      <c r="J6083" s="8"/>
      <c r="K6083" s="8"/>
    </row>
    <row r="6084" spans="1:11" hidden="1" x14ac:dyDescent="0.25">
      <c r="A6084" t="str">
        <f>_xlfn.XLOOKUP(C6084, 'Códigos DANE Municipios'!$B$2:$B$1123, 'Códigos DANE Municipios'!$A$2:$A$1123, "No encontrado")</f>
        <v>25123</v>
      </c>
      <c r="B6084" t="str">
        <f>IFERROR(VLOOKUP(D6084,APOYO!K:L,2,FALSE),A6084)</f>
        <v>25123</v>
      </c>
      <c r="C6084" s="8" t="s">
        <v>934</v>
      </c>
      <c r="D6084" t="str">
        <f>IFERROR(VLOOKUP(C6084,APOYO!J:K,2,FALSE),C6084)</f>
        <v>CACHIPAY</v>
      </c>
      <c r="E6084" s="8">
        <v>2021</v>
      </c>
      <c r="F6084" s="8"/>
      <c r="G6084" s="8"/>
      <c r="H6084" s="8">
        <v>5</v>
      </c>
      <c r="I6084" s="8"/>
      <c r="J6084" s="8"/>
      <c r="K6084" s="8"/>
    </row>
    <row r="6085" spans="1:11" hidden="1" x14ac:dyDescent="0.25">
      <c r="A6085" t="str">
        <f>_xlfn.XLOOKUP(C6085, 'Códigos DANE Municipios'!$B$2:$B$1123, 'Códigos DANE Municipios'!$A$2:$A$1123, "No encontrado")</f>
        <v>54128</v>
      </c>
      <c r="B6085" t="str">
        <f>IFERROR(VLOOKUP(D6085,APOYO!K:L,2,FALSE),A6085)</f>
        <v>54128</v>
      </c>
      <c r="C6085" t="s">
        <v>1541</v>
      </c>
      <c r="D6085" t="str">
        <f>IFERROR(VLOOKUP(C6085,APOYO!J:K,2,FALSE),C6085)</f>
        <v>CÁCHIRA</v>
      </c>
      <c r="E6085">
        <v>2021</v>
      </c>
      <c r="H6085">
        <v>2</v>
      </c>
    </row>
    <row r="6086" spans="1:11" hidden="1" x14ac:dyDescent="0.25">
      <c r="A6086" t="str">
        <f>_xlfn.XLOOKUP(C6086, 'Códigos DANE Municipios'!$B$2:$B$1123, 'Códigos DANE Municipios'!$A$2:$A$1123, "No encontrado")</f>
        <v>54125</v>
      </c>
      <c r="B6086" t="str">
        <f>IFERROR(VLOOKUP(D6086,APOYO!K:L,2,FALSE),A6086)</f>
        <v>54125</v>
      </c>
      <c r="C6086" s="8" t="s">
        <v>1539</v>
      </c>
      <c r="D6086" t="str">
        <f>IFERROR(VLOOKUP(C6086,APOYO!J:K,2,FALSE),C6086)</f>
        <v>CÁCOTA</v>
      </c>
      <c r="E6086" s="8">
        <v>2021</v>
      </c>
      <c r="F6086" s="8"/>
      <c r="G6086" s="8"/>
      <c r="H6086" s="8">
        <v>28</v>
      </c>
      <c r="I6086" s="8"/>
      <c r="J6086" s="8"/>
      <c r="K6086" s="8"/>
    </row>
    <row r="6087" spans="1:11" hidden="1" x14ac:dyDescent="0.25">
      <c r="A6087" t="str">
        <f>_xlfn.XLOOKUP(C6087, 'Códigos DANE Municipios'!$B$2:$B$1123, 'Códigos DANE Municipios'!$A$2:$A$1123, "No encontrado")</f>
        <v>05125</v>
      </c>
      <c r="B6087" t="str">
        <f>IFERROR(VLOOKUP(D6087,APOYO!K:L,2,FALSE),A6087)</f>
        <v>05125</v>
      </c>
      <c r="C6087" s="8" t="s">
        <v>62</v>
      </c>
      <c r="D6087" t="str">
        <f>IFERROR(VLOOKUP(C6087,APOYO!J:K,2,FALSE),C6087)</f>
        <v>CAICEDO</v>
      </c>
      <c r="E6087" s="8">
        <v>2021</v>
      </c>
      <c r="F6087" s="8"/>
      <c r="G6087" s="8"/>
      <c r="H6087" s="8">
        <v>26</v>
      </c>
      <c r="I6087" s="8"/>
      <c r="J6087" s="8"/>
      <c r="K6087" s="8"/>
    </row>
    <row r="6088" spans="1:11" hidden="1" x14ac:dyDescent="0.25">
      <c r="A6088" t="str">
        <f>_xlfn.XLOOKUP(C6088, 'Códigos DANE Municipios'!$B$2:$B$1123, 'Códigos DANE Municipios'!$A$2:$A$1123, "No encontrado")</f>
        <v>76122</v>
      </c>
      <c r="B6088" t="str">
        <f>IFERROR(VLOOKUP(D6088,APOYO!K:L,2,FALSE),A6088)</f>
        <v>76122</v>
      </c>
      <c r="C6088" s="8" t="s">
        <v>1973</v>
      </c>
      <c r="D6088" t="str">
        <f>IFERROR(VLOOKUP(C6088,APOYO!J:K,2,FALSE),C6088)</f>
        <v>CAICEDONIA</v>
      </c>
      <c r="E6088" s="8">
        <v>2021</v>
      </c>
      <c r="F6088" s="8"/>
      <c r="G6088" s="8"/>
      <c r="H6088" s="8">
        <v>414</v>
      </c>
      <c r="I6088" s="8"/>
      <c r="J6088" s="8"/>
      <c r="K6088" s="8"/>
    </row>
    <row r="6089" spans="1:11" hidden="1" x14ac:dyDescent="0.25">
      <c r="A6089" t="str">
        <f>_xlfn.XLOOKUP(C6089, 'Códigos DANE Municipios'!$B$2:$B$1123, 'Códigos DANE Municipios'!$A$2:$A$1123, "No encontrado")</f>
        <v>73124</v>
      </c>
      <c r="B6089" t="str">
        <f>IFERROR(VLOOKUP(D6089,APOYO!K:L,2,FALSE),A6089)</f>
        <v>73124</v>
      </c>
      <c r="C6089" s="8" t="s">
        <v>1879</v>
      </c>
      <c r="D6089" t="str">
        <f>IFERROR(VLOOKUP(C6089,APOYO!J:K,2,FALSE),C6089)</f>
        <v>CAJAMARCA</v>
      </c>
      <c r="E6089" s="8">
        <v>2021</v>
      </c>
      <c r="F6089" s="8"/>
      <c r="G6089" s="8"/>
      <c r="H6089" s="8">
        <v>57</v>
      </c>
      <c r="I6089" s="8"/>
      <c r="J6089" s="8"/>
      <c r="K6089" s="8"/>
    </row>
    <row r="6090" spans="1:11" hidden="1" x14ac:dyDescent="0.25">
      <c r="A6090" t="str">
        <f>_xlfn.XLOOKUP(C6090, 'Códigos DANE Municipios'!$B$2:$B$1123, 'Códigos DANE Municipios'!$A$2:$A$1123, "No encontrado")</f>
        <v>19130</v>
      </c>
      <c r="B6090" t="str">
        <f>IFERROR(VLOOKUP(D6090,APOYO!K:L,2,FALSE),A6090)</f>
        <v>19130</v>
      </c>
      <c r="C6090" s="8" t="s">
        <v>740</v>
      </c>
      <c r="D6090" t="str">
        <f>IFERROR(VLOOKUP(C6090,APOYO!J:K,2,FALSE),C6090)</f>
        <v>CAJIBÍO</v>
      </c>
      <c r="E6090" s="8">
        <v>2021</v>
      </c>
      <c r="F6090" s="8"/>
      <c r="G6090" s="8"/>
      <c r="H6090" s="8">
        <v>45</v>
      </c>
      <c r="I6090" s="8"/>
      <c r="J6090" s="8"/>
      <c r="K6090" s="8"/>
    </row>
    <row r="6091" spans="1:11" hidden="1" x14ac:dyDescent="0.25">
      <c r="A6091" t="str">
        <f>_xlfn.XLOOKUP(C6091, 'Códigos DANE Municipios'!$B$2:$B$1123, 'Códigos DANE Municipios'!$A$2:$A$1123, "No encontrado")</f>
        <v>25126</v>
      </c>
      <c r="B6091" t="str">
        <f>IFERROR(VLOOKUP(D6091,APOYO!K:L,2,FALSE),A6091)</f>
        <v>25126</v>
      </c>
      <c r="C6091" s="8" t="s">
        <v>936</v>
      </c>
      <c r="D6091" t="str">
        <f>IFERROR(VLOOKUP(C6091,APOYO!J:K,2,FALSE),C6091)</f>
        <v>CAJICÁ</v>
      </c>
      <c r="E6091" s="8">
        <v>2021</v>
      </c>
      <c r="F6091" s="8"/>
      <c r="G6091" s="8"/>
      <c r="H6091" s="8">
        <v>1568</v>
      </c>
      <c r="I6091" s="8"/>
      <c r="J6091" s="8"/>
      <c r="K6091" s="8"/>
    </row>
    <row r="6092" spans="1:11" hidden="1" x14ac:dyDescent="0.25">
      <c r="A6092" t="str">
        <f>_xlfn.XLOOKUP(C6092, 'Códigos DANE Municipios'!$B$2:$B$1123, 'Códigos DANE Municipios'!$A$2:$A$1123, "No encontrado")</f>
        <v>13140</v>
      </c>
      <c r="B6092" t="str">
        <f>IFERROR(VLOOKUP(D6092,APOYO!K:L,2,FALSE),A6092)</f>
        <v>13140</v>
      </c>
      <c r="C6092" s="8" t="s">
        <v>323</v>
      </c>
      <c r="D6092" t="str">
        <f>IFERROR(VLOOKUP(C6092,APOYO!J:K,2,FALSE),C6092)</f>
        <v>CALAMAR</v>
      </c>
      <c r="E6092" s="8">
        <v>2021</v>
      </c>
      <c r="F6092" s="8"/>
      <c r="G6092" s="8"/>
      <c r="H6092" s="8">
        <v>4</v>
      </c>
      <c r="I6092" s="8"/>
      <c r="J6092" s="8"/>
      <c r="K6092" s="8"/>
    </row>
    <row r="6093" spans="1:11" hidden="1" x14ac:dyDescent="0.25">
      <c r="A6093" t="str">
        <f>_xlfn.XLOOKUP(C6093, 'Códigos DANE Municipios'!$B$2:$B$1123, 'Códigos DANE Municipios'!$A$2:$A$1123, "No encontrado")</f>
        <v>63130</v>
      </c>
      <c r="B6093" t="str">
        <f>IFERROR(VLOOKUP(D6093,APOYO!K:L,2,FALSE),A6093)</f>
        <v>63130</v>
      </c>
      <c r="C6093" s="8" t="s">
        <v>1609</v>
      </c>
      <c r="D6093" t="str">
        <f>IFERROR(VLOOKUP(C6093,APOYO!J:K,2,FALSE),C6093)</f>
        <v>CALARCÁ</v>
      </c>
      <c r="E6093" s="8">
        <v>2021</v>
      </c>
      <c r="F6093" s="8"/>
      <c r="G6093" s="8"/>
      <c r="H6093" s="8">
        <v>509</v>
      </c>
      <c r="I6093" s="8"/>
      <c r="J6093" s="8"/>
      <c r="K6093" s="8"/>
    </row>
    <row r="6094" spans="1:11" hidden="1" x14ac:dyDescent="0.25">
      <c r="A6094" t="str">
        <f>_xlfn.XLOOKUP(C6094, 'Códigos DANE Municipios'!$B$2:$B$1123, 'Códigos DANE Municipios'!$A$2:$A$1123, "No encontrado")</f>
        <v>05129</v>
      </c>
      <c r="B6094" t="str">
        <f>IFERROR(VLOOKUP(D6094,APOYO!K:L,2,FALSE),A6094)</f>
        <v>05129</v>
      </c>
      <c r="C6094" s="8" t="s">
        <v>64</v>
      </c>
      <c r="D6094" t="str">
        <f>IFERROR(VLOOKUP(C6094,APOYO!J:K,2,FALSE),C6094)</f>
        <v>CALDAS</v>
      </c>
      <c r="E6094" s="8">
        <v>2021</v>
      </c>
      <c r="F6094" s="8"/>
      <c r="G6094" s="8"/>
      <c r="H6094" s="8">
        <v>305</v>
      </c>
      <c r="I6094" s="8"/>
      <c r="J6094" s="8"/>
      <c r="K6094" s="8"/>
    </row>
    <row r="6095" spans="1:11" hidden="1" x14ac:dyDescent="0.25">
      <c r="A6095" t="str">
        <f>_xlfn.XLOOKUP(C6095, 'Códigos DANE Municipios'!$B$2:$B$1123, 'Códigos DANE Municipios'!$A$2:$A$1123, "No encontrado")</f>
        <v>19137</v>
      </c>
      <c r="B6095" t="str">
        <f>IFERROR(VLOOKUP(D6095,APOYO!K:L,2,FALSE),A6095)</f>
        <v>19137</v>
      </c>
      <c r="C6095" s="8" t="s">
        <v>742</v>
      </c>
      <c r="D6095" t="str">
        <f>IFERROR(VLOOKUP(C6095,APOYO!J:K,2,FALSE),C6095)</f>
        <v>CALDONO</v>
      </c>
      <c r="E6095" s="8">
        <v>2021</v>
      </c>
      <c r="F6095" s="8"/>
      <c r="G6095" s="8"/>
      <c r="H6095" s="8">
        <v>26</v>
      </c>
      <c r="I6095" s="8"/>
      <c r="J6095" s="8"/>
      <c r="K6095" s="8"/>
    </row>
    <row r="6096" spans="1:11" hidden="1" x14ac:dyDescent="0.25">
      <c r="A6096" t="str">
        <f>_xlfn.XLOOKUP(C6096, 'Códigos DANE Municipios'!$B$2:$B$1123, 'Códigos DANE Municipios'!$A$2:$A$1123, "No encontrado")</f>
        <v>76001</v>
      </c>
      <c r="B6096" t="str">
        <f>IFERROR(VLOOKUP(D6096,APOYO!K:L,2,FALSE),A6096)</f>
        <v>76001</v>
      </c>
      <c r="C6096" s="8" t="s">
        <v>1957</v>
      </c>
      <c r="D6096" t="str">
        <f>IFERROR(VLOOKUP(C6096,APOYO!J:K,2,FALSE),C6096)</f>
        <v>CALI</v>
      </c>
      <c r="E6096" s="8">
        <v>2021</v>
      </c>
      <c r="F6096" s="8">
        <v>2147015</v>
      </c>
      <c r="G6096" s="8">
        <v>390458</v>
      </c>
      <c r="H6096" s="8">
        <v>93944</v>
      </c>
      <c r="I6096" s="8"/>
      <c r="J6096" s="8"/>
      <c r="K6096" s="8"/>
    </row>
    <row r="6097" spans="1:11" hidden="1" x14ac:dyDescent="0.25">
      <c r="A6097" t="str">
        <f>_xlfn.XLOOKUP(C6097, 'Códigos DANE Municipios'!$B$2:$B$1123, 'Códigos DANE Municipios'!$A$2:$A$1123, "No encontrado")</f>
        <v>68132</v>
      </c>
      <c r="B6097" t="str">
        <f>IFERROR(VLOOKUP(D6097,APOYO!K:L,2,FALSE),A6097)</f>
        <v>68132</v>
      </c>
      <c r="C6097" s="8" t="s">
        <v>1670</v>
      </c>
      <c r="D6097" t="str">
        <f>IFERROR(VLOOKUP(C6097,APOYO!J:K,2,FALSE),C6097)</f>
        <v>CALIFORNIA</v>
      </c>
      <c r="E6097" s="8">
        <v>2021</v>
      </c>
      <c r="F6097" s="8"/>
      <c r="G6097" s="8"/>
      <c r="H6097" s="8">
        <v>7</v>
      </c>
      <c r="I6097" s="8"/>
      <c r="J6097" s="8"/>
      <c r="K6097" s="8"/>
    </row>
    <row r="6098" spans="1:11" hidden="1" x14ac:dyDescent="0.25">
      <c r="A6098" t="str">
        <f>_xlfn.XLOOKUP(C6098, 'Códigos DANE Municipios'!$B$2:$B$1123, 'Códigos DANE Municipios'!$A$2:$A$1123, "No encontrado")</f>
        <v>76126</v>
      </c>
      <c r="B6098" t="str">
        <f>IFERROR(VLOOKUP(D6098,APOYO!K:L,2,FALSE),A6098)</f>
        <v>76126</v>
      </c>
      <c r="C6098" t="s">
        <v>1975</v>
      </c>
      <c r="D6098" t="str">
        <f>IFERROR(VLOOKUP(C6098,APOYO!J:K,2,FALSE),C6098)</f>
        <v>CALIMA</v>
      </c>
      <c r="E6098">
        <v>2021</v>
      </c>
      <c r="F6098">
        <v>52</v>
      </c>
      <c r="H6098">
        <v>397</v>
      </c>
    </row>
    <row r="6099" spans="1:11" hidden="1" x14ac:dyDescent="0.25">
      <c r="A6099" t="str">
        <f>_xlfn.XLOOKUP(C6099, 'Códigos DANE Municipios'!$B$2:$B$1123, 'Códigos DANE Municipios'!$A$2:$A$1123, "No encontrado")</f>
        <v>19142</v>
      </c>
      <c r="B6099" t="str">
        <f>IFERROR(VLOOKUP(D6099,APOYO!K:L,2,FALSE),A6099)</f>
        <v>19142</v>
      </c>
      <c r="C6099" s="8" t="s">
        <v>744</v>
      </c>
      <c r="D6099" t="str">
        <f>IFERROR(VLOOKUP(C6099,APOYO!J:K,2,FALSE),C6099)</f>
        <v>CALOTO</v>
      </c>
      <c r="E6099" s="8">
        <v>2021</v>
      </c>
      <c r="F6099" s="8"/>
      <c r="G6099" s="8"/>
      <c r="H6099" s="8">
        <v>70</v>
      </c>
      <c r="I6099" s="8"/>
      <c r="J6099" s="8"/>
      <c r="K6099" s="8"/>
    </row>
    <row r="6100" spans="1:11" hidden="1" x14ac:dyDescent="0.25">
      <c r="A6100" t="str">
        <f>_xlfn.XLOOKUP(C6100, 'Códigos DANE Municipios'!$B$2:$B$1123, 'Códigos DANE Municipios'!$A$2:$A$1123, "No encontrado")</f>
        <v>41132</v>
      </c>
      <c r="B6100" t="str">
        <f>IFERROR(VLOOKUP(D6100,APOYO!K:L,2,FALSE),A6100)</f>
        <v>41132</v>
      </c>
      <c r="C6100" s="8" t="s">
        <v>1215</v>
      </c>
      <c r="D6100" t="str">
        <f>IFERROR(VLOOKUP(C6100,APOYO!J:K,2,FALSE),C6100)</f>
        <v>CAMPOALEGRE</v>
      </c>
      <c r="E6100" s="8">
        <v>2021</v>
      </c>
      <c r="F6100" s="8"/>
      <c r="G6100" s="8"/>
      <c r="H6100" s="8">
        <v>35</v>
      </c>
      <c r="I6100" s="8"/>
      <c r="J6100" s="8"/>
      <c r="K6100" s="8"/>
    </row>
    <row r="6101" spans="1:11" hidden="1" x14ac:dyDescent="0.25">
      <c r="A6101" t="str">
        <f>_xlfn.XLOOKUP(C6101, 'Códigos DANE Municipios'!$B$2:$B$1123, 'Códigos DANE Municipios'!$A$2:$A$1123, "No encontrado")</f>
        <v>08141</v>
      </c>
      <c r="B6101" t="str">
        <f>IFERROR(VLOOKUP(D6101,APOYO!K:L,2,FALSE),A6101)</f>
        <v>08141</v>
      </c>
      <c r="C6101" s="8" t="s">
        <v>268</v>
      </c>
      <c r="D6101" t="str">
        <f>IFERROR(VLOOKUP(C6101,APOYO!J:K,2,FALSE),C6101)</f>
        <v>CANDELARIA</v>
      </c>
      <c r="E6101" s="8">
        <v>2021</v>
      </c>
      <c r="F6101" s="8">
        <v>1182</v>
      </c>
      <c r="G6101" s="8"/>
      <c r="H6101" s="8">
        <v>271</v>
      </c>
      <c r="I6101" s="8"/>
      <c r="J6101" s="8"/>
      <c r="K6101" s="8"/>
    </row>
    <row r="6102" spans="1:11" hidden="1" x14ac:dyDescent="0.25">
      <c r="A6102" t="str">
        <f>_xlfn.XLOOKUP(C6102, 'Códigos DANE Municipios'!$B$2:$B$1123, 'Códigos DANE Municipios'!$A$2:$A$1123, "No encontrado")</f>
        <v>13160</v>
      </c>
      <c r="B6102" t="str">
        <f>IFERROR(VLOOKUP(D6102,APOYO!K:L,2,FALSE),A6102)</f>
        <v>13160</v>
      </c>
      <c r="C6102" s="8" t="s">
        <v>325</v>
      </c>
      <c r="D6102" t="str">
        <f>IFERROR(VLOOKUP(C6102,APOYO!J:K,2,FALSE),C6102)</f>
        <v>CANTAGALLO</v>
      </c>
      <c r="E6102" s="8">
        <v>2021</v>
      </c>
      <c r="F6102" s="8"/>
      <c r="G6102" s="8"/>
      <c r="H6102" s="8">
        <v>42</v>
      </c>
      <c r="I6102" s="8"/>
      <c r="J6102" s="8"/>
      <c r="K6102" s="8"/>
    </row>
    <row r="6103" spans="1:11" hidden="1" x14ac:dyDescent="0.25">
      <c r="A6103" t="str">
        <f>_xlfn.XLOOKUP(C6103, 'Códigos DANE Municipios'!$B$2:$B$1123, 'Códigos DANE Municipios'!$A$2:$A$1123, "No encontrado")</f>
        <v>05138</v>
      </c>
      <c r="B6103" t="str">
        <f>IFERROR(VLOOKUP(D6103,APOYO!K:L,2,FALSE),A6103)</f>
        <v>05138</v>
      </c>
      <c r="C6103" s="8" t="s">
        <v>68</v>
      </c>
      <c r="D6103" t="str">
        <f>IFERROR(VLOOKUP(C6103,APOYO!J:K,2,FALSE),C6103)</f>
        <v>CAÑASGORDAS</v>
      </c>
      <c r="E6103" s="8">
        <v>2021</v>
      </c>
      <c r="F6103" s="8"/>
      <c r="G6103" s="8"/>
      <c r="H6103" s="8">
        <v>12</v>
      </c>
      <c r="I6103" s="8"/>
      <c r="J6103" s="8"/>
      <c r="K6103" s="8"/>
    </row>
    <row r="6104" spans="1:11" hidden="1" x14ac:dyDescent="0.25">
      <c r="A6104" t="str">
        <f>_xlfn.XLOOKUP(C6104, 'Códigos DANE Municipios'!$B$2:$B$1123, 'Códigos DANE Municipios'!$A$2:$A$1123, "No encontrado")</f>
        <v>25148</v>
      </c>
      <c r="B6104" t="str">
        <f>IFERROR(VLOOKUP(D6104,APOYO!K:L,2,FALSE),A6104)</f>
        <v>25148</v>
      </c>
      <c r="C6104" s="8" t="s">
        <v>938</v>
      </c>
      <c r="D6104" t="str">
        <f>IFERROR(VLOOKUP(C6104,APOYO!J:K,2,FALSE),C6104)</f>
        <v>CAPARRAPÍ</v>
      </c>
      <c r="E6104" s="8">
        <v>2021</v>
      </c>
      <c r="F6104" s="8"/>
      <c r="G6104" s="8"/>
      <c r="H6104" s="8">
        <v>8</v>
      </c>
      <c r="I6104" s="8"/>
      <c r="J6104" s="8"/>
      <c r="K6104" s="8"/>
    </row>
    <row r="6105" spans="1:11" hidden="1" x14ac:dyDescent="0.25">
      <c r="A6105" t="str">
        <f>_xlfn.XLOOKUP(C6105, 'Códigos DANE Municipios'!$B$2:$B$1123, 'Códigos DANE Municipios'!$A$2:$A$1123, "No encontrado")</f>
        <v>68147</v>
      </c>
      <c r="B6105" t="str">
        <f>IFERROR(VLOOKUP(D6105,APOYO!K:L,2,FALSE),A6105)</f>
        <v>68147</v>
      </c>
      <c r="C6105" s="8" t="s">
        <v>1672</v>
      </c>
      <c r="D6105" t="str">
        <f>IFERROR(VLOOKUP(C6105,APOYO!J:K,2,FALSE),C6105)</f>
        <v>CAPITANEJO</v>
      </c>
      <c r="E6105" s="8">
        <v>2021</v>
      </c>
      <c r="F6105" s="8"/>
      <c r="G6105" s="8"/>
      <c r="H6105" s="8"/>
      <c r="I6105" s="8"/>
      <c r="J6105" s="8"/>
      <c r="K6105" s="8"/>
    </row>
    <row r="6106" spans="1:11" hidden="1" x14ac:dyDescent="0.25">
      <c r="A6106" t="str">
        <f>_xlfn.XLOOKUP(C6106, 'Códigos DANE Municipios'!$B$2:$B$1123, 'Códigos DANE Municipios'!$A$2:$A$1123, "No encontrado")</f>
        <v>25151</v>
      </c>
      <c r="B6106" t="str">
        <f>IFERROR(VLOOKUP(D6106,APOYO!K:L,2,FALSE),A6106)</f>
        <v>25151</v>
      </c>
      <c r="C6106" s="8" t="s">
        <v>940</v>
      </c>
      <c r="D6106" t="str">
        <f>IFERROR(VLOOKUP(C6106,APOYO!J:K,2,FALSE),C6106)</f>
        <v>CÁQUEZA</v>
      </c>
      <c r="E6106" s="8">
        <v>2021</v>
      </c>
      <c r="F6106" s="8"/>
      <c r="G6106" s="8"/>
      <c r="H6106" s="8">
        <v>47</v>
      </c>
      <c r="I6106" s="8"/>
      <c r="J6106" s="8"/>
      <c r="K6106" s="8"/>
    </row>
    <row r="6107" spans="1:11" hidden="1" x14ac:dyDescent="0.25">
      <c r="A6107" t="str">
        <f>_xlfn.XLOOKUP(C6107, 'Códigos DANE Municipios'!$B$2:$B$1123, 'Códigos DANE Municipios'!$A$2:$A$1123, "No encontrado")</f>
        <v>05142</v>
      </c>
      <c r="B6107" t="str">
        <f>IFERROR(VLOOKUP(D6107,APOYO!K:L,2,FALSE),A6107)</f>
        <v>05142</v>
      </c>
      <c r="C6107" s="8" t="s">
        <v>70</v>
      </c>
      <c r="D6107" t="str">
        <f>IFERROR(VLOOKUP(C6107,APOYO!J:K,2,FALSE),C6107)</f>
        <v>CARACOLÍ</v>
      </c>
      <c r="E6107" s="8">
        <v>2021</v>
      </c>
      <c r="F6107" s="8"/>
      <c r="G6107" s="8"/>
      <c r="H6107" s="8">
        <v>9</v>
      </c>
      <c r="I6107" s="8"/>
      <c r="J6107" s="8"/>
      <c r="K6107" s="8"/>
    </row>
    <row r="6108" spans="1:11" hidden="1" x14ac:dyDescent="0.25">
      <c r="A6108" t="str">
        <f>_xlfn.XLOOKUP(C6108, 'Códigos DANE Municipios'!$B$2:$B$1123, 'Códigos DANE Municipios'!$A$2:$A$1123, "No encontrado")</f>
        <v>05145</v>
      </c>
      <c r="B6108" t="str">
        <f>IFERROR(VLOOKUP(D6108,APOYO!K:L,2,FALSE),A6108)</f>
        <v>05145</v>
      </c>
      <c r="C6108" s="8" t="s">
        <v>72</v>
      </c>
      <c r="D6108" t="str">
        <f>IFERROR(VLOOKUP(C6108,APOYO!J:K,2,FALSE),C6108)</f>
        <v>CARAMANTA</v>
      </c>
      <c r="E6108" s="8">
        <v>2021</v>
      </c>
      <c r="F6108" s="8"/>
      <c r="G6108" s="8"/>
      <c r="H6108" s="8">
        <v>14</v>
      </c>
      <c r="I6108" s="8"/>
      <c r="J6108" s="8"/>
      <c r="K6108" s="8"/>
    </row>
    <row r="6109" spans="1:11" hidden="1" x14ac:dyDescent="0.25">
      <c r="A6109" t="str">
        <f>_xlfn.XLOOKUP(C6109, 'Códigos DANE Municipios'!$B$2:$B$1123, 'Códigos DANE Municipios'!$A$2:$A$1123, "No encontrado")</f>
        <v>05147</v>
      </c>
      <c r="B6109" t="str">
        <f>IFERROR(VLOOKUP(D6109,APOYO!K:L,2,FALSE),A6109)</f>
        <v>05147</v>
      </c>
      <c r="C6109" s="8" t="s">
        <v>74</v>
      </c>
      <c r="D6109" t="str">
        <f>IFERROR(VLOOKUP(C6109,APOYO!J:K,2,FALSE),C6109)</f>
        <v>CAREPA</v>
      </c>
      <c r="E6109" s="8">
        <v>2021</v>
      </c>
      <c r="F6109" s="8">
        <v>110068</v>
      </c>
      <c r="G6109" s="8"/>
      <c r="H6109" s="8">
        <v>65</v>
      </c>
      <c r="I6109" s="8"/>
      <c r="J6109" s="8"/>
      <c r="K6109" s="8"/>
    </row>
    <row r="6110" spans="1:11" hidden="1" x14ac:dyDescent="0.25">
      <c r="A6110" t="str">
        <f>_xlfn.XLOOKUP(C6110, 'Códigos DANE Municipios'!$B$2:$B$1123, 'Códigos DANE Municipios'!$A$2:$A$1123, "No encontrado")</f>
        <v>73148</v>
      </c>
      <c r="B6110" t="str">
        <f>IFERROR(VLOOKUP(D6110,APOYO!K:L,2,FALSE),A6110)</f>
        <v>73148</v>
      </c>
      <c r="C6110" t="s">
        <v>1881</v>
      </c>
      <c r="D6110" t="str">
        <f>IFERROR(VLOOKUP(C6110,APOYO!J:K,2,FALSE),C6110)</f>
        <v>CARMEN DE APICALÁ</v>
      </c>
      <c r="E6110">
        <v>2021</v>
      </c>
      <c r="H6110">
        <v>31</v>
      </c>
    </row>
    <row r="6111" spans="1:11" hidden="1" x14ac:dyDescent="0.25">
      <c r="A6111" t="str">
        <f>_xlfn.XLOOKUP(C6111, 'Códigos DANE Municipios'!$B$2:$B$1123, 'Códigos DANE Municipios'!$A$2:$A$1123, "No encontrado")</f>
        <v>25154</v>
      </c>
      <c r="B6111" t="str">
        <f>IFERROR(VLOOKUP(D6111,APOYO!K:L,2,FALSE),A6111)</f>
        <v>25154</v>
      </c>
      <c r="C6111" s="8" t="s">
        <v>942</v>
      </c>
      <c r="D6111" t="str">
        <f>IFERROR(VLOOKUP(C6111,APOYO!J:K,2,FALSE),C6111)</f>
        <v>CARMEN DE CARUPA</v>
      </c>
      <c r="E6111" s="8">
        <v>2021</v>
      </c>
      <c r="F6111" s="8"/>
      <c r="G6111" s="8"/>
      <c r="H6111" s="8">
        <v>8</v>
      </c>
      <c r="I6111" s="8"/>
      <c r="J6111" s="8"/>
      <c r="K6111" s="8"/>
    </row>
    <row r="6112" spans="1:11" hidden="1" x14ac:dyDescent="0.25">
      <c r="A6112" t="str">
        <f>_xlfn.XLOOKUP(C6112, 'Códigos DANE Municipios'!$B$2:$B$1123, 'Códigos DANE Municipios'!$A$2:$A$1123, "No encontrado")</f>
        <v>05148</v>
      </c>
      <c r="B6112" t="str">
        <f>IFERROR(VLOOKUP(D6112,APOYO!K:L,2,FALSE),A6112)</f>
        <v>05148</v>
      </c>
      <c r="C6112" t="s">
        <v>76</v>
      </c>
      <c r="D6112" t="str">
        <f>IFERROR(VLOOKUP(C6112,APOYO!J:K,2,FALSE),C6112)</f>
        <v>EL CARMEN DE VIBORAL</v>
      </c>
      <c r="E6112">
        <v>2021</v>
      </c>
      <c r="H6112">
        <v>385</v>
      </c>
    </row>
    <row r="6113" spans="1:11" hidden="1" x14ac:dyDescent="0.25">
      <c r="A6113" t="str">
        <f>_xlfn.XLOOKUP(C6113, 'Códigos DANE Municipios'!$B$2:$B$1123, 'Códigos DANE Municipios'!$A$2:$A$1123, "No encontrado")</f>
        <v>05150</v>
      </c>
      <c r="B6113" t="str">
        <f>IFERROR(VLOOKUP(D6113,APOYO!K:L,2,FALSE),A6113)</f>
        <v>05150</v>
      </c>
      <c r="C6113" s="8" t="s">
        <v>78</v>
      </c>
      <c r="D6113" t="str">
        <f>IFERROR(VLOOKUP(C6113,APOYO!J:K,2,FALSE),C6113)</f>
        <v>CAROLINA</v>
      </c>
      <c r="E6113" s="8">
        <v>2021</v>
      </c>
      <c r="F6113" s="8"/>
      <c r="G6113" s="8"/>
      <c r="H6113" s="8">
        <v>11</v>
      </c>
      <c r="I6113" s="8"/>
      <c r="J6113" s="8"/>
      <c r="K6113" s="8"/>
    </row>
    <row r="6114" spans="1:11" hidden="1" x14ac:dyDescent="0.25">
      <c r="A6114" t="str">
        <f>_xlfn.XLOOKUP(C6114, 'Códigos DANE Municipios'!$B$2:$B$1123, 'Códigos DANE Municipios'!$A$2:$A$1123, "No encontrado")</f>
        <v>13001</v>
      </c>
      <c r="B6114" t="str">
        <f>IFERROR(VLOOKUP(D6114,APOYO!K:L,2,FALSE),A6114)</f>
        <v>13001</v>
      </c>
      <c r="C6114" s="8" t="s">
        <v>309</v>
      </c>
      <c r="D6114" t="str">
        <f>IFERROR(VLOOKUP(C6114,APOYO!J:K,2,FALSE),C6114)</f>
        <v>CARTAGENA DE INDIAS</v>
      </c>
      <c r="E6114" s="8">
        <v>2021</v>
      </c>
      <c r="F6114" s="8">
        <v>1928824</v>
      </c>
      <c r="G6114" s="8">
        <v>247132</v>
      </c>
      <c r="H6114" s="8">
        <v>190736</v>
      </c>
      <c r="I6114" s="8">
        <v>530127</v>
      </c>
      <c r="J6114" s="8"/>
      <c r="K6114" s="8"/>
    </row>
    <row r="6115" spans="1:11" hidden="1" x14ac:dyDescent="0.25">
      <c r="A6115" t="str">
        <f>_xlfn.XLOOKUP(C6115, 'Códigos DANE Municipios'!$B$2:$B$1123, 'Códigos DANE Municipios'!$A$2:$A$1123, "No encontrado")</f>
        <v>18150</v>
      </c>
      <c r="B6115" t="str">
        <f>IFERROR(VLOOKUP(D6115,APOYO!K:L,2,FALSE),A6115)</f>
        <v>18150</v>
      </c>
      <c r="C6115" s="8" t="s">
        <v>704</v>
      </c>
      <c r="D6115" t="str">
        <f>IFERROR(VLOOKUP(C6115,APOYO!J:K,2,FALSE),C6115)</f>
        <v>CARTAGENA DEL CHAIRÁ</v>
      </c>
      <c r="E6115" s="8">
        <v>2021</v>
      </c>
      <c r="F6115" s="8"/>
      <c r="G6115" s="8"/>
      <c r="H6115" s="8">
        <v>107</v>
      </c>
      <c r="I6115" s="8"/>
      <c r="J6115" s="8"/>
      <c r="K6115" s="8"/>
    </row>
    <row r="6116" spans="1:11" hidden="1" x14ac:dyDescent="0.25">
      <c r="A6116" t="str">
        <f>_xlfn.XLOOKUP(C6116, 'Códigos DANE Municipios'!$B$2:$B$1123, 'Códigos DANE Municipios'!$A$2:$A$1123, "No encontrado")</f>
        <v>76147</v>
      </c>
      <c r="B6116" t="str">
        <f>IFERROR(VLOOKUP(D6116,APOYO!K:L,2,FALSE),A6116)</f>
        <v>76147</v>
      </c>
      <c r="C6116" s="8" t="s">
        <v>1978</v>
      </c>
      <c r="D6116" t="str">
        <f>IFERROR(VLOOKUP(C6116,APOYO!J:K,2,FALSE),C6116)</f>
        <v>CARTAGO</v>
      </c>
      <c r="E6116" s="8">
        <v>2021</v>
      </c>
      <c r="F6116" s="8">
        <v>4585</v>
      </c>
      <c r="G6116" s="8"/>
      <c r="H6116" s="8">
        <v>1748</v>
      </c>
      <c r="I6116" s="8"/>
      <c r="J6116" s="8"/>
      <c r="K6116" s="8"/>
    </row>
    <row r="6117" spans="1:11" hidden="1" x14ac:dyDescent="0.25">
      <c r="A6117" t="str">
        <f>_xlfn.XLOOKUP(C6117, 'Códigos DANE Municipios'!$B$2:$B$1123, 'Códigos DANE Municipios'!$A$2:$A$1123, "No encontrado")</f>
        <v>97161</v>
      </c>
      <c r="B6117" t="str">
        <f>IFERROR(VLOOKUP(D6117,APOYO!K:L,2,FALSE),A6117)</f>
        <v>97161</v>
      </c>
      <c r="C6117" s="8" t="s">
        <v>2153</v>
      </c>
      <c r="D6117" t="str">
        <f>IFERROR(VLOOKUP(C6117,APOYO!J:K,2,FALSE),C6117)</f>
        <v>CARURÚ</v>
      </c>
      <c r="E6117" s="8">
        <v>2021</v>
      </c>
      <c r="F6117" s="8">
        <v>1380</v>
      </c>
      <c r="G6117" s="8"/>
      <c r="H6117" s="8">
        <v>2</v>
      </c>
      <c r="I6117" s="8"/>
      <c r="J6117" s="8"/>
      <c r="K6117" s="8"/>
    </row>
    <row r="6118" spans="1:11" hidden="1" x14ac:dyDescent="0.25">
      <c r="A6118" t="str">
        <f>_xlfn.XLOOKUP(C6118, 'Códigos DANE Municipios'!$B$2:$B$1123, 'Códigos DANE Municipios'!$A$2:$A$1123, "No encontrado")</f>
        <v>No encontrado</v>
      </c>
      <c r="B6118">
        <f>IFERROR(VLOOKUP(D6118,APOYO!K:L,2,FALSE),A6118)</f>
        <v>68111</v>
      </c>
      <c r="C6118" t="s">
        <v>2457</v>
      </c>
      <c r="D6118" t="str">
        <f>IFERROR(VLOOKUP(C6118,APOYO!J:K,2,FALSE),C6118)</f>
        <v>CASABLANCA</v>
      </c>
      <c r="E6118">
        <v>2021</v>
      </c>
      <c r="H6118">
        <v>2</v>
      </c>
    </row>
    <row r="6119" spans="1:11" hidden="1" x14ac:dyDescent="0.25">
      <c r="A6119" t="str">
        <f>_xlfn.XLOOKUP(C6119, 'Códigos DANE Municipios'!$B$2:$B$1123, 'Códigos DANE Municipios'!$A$2:$A$1123, "No encontrado")</f>
        <v>50150</v>
      </c>
      <c r="B6119" t="str">
        <f>IFERROR(VLOOKUP(D6119,APOYO!K:L,2,FALSE),A6119)</f>
        <v>50150</v>
      </c>
      <c r="C6119" s="8" t="s">
        <v>1366</v>
      </c>
      <c r="D6119" t="str">
        <f>IFERROR(VLOOKUP(C6119,APOYO!J:K,2,FALSE),C6119)</f>
        <v>CASTILLA LA NUEVA</v>
      </c>
      <c r="E6119" s="8">
        <v>2021</v>
      </c>
      <c r="F6119" s="8"/>
      <c r="G6119" s="8"/>
      <c r="H6119" s="8">
        <v>22</v>
      </c>
      <c r="I6119" s="8"/>
      <c r="J6119" s="8"/>
      <c r="K6119" s="8"/>
    </row>
    <row r="6120" spans="1:11" hidden="1" x14ac:dyDescent="0.25">
      <c r="A6120" t="str">
        <f>_xlfn.XLOOKUP(C6120, 'Códigos DANE Municipios'!$B$2:$B$1123, 'Códigos DANE Municipios'!$A$2:$A$1123, "No encontrado")</f>
        <v>05154</v>
      </c>
      <c r="B6120" t="str">
        <f>IFERROR(VLOOKUP(D6120,APOYO!K:L,2,FALSE),A6120)</f>
        <v>05154</v>
      </c>
      <c r="C6120" s="8" t="s">
        <v>80</v>
      </c>
      <c r="D6120" t="str">
        <f>IFERROR(VLOOKUP(C6120,APOYO!J:K,2,FALSE),C6120)</f>
        <v>CAUCASIA</v>
      </c>
      <c r="E6120" s="8">
        <v>2021</v>
      </c>
      <c r="F6120" s="8">
        <v>3719</v>
      </c>
      <c r="G6120" s="8"/>
      <c r="H6120" s="8">
        <v>76</v>
      </c>
      <c r="I6120" s="8"/>
      <c r="J6120" s="8"/>
      <c r="K6120" s="8"/>
    </row>
    <row r="6121" spans="1:11" hidden="1" x14ac:dyDescent="0.25">
      <c r="A6121" t="str">
        <f>_xlfn.XLOOKUP(C6121, 'Códigos DANE Municipios'!$B$2:$B$1123, 'Códigos DANE Municipios'!$A$2:$A$1123, "No encontrado")</f>
        <v>68160</v>
      </c>
      <c r="B6121" t="str">
        <f>IFERROR(VLOOKUP(D6121,APOYO!K:L,2,FALSE),A6121)</f>
        <v>68160</v>
      </c>
      <c r="C6121" s="8" t="s">
        <v>1676</v>
      </c>
      <c r="D6121" t="str">
        <f>IFERROR(VLOOKUP(C6121,APOYO!J:K,2,FALSE),C6121)</f>
        <v>CEPITÁ</v>
      </c>
      <c r="E6121" s="8">
        <v>2021</v>
      </c>
      <c r="F6121" s="8"/>
      <c r="G6121" s="8"/>
      <c r="H6121" s="8"/>
      <c r="I6121" s="8"/>
      <c r="J6121" s="8"/>
      <c r="K6121" s="8"/>
    </row>
    <row r="6122" spans="1:11" hidden="1" x14ac:dyDescent="0.25">
      <c r="A6122" t="str">
        <f>_xlfn.XLOOKUP(C6122, 'Códigos DANE Municipios'!$B$2:$B$1123, 'Códigos DANE Municipios'!$A$2:$A$1123, "No encontrado")</f>
        <v>23162</v>
      </c>
      <c r="B6122" t="str">
        <f>IFERROR(VLOOKUP(D6122,APOYO!K:L,2,FALSE),A6122)</f>
        <v>23162</v>
      </c>
      <c r="C6122" s="8" t="s">
        <v>865</v>
      </c>
      <c r="D6122" t="str">
        <f>IFERROR(VLOOKUP(C6122,APOYO!J:K,2,FALSE),C6122)</f>
        <v>CERETÉ</v>
      </c>
      <c r="E6122" s="8">
        <v>2021</v>
      </c>
      <c r="F6122" s="8"/>
      <c r="G6122" s="8"/>
      <c r="H6122" s="8">
        <v>66</v>
      </c>
      <c r="I6122" s="8"/>
      <c r="J6122" s="8"/>
      <c r="K6122" s="8"/>
    </row>
    <row r="6123" spans="1:11" hidden="1" x14ac:dyDescent="0.25">
      <c r="A6123" t="str">
        <f>_xlfn.XLOOKUP(C6123, 'Códigos DANE Municipios'!$B$2:$B$1123, 'Códigos DANE Municipios'!$A$2:$A$1123, "No encontrado")</f>
        <v>68162</v>
      </c>
      <c r="B6123" t="str">
        <f>IFERROR(VLOOKUP(D6123,APOYO!K:L,2,FALSE),A6123)</f>
        <v>68162</v>
      </c>
      <c r="C6123" s="8" t="s">
        <v>1678</v>
      </c>
      <c r="D6123" t="str">
        <f>IFERROR(VLOOKUP(C6123,APOYO!J:K,2,FALSE),C6123)</f>
        <v>CERRITO</v>
      </c>
      <c r="E6123" s="8">
        <v>2021</v>
      </c>
      <c r="F6123" s="8"/>
      <c r="G6123" s="8"/>
      <c r="H6123" s="8">
        <v>3</v>
      </c>
      <c r="I6123" s="8"/>
      <c r="J6123" s="8"/>
      <c r="K6123" s="8"/>
    </row>
    <row r="6124" spans="1:11" hidden="1" x14ac:dyDescent="0.25">
      <c r="A6124" t="str">
        <f>_xlfn.XLOOKUP(C6124, 'Códigos DANE Municipios'!$B$2:$B$1123, 'Códigos DANE Municipios'!$A$2:$A$1123, "No encontrado")</f>
        <v>52240</v>
      </c>
      <c r="B6124" t="str">
        <f>IFERROR(VLOOKUP(D6124,APOYO!K:L,2,FALSE),A6124)</f>
        <v>52240</v>
      </c>
      <c r="C6124" s="8" t="s">
        <v>1439</v>
      </c>
      <c r="D6124" t="str">
        <f>IFERROR(VLOOKUP(C6124,APOYO!J:K,2,FALSE),C6124)</f>
        <v>CHACHAGÜÍ</v>
      </c>
      <c r="E6124" s="8">
        <v>2021</v>
      </c>
      <c r="F6124" s="8"/>
      <c r="G6124" s="8"/>
      <c r="H6124" s="8">
        <v>7</v>
      </c>
      <c r="I6124" s="8"/>
      <c r="J6124" s="8"/>
      <c r="K6124" s="8"/>
    </row>
    <row r="6125" spans="1:11" hidden="1" x14ac:dyDescent="0.25">
      <c r="A6125" t="str">
        <f>_xlfn.XLOOKUP(C6125, 'Códigos DANE Municipios'!$B$2:$B$1123, 'Códigos DANE Municipios'!$A$2:$A$1123, "No encontrado")</f>
        <v>25168</v>
      </c>
      <c r="B6125" t="str">
        <f>IFERROR(VLOOKUP(D6125,APOYO!K:L,2,FALSE),A6125)</f>
        <v>25168</v>
      </c>
      <c r="C6125" s="8" t="s">
        <v>944</v>
      </c>
      <c r="D6125" t="str">
        <f>IFERROR(VLOOKUP(C6125,APOYO!J:K,2,FALSE),C6125)</f>
        <v>CHAGUANÍ</v>
      </c>
      <c r="E6125" s="8">
        <v>2021</v>
      </c>
      <c r="F6125" s="8"/>
      <c r="G6125" s="8"/>
      <c r="H6125" s="8">
        <v>6</v>
      </c>
      <c r="I6125" s="8"/>
      <c r="J6125" s="8"/>
      <c r="K6125" s="8"/>
    </row>
    <row r="6126" spans="1:11" hidden="1" x14ac:dyDescent="0.25">
      <c r="A6126" t="str">
        <f>_xlfn.XLOOKUP(C6126, 'Códigos DANE Municipios'!$B$2:$B$1123, 'Códigos DANE Municipios'!$A$2:$A$1123, "No encontrado")</f>
        <v>85015</v>
      </c>
      <c r="B6126" t="str">
        <f>IFERROR(VLOOKUP(D6126,APOYO!K:L,2,FALSE),A6126)</f>
        <v>85015</v>
      </c>
      <c r="C6126" t="s">
        <v>2052</v>
      </c>
      <c r="D6126" t="str">
        <f>IFERROR(VLOOKUP(C6126,APOYO!J:K,2,FALSE),C6126)</f>
        <v>CHÁMEZA</v>
      </c>
      <c r="E6126">
        <v>2021</v>
      </c>
      <c r="H6126">
        <v>2</v>
      </c>
    </row>
    <row r="6127" spans="1:11" hidden="1" x14ac:dyDescent="0.25">
      <c r="A6127" t="str">
        <f>_xlfn.XLOOKUP(C6127, 'Códigos DANE Municipios'!$B$2:$B$1123, 'Códigos DANE Municipios'!$A$2:$A$1123, "No encontrado")</f>
        <v>73168</v>
      </c>
      <c r="B6127" t="str">
        <f>IFERROR(VLOOKUP(D6127,APOYO!K:L,2,FALSE),A6127)</f>
        <v>73168</v>
      </c>
      <c r="C6127" s="8" t="s">
        <v>1885</v>
      </c>
      <c r="D6127" t="str">
        <f>IFERROR(VLOOKUP(C6127,APOYO!J:K,2,FALSE),C6127)</f>
        <v>CHAPARRAL</v>
      </c>
      <c r="E6127" s="8">
        <v>2021</v>
      </c>
      <c r="F6127" s="8">
        <v>4</v>
      </c>
      <c r="G6127" s="8"/>
      <c r="H6127" s="8">
        <v>17</v>
      </c>
      <c r="I6127" s="8"/>
      <c r="J6127" s="8"/>
      <c r="K6127" s="8"/>
    </row>
    <row r="6128" spans="1:11" hidden="1" x14ac:dyDescent="0.25">
      <c r="A6128" t="str">
        <f>_xlfn.XLOOKUP(C6128, 'Códigos DANE Municipios'!$B$2:$B$1123, 'Códigos DANE Municipios'!$A$2:$A$1123, "No encontrado")</f>
        <v>68167</v>
      </c>
      <c r="B6128" t="str">
        <f>IFERROR(VLOOKUP(D6128,APOYO!K:L,2,FALSE),A6128)</f>
        <v>68167</v>
      </c>
      <c r="C6128" s="8" t="s">
        <v>1680</v>
      </c>
      <c r="D6128" t="str">
        <f>IFERROR(VLOOKUP(C6128,APOYO!J:K,2,FALSE),C6128)</f>
        <v>CHARALÁ</v>
      </c>
      <c r="E6128" s="8">
        <v>2021</v>
      </c>
      <c r="F6128" s="8"/>
      <c r="G6128" s="8"/>
      <c r="H6128" s="8">
        <v>22</v>
      </c>
      <c r="I6128" s="8">
        <v>0</v>
      </c>
      <c r="J6128" s="8"/>
      <c r="K6128" s="8"/>
    </row>
    <row r="6129" spans="1:11" hidden="1" x14ac:dyDescent="0.25">
      <c r="A6129" t="str">
        <f>_xlfn.XLOOKUP(C6129, 'Códigos DANE Municipios'!$B$2:$B$1123, 'Códigos DANE Municipios'!$A$2:$A$1123, "No encontrado")</f>
        <v>25175</v>
      </c>
      <c r="B6129" t="str">
        <f>IFERROR(VLOOKUP(D6129,APOYO!K:L,2,FALSE),A6129)</f>
        <v>25175</v>
      </c>
      <c r="C6129" s="8" t="s">
        <v>946</v>
      </c>
      <c r="D6129" t="str">
        <f>IFERROR(VLOOKUP(C6129,APOYO!J:K,2,FALSE),C6129)</f>
        <v>CHÍA</v>
      </c>
      <c r="E6129" s="8">
        <v>2021</v>
      </c>
      <c r="F6129" s="8">
        <v>1401</v>
      </c>
      <c r="G6129" s="8"/>
      <c r="H6129" s="8">
        <v>3349</v>
      </c>
      <c r="I6129" s="8"/>
      <c r="J6129" s="8"/>
      <c r="K6129" s="8"/>
    </row>
    <row r="6130" spans="1:11" hidden="1" x14ac:dyDescent="0.25">
      <c r="A6130" t="str">
        <f>_xlfn.XLOOKUP(C6130, 'Códigos DANE Municipios'!$B$2:$B$1123, 'Códigos DANE Municipios'!$A$2:$A$1123, "No encontrado")</f>
        <v>05172</v>
      </c>
      <c r="B6130" t="str">
        <f>IFERROR(VLOOKUP(D6130,APOYO!K:L,2,FALSE),A6130)</f>
        <v>05172</v>
      </c>
      <c r="C6130" t="s">
        <v>82</v>
      </c>
      <c r="D6130" t="str">
        <f>IFERROR(VLOOKUP(C6130,APOYO!J:K,2,FALSE),C6130)</f>
        <v>CHIGORODÓ</v>
      </c>
      <c r="E6130">
        <v>2021</v>
      </c>
      <c r="H6130">
        <v>36</v>
      </c>
    </row>
    <row r="6131" spans="1:11" hidden="1" x14ac:dyDescent="0.25">
      <c r="A6131" t="str">
        <f>_xlfn.XLOOKUP(C6131, 'Códigos DANE Municipios'!$B$2:$B$1123, 'Códigos DANE Municipios'!$A$2:$A$1123, "No encontrado")</f>
        <v>20175</v>
      </c>
      <c r="B6131" t="str">
        <f>IFERROR(VLOOKUP(D6131,APOYO!K:L,2,FALSE),A6131)</f>
        <v>20175</v>
      </c>
      <c r="C6131" s="8" t="s">
        <v>820</v>
      </c>
      <c r="D6131" t="str">
        <f>IFERROR(VLOOKUP(C6131,APOYO!J:K,2,FALSE),C6131)</f>
        <v>CHIMICHAGUA</v>
      </c>
      <c r="E6131" s="8">
        <v>2021</v>
      </c>
      <c r="F6131" s="8"/>
      <c r="G6131" s="8"/>
      <c r="H6131" s="8">
        <v>9</v>
      </c>
      <c r="I6131" s="8"/>
      <c r="J6131" s="8"/>
      <c r="K6131" s="8"/>
    </row>
    <row r="6132" spans="1:11" hidden="1" x14ac:dyDescent="0.25">
      <c r="A6132" t="str">
        <f>_xlfn.XLOOKUP(C6132, 'Códigos DANE Municipios'!$B$2:$B$1123, 'Códigos DANE Municipios'!$A$2:$A$1123, "No encontrado")</f>
        <v>54172</v>
      </c>
      <c r="B6132" t="str">
        <f>IFERROR(VLOOKUP(D6132,APOYO!K:L,2,FALSE),A6132)</f>
        <v>54172</v>
      </c>
      <c r="C6132" s="8" t="s">
        <v>1543</v>
      </c>
      <c r="D6132" t="str">
        <f>IFERROR(VLOOKUP(C6132,APOYO!J:K,2,FALSE),C6132)</f>
        <v>CHINÁCOTA</v>
      </c>
      <c r="E6132" s="8">
        <v>2021</v>
      </c>
      <c r="F6132" s="8"/>
      <c r="G6132" s="8"/>
      <c r="H6132" s="8">
        <v>63</v>
      </c>
      <c r="I6132" s="8"/>
      <c r="J6132" s="8"/>
      <c r="K6132" s="8"/>
    </row>
    <row r="6133" spans="1:11" hidden="1" x14ac:dyDescent="0.25">
      <c r="A6133" t="str">
        <f>_xlfn.XLOOKUP(C6133, 'Códigos DANE Municipios'!$B$2:$B$1123, 'Códigos DANE Municipios'!$A$2:$A$1123, "No encontrado")</f>
        <v>15172</v>
      </c>
      <c r="B6133" t="str">
        <f>IFERROR(VLOOKUP(D6133,APOYO!K:L,2,FALSE),A6133)</f>
        <v>15172</v>
      </c>
      <c r="C6133" t="s">
        <v>429</v>
      </c>
      <c r="D6133" t="str">
        <f>IFERROR(VLOOKUP(C6133,APOYO!J:K,2,FALSE),C6133)</f>
        <v>CHINAVITA</v>
      </c>
      <c r="E6133">
        <v>2021</v>
      </c>
      <c r="H6133">
        <v>7</v>
      </c>
    </row>
    <row r="6134" spans="1:11" hidden="1" x14ac:dyDescent="0.25">
      <c r="A6134" t="str">
        <f>_xlfn.XLOOKUP(C6134, 'Códigos DANE Municipios'!$B$2:$B$1123, 'Códigos DANE Municipios'!$A$2:$A$1123, "No encontrado")</f>
        <v>17174</v>
      </c>
      <c r="B6134" t="str">
        <f>IFERROR(VLOOKUP(D6134,APOYO!K:L,2,FALSE),A6134)</f>
        <v>17174</v>
      </c>
      <c r="C6134" s="8" t="s">
        <v>654</v>
      </c>
      <c r="D6134" t="str">
        <f>IFERROR(VLOOKUP(C6134,APOYO!J:K,2,FALSE),C6134)</f>
        <v>CHINCHINÁ</v>
      </c>
      <c r="E6134" s="8">
        <v>2021</v>
      </c>
      <c r="F6134" s="8"/>
      <c r="G6134" s="8"/>
      <c r="H6134" s="8">
        <v>275</v>
      </c>
      <c r="I6134" s="8"/>
      <c r="J6134" s="8"/>
      <c r="K6134" s="8"/>
    </row>
    <row r="6135" spans="1:11" hidden="1" x14ac:dyDescent="0.25">
      <c r="A6135" t="str">
        <f>_xlfn.XLOOKUP(C6135, 'Códigos DANE Municipios'!$B$2:$B$1123, 'Códigos DANE Municipios'!$A$2:$A$1123, "No encontrado")</f>
        <v>23182</v>
      </c>
      <c r="B6135" t="str">
        <f>IFERROR(VLOOKUP(D6135,APOYO!K:L,2,FALSE),A6135)</f>
        <v>23182</v>
      </c>
      <c r="C6135" s="8" t="s">
        <v>869</v>
      </c>
      <c r="D6135" t="str">
        <f>IFERROR(VLOOKUP(C6135,APOYO!J:K,2,FALSE),C6135)</f>
        <v>CHINÚ</v>
      </c>
      <c r="E6135" s="8">
        <v>2021</v>
      </c>
      <c r="F6135" s="8"/>
      <c r="G6135" s="8"/>
      <c r="H6135" s="8">
        <v>29</v>
      </c>
      <c r="I6135" s="8"/>
      <c r="J6135" s="8"/>
      <c r="K6135" s="8"/>
    </row>
    <row r="6136" spans="1:11" hidden="1" x14ac:dyDescent="0.25">
      <c r="A6136" t="str">
        <f>_xlfn.XLOOKUP(C6136, 'Códigos DANE Municipios'!$B$2:$B$1123, 'Códigos DANE Municipios'!$A$2:$A$1123, "No encontrado")</f>
        <v>25178</v>
      </c>
      <c r="B6136" t="str">
        <f>IFERROR(VLOOKUP(D6136,APOYO!K:L,2,FALSE),A6136)</f>
        <v>25178</v>
      </c>
      <c r="C6136" s="8" t="s">
        <v>948</v>
      </c>
      <c r="D6136" t="str">
        <f>IFERROR(VLOOKUP(C6136,APOYO!J:K,2,FALSE),C6136)</f>
        <v>CHIPAQUE</v>
      </c>
      <c r="E6136" s="8">
        <v>2021</v>
      </c>
      <c r="F6136" s="8"/>
      <c r="G6136" s="8"/>
      <c r="H6136" s="8">
        <v>36</v>
      </c>
      <c r="I6136" s="8"/>
      <c r="J6136" s="8"/>
      <c r="K6136" s="8"/>
    </row>
    <row r="6137" spans="1:11" hidden="1" x14ac:dyDescent="0.25">
      <c r="A6137" t="str">
        <f>_xlfn.XLOOKUP(C6137, 'Códigos DANE Municipios'!$B$2:$B$1123, 'Códigos DANE Municipios'!$A$2:$A$1123, "No encontrado")</f>
        <v>68179</v>
      </c>
      <c r="B6137" t="str">
        <f>IFERROR(VLOOKUP(D6137,APOYO!K:L,2,FALSE),A6137)</f>
        <v>68179</v>
      </c>
      <c r="C6137" t="s">
        <v>1686</v>
      </c>
      <c r="D6137" t="str">
        <f>IFERROR(VLOOKUP(C6137,APOYO!J:K,2,FALSE),C6137)</f>
        <v>CHIPATÁ</v>
      </c>
      <c r="E6137">
        <v>2021</v>
      </c>
      <c r="H6137">
        <v>1</v>
      </c>
    </row>
    <row r="6138" spans="1:11" hidden="1" x14ac:dyDescent="0.25">
      <c r="A6138" t="str">
        <f>_xlfn.XLOOKUP(C6138, 'Códigos DANE Municipios'!$B$2:$B$1123, 'Códigos DANE Municipios'!$A$2:$A$1123, "No encontrado")</f>
        <v>15176</v>
      </c>
      <c r="B6138" t="str">
        <f>IFERROR(VLOOKUP(D6138,APOYO!K:L,2,FALSE),A6138)</f>
        <v>15176</v>
      </c>
      <c r="C6138" s="8" t="s">
        <v>431</v>
      </c>
      <c r="D6138" t="str">
        <f>IFERROR(VLOOKUP(C6138,APOYO!J:K,2,FALSE),C6138)</f>
        <v>CHIQUINQUIRÁ</v>
      </c>
      <c r="E6138" s="8">
        <v>2021</v>
      </c>
      <c r="F6138" s="8"/>
      <c r="G6138" s="8"/>
      <c r="H6138" s="8">
        <v>84</v>
      </c>
      <c r="I6138" s="8"/>
      <c r="J6138" s="8"/>
      <c r="K6138" s="8"/>
    </row>
    <row r="6139" spans="1:11" hidden="1" x14ac:dyDescent="0.25">
      <c r="A6139" t="str">
        <f>_xlfn.XLOOKUP(C6139, 'Códigos DANE Municipios'!$B$2:$B$1123, 'Códigos DANE Municipios'!$A$2:$A$1123, "No encontrado")</f>
        <v>20178</v>
      </c>
      <c r="B6139" t="str">
        <f>IFERROR(VLOOKUP(D6139,APOYO!K:L,2,FALSE),A6139)</f>
        <v>20178</v>
      </c>
      <c r="C6139" s="8" t="s">
        <v>822</v>
      </c>
      <c r="D6139" t="str">
        <f>IFERROR(VLOOKUP(C6139,APOYO!J:K,2,FALSE),C6139)</f>
        <v>CHIRIGUANÁ</v>
      </c>
      <c r="E6139" s="8">
        <v>2021</v>
      </c>
      <c r="F6139" s="8">
        <v>27</v>
      </c>
      <c r="G6139" s="8"/>
      <c r="H6139" s="8">
        <v>11</v>
      </c>
      <c r="I6139" s="8"/>
      <c r="J6139" s="8"/>
      <c r="K6139" s="8"/>
    </row>
    <row r="6140" spans="1:11" hidden="1" x14ac:dyDescent="0.25">
      <c r="A6140" t="str">
        <f>_xlfn.XLOOKUP(C6140, 'Códigos DANE Municipios'!$B$2:$B$1123, 'Códigos DANE Municipios'!$A$2:$A$1123, "No encontrado")</f>
        <v>15185</v>
      </c>
      <c r="B6140" t="str">
        <f>IFERROR(VLOOKUP(D6140,APOYO!K:L,2,FALSE),A6140)</f>
        <v>15185</v>
      </c>
      <c r="C6140" t="s">
        <v>437</v>
      </c>
      <c r="D6140" t="str">
        <f>IFERROR(VLOOKUP(C6140,APOYO!J:K,2,FALSE),C6140)</f>
        <v>CHITARAQUE</v>
      </c>
      <c r="E6140">
        <v>2021</v>
      </c>
      <c r="H6140">
        <v>1</v>
      </c>
    </row>
    <row r="6141" spans="1:11" hidden="1" x14ac:dyDescent="0.25">
      <c r="A6141" t="str">
        <f>_xlfn.XLOOKUP(C6141, 'Códigos DANE Municipios'!$B$2:$B$1123, 'Códigos DANE Municipios'!$A$2:$A$1123, "No encontrado")</f>
        <v>15180</v>
      </c>
      <c r="B6141" t="str">
        <f>IFERROR(VLOOKUP(D6141,APOYO!K:L,2,FALSE),A6141)</f>
        <v>15180</v>
      </c>
      <c r="C6141" s="8" t="s">
        <v>433</v>
      </c>
      <c r="D6141" t="str">
        <f>IFERROR(VLOOKUP(C6141,APOYO!J:K,2,FALSE),C6141)</f>
        <v>CHISCAS</v>
      </c>
      <c r="E6141" s="8">
        <v>2021</v>
      </c>
      <c r="F6141" s="8"/>
      <c r="G6141" s="8"/>
      <c r="H6141" s="8"/>
      <c r="I6141" s="8"/>
      <c r="J6141" s="8"/>
      <c r="K6141" s="8"/>
    </row>
    <row r="6142" spans="1:11" hidden="1" x14ac:dyDescent="0.25">
      <c r="A6142" t="str">
        <f>_xlfn.XLOOKUP(C6142, 'Códigos DANE Municipios'!$B$2:$B$1123, 'Códigos DANE Municipios'!$A$2:$A$1123, "No encontrado")</f>
        <v>54174</v>
      </c>
      <c r="B6142" t="str">
        <f>IFERROR(VLOOKUP(D6142,APOYO!K:L,2,FALSE),A6142)</f>
        <v>54174</v>
      </c>
      <c r="C6142" s="8" t="s">
        <v>1545</v>
      </c>
      <c r="D6142" t="str">
        <f>IFERROR(VLOOKUP(C6142,APOYO!J:K,2,FALSE),C6142)</f>
        <v>CHITAGÁ</v>
      </c>
      <c r="E6142" s="8">
        <v>2021</v>
      </c>
      <c r="F6142" s="8"/>
      <c r="G6142" s="8"/>
      <c r="H6142" s="8"/>
      <c r="I6142" s="8"/>
      <c r="J6142" s="8"/>
      <c r="K6142" s="8"/>
    </row>
    <row r="6143" spans="1:11" hidden="1" x14ac:dyDescent="0.25">
      <c r="A6143" t="str">
        <f>_xlfn.XLOOKUP(C6143, 'Códigos DANE Municipios'!$B$2:$B$1123, 'Códigos DANE Municipios'!$A$2:$A$1123, "No encontrado")</f>
        <v>15236</v>
      </c>
      <c r="B6143" t="str">
        <f>IFERROR(VLOOKUP(D6143,APOYO!K:L,2,FALSE),A6143)</f>
        <v>15236</v>
      </c>
      <c r="C6143" s="8" t="s">
        <v>459</v>
      </c>
      <c r="D6143" t="str">
        <f>IFERROR(VLOOKUP(C6143,APOYO!J:K,2,FALSE),C6143)</f>
        <v>CHIVOR</v>
      </c>
      <c r="E6143" s="8">
        <v>2021</v>
      </c>
      <c r="F6143" s="8"/>
      <c r="G6143" s="8"/>
      <c r="H6143" s="8"/>
      <c r="I6143" s="8"/>
      <c r="J6143" s="8"/>
      <c r="K6143" s="8"/>
    </row>
    <row r="6144" spans="1:11" hidden="1" x14ac:dyDescent="0.25">
      <c r="A6144" t="str">
        <f>_xlfn.XLOOKUP(C6144, 'Códigos DANE Municipios'!$B$2:$B$1123, 'Códigos DANE Municipios'!$A$2:$A$1123, "No encontrado")</f>
        <v>25181</v>
      </c>
      <c r="B6144" t="str">
        <f>IFERROR(VLOOKUP(D6144,APOYO!K:L,2,FALSE),A6144)</f>
        <v>25181</v>
      </c>
      <c r="C6144" t="s">
        <v>950</v>
      </c>
      <c r="D6144" t="str">
        <f>IFERROR(VLOOKUP(C6144,APOYO!J:K,2,FALSE),C6144)</f>
        <v>CHOACHÍ</v>
      </c>
      <c r="E6144">
        <v>2021</v>
      </c>
      <c r="H6144">
        <v>88</v>
      </c>
    </row>
    <row r="6145" spans="1:11" hidden="1" x14ac:dyDescent="0.25">
      <c r="A6145" t="str">
        <f>_xlfn.XLOOKUP(C6145, 'Códigos DANE Municipios'!$B$2:$B$1123, 'Códigos DANE Municipios'!$A$2:$A$1123, "No encontrado")</f>
        <v>25183</v>
      </c>
      <c r="B6145" t="str">
        <f>IFERROR(VLOOKUP(D6145,APOYO!K:L,2,FALSE),A6145)</f>
        <v>25183</v>
      </c>
      <c r="C6145" s="8" t="s">
        <v>952</v>
      </c>
      <c r="D6145" t="str">
        <f>IFERROR(VLOOKUP(C6145,APOYO!J:K,2,FALSE),C6145)</f>
        <v>CHOCONTÁ</v>
      </c>
      <c r="E6145" s="8">
        <v>2021</v>
      </c>
      <c r="F6145" s="8"/>
      <c r="G6145" s="8"/>
      <c r="H6145" s="8">
        <v>31</v>
      </c>
      <c r="I6145" s="8"/>
      <c r="J6145" s="8"/>
      <c r="K6145" s="8"/>
    </row>
    <row r="6146" spans="1:11" hidden="1" x14ac:dyDescent="0.25">
      <c r="A6146" t="str">
        <f>_xlfn.XLOOKUP(C6146, 'Códigos DANE Municipios'!$B$2:$B$1123, 'Códigos DANE Municipios'!$A$2:$A$1123, "No encontrado")</f>
        <v>47189</v>
      </c>
      <c r="B6146" t="str">
        <f>IFERROR(VLOOKUP(D6146,APOYO!K:L,2,FALSE),A6146)</f>
        <v>47189</v>
      </c>
      <c r="C6146" s="8" t="s">
        <v>1312</v>
      </c>
      <c r="D6146" t="str">
        <f>IFERROR(VLOOKUP(C6146,APOYO!J:K,2,FALSE),C6146)</f>
        <v>CIÉNAGA</v>
      </c>
      <c r="E6146" s="8">
        <v>2021</v>
      </c>
      <c r="F6146" s="8">
        <v>68</v>
      </c>
      <c r="G6146" s="8"/>
      <c r="H6146" s="8">
        <v>124</v>
      </c>
      <c r="I6146" s="8"/>
      <c r="J6146" s="8"/>
      <c r="K6146" s="8"/>
    </row>
    <row r="6147" spans="1:11" hidden="1" x14ac:dyDescent="0.25">
      <c r="A6147" t="str">
        <f>_xlfn.XLOOKUP(C6147, 'Códigos DANE Municipios'!$B$2:$B$1123, 'Códigos DANE Municipios'!$A$2:$A$1123, "No encontrado")</f>
        <v>23189</v>
      </c>
      <c r="B6147" t="str">
        <f>IFERROR(VLOOKUP(D6147,APOYO!K:L,2,FALSE),A6147)</f>
        <v>23189</v>
      </c>
      <c r="C6147" s="8" t="s">
        <v>871</v>
      </c>
      <c r="D6147" t="str">
        <f>IFERROR(VLOOKUP(C6147,APOYO!J:K,2,FALSE),C6147)</f>
        <v>CIÉNAGA DE ORO</v>
      </c>
      <c r="E6147" s="8">
        <v>2021</v>
      </c>
      <c r="F6147" s="8"/>
      <c r="G6147" s="8"/>
      <c r="H6147" s="8">
        <v>13</v>
      </c>
      <c r="I6147" s="8"/>
      <c r="J6147" s="8"/>
      <c r="K6147" s="8"/>
    </row>
    <row r="6148" spans="1:11" hidden="1" x14ac:dyDescent="0.25">
      <c r="A6148" t="str">
        <f>_xlfn.XLOOKUP(C6148, 'Códigos DANE Municipios'!$B$2:$B$1123, 'Códigos DANE Municipios'!$A$2:$A$1123, "No encontrado")</f>
        <v>68190</v>
      </c>
      <c r="B6148" t="str">
        <f>IFERROR(VLOOKUP(D6148,APOYO!K:L,2,FALSE),A6148)</f>
        <v>68190</v>
      </c>
      <c r="C6148" s="8" t="s">
        <v>1688</v>
      </c>
      <c r="D6148" t="str">
        <f>IFERROR(VLOOKUP(C6148,APOYO!J:K,2,FALSE),C6148)</f>
        <v>CIMITARRA</v>
      </c>
      <c r="E6148" s="8">
        <v>2021</v>
      </c>
      <c r="F6148" s="8">
        <v>29</v>
      </c>
      <c r="G6148" s="8"/>
      <c r="H6148" s="8">
        <v>9</v>
      </c>
      <c r="I6148" s="8"/>
      <c r="J6148" s="8"/>
      <c r="K6148" s="8"/>
    </row>
    <row r="6149" spans="1:11" hidden="1" x14ac:dyDescent="0.25">
      <c r="A6149" t="str">
        <f>_xlfn.XLOOKUP(C6149, 'Códigos DANE Municipios'!$B$2:$B$1123, 'Códigos DANE Municipios'!$A$2:$A$1123, "No encontrado")</f>
        <v>63190</v>
      </c>
      <c r="B6149" t="str">
        <f>IFERROR(VLOOKUP(D6149,APOYO!K:L,2,FALSE),A6149)</f>
        <v>63190</v>
      </c>
      <c r="C6149" s="8" t="s">
        <v>1611</v>
      </c>
      <c r="D6149" t="str">
        <f>IFERROR(VLOOKUP(C6149,APOYO!J:K,2,FALSE),C6149)</f>
        <v>CIRCASIA</v>
      </c>
      <c r="E6149" s="8">
        <v>2021</v>
      </c>
      <c r="F6149" s="8"/>
      <c r="G6149" s="8"/>
      <c r="H6149" s="8">
        <v>322</v>
      </c>
      <c r="I6149" s="8"/>
      <c r="J6149" s="8"/>
      <c r="K6149" s="8"/>
    </row>
    <row r="6150" spans="1:11" hidden="1" x14ac:dyDescent="0.25">
      <c r="A6150" t="str">
        <f>_xlfn.XLOOKUP(C6150, 'Códigos DANE Municipios'!$B$2:$B$1123, 'Códigos DANE Municipios'!$A$2:$A$1123, "No encontrado")</f>
        <v>05190</v>
      </c>
      <c r="B6150" t="str">
        <f>IFERROR(VLOOKUP(D6150,APOYO!K:L,2,FALSE),A6150)</f>
        <v>05190</v>
      </c>
      <c r="C6150" s="8" t="s">
        <v>84</v>
      </c>
      <c r="D6150" t="str">
        <f>IFERROR(VLOOKUP(C6150,APOYO!J:K,2,FALSE),C6150)</f>
        <v>CISNEROS</v>
      </c>
      <c r="E6150" s="8">
        <v>2021</v>
      </c>
      <c r="F6150" s="8"/>
      <c r="G6150" s="8"/>
      <c r="H6150" s="8">
        <v>34</v>
      </c>
      <c r="I6150" s="8"/>
      <c r="J6150" s="8"/>
      <c r="K6150" s="8"/>
    </row>
    <row r="6151" spans="1:11" hidden="1" x14ac:dyDescent="0.25">
      <c r="A6151" t="str">
        <f>_xlfn.XLOOKUP(C6151, 'Códigos DANE Municipios'!$B$2:$B$1123, 'Códigos DANE Municipios'!$A$2:$A$1123, "No encontrado")</f>
        <v>05197</v>
      </c>
      <c r="B6151" t="str">
        <f>IFERROR(VLOOKUP(D6151,APOYO!K:L,2,FALSE),A6151)</f>
        <v>05197</v>
      </c>
      <c r="C6151" s="8" t="s">
        <v>86</v>
      </c>
      <c r="D6151" t="str">
        <f>IFERROR(VLOOKUP(C6151,APOYO!J:K,2,FALSE),C6151)</f>
        <v>COCORNÁ</v>
      </c>
      <c r="E6151" s="8">
        <v>2021</v>
      </c>
      <c r="F6151" s="8"/>
      <c r="G6151" s="8"/>
      <c r="H6151" s="8">
        <v>58</v>
      </c>
      <c r="I6151" s="8"/>
      <c r="J6151" s="8"/>
      <c r="K6151" s="8"/>
    </row>
    <row r="6152" spans="1:11" hidden="1" x14ac:dyDescent="0.25">
      <c r="A6152" t="str">
        <f>_xlfn.XLOOKUP(C6152, 'Códigos DANE Municipios'!$B$2:$B$1123, 'Códigos DANE Municipios'!$A$2:$A$1123, "No encontrado")</f>
        <v>73200</v>
      </c>
      <c r="B6152" t="str">
        <f>IFERROR(VLOOKUP(D6152,APOYO!K:L,2,FALSE),A6152)</f>
        <v>73200</v>
      </c>
      <c r="C6152" s="8" t="s">
        <v>1887</v>
      </c>
      <c r="D6152" t="str">
        <f>IFERROR(VLOOKUP(C6152,APOYO!J:K,2,FALSE),C6152)</f>
        <v>COELLO</v>
      </c>
      <c r="E6152" s="8">
        <v>2021</v>
      </c>
      <c r="F6152" s="8"/>
      <c r="G6152" s="8"/>
      <c r="H6152" s="8">
        <v>1</v>
      </c>
      <c r="I6152" s="8"/>
      <c r="J6152" s="8"/>
      <c r="K6152" s="8"/>
    </row>
    <row r="6153" spans="1:11" hidden="1" x14ac:dyDescent="0.25">
      <c r="A6153" t="str">
        <f>_xlfn.XLOOKUP(C6153, 'Códigos DANE Municipios'!$B$2:$B$1123, 'Códigos DANE Municipios'!$A$2:$A$1123, "No encontrado")</f>
        <v>25200</v>
      </c>
      <c r="B6153" t="str">
        <f>IFERROR(VLOOKUP(D6153,APOYO!K:L,2,FALSE),A6153)</f>
        <v>25200</v>
      </c>
      <c r="C6153" s="8" t="s">
        <v>954</v>
      </c>
      <c r="D6153" t="str">
        <f>IFERROR(VLOOKUP(C6153,APOYO!J:K,2,FALSE),C6153)</f>
        <v>COGUA</v>
      </c>
      <c r="E6153" s="8">
        <v>2021</v>
      </c>
      <c r="F6153" s="8"/>
      <c r="G6153" s="8"/>
      <c r="H6153" s="8">
        <v>57</v>
      </c>
      <c r="I6153" s="8"/>
      <c r="J6153" s="8"/>
      <c r="K6153" s="8"/>
    </row>
    <row r="6154" spans="1:11" hidden="1" x14ac:dyDescent="0.25">
      <c r="A6154" t="str">
        <f>_xlfn.XLOOKUP(C6154, 'Códigos DANE Municipios'!$B$2:$B$1123, 'Códigos DANE Municipios'!$A$2:$A$1123, "No encontrado")</f>
        <v>41206</v>
      </c>
      <c r="B6154" t="str">
        <f>IFERROR(VLOOKUP(D6154,APOYO!K:L,2,FALSE),A6154)</f>
        <v>41206</v>
      </c>
      <c r="C6154" s="8" t="s">
        <v>1217</v>
      </c>
      <c r="D6154" t="str">
        <f>IFERROR(VLOOKUP(C6154,APOYO!J:K,2,FALSE),C6154)</f>
        <v>COLOMBIA</v>
      </c>
      <c r="E6154" s="8">
        <v>2021</v>
      </c>
      <c r="F6154" s="8"/>
      <c r="G6154" s="8"/>
      <c r="H6154" s="8">
        <v>8</v>
      </c>
      <c r="I6154" s="8"/>
      <c r="J6154" s="8"/>
      <c r="K6154" s="8"/>
    </row>
    <row r="6155" spans="1:11" hidden="1" x14ac:dyDescent="0.25">
      <c r="A6155" t="str">
        <f>_xlfn.XLOOKUP(C6155, 'Códigos DANE Municipios'!$B$2:$B$1123, 'Códigos DANE Municipios'!$A$2:$A$1123, "No encontrado")</f>
        <v>70204</v>
      </c>
      <c r="B6155" t="str">
        <f>IFERROR(VLOOKUP(D6155,APOYO!K:L,2,FALSE),A6155)</f>
        <v>70204</v>
      </c>
      <c r="C6155" s="8" t="s">
        <v>1821</v>
      </c>
      <c r="D6155" t="str">
        <f>IFERROR(VLOOKUP(C6155,APOYO!J:K,2,FALSE),C6155)</f>
        <v>COLOSO</v>
      </c>
      <c r="E6155" s="8">
        <v>2021</v>
      </c>
      <c r="F6155" s="8"/>
      <c r="G6155" s="8"/>
      <c r="H6155" s="8">
        <v>1</v>
      </c>
      <c r="I6155" s="8"/>
      <c r="J6155" s="8"/>
      <c r="K6155" s="8"/>
    </row>
    <row r="6156" spans="1:11" hidden="1" x14ac:dyDescent="0.25">
      <c r="A6156" t="str">
        <f>_xlfn.XLOOKUP(C6156, 'Códigos DANE Municipios'!$B$2:$B$1123, 'Códigos DANE Municipios'!$A$2:$A$1123, "No encontrado")</f>
        <v>52203</v>
      </c>
      <c r="B6156" t="str">
        <f>IFERROR(VLOOKUP(D6156,APOYO!K:L,2,FALSE),A6156)</f>
        <v>52203</v>
      </c>
      <c r="C6156" s="8" t="s">
        <v>1426</v>
      </c>
      <c r="D6156" t="str">
        <f>IFERROR(VLOOKUP(C6156,APOYO!J:K,2,FALSE),C6156)</f>
        <v>COLÓN</v>
      </c>
      <c r="E6156" s="8">
        <v>2021</v>
      </c>
      <c r="F6156" s="8"/>
      <c r="G6156" s="8"/>
      <c r="H6156" s="8">
        <v>7</v>
      </c>
      <c r="I6156" s="8"/>
      <c r="J6156" s="8"/>
      <c r="K6156" s="8"/>
    </row>
    <row r="6157" spans="1:11" hidden="1" x14ac:dyDescent="0.25">
      <c r="A6157" t="str">
        <f>_xlfn.XLOOKUP(C6157, 'Códigos DANE Municipios'!$B$2:$B$1123, 'Códigos DANE Municipios'!$A$2:$A$1123, "No encontrado")</f>
        <v>15204</v>
      </c>
      <c r="B6157" t="str">
        <f>IFERROR(VLOOKUP(D6157,APOYO!K:L,2,FALSE),A6157)</f>
        <v>15204</v>
      </c>
      <c r="C6157" t="s">
        <v>443</v>
      </c>
      <c r="D6157" t="str">
        <f>IFERROR(VLOOKUP(C6157,APOYO!J:K,2,FALSE),C6157)</f>
        <v>CÓMBITA</v>
      </c>
      <c r="E6157">
        <v>2021</v>
      </c>
      <c r="H6157">
        <v>4</v>
      </c>
    </row>
    <row r="6158" spans="1:11" hidden="1" x14ac:dyDescent="0.25">
      <c r="A6158" t="str">
        <f>_xlfn.XLOOKUP(C6158, 'Códigos DANE Municipios'!$B$2:$B$1123, 'Códigos DANE Municipios'!$A$2:$A$1123, "No encontrado")</f>
        <v>05206</v>
      </c>
      <c r="B6158" t="str">
        <f>IFERROR(VLOOKUP(D6158,APOYO!K:L,2,FALSE),A6158)</f>
        <v>05206</v>
      </c>
      <c r="C6158" s="8" t="s">
        <v>88</v>
      </c>
      <c r="D6158" t="str">
        <f>IFERROR(VLOOKUP(C6158,APOYO!J:K,2,FALSE),C6158)</f>
        <v>CONCEPCIÓN</v>
      </c>
      <c r="E6158" s="8">
        <v>2021</v>
      </c>
      <c r="F6158" s="8"/>
      <c r="G6158" s="8"/>
      <c r="H6158" s="8">
        <v>14</v>
      </c>
      <c r="I6158" s="8"/>
      <c r="J6158" s="8"/>
      <c r="K6158" s="8"/>
    </row>
    <row r="6159" spans="1:11" hidden="1" x14ac:dyDescent="0.25">
      <c r="A6159" t="str">
        <f>_xlfn.XLOOKUP(C6159, 'Códigos DANE Municipios'!$B$2:$B$1123, 'Códigos DANE Municipios'!$A$2:$A$1123, "No encontrado")</f>
        <v>05209</v>
      </c>
      <c r="B6159" t="str">
        <f>IFERROR(VLOOKUP(D6159,APOYO!K:L,2,FALSE),A6159)</f>
        <v>05209</v>
      </c>
      <c r="C6159" s="8" t="s">
        <v>90</v>
      </c>
      <c r="D6159" t="str">
        <f>IFERROR(VLOOKUP(C6159,APOYO!J:K,2,FALSE),C6159)</f>
        <v>CONCORDIA</v>
      </c>
      <c r="E6159" s="8">
        <v>2021</v>
      </c>
      <c r="F6159" s="8"/>
      <c r="G6159" s="8"/>
      <c r="H6159" s="8">
        <v>10</v>
      </c>
      <c r="I6159" s="8"/>
      <c r="J6159" s="8"/>
      <c r="K6159" s="8"/>
    </row>
    <row r="6160" spans="1:11" hidden="1" x14ac:dyDescent="0.25">
      <c r="A6160" t="str">
        <f>_xlfn.XLOOKUP(C6160, 'Códigos DANE Municipios'!$B$2:$B$1123, 'Códigos DANE Municipios'!$A$2:$A$1123, "No encontrado")</f>
        <v>27205</v>
      </c>
      <c r="B6160" t="str">
        <f>IFERROR(VLOOKUP(D6160,APOYO!K:L,2,FALSE),A6160)</f>
        <v>27205</v>
      </c>
      <c r="C6160" s="8" t="s">
        <v>1164</v>
      </c>
      <c r="D6160" t="str">
        <f>IFERROR(VLOOKUP(C6160,APOYO!J:K,2,FALSE),C6160)</f>
        <v>CONDOTO</v>
      </c>
      <c r="E6160" s="8">
        <v>2021</v>
      </c>
      <c r="F6160" s="8">
        <v>2413</v>
      </c>
      <c r="G6160" s="8">
        <v>3</v>
      </c>
      <c r="H6160" s="8">
        <v>6</v>
      </c>
      <c r="I6160" s="8"/>
      <c r="J6160" s="8"/>
      <c r="K6160" s="8"/>
    </row>
    <row r="6161" spans="1:11" hidden="1" x14ac:dyDescent="0.25">
      <c r="A6161" t="str">
        <f>_xlfn.XLOOKUP(C6161, 'Códigos DANE Municipios'!$B$2:$B$1123, 'Códigos DANE Municipios'!$A$2:$A$1123, "No encontrado")</f>
        <v>68209</v>
      </c>
      <c r="B6161" t="str">
        <f>IFERROR(VLOOKUP(D6161,APOYO!K:L,2,FALSE),A6161)</f>
        <v>68209</v>
      </c>
      <c r="C6161" s="8" t="s">
        <v>1691</v>
      </c>
      <c r="D6161" t="str">
        <f>IFERROR(VLOOKUP(C6161,APOYO!J:K,2,FALSE),C6161)</f>
        <v>CONFINES</v>
      </c>
      <c r="E6161" s="8">
        <v>2021</v>
      </c>
      <c r="F6161" s="8"/>
      <c r="G6161" s="8"/>
      <c r="H6161" s="8">
        <v>6</v>
      </c>
      <c r="I6161" s="8"/>
      <c r="J6161" s="8"/>
      <c r="K6161" s="8"/>
    </row>
    <row r="6162" spans="1:11" hidden="1" x14ac:dyDescent="0.25">
      <c r="A6162" t="str">
        <f>_xlfn.XLOOKUP(C6162, 'Códigos DANE Municipios'!$B$2:$B$1123, 'Códigos DANE Municipios'!$A$2:$A$1123, "No encontrado")</f>
        <v>52207</v>
      </c>
      <c r="B6162" t="str">
        <f>IFERROR(VLOOKUP(D6162,APOYO!K:L,2,FALSE),A6162)</f>
        <v>52207</v>
      </c>
      <c r="C6162" s="8" t="s">
        <v>1428</v>
      </c>
      <c r="D6162" t="str">
        <f>IFERROR(VLOOKUP(C6162,APOYO!J:K,2,FALSE),C6162)</f>
        <v>CONSACÁ</v>
      </c>
      <c r="E6162" s="8">
        <v>2021</v>
      </c>
      <c r="F6162" s="8"/>
      <c r="G6162" s="8"/>
      <c r="H6162" s="8">
        <v>1</v>
      </c>
      <c r="I6162" s="8"/>
      <c r="J6162" s="8"/>
      <c r="K6162" s="8"/>
    </row>
    <row r="6163" spans="1:11" hidden="1" x14ac:dyDescent="0.25">
      <c r="A6163" t="str">
        <f>_xlfn.XLOOKUP(C6163, 'Códigos DANE Municipios'!$B$2:$B$1123, 'Códigos DANE Municipios'!$A$2:$A$1123, "No encontrado")</f>
        <v>68211</v>
      </c>
      <c r="B6163" t="str">
        <f>IFERROR(VLOOKUP(D6163,APOYO!K:L,2,FALSE),A6163)</f>
        <v>68211</v>
      </c>
      <c r="C6163" t="s">
        <v>1693</v>
      </c>
      <c r="D6163" t="str">
        <f>IFERROR(VLOOKUP(C6163,APOYO!J:K,2,FALSE),C6163)</f>
        <v>CONTRATACIÓN</v>
      </c>
      <c r="E6163">
        <v>2021</v>
      </c>
      <c r="H6163">
        <v>4</v>
      </c>
    </row>
    <row r="6164" spans="1:11" hidden="1" x14ac:dyDescent="0.25">
      <c r="A6164" t="str">
        <f>_xlfn.XLOOKUP(C6164, 'Códigos DANE Municipios'!$B$2:$B$1123, 'Códigos DANE Municipios'!$A$2:$A$1123, "No encontrado")</f>
        <v>52210</v>
      </c>
      <c r="B6164" t="str">
        <f>IFERROR(VLOOKUP(D6164,APOYO!K:L,2,FALSE),A6164)</f>
        <v>52210</v>
      </c>
      <c r="C6164" s="8" t="s">
        <v>1430</v>
      </c>
      <c r="D6164" t="str">
        <f>IFERROR(VLOOKUP(C6164,APOYO!J:K,2,FALSE),C6164)</f>
        <v>CONTADERO</v>
      </c>
      <c r="E6164" s="8">
        <v>2021</v>
      </c>
      <c r="F6164" s="8"/>
      <c r="G6164" s="8"/>
      <c r="H6164" s="8"/>
      <c r="I6164" s="8"/>
      <c r="J6164" s="8"/>
      <c r="K6164" s="8"/>
    </row>
    <row r="6165" spans="1:11" hidden="1" x14ac:dyDescent="0.25">
      <c r="A6165" t="str">
        <f>_xlfn.XLOOKUP(C6165, 'Códigos DANE Municipios'!$B$2:$B$1123, 'Códigos DANE Municipios'!$A$2:$A$1123, "No encontrado")</f>
        <v>05212</v>
      </c>
      <c r="B6165" t="str">
        <f>IFERROR(VLOOKUP(D6165,APOYO!K:L,2,FALSE),A6165)</f>
        <v>05212</v>
      </c>
      <c r="C6165" s="8" t="s">
        <v>92</v>
      </c>
      <c r="D6165" t="str">
        <f>IFERROR(VLOOKUP(C6165,APOYO!J:K,2,FALSE),C6165)</f>
        <v>COPACABANA</v>
      </c>
      <c r="E6165" s="8">
        <v>2021</v>
      </c>
      <c r="F6165" s="8"/>
      <c r="G6165" s="8"/>
      <c r="H6165" s="8">
        <v>702</v>
      </c>
      <c r="I6165" s="8"/>
      <c r="J6165" s="8"/>
      <c r="K6165" s="8"/>
    </row>
    <row r="6166" spans="1:11" hidden="1" x14ac:dyDescent="0.25">
      <c r="A6166" t="str">
        <f>_xlfn.XLOOKUP(C6166, 'Códigos DANE Municipios'!$B$2:$B$1123, 'Códigos DANE Municipios'!$A$2:$A$1123, "No encontrado")</f>
        <v>13212</v>
      </c>
      <c r="B6166" t="str">
        <f>IFERROR(VLOOKUP(D6166,APOYO!K:L,2,FALSE),A6166)</f>
        <v>13212</v>
      </c>
      <c r="C6166" s="8" t="s">
        <v>329</v>
      </c>
      <c r="D6166" t="str">
        <f>IFERROR(VLOOKUP(C6166,APOYO!J:K,2,FALSE),C6166)</f>
        <v>CÓRDOBA</v>
      </c>
      <c r="E6166" s="8">
        <v>2021</v>
      </c>
      <c r="F6166" s="8"/>
      <c r="G6166" s="8"/>
      <c r="H6166" s="8">
        <v>20</v>
      </c>
      <c r="I6166" s="8"/>
      <c r="J6166" s="8"/>
      <c r="K6166" s="8"/>
    </row>
    <row r="6167" spans="1:11" hidden="1" x14ac:dyDescent="0.25">
      <c r="A6167" t="str">
        <f>_xlfn.XLOOKUP(C6167, 'Códigos DANE Municipios'!$B$2:$B$1123, 'Códigos DANE Municipios'!$A$2:$A$1123, "No encontrado")</f>
        <v>19212</v>
      </c>
      <c r="B6167" t="str">
        <f>IFERROR(VLOOKUP(D6167,APOYO!K:L,2,FALSE),A6167)</f>
        <v>19212</v>
      </c>
      <c r="C6167" s="8" t="s">
        <v>746</v>
      </c>
      <c r="D6167" t="str">
        <f>IFERROR(VLOOKUP(C6167,APOYO!J:K,2,FALSE),C6167)</f>
        <v>CORINTO</v>
      </c>
      <c r="E6167" s="8">
        <v>2021</v>
      </c>
      <c r="F6167" s="8"/>
      <c r="G6167" s="8"/>
      <c r="H6167" s="8">
        <v>42</v>
      </c>
      <c r="I6167" s="8"/>
      <c r="J6167" s="8"/>
      <c r="K6167" s="8"/>
    </row>
    <row r="6168" spans="1:11" hidden="1" x14ac:dyDescent="0.25">
      <c r="A6168" t="str">
        <f>_xlfn.XLOOKUP(C6168, 'Códigos DANE Municipios'!$B$2:$B$1123, 'Códigos DANE Municipios'!$A$2:$A$1123, "No encontrado")</f>
        <v>70215</v>
      </c>
      <c r="B6168" t="str">
        <f>IFERROR(VLOOKUP(D6168,APOYO!K:L,2,FALSE),A6168)</f>
        <v>70215</v>
      </c>
      <c r="C6168" s="8" t="s">
        <v>1823</v>
      </c>
      <c r="D6168" t="str">
        <f>IFERROR(VLOOKUP(C6168,APOYO!J:K,2,FALSE),C6168)</f>
        <v>COROZAL</v>
      </c>
      <c r="E6168" s="8">
        <v>2021</v>
      </c>
      <c r="F6168" s="8">
        <v>20214</v>
      </c>
      <c r="G6168" s="8"/>
      <c r="H6168" s="8">
        <v>82</v>
      </c>
      <c r="I6168" s="8"/>
      <c r="J6168" s="8"/>
      <c r="K6168" s="8"/>
    </row>
    <row r="6169" spans="1:11" hidden="1" x14ac:dyDescent="0.25">
      <c r="A6169" t="str">
        <f>_xlfn.XLOOKUP(C6169, 'Códigos DANE Municipios'!$B$2:$B$1123, 'Códigos DANE Municipios'!$A$2:$A$1123, "No encontrado")</f>
        <v>25214</v>
      </c>
      <c r="B6169" t="str">
        <f>IFERROR(VLOOKUP(D6169,APOYO!K:L,2,FALSE),A6169)</f>
        <v>25214</v>
      </c>
      <c r="C6169" s="8" t="s">
        <v>956</v>
      </c>
      <c r="D6169" t="str">
        <f>IFERROR(VLOOKUP(C6169,APOYO!J:K,2,FALSE),C6169)</f>
        <v>COTA</v>
      </c>
      <c r="E6169" s="8">
        <v>2021</v>
      </c>
      <c r="F6169" s="8"/>
      <c r="G6169" s="8"/>
      <c r="H6169" s="8">
        <v>680</v>
      </c>
      <c r="I6169" s="8"/>
      <c r="J6169" s="8"/>
      <c r="K6169" s="8"/>
    </row>
    <row r="6170" spans="1:11" hidden="1" x14ac:dyDescent="0.25">
      <c r="A6170" t="str">
        <f>_xlfn.XLOOKUP(C6170, 'Códigos DANE Municipios'!$B$2:$B$1123, 'Códigos DANE Municipios'!$A$2:$A$1123, "No encontrado")</f>
        <v>70221</v>
      </c>
      <c r="B6170" t="str">
        <f>IFERROR(VLOOKUP(D6170,APOYO!K:L,2,FALSE),A6170)</f>
        <v>70221</v>
      </c>
      <c r="C6170" s="8" t="s">
        <v>1825</v>
      </c>
      <c r="D6170" t="str">
        <f>IFERROR(VLOOKUP(C6170,APOYO!J:K,2,FALSE),C6170)</f>
        <v>COVEÑAS</v>
      </c>
      <c r="E6170" s="8">
        <v>2021</v>
      </c>
      <c r="F6170" s="8">
        <v>10</v>
      </c>
      <c r="G6170" s="8"/>
      <c r="H6170" s="8">
        <v>179</v>
      </c>
      <c r="I6170" s="8"/>
      <c r="J6170" s="8"/>
      <c r="K6170" s="8"/>
    </row>
    <row r="6171" spans="1:11" hidden="1" x14ac:dyDescent="0.25">
      <c r="A6171" t="str">
        <f>_xlfn.XLOOKUP(C6171, 'Códigos DANE Municipios'!$B$2:$B$1123, 'Códigos DANE Municipios'!$A$2:$A$1123, "No encontrado")</f>
        <v>81220</v>
      </c>
      <c r="B6171" t="str">
        <f>IFERROR(VLOOKUP(D6171,APOYO!K:L,2,FALSE),A6171)</f>
        <v>81220</v>
      </c>
      <c r="C6171" s="8" t="s">
        <v>2038</v>
      </c>
      <c r="D6171" t="str">
        <f>IFERROR(VLOOKUP(C6171,APOYO!J:K,2,FALSE),C6171)</f>
        <v>CRAVO NORTE</v>
      </c>
      <c r="E6171" s="8">
        <v>2021</v>
      </c>
      <c r="F6171" s="8">
        <v>76</v>
      </c>
      <c r="G6171" s="8"/>
      <c r="H6171" s="8">
        <v>6</v>
      </c>
      <c r="I6171" s="8"/>
      <c r="J6171" s="8"/>
      <c r="K6171" s="8"/>
    </row>
    <row r="6172" spans="1:11" hidden="1" x14ac:dyDescent="0.25">
      <c r="A6172" t="str">
        <f>_xlfn.XLOOKUP(C6172, 'Códigos DANE Municipios'!$B$2:$B$1123, 'Códigos DANE Municipios'!$A$2:$A$1123, "No encontrado")</f>
        <v>15223</v>
      </c>
      <c r="B6172" t="str">
        <f>IFERROR(VLOOKUP(D6172,APOYO!K:L,2,FALSE),A6172)</f>
        <v>15223</v>
      </c>
      <c r="C6172" t="s">
        <v>451</v>
      </c>
      <c r="D6172" t="str">
        <f>IFERROR(VLOOKUP(C6172,APOYO!J:K,2,FALSE),C6172)</f>
        <v>CUBARÁ</v>
      </c>
      <c r="E6172">
        <v>2021</v>
      </c>
      <c r="H6172">
        <v>1</v>
      </c>
    </row>
    <row r="6173" spans="1:11" hidden="1" x14ac:dyDescent="0.25">
      <c r="A6173" t="str">
        <f>_xlfn.XLOOKUP(C6173, 'Códigos DANE Municipios'!$B$2:$B$1123, 'Códigos DANE Municipios'!$A$2:$A$1123, "No encontrado")</f>
        <v>50223</v>
      </c>
      <c r="B6173" t="str">
        <f>IFERROR(VLOOKUP(D6173,APOYO!K:L,2,FALSE),A6173)</f>
        <v>50223</v>
      </c>
      <c r="C6173" s="8" t="s">
        <v>1368</v>
      </c>
      <c r="D6173" t="str">
        <f>IFERROR(VLOOKUP(C6173,APOYO!J:K,2,FALSE),C6173)</f>
        <v>SAN LUIS DE CUBARRAL</v>
      </c>
      <c r="E6173" s="8">
        <v>2021</v>
      </c>
      <c r="F6173" s="8"/>
      <c r="G6173" s="8"/>
      <c r="H6173" s="8">
        <v>4</v>
      </c>
      <c r="I6173" s="8"/>
      <c r="J6173" s="8"/>
      <c r="K6173" s="8"/>
    </row>
    <row r="6174" spans="1:11" hidden="1" x14ac:dyDescent="0.25">
      <c r="A6174" t="str">
        <f>_xlfn.XLOOKUP(C6174, 'Códigos DANE Municipios'!$B$2:$B$1123, 'Códigos DANE Municipios'!$A$2:$A$1123, "No encontrado")</f>
        <v>15224</v>
      </c>
      <c r="B6174" t="str">
        <f>IFERROR(VLOOKUP(D6174,APOYO!K:L,2,FALSE),A6174)</f>
        <v>15224</v>
      </c>
      <c r="C6174" s="8" t="s">
        <v>453</v>
      </c>
      <c r="D6174" t="str">
        <f>IFERROR(VLOOKUP(C6174,APOYO!J:K,2,FALSE),C6174)</f>
        <v>CUCAITA</v>
      </c>
      <c r="E6174" s="8">
        <v>2021</v>
      </c>
      <c r="F6174" s="8"/>
      <c r="G6174" s="8"/>
      <c r="H6174" s="8">
        <v>2</v>
      </c>
      <c r="I6174" s="8"/>
      <c r="J6174" s="8"/>
      <c r="K6174" s="8"/>
    </row>
    <row r="6175" spans="1:11" hidden="1" x14ac:dyDescent="0.25">
      <c r="A6175" t="str">
        <f>_xlfn.XLOOKUP(C6175, 'Códigos DANE Municipios'!$B$2:$B$1123, 'Códigos DANE Municipios'!$A$2:$A$1123, "No encontrado")</f>
        <v>25224</v>
      </c>
      <c r="B6175" t="str">
        <f>IFERROR(VLOOKUP(D6175,APOYO!K:L,2,FALSE),A6175)</f>
        <v>25224</v>
      </c>
      <c r="C6175" s="8" t="s">
        <v>958</v>
      </c>
      <c r="D6175" t="str">
        <f>IFERROR(VLOOKUP(C6175,APOYO!J:K,2,FALSE),C6175)</f>
        <v>CUCUNUBÁ</v>
      </c>
      <c r="E6175" s="8">
        <v>2021</v>
      </c>
      <c r="F6175" s="8"/>
      <c r="G6175" s="8"/>
      <c r="H6175" s="8">
        <v>12</v>
      </c>
      <c r="I6175" s="8"/>
      <c r="J6175" s="8"/>
      <c r="K6175" s="8"/>
    </row>
    <row r="6176" spans="1:11" hidden="1" x14ac:dyDescent="0.25">
      <c r="A6176" t="str">
        <f>_xlfn.XLOOKUP(C6176, 'Códigos DANE Municipios'!$B$2:$B$1123, 'Códigos DANE Municipios'!$A$2:$A$1123, "No encontrado")</f>
        <v>54001</v>
      </c>
      <c r="B6176" t="str">
        <f>IFERROR(VLOOKUP(D6176,APOYO!K:L,2,FALSE),A6176)</f>
        <v>54001</v>
      </c>
      <c r="C6176" s="8" t="s">
        <v>1529</v>
      </c>
      <c r="D6176" t="str">
        <f>IFERROR(VLOOKUP(C6176,APOYO!J:K,2,FALSE),C6176)</f>
        <v>CÚCUTA</v>
      </c>
      <c r="E6176" s="8">
        <v>2021</v>
      </c>
      <c r="F6176" s="8">
        <v>464291</v>
      </c>
      <c r="G6176" s="8">
        <v>20702</v>
      </c>
      <c r="H6176" s="8">
        <v>12665</v>
      </c>
      <c r="I6176" s="8"/>
      <c r="J6176" s="8"/>
      <c r="K6176" s="8"/>
    </row>
    <row r="6177" spans="1:11" hidden="1" x14ac:dyDescent="0.25">
      <c r="A6177" t="str">
        <f>_xlfn.XLOOKUP(C6177, 'Códigos DANE Municipios'!$B$2:$B$1123, 'Códigos DANE Municipios'!$A$2:$A$1123, "No encontrado")</f>
        <v>54223</v>
      </c>
      <c r="B6177" t="str">
        <f>IFERROR(VLOOKUP(D6177,APOYO!K:L,2,FALSE),A6177)</f>
        <v>54223</v>
      </c>
      <c r="C6177" s="8" t="s">
        <v>1549</v>
      </c>
      <c r="D6177" t="str">
        <f>IFERROR(VLOOKUP(C6177,APOYO!J:K,2,FALSE),C6177)</f>
        <v>CUCUTILLA</v>
      </c>
      <c r="E6177" s="8">
        <v>2021</v>
      </c>
      <c r="F6177" s="8"/>
      <c r="G6177" s="8"/>
      <c r="H6177" s="8">
        <v>78</v>
      </c>
      <c r="I6177" s="8"/>
      <c r="J6177" s="8"/>
      <c r="K6177" s="8"/>
    </row>
    <row r="6178" spans="1:11" hidden="1" x14ac:dyDescent="0.25">
      <c r="A6178" t="str">
        <f>_xlfn.XLOOKUP(C6178, 'Códigos DANE Municipios'!$B$2:$B$1123, 'Códigos DANE Municipios'!$A$2:$A$1123, "No encontrado")</f>
        <v>15226</v>
      </c>
      <c r="B6178" t="str">
        <f>IFERROR(VLOOKUP(D6178,APOYO!K:L,2,FALSE),A6178)</f>
        <v>15226</v>
      </c>
      <c r="C6178" s="8" t="s">
        <v>455</v>
      </c>
      <c r="D6178" t="str">
        <f>IFERROR(VLOOKUP(C6178,APOYO!J:K,2,FALSE),C6178)</f>
        <v>CUÍTIVA</v>
      </c>
      <c r="E6178" s="8">
        <v>2021</v>
      </c>
      <c r="F6178" s="8"/>
      <c r="G6178" s="8"/>
      <c r="H6178" s="8"/>
      <c r="I6178" s="8"/>
      <c r="J6178" s="8"/>
      <c r="K6178" s="8"/>
    </row>
    <row r="6179" spans="1:11" hidden="1" x14ac:dyDescent="0.25">
      <c r="A6179" t="str">
        <f>_xlfn.XLOOKUP(C6179, 'Códigos DANE Municipios'!$B$2:$B$1123, 'Códigos DANE Municipios'!$A$2:$A$1123, "No encontrado")</f>
        <v>50226</v>
      </c>
      <c r="B6179" t="str">
        <f>IFERROR(VLOOKUP(D6179,APOYO!K:L,2,FALSE),A6179)</f>
        <v>50226</v>
      </c>
      <c r="C6179" s="8" t="s">
        <v>1370</v>
      </c>
      <c r="D6179" t="str">
        <f>IFERROR(VLOOKUP(C6179,APOYO!J:K,2,FALSE),C6179)</f>
        <v>CUMARAL</v>
      </c>
      <c r="E6179" s="8">
        <v>2021</v>
      </c>
      <c r="F6179" s="8"/>
      <c r="G6179" s="8"/>
      <c r="H6179" s="8">
        <v>59</v>
      </c>
      <c r="I6179" s="8"/>
      <c r="J6179" s="8"/>
      <c r="K6179" s="8"/>
    </row>
    <row r="6180" spans="1:11" hidden="1" x14ac:dyDescent="0.25">
      <c r="A6180" t="str">
        <f>_xlfn.XLOOKUP(C6180, 'Códigos DANE Municipios'!$B$2:$B$1123, 'Códigos DANE Municipios'!$A$2:$A$1123, "No encontrado")</f>
        <v>99773</v>
      </c>
      <c r="B6180" t="str">
        <f>IFERROR(VLOOKUP(D6180,APOYO!K:L,2,FALSE),A6180)</f>
        <v>99773</v>
      </c>
      <c r="C6180" s="8" t="s">
        <v>2169</v>
      </c>
      <c r="D6180" t="str">
        <f>IFERROR(VLOOKUP(C6180,APOYO!J:K,2,FALSE),C6180)</f>
        <v>CUMARIBO</v>
      </c>
      <c r="E6180" s="8">
        <v>2021</v>
      </c>
      <c r="F6180" s="8">
        <v>207</v>
      </c>
      <c r="G6180" s="8"/>
      <c r="H6180" s="8">
        <v>26</v>
      </c>
      <c r="I6180" s="8"/>
      <c r="J6180" s="8"/>
      <c r="K6180" s="8"/>
    </row>
    <row r="6181" spans="1:11" hidden="1" x14ac:dyDescent="0.25">
      <c r="A6181" t="str">
        <f>_xlfn.XLOOKUP(C6181, 'Códigos DANE Municipios'!$B$2:$B$1123, 'Códigos DANE Municipios'!$A$2:$A$1123, "No encontrado")</f>
        <v>52227</v>
      </c>
      <c r="B6181" t="str">
        <f>IFERROR(VLOOKUP(D6181,APOYO!K:L,2,FALSE),A6181)</f>
        <v>52227</v>
      </c>
      <c r="C6181" s="8" t="s">
        <v>1435</v>
      </c>
      <c r="D6181" t="str">
        <f>IFERROR(VLOOKUP(C6181,APOYO!J:K,2,FALSE),C6181)</f>
        <v>CUMBAL</v>
      </c>
      <c r="E6181" s="8">
        <v>2021</v>
      </c>
      <c r="F6181" s="8"/>
      <c r="G6181" s="8"/>
      <c r="H6181" s="8">
        <v>14</v>
      </c>
      <c r="I6181" s="8"/>
      <c r="J6181" s="8"/>
      <c r="K6181" s="8"/>
    </row>
    <row r="6182" spans="1:11" hidden="1" x14ac:dyDescent="0.25">
      <c r="A6182" t="str">
        <f>_xlfn.XLOOKUP(C6182, 'Códigos DANE Municipios'!$B$2:$B$1123, 'Códigos DANE Municipios'!$A$2:$A$1123, "No encontrado")</f>
        <v>73226</v>
      </c>
      <c r="B6182" t="str">
        <f>IFERROR(VLOOKUP(D6182,APOYO!K:L,2,FALSE),A6182)</f>
        <v>73226</v>
      </c>
      <c r="C6182" s="8" t="s">
        <v>1891</v>
      </c>
      <c r="D6182" t="str">
        <f>IFERROR(VLOOKUP(C6182,APOYO!J:K,2,FALSE),C6182)</f>
        <v>CUNDAY</v>
      </c>
      <c r="E6182" s="8">
        <v>2021</v>
      </c>
      <c r="F6182" s="8"/>
      <c r="G6182" s="8"/>
      <c r="H6182" s="8">
        <v>5</v>
      </c>
      <c r="I6182" s="8"/>
      <c r="J6182" s="8"/>
      <c r="K6182" s="8"/>
    </row>
    <row r="6183" spans="1:11" hidden="1" x14ac:dyDescent="0.25">
      <c r="A6183" t="str">
        <f>_xlfn.XLOOKUP(C6183, 'Códigos DANE Municipios'!$B$2:$B$1123, 'Códigos DANE Municipios'!$A$2:$A$1123, "No encontrado")</f>
        <v>68229</v>
      </c>
      <c r="B6183" t="str">
        <f>IFERROR(VLOOKUP(D6183,APOYO!K:L,2,FALSE),A6183)</f>
        <v>68229</v>
      </c>
      <c r="C6183" s="8" t="s">
        <v>1697</v>
      </c>
      <c r="D6183" t="str">
        <f>IFERROR(VLOOKUP(C6183,APOYO!J:K,2,FALSE),C6183)</f>
        <v>CURITÍ</v>
      </c>
      <c r="E6183" s="8">
        <v>2021</v>
      </c>
      <c r="F6183" s="8"/>
      <c r="G6183" s="8"/>
      <c r="H6183" s="8">
        <v>40</v>
      </c>
      <c r="I6183" s="8"/>
      <c r="J6183" s="8"/>
      <c r="K6183" s="8"/>
    </row>
    <row r="6184" spans="1:11" hidden="1" x14ac:dyDescent="0.25">
      <c r="A6184" t="str">
        <f>_xlfn.XLOOKUP(C6184, 'Códigos DANE Municipios'!$B$2:$B$1123, 'Códigos DANE Municipios'!$A$2:$A$1123, "No encontrado")</f>
        <v>20228</v>
      </c>
      <c r="B6184" t="str">
        <f>IFERROR(VLOOKUP(D6184,APOYO!K:L,2,FALSE),A6184)</f>
        <v>20228</v>
      </c>
      <c r="C6184" s="8" t="s">
        <v>824</v>
      </c>
      <c r="D6184" t="str">
        <f>IFERROR(VLOOKUP(C6184,APOYO!J:K,2,FALSE),C6184)</f>
        <v>CURUMANÍ</v>
      </c>
      <c r="E6184" s="8">
        <v>2021</v>
      </c>
      <c r="F6184" s="8"/>
      <c r="G6184" s="8"/>
      <c r="H6184" s="8">
        <v>22</v>
      </c>
      <c r="I6184" s="8"/>
      <c r="J6184" s="8"/>
      <c r="K6184" s="8"/>
    </row>
    <row r="6185" spans="1:11" hidden="1" x14ac:dyDescent="0.25">
      <c r="A6185" t="str">
        <f>_xlfn.XLOOKUP(C6185, 'Códigos DANE Municipios'!$B$2:$B$1123, 'Códigos DANE Municipios'!$A$2:$A$1123, "No encontrado")</f>
        <v>05234</v>
      </c>
      <c r="B6185" t="str">
        <f>IFERROR(VLOOKUP(D6185,APOYO!K:L,2,FALSE),A6185)</f>
        <v>05234</v>
      </c>
      <c r="C6185" t="s">
        <v>94</v>
      </c>
      <c r="D6185" t="str">
        <f>IFERROR(VLOOKUP(C6185,APOYO!J:K,2,FALSE),C6185)</f>
        <v>DABEIBA</v>
      </c>
      <c r="E6185">
        <v>2021</v>
      </c>
      <c r="H6185">
        <v>72</v>
      </c>
    </row>
    <row r="6186" spans="1:11" hidden="1" x14ac:dyDescent="0.25">
      <c r="A6186" t="str">
        <f>_xlfn.XLOOKUP(C6186, 'Códigos DANE Municipios'!$B$2:$B$1123, 'Códigos DANE Municipios'!$A$2:$A$1123, "No encontrado")</f>
        <v>76233</v>
      </c>
      <c r="B6186" t="str">
        <f>IFERROR(VLOOKUP(D6186,APOYO!K:L,2,FALSE),A6186)</f>
        <v>76233</v>
      </c>
      <c r="C6186" s="8" t="s">
        <v>1980</v>
      </c>
      <c r="D6186" t="str">
        <f>IFERROR(VLOOKUP(C6186,APOYO!J:K,2,FALSE),C6186)</f>
        <v>DAGUA</v>
      </c>
      <c r="E6186" s="8">
        <v>2021</v>
      </c>
      <c r="F6186" s="8"/>
      <c r="G6186" s="8"/>
      <c r="H6186" s="8">
        <v>129</v>
      </c>
      <c r="I6186" s="8"/>
      <c r="J6186" s="8"/>
      <c r="K6186" s="8"/>
    </row>
    <row r="6187" spans="1:11" hidden="1" x14ac:dyDescent="0.25">
      <c r="A6187" t="str">
        <f>_xlfn.XLOOKUP(C6187, 'Códigos DANE Municipios'!$B$2:$B$1123, 'Códigos DANE Municipios'!$A$2:$A$1123, "No encontrado")</f>
        <v>44090</v>
      </c>
      <c r="B6187" t="str">
        <f>IFERROR(VLOOKUP(D6187,APOYO!K:L,2,FALSE),A6187)</f>
        <v>44090</v>
      </c>
      <c r="C6187" s="8" t="s">
        <v>1277</v>
      </c>
      <c r="D6187" t="str">
        <f>IFERROR(VLOOKUP(C6187,APOYO!J:K,2,FALSE),C6187)</f>
        <v>DIBULLA</v>
      </c>
      <c r="E6187" s="8">
        <v>2021</v>
      </c>
      <c r="F6187" s="8"/>
      <c r="G6187" s="8"/>
      <c r="H6187" s="8">
        <v>197</v>
      </c>
      <c r="I6187" s="8"/>
      <c r="J6187" s="8"/>
      <c r="K6187" s="8"/>
    </row>
    <row r="6188" spans="1:11" hidden="1" x14ac:dyDescent="0.25">
      <c r="A6188" t="str">
        <f>_xlfn.XLOOKUP(C6188, 'Códigos DANE Municipios'!$B$2:$B$1123, 'Códigos DANE Municipios'!$A$2:$A$1123, "No encontrado")</f>
        <v>44098</v>
      </c>
      <c r="B6188" t="str">
        <f>IFERROR(VLOOKUP(D6188,APOYO!K:L,2,FALSE),A6188)</f>
        <v>44098</v>
      </c>
      <c r="C6188" s="8" t="s">
        <v>1279</v>
      </c>
      <c r="D6188" t="str">
        <f>IFERROR(VLOOKUP(C6188,APOYO!J:K,2,FALSE),C6188)</f>
        <v>DISTRACCIÓN</v>
      </c>
      <c r="E6188" s="8">
        <v>2021</v>
      </c>
      <c r="F6188" s="8">
        <v>0</v>
      </c>
      <c r="G6188" s="8"/>
      <c r="H6188" s="8">
        <v>7</v>
      </c>
      <c r="I6188" s="8"/>
      <c r="J6188" s="8"/>
      <c r="K6188" s="8"/>
    </row>
    <row r="6189" spans="1:11" hidden="1" x14ac:dyDescent="0.25">
      <c r="A6189" t="str">
        <f>_xlfn.XLOOKUP(C6189, 'Códigos DANE Municipios'!$B$2:$B$1123, 'Códigos DANE Municipios'!$A$2:$A$1123, "No encontrado")</f>
        <v>05237</v>
      </c>
      <c r="B6189" t="str">
        <f>IFERROR(VLOOKUP(D6189,APOYO!K:L,2,FALSE),A6189)</f>
        <v>05237</v>
      </c>
      <c r="C6189" s="8" t="s">
        <v>96</v>
      </c>
      <c r="D6189" t="str">
        <f>IFERROR(VLOOKUP(C6189,APOYO!J:K,2,FALSE),C6189)</f>
        <v>DONMATÍAS</v>
      </c>
      <c r="E6189" s="8">
        <v>2021</v>
      </c>
      <c r="F6189" s="8"/>
      <c r="G6189" s="8"/>
      <c r="H6189" s="8">
        <v>184</v>
      </c>
      <c r="I6189" s="8"/>
      <c r="J6189" s="8"/>
      <c r="K6189" s="8"/>
    </row>
    <row r="6190" spans="1:11" hidden="1" x14ac:dyDescent="0.25">
      <c r="A6190" t="str">
        <f>_xlfn.XLOOKUP(C6190, 'Códigos DANE Municipios'!$B$2:$B$1123, 'Códigos DANE Municipios'!$A$2:$A$1123, "No encontrado")</f>
        <v>66170</v>
      </c>
      <c r="B6190" t="str">
        <f>IFERROR(VLOOKUP(D6190,APOYO!K:L,2,FALSE),A6190)</f>
        <v>66170</v>
      </c>
      <c r="C6190" s="8" t="s">
        <v>1635</v>
      </c>
      <c r="D6190" t="str">
        <f>IFERROR(VLOOKUP(C6190,APOYO!J:K,2,FALSE),C6190)</f>
        <v>DOSQUEBRADAS</v>
      </c>
      <c r="E6190" s="8">
        <v>2021</v>
      </c>
      <c r="F6190" s="8"/>
      <c r="G6190" s="8"/>
      <c r="H6190" s="8">
        <v>2312</v>
      </c>
      <c r="I6190" s="8"/>
      <c r="J6190" s="8"/>
      <c r="K6190" s="8"/>
    </row>
    <row r="6191" spans="1:11" hidden="1" x14ac:dyDescent="0.25">
      <c r="A6191" t="str">
        <f>_xlfn.XLOOKUP(C6191, 'Códigos DANE Municipios'!$B$2:$B$1123, 'Códigos DANE Municipios'!$A$2:$A$1123, "No encontrado")</f>
        <v>15238</v>
      </c>
      <c r="B6191" t="str">
        <f>IFERROR(VLOOKUP(D6191,APOYO!K:L,2,FALSE),A6191)</f>
        <v>15238</v>
      </c>
      <c r="C6191" s="8" t="s">
        <v>461</v>
      </c>
      <c r="D6191" t="str">
        <f>IFERROR(VLOOKUP(C6191,APOYO!J:K,2,FALSE),C6191)</f>
        <v>DUITAMA</v>
      </c>
      <c r="E6191" s="8">
        <v>2021</v>
      </c>
      <c r="F6191" s="8"/>
      <c r="G6191" s="8"/>
      <c r="H6191" s="8">
        <v>513</v>
      </c>
      <c r="I6191" s="8"/>
      <c r="J6191" s="8"/>
      <c r="K6191" s="8"/>
    </row>
    <row r="6192" spans="1:11" hidden="1" x14ac:dyDescent="0.25">
      <c r="A6192" t="str">
        <f>_xlfn.XLOOKUP(C6192, 'Códigos DANE Municipios'!$B$2:$B$1123, 'Códigos DANE Municipios'!$A$2:$A$1123, "No encontrado")</f>
        <v>05240</v>
      </c>
      <c r="B6192" t="str">
        <f>IFERROR(VLOOKUP(D6192,APOYO!K:L,2,FALSE),A6192)</f>
        <v>05240</v>
      </c>
      <c r="C6192" s="8" t="s">
        <v>98</v>
      </c>
      <c r="D6192" t="str">
        <f>IFERROR(VLOOKUP(C6192,APOYO!J:K,2,FALSE),C6192)</f>
        <v>EBÉJICO</v>
      </c>
      <c r="E6192" s="8">
        <v>2021</v>
      </c>
      <c r="F6192" s="8"/>
      <c r="G6192" s="8"/>
      <c r="H6192" s="8">
        <v>16</v>
      </c>
      <c r="I6192" s="8"/>
      <c r="J6192" s="8"/>
      <c r="K6192" s="8"/>
    </row>
    <row r="6193" spans="1:11" hidden="1" x14ac:dyDescent="0.25">
      <c r="A6193" t="str">
        <f>_xlfn.XLOOKUP(C6193, 'Códigos DANE Municipios'!$B$2:$B$1123, 'Códigos DANE Municipios'!$A$2:$A$1123, "No encontrado")</f>
        <v>05250</v>
      </c>
      <c r="B6193" t="str">
        <f>IFERROR(VLOOKUP(D6193,APOYO!K:L,2,FALSE),A6193)</f>
        <v>05250</v>
      </c>
      <c r="C6193" s="8" t="s">
        <v>100</v>
      </c>
      <c r="D6193" t="str">
        <f>IFERROR(VLOOKUP(C6193,APOYO!J:K,2,FALSE),C6193)</f>
        <v>EL BAGRE</v>
      </c>
      <c r="E6193" s="8">
        <v>2021</v>
      </c>
      <c r="F6193" s="8">
        <v>7618</v>
      </c>
      <c r="G6193" s="8"/>
      <c r="H6193" s="8">
        <v>13</v>
      </c>
      <c r="I6193" s="8"/>
      <c r="J6193" s="8"/>
      <c r="K6193" s="8"/>
    </row>
    <row r="6194" spans="1:11" hidden="1" x14ac:dyDescent="0.25">
      <c r="A6194" t="str">
        <f>_xlfn.XLOOKUP(C6194, 'Códigos DANE Municipios'!$B$2:$B$1123, 'Códigos DANE Municipios'!$A$2:$A$1123, "No encontrado")</f>
        <v>47245</v>
      </c>
      <c r="B6194" t="str">
        <f>IFERROR(VLOOKUP(D6194,APOYO!K:L,2,FALSE),A6194)</f>
        <v>47245</v>
      </c>
      <c r="C6194" s="8" t="s">
        <v>1315</v>
      </c>
      <c r="D6194" t="str">
        <f>IFERROR(VLOOKUP(C6194,APOYO!J:K,2,FALSE),C6194)</f>
        <v>EL BANCO</v>
      </c>
      <c r="E6194" s="8">
        <v>2021</v>
      </c>
      <c r="F6194" s="8">
        <v>16</v>
      </c>
      <c r="G6194" s="8"/>
      <c r="H6194" s="8">
        <v>38</v>
      </c>
      <c r="I6194" s="8"/>
      <c r="J6194" s="8"/>
      <c r="K6194" s="8"/>
    </row>
    <row r="6195" spans="1:11" hidden="1" x14ac:dyDescent="0.25">
      <c r="A6195" t="str">
        <f>_xlfn.XLOOKUP(C6195, 'Códigos DANE Municipios'!$B$2:$B$1123, 'Códigos DANE Municipios'!$A$2:$A$1123, "No encontrado")</f>
        <v>76246</v>
      </c>
      <c r="B6195" t="str">
        <f>IFERROR(VLOOKUP(D6195,APOYO!K:L,2,FALSE),A6195)</f>
        <v>76246</v>
      </c>
      <c r="C6195" s="8" t="s">
        <v>1984</v>
      </c>
      <c r="D6195" t="str">
        <f>IFERROR(VLOOKUP(C6195,APOYO!J:K,2,FALSE),C6195)</f>
        <v>EL CAIRO</v>
      </c>
      <c r="E6195" s="8">
        <v>2021</v>
      </c>
      <c r="F6195" s="8"/>
      <c r="G6195" s="8"/>
      <c r="H6195" s="8">
        <v>11</v>
      </c>
      <c r="I6195" s="8"/>
      <c r="J6195" s="8"/>
      <c r="K6195" s="8"/>
    </row>
    <row r="6196" spans="1:11" hidden="1" x14ac:dyDescent="0.25">
      <c r="A6196" t="str">
        <f>_xlfn.XLOOKUP(C6196, 'Códigos DANE Municipios'!$B$2:$B$1123, 'Códigos DANE Municipios'!$A$2:$A$1123, "No encontrado")</f>
        <v>54245</v>
      </c>
      <c r="B6196" t="str">
        <f>IFERROR(VLOOKUP(D6196,APOYO!K:L,2,FALSE),A6196)</f>
        <v>54245</v>
      </c>
      <c r="C6196" s="8" t="s">
        <v>1553</v>
      </c>
      <c r="D6196" t="str">
        <f>IFERROR(VLOOKUP(C6196,APOYO!J:K,2,FALSE),C6196)</f>
        <v>EL CARMEN</v>
      </c>
      <c r="E6196" s="8">
        <v>2021</v>
      </c>
      <c r="F6196" s="8"/>
      <c r="G6196" s="8"/>
      <c r="H6196" s="8">
        <v>57</v>
      </c>
      <c r="I6196" s="8"/>
      <c r="J6196" s="8"/>
      <c r="K6196" s="8"/>
    </row>
    <row r="6197" spans="1:11" hidden="1" x14ac:dyDescent="0.25">
      <c r="A6197" t="str">
        <f>_xlfn.XLOOKUP(C6197, 'Códigos DANE Municipios'!$B$2:$B$1123, 'Códigos DANE Municipios'!$A$2:$A$1123, "No encontrado")</f>
        <v>13244</v>
      </c>
      <c r="B6197" t="str">
        <f>IFERROR(VLOOKUP(D6197,APOYO!K:L,2,FALSE),A6197)</f>
        <v>13244</v>
      </c>
      <c r="C6197" t="s">
        <v>333</v>
      </c>
      <c r="D6197" t="str">
        <f>IFERROR(VLOOKUP(C6197,APOYO!J:K,2,FALSE),C6197)</f>
        <v>EL CARMEN DE BOLÍVAR</v>
      </c>
      <c r="E6197">
        <v>2021</v>
      </c>
      <c r="F6197">
        <v>26</v>
      </c>
      <c r="H6197">
        <v>34</v>
      </c>
    </row>
    <row r="6198" spans="1:11" hidden="1" x14ac:dyDescent="0.25">
      <c r="A6198" t="str">
        <f>_xlfn.XLOOKUP(C6198, 'Códigos DANE Municipios'!$B$2:$B$1123, 'Códigos DANE Municipios'!$A$2:$A$1123, "No encontrado")</f>
        <v>50251</v>
      </c>
      <c r="B6198" t="str">
        <f>IFERROR(VLOOKUP(D6198,APOYO!K:L,2,FALSE),A6198)</f>
        <v>50251</v>
      </c>
      <c r="C6198" s="8" t="s">
        <v>1374</v>
      </c>
      <c r="D6198" t="str">
        <f>IFERROR(VLOOKUP(C6198,APOYO!J:K,2,FALSE),C6198)</f>
        <v>EL CASTILLO</v>
      </c>
      <c r="E6198" s="8">
        <v>2021</v>
      </c>
      <c r="F6198" s="8"/>
      <c r="G6198" s="8"/>
      <c r="H6198" s="8">
        <v>6</v>
      </c>
      <c r="I6198" s="8"/>
      <c r="J6198" s="8"/>
      <c r="K6198" s="8"/>
    </row>
    <row r="6199" spans="1:11" hidden="1" x14ac:dyDescent="0.25">
      <c r="A6199" t="str">
        <f>_xlfn.XLOOKUP(C6199, 'Códigos DANE Municipios'!$B$2:$B$1123, 'Códigos DANE Municipios'!$A$2:$A$1123, "No encontrado")</f>
        <v>76248</v>
      </c>
      <c r="B6199" t="str">
        <f>IFERROR(VLOOKUP(D6199,APOYO!K:L,2,FALSE),A6199)</f>
        <v>76248</v>
      </c>
      <c r="C6199" s="8" t="s">
        <v>1986</v>
      </c>
      <c r="D6199" t="str">
        <f>IFERROR(VLOOKUP(C6199,APOYO!J:K,2,FALSE),C6199)</f>
        <v>EL CERRITO</v>
      </c>
      <c r="E6199" s="8">
        <v>2021</v>
      </c>
      <c r="F6199" s="8"/>
      <c r="G6199" s="8"/>
      <c r="H6199" s="8">
        <v>351</v>
      </c>
      <c r="I6199" s="8"/>
      <c r="J6199" s="8"/>
      <c r="K6199" s="8"/>
    </row>
    <row r="6200" spans="1:11" hidden="1" x14ac:dyDescent="0.25">
      <c r="A6200" t="str">
        <f>_xlfn.XLOOKUP(C6200, 'Códigos DANE Municipios'!$B$2:$B$1123, 'Códigos DANE Municipios'!$A$2:$A$1123, "No encontrado")</f>
        <v>15244</v>
      </c>
      <c r="B6200" t="str">
        <f>IFERROR(VLOOKUP(D6200,APOYO!K:L,2,FALSE),A6200)</f>
        <v>15244</v>
      </c>
      <c r="C6200" s="8" t="s">
        <v>463</v>
      </c>
      <c r="D6200" t="str">
        <f>IFERROR(VLOOKUP(C6200,APOYO!J:K,2,FALSE),C6200)</f>
        <v>EL COCUY</v>
      </c>
      <c r="E6200" s="8">
        <v>2021</v>
      </c>
      <c r="F6200" s="8"/>
      <c r="G6200" s="8"/>
      <c r="H6200" s="8">
        <v>3</v>
      </c>
      <c r="I6200" s="8">
        <v>24691</v>
      </c>
      <c r="J6200" s="8"/>
      <c r="K6200" s="8"/>
    </row>
    <row r="6201" spans="1:11" hidden="1" x14ac:dyDescent="0.25">
      <c r="A6201" t="str">
        <f>_xlfn.XLOOKUP(C6201, 'Códigos DANE Municipios'!$B$2:$B$1123, 'Códigos DANE Municipios'!$A$2:$A$1123, "No encontrado")</f>
        <v>25245</v>
      </c>
      <c r="B6201" t="str">
        <f>IFERROR(VLOOKUP(D6201,APOYO!K:L,2,FALSE),A6201)</f>
        <v>25245</v>
      </c>
      <c r="C6201" s="8" t="s">
        <v>960</v>
      </c>
      <c r="D6201" t="str">
        <f>IFERROR(VLOOKUP(C6201,APOYO!J:K,2,FALSE),C6201)</f>
        <v>EL COLEGIO</v>
      </c>
      <c r="E6201" s="8">
        <v>2021</v>
      </c>
      <c r="F6201" s="8"/>
      <c r="G6201" s="8"/>
      <c r="H6201" s="8">
        <v>56</v>
      </c>
      <c r="I6201" s="8"/>
      <c r="J6201" s="8"/>
      <c r="K6201" s="8"/>
    </row>
    <row r="6202" spans="1:11" hidden="1" x14ac:dyDescent="0.25">
      <c r="A6202" t="str">
        <f>_xlfn.XLOOKUP(C6202, 'Códigos DANE Municipios'!$B$2:$B$1123, 'Códigos DANE Municipios'!$A$2:$A$1123, "No encontrado")</f>
        <v>20238</v>
      </c>
      <c r="B6202" t="str">
        <f>IFERROR(VLOOKUP(D6202,APOYO!K:L,2,FALSE),A6202)</f>
        <v>20238</v>
      </c>
      <c r="C6202" s="8" t="s">
        <v>826</v>
      </c>
      <c r="D6202" t="str">
        <f>IFERROR(VLOOKUP(C6202,APOYO!J:K,2,FALSE),C6202)</f>
        <v>EL COPEY</v>
      </c>
      <c r="E6202" s="8">
        <v>2021</v>
      </c>
      <c r="F6202" s="8"/>
      <c r="G6202" s="8"/>
      <c r="H6202" s="8">
        <v>5</v>
      </c>
      <c r="I6202" s="8"/>
      <c r="J6202" s="8"/>
      <c r="K6202" s="8"/>
    </row>
    <row r="6203" spans="1:11" hidden="1" x14ac:dyDescent="0.25">
      <c r="A6203" t="str">
        <f>_xlfn.XLOOKUP(C6203, 'Códigos DANE Municipios'!$B$2:$B$1123, 'Códigos DANE Municipios'!$A$2:$A$1123, "No encontrado")</f>
        <v>18247</v>
      </c>
      <c r="B6203" t="str">
        <f>IFERROR(VLOOKUP(D6203,APOYO!K:L,2,FALSE),A6203)</f>
        <v>18247</v>
      </c>
      <c r="C6203" s="8" t="s">
        <v>708</v>
      </c>
      <c r="D6203" t="str">
        <f>IFERROR(VLOOKUP(C6203,APOYO!J:K,2,FALSE),C6203)</f>
        <v>EL DONCELLO</v>
      </c>
      <c r="E6203" s="8">
        <v>2021</v>
      </c>
      <c r="F6203" s="8"/>
      <c r="G6203" s="8"/>
      <c r="H6203" s="8">
        <v>4</v>
      </c>
      <c r="I6203" s="8"/>
      <c r="J6203" s="8"/>
      <c r="K6203" s="8"/>
    </row>
    <row r="6204" spans="1:11" hidden="1" x14ac:dyDescent="0.25">
      <c r="A6204" t="str">
        <f>_xlfn.XLOOKUP(C6204, 'Códigos DANE Municipios'!$B$2:$B$1123, 'Códigos DANE Municipios'!$A$2:$A$1123, "No encontrado")</f>
        <v>50270</v>
      </c>
      <c r="B6204" t="str">
        <f>IFERROR(VLOOKUP(D6204,APOYO!K:L,2,FALSE),A6204)</f>
        <v>50270</v>
      </c>
      <c r="C6204" s="8" t="s">
        <v>1376</v>
      </c>
      <c r="D6204" t="str">
        <f>IFERROR(VLOOKUP(C6204,APOYO!J:K,2,FALSE),C6204)</f>
        <v>EL DORADO</v>
      </c>
      <c r="E6204" s="8">
        <v>2021</v>
      </c>
      <c r="F6204" s="8"/>
      <c r="G6204" s="8"/>
      <c r="H6204" s="8">
        <v>9</v>
      </c>
      <c r="I6204" s="8"/>
      <c r="J6204" s="8"/>
      <c r="K6204" s="8"/>
    </row>
    <row r="6205" spans="1:11" hidden="1" x14ac:dyDescent="0.25">
      <c r="A6205" t="str">
        <f>_xlfn.XLOOKUP(C6205, 'Códigos DANE Municipios'!$B$2:$B$1123, 'Códigos DANE Municipios'!$A$2:$A$1123, "No encontrado")</f>
        <v>76250</v>
      </c>
      <c r="B6205" t="str">
        <f>IFERROR(VLOOKUP(D6205,APOYO!K:L,2,FALSE),A6205)</f>
        <v>76250</v>
      </c>
      <c r="C6205" s="8" t="s">
        <v>1988</v>
      </c>
      <c r="D6205" t="str">
        <f>IFERROR(VLOOKUP(C6205,APOYO!J:K,2,FALSE),C6205)</f>
        <v>EL DOVIO</v>
      </c>
      <c r="E6205" s="8">
        <v>2021</v>
      </c>
      <c r="F6205" s="8"/>
      <c r="G6205" s="8"/>
      <c r="H6205" s="8">
        <v>30</v>
      </c>
      <c r="I6205" s="8"/>
      <c r="J6205" s="8"/>
      <c r="K6205" s="8"/>
    </row>
    <row r="6206" spans="1:11" hidden="1" x14ac:dyDescent="0.25">
      <c r="A6206" t="str">
        <f>_xlfn.XLOOKUP(C6206, 'Códigos DANE Municipios'!$B$2:$B$1123, 'Códigos DANE Municipios'!$A$2:$A$1123, "No encontrado")</f>
        <v>20250</v>
      </c>
      <c r="B6206" t="str">
        <f>IFERROR(VLOOKUP(D6206,APOYO!K:L,2,FALSE),A6206)</f>
        <v>20250</v>
      </c>
      <c r="C6206" s="8" t="s">
        <v>828</v>
      </c>
      <c r="D6206" t="str">
        <f>IFERROR(VLOOKUP(C6206,APOYO!J:K,2,FALSE),C6206)</f>
        <v>EL PASO</v>
      </c>
      <c r="E6206" s="8">
        <v>2021</v>
      </c>
      <c r="F6206" s="8"/>
      <c r="G6206" s="8"/>
      <c r="H6206" s="8">
        <v>158</v>
      </c>
      <c r="I6206" s="8"/>
      <c r="J6206" s="8"/>
      <c r="K6206" s="8"/>
    </row>
    <row r="6207" spans="1:11" hidden="1" x14ac:dyDescent="0.25">
      <c r="A6207" t="str">
        <f>_xlfn.XLOOKUP(C6207, 'Códigos DANE Municipios'!$B$2:$B$1123, 'Códigos DANE Municipios'!$A$2:$A$1123, "No encontrado")</f>
        <v>18256</v>
      </c>
      <c r="B6207" t="str">
        <f>IFERROR(VLOOKUP(D6207,APOYO!K:L,2,FALSE),A6207)</f>
        <v>18256</v>
      </c>
      <c r="C6207" s="8" t="s">
        <v>710</v>
      </c>
      <c r="D6207" t="str">
        <f>IFERROR(VLOOKUP(C6207,APOYO!J:K,2,FALSE),C6207)</f>
        <v>EL PAUJÍL</v>
      </c>
      <c r="E6207" s="8">
        <v>2021</v>
      </c>
      <c r="F6207" s="8"/>
      <c r="G6207" s="8"/>
      <c r="H6207" s="8">
        <v>5</v>
      </c>
      <c r="I6207" s="8"/>
      <c r="J6207" s="8"/>
      <c r="K6207" s="8"/>
    </row>
    <row r="6208" spans="1:11" hidden="1" x14ac:dyDescent="0.25">
      <c r="A6208" t="str">
        <f>_xlfn.XLOOKUP(C6208, 'Códigos DANE Municipios'!$B$2:$B$1123, 'Códigos DANE Municipios'!$A$2:$A$1123, "No encontrado")</f>
        <v>13268</v>
      </c>
      <c r="B6208" t="str">
        <f>IFERROR(VLOOKUP(D6208,APOYO!K:L,2,FALSE),A6208)</f>
        <v>13268</v>
      </c>
      <c r="C6208" s="8" t="s">
        <v>337</v>
      </c>
      <c r="D6208" t="str">
        <f>IFERROR(VLOOKUP(C6208,APOYO!J:K,2,FALSE),C6208)</f>
        <v>EL PEÑÓN</v>
      </c>
      <c r="E6208" s="8">
        <v>2021</v>
      </c>
      <c r="F6208" s="8"/>
      <c r="G6208" s="8"/>
      <c r="H6208" s="8">
        <v>3</v>
      </c>
      <c r="I6208" s="8"/>
      <c r="J6208" s="8"/>
      <c r="K6208" s="8"/>
    </row>
    <row r="6209" spans="1:11" hidden="1" x14ac:dyDescent="0.25">
      <c r="A6209" t="str">
        <f>_xlfn.XLOOKUP(C6209, 'Códigos DANE Municipios'!$B$2:$B$1123, 'Códigos DANE Municipios'!$A$2:$A$1123, "No encontrado")</f>
        <v>68255</v>
      </c>
      <c r="B6209" t="str">
        <f>IFERROR(VLOOKUP(D6209,APOYO!K:L,2,FALSE),A6209)</f>
        <v>68255</v>
      </c>
      <c r="C6209" s="8" t="s">
        <v>1704</v>
      </c>
      <c r="D6209" t="str">
        <f>IFERROR(VLOOKUP(C6209,APOYO!J:K,2,FALSE),C6209)</f>
        <v>EL PLAYÓN</v>
      </c>
      <c r="E6209" s="8">
        <v>2021</v>
      </c>
      <c r="F6209" s="8"/>
      <c r="G6209" s="8"/>
      <c r="H6209" s="8">
        <v>13</v>
      </c>
      <c r="I6209" s="8"/>
      <c r="J6209" s="8"/>
      <c r="K6209" s="8"/>
    </row>
    <row r="6210" spans="1:11" hidden="1" x14ac:dyDescent="0.25">
      <c r="A6210" t="str">
        <f>_xlfn.XLOOKUP(C6210, 'Códigos DANE Municipios'!$B$2:$B$1123, 'Códigos DANE Municipios'!$A$2:$A$1123, "No encontrado")</f>
        <v>95025</v>
      </c>
      <c r="B6210" t="str">
        <f>IFERROR(VLOOKUP(D6210,APOYO!K:L,2,FALSE),A6210)</f>
        <v>95025</v>
      </c>
      <c r="C6210" s="8" t="s">
        <v>2148</v>
      </c>
      <c r="D6210" t="str">
        <f>IFERROR(VLOOKUP(C6210,APOYO!J:K,2,FALSE),C6210)</f>
        <v>EL RETORNO</v>
      </c>
      <c r="E6210" s="8">
        <v>2021</v>
      </c>
      <c r="F6210" s="8">
        <v>17</v>
      </c>
      <c r="G6210" s="8"/>
      <c r="H6210" s="8">
        <v>2</v>
      </c>
      <c r="I6210" s="8"/>
      <c r="J6210" s="8"/>
      <c r="K6210" s="8"/>
    </row>
    <row r="6211" spans="1:11" hidden="1" x14ac:dyDescent="0.25">
      <c r="A6211" t="str">
        <f>_xlfn.XLOOKUP(C6211, 'Códigos DANE Municipios'!$B$2:$B$1123, 'Códigos DANE Municipios'!$A$2:$A$1123, "No encontrado")</f>
        <v>25260</v>
      </c>
      <c r="B6211" t="str">
        <f>IFERROR(VLOOKUP(D6211,APOYO!K:L,2,FALSE),A6211)</f>
        <v>25260</v>
      </c>
      <c r="C6211" s="8" t="s">
        <v>963</v>
      </c>
      <c r="D6211" t="str">
        <f>IFERROR(VLOOKUP(C6211,APOYO!J:K,2,FALSE),C6211)</f>
        <v>EL ROSAL</v>
      </c>
      <c r="E6211" s="8">
        <v>2021</v>
      </c>
      <c r="F6211" s="8"/>
      <c r="G6211" s="8"/>
      <c r="H6211" s="8">
        <v>55</v>
      </c>
      <c r="I6211" s="8"/>
      <c r="J6211" s="8"/>
      <c r="K6211" s="8"/>
    </row>
    <row r="6212" spans="1:11" hidden="1" x14ac:dyDescent="0.25">
      <c r="A6212" t="str">
        <f>_xlfn.XLOOKUP(C6212, 'Códigos DANE Municipios'!$B$2:$B$1123, 'Códigos DANE Municipios'!$A$2:$A$1123, "No encontrado")</f>
        <v>52256</v>
      </c>
      <c r="B6212" t="str">
        <f>IFERROR(VLOOKUP(D6212,APOYO!K:L,2,FALSE),A6212)</f>
        <v>52256</v>
      </c>
      <c r="C6212" s="8" t="s">
        <v>1445</v>
      </c>
      <c r="D6212" t="str">
        <f>IFERROR(VLOOKUP(C6212,APOYO!J:K,2,FALSE),C6212)</f>
        <v>EL ROSARIO</v>
      </c>
      <c r="E6212" s="8">
        <v>2021</v>
      </c>
      <c r="F6212" s="8"/>
      <c r="G6212" s="8"/>
      <c r="H6212" s="8"/>
      <c r="I6212" s="8"/>
      <c r="J6212" s="8"/>
      <c r="K6212" s="8"/>
    </row>
    <row r="6213" spans="1:11" hidden="1" x14ac:dyDescent="0.25">
      <c r="A6213" t="str">
        <f>_xlfn.XLOOKUP(C6213, 'Códigos DANE Municipios'!$B$2:$B$1123, 'Códigos DANE Municipios'!$A$2:$A$1123, "No encontrado")</f>
        <v>19256</v>
      </c>
      <c r="B6213" t="str">
        <f>IFERROR(VLOOKUP(D6213,APOYO!K:L,2,FALSE),A6213)</f>
        <v>19256</v>
      </c>
      <c r="C6213" s="8" t="s">
        <v>748</v>
      </c>
      <c r="D6213" t="str">
        <f>IFERROR(VLOOKUP(C6213,APOYO!J:K,2,FALSE),C6213)</f>
        <v>EL TAMBO</v>
      </c>
      <c r="E6213" s="8">
        <v>2021</v>
      </c>
      <c r="F6213" s="8"/>
      <c r="G6213" s="8"/>
      <c r="H6213" s="8">
        <v>29</v>
      </c>
      <c r="I6213" s="8"/>
      <c r="J6213" s="8"/>
      <c r="K6213" s="8"/>
    </row>
    <row r="6214" spans="1:11" hidden="1" x14ac:dyDescent="0.25">
      <c r="A6214" t="str">
        <f>_xlfn.XLOOKUP(C6214, 'Códigos DANE Municipios'!$B$2:$B$1123, 'Códigos DANE Municipios'!$A$2:$A$1123, "No encontrado")</f>
        <v>54250</v>
      </c>
      <c r="B6214" t="str">
        <f>IFERROR(VLOOKUP(D6214,APOYO!K:L,2,FALSE),A6214)</f>
        <v>54250</v>
      </c>
      <c r="C6214" s="8" t="s">
        <v>1555</v>
      </c>
      <c r="D6214" t="str">
        <f>IFERROR(VLOOKUP(C6214,APOYO!J:K,2,FALSE),C6214)</f>
        <v>EL TARRA</v>
      </c>
      <c r="E6214" s="8">
        <v>2021</v>
      </c>
      <c r="F6214" s="8"/>
      <c r="G6214" s="8"/>
      <c r="H6214" s="8">
        <v>2</v>
      </c>
      <c r="I6214" s="8"/>
      <c r="J6214" s="8"/>
      <c r="K6214" s="8"/>
    </row>
    <row r="6215" spans="1:11" hidden="1" x14ac:dyDescent="0.25">
      <c r="A6215" t="str">
        <f>_xlfn.XLOOKUP(C6215, 'Códigos DANE Municipios'!$B$2:$B$1123, 'Códigos DANE Municipios'!$A$2:$A$1123, "No encontrado")</f>
        <v>54261</v>
      </c>
      <c r="B6215" t="str">
        <f>IFERROR(VLOOKUP(D6215,APOYO!K:L,2,FALSE),A6215)</f>
        <v>54261</v>
      </c>
      <c r="C6215" s="8" t="s">
        <v>1557</v>
      </c>
      <c r="D6215" t="str">
        <f>IFERROR(VLOOKUP(C6215,APOYO!J:K,2,FALSE),C6215)</f>
        <v>EL ZULIA</v>
      </c>
      <c r="E6215" s="8">
        <v>2021</v>
      </c>
      <c r="F6215" s="8"/>
      <c r="G6215" s="8"/>
      <c r="H6215" s="8">
        <v>26</v>
      </c>
      <c r="I6215" s="8"/>
      <c r="J6215" s="8"/>
      <c r="K6215" s="8"/>
    </row>
    <row r="6216" spans="1:11" hidden="1" x14ac:dyDescent="0.25">
      <c r="A6216" t="str">
        <f>_xlfn.XLOOKUP(C6216, 'Códigos DANE Municipios'!$B$2:$B$1123, 'Códigos DANE Municipios'!$A$2:$A$1123, "No encontrado")</f>
        <v>68266</v>
      </c>
      <c r="B6216" t="str">
        <f>IFERROR(VLOOKUP(D6216,APOYO!K:L,2,FALSE),A6216)</f>
        <v>68266</v>
      </c>
      <c r="C6216" s="8" t="s">
        <v>1708</v>
      </c>
      <c r="D6216" t="str">
        <f>IFERROR(VLOOKUP(C6216,APOYO!J:K,2,FALSE),C6216)</f>
        <v>ENCISO</v>
      </c>
      <c r="E6216" s="8">
        <v>2021</v>
      </c>
      <c r="F6216" s="8"/>
      <c r="G6216" s="8"/>
      <c r="H6216" s="8">
        <v>1</v>
      </c>
      <c r="I6216" s="8"/>
      <c r="J6216" s="8"/>
      <c r="K6216" s="8"/>
    </row>
    <row r="6217" spans="1:11" hidden="1" x14ac:dyDescent="0.25">
      <c r="A6217" t="str">
        <f>_xlfn.XLOOKUP(C6217, 'Códigos DANE Municipios'!$B$2:$B$1123, 'Códigos DANE Municipios'!$A$2:$A$1123, "No encontrado")</f>
        <v>41244</v>
      </c>
      <c r="B6217" t="str">
        <f>IFERROR(VLOOKUP(D6217,APOYO!K:L,2,FALSE),A6217)</f>
        <v>41244</v>
      </c>
      <c r="C6217" s="8" t="s">
        <v>1219</v>
      </c>
      <c r="D6217" t="str">
        <f>IFERROR(VLOOKUP(C6217,APOYO!J:K,2,FALSE),C6217)</f>
        <v>ELÍAS</v>
      </c>
      <c r="E6217" s="8">
        <v>2021</v>
      </c>
      <c r="F6217" s="8"/>
      <c r="G6217" s="8"/>
      <c r="H6217" s="8">
        <v>4</v>
      </c>
      <c r="I6217" s="8"/>
      <c r="J6217" s="8"/>
      <c r="K6217" s="8"/>
    </row>
    <row r="6218" spans="1:11" hidden="1" x14ac:dyDescent="0.25">
      <c r="A6218" t="str">
        <f>_xlfn.XLOOKUP(C6218, 'Códigos DANE Municipios'!$B$2:$B$1123, 'Códigos DANE Municipios'!$A$2:$A$1123, "No encontrado")</f>
        <v>05264</v>
      </c>
      <c r="B6218" t="str">
        <f>IFERROR(VLOOKUP(D6218,APOYO!K:L,2,FALSE),A6218)</f>
        <v>05264</v>
      </c>
      <c r="C6218" s="8" t="s">
        <v>102</v>
      </c>
      <c r="D6218" t="str">
        <f>IFERROR(VLOOKUP(C6218,APOYO!J:K,2,FALSE),C6218)</f>
        <v>ENTRERRÍOS</v>
      </c>
      <c r="E6218" s="8">
        <v>2021</v>
      </c>
      <c r="F6218" s="8"/>
      <c r="G6218" s="8"/>
      <c r="H6218" s="8">
        <v>23</v>
      </c>
      <c r="I6218" s="8"/>
      <c r="J6218" s="8"/>
      <c r="K6218" s="8"/>
    </row>
    <row r="6219" spans="1:11" hidden="1" x14ac:dyDescent="0.25">
      <c r="A6219" t="str">
        <f>_xlfn.XLOOKUP(C6219, 'Códigos DANE Municipios'!$B$2:$B$1123, 'Códigos DANE Municipios'!$A$2:$A$1123, "No encontrado")</f>
        <v>05266</v>
      </c>
      <c r="B6219" t="str">
        <f>IFERROR(VLOOKUP(D6219,APOYO!K:L,2,FALSE),A6219)</f>
        <v>05266</v>
      </c>
      <c r="C6219" s="8" t="s">
        <v>104</v>
      </c>
      <c r="D6219" t="str">
        <f>IFERROR(VLOOKUP(C6219,APOYO!J:K,2,FALSE),C6219)</f>
        <v>ENVIGADO</v>
      </c>
      <c r="E6219" s="8">
        <v>2021</v>
      </c>
      <c r="F6219" s="8"/>
      <c r="G6219" s="8"/>
      <c r="H6219" s="8">
        <v>7412</v>
      </c>
      <c r="I6219" s="8"/>
      <c r="J6219" s="8"/>
      <c r="K6219" s="8"/>
    </row>
    <row r="6220" spans="1:11" hidden="1" x14ac:dyDescent="0.25">
      <c r="A6220" t="str">
        <f>_xlfn.XLOOKUP(C6220, 'Códigos DANE Municipios'!$B$2:$B$1123, 'Códigos DANE Municipios'!$A$2:$A$1123, "No encontrado")</f>
        <v>73268</v>
      </c>
      <c r="B6220" t="str">
        <f>IFERROR(VLOOKUP(D6220,APOYO!K:L,2,FALSE),A6220)</f>
        <v>73268</v>
      </c>
      <c r="C6220" s="8" t="s">
        <v>1895</v>
      </c>
      <c r="D6220" t="str">
        <f>IFERROR(VLOOKUP(C6220,APOYO!J:K,2,FALSE),C6220)</f>
        <v>ESPINAL</v>
      </c>
      <c r="E6220" s="8">
        <v>2021</v>
      </c>
      <c r="F6220" s="8">
        <v>39</v>
      </c>
      <c r="G6220" s="8"/>
      <c r="H6220" s="8">
        <v>71</v>
      </c>
      <c r="I6220" s="8"/>
      <c r="J6220" s="8"/>
      <c r="K6220" s="8"/>
    </row>
    <row r="6221" spans="1:11" hidden="1" x14ac:dyDescent="0.25">
      <c r="A6221" t="str">
        <f>_xlfn.XLOOKUP(C6221, 'Códigos DANE Municipios'!$B$2:$B$1123, 'Códigos DANE Municipios'!$A$2:$A$1123, "No encontrado")</f>
        <v>25269</v>
      </c>
      <c r="B6221" t="str">
        <f>IFERROR(VLOOKUP(D6221,APOYO!K:L,2,FALSE),A6221)</f>
        <v>25269</v>
      </c>
      <c r="C6221" s="8" t="s">
        <v>965</v>
      </c>
      <c r="D6221" t="str">
        <f>IFERROR(VLOOKUP(C6221,APOYO!J:K,2,FALSE),C6221)</f>
        <v>FACATATIVÁ</v>
      </c>
      <c r="E6221" s="8">
        <v>2021</v>
      </c>
      <c r="F6221" s="8"/>
      <c r="G6221" s="8"/>
      <c r="H6221" s="8">
        <v>365</v>
      </c>
      <c r="I6221" s="8"/>
      <c r="J6221" s="8"/>
      <c r="K6221" s="8"/>
    </row>
    <row r="6222" spans="1:11" hidden="1" x14ac:dyDescent="0.25">
      <c r="A6222" t="str">
        <f>_xlfn.XLOOKUP(C6222, 'Códigos DANE Municipios'!$B$2:$B$1123, 'Códigos DANE Municipios'!$A$2:$A$1123, "No encontrado")</f>
        <v>73270</v>
      </c>
      <c r="B6222" t="str">
        <f>IFERROR(VLOOKUP(D6222,APOYO!K:L,2,FALSE),A6222)</f>
        <v>73270</v>
      </c>
      <c r="C6222" s="8" t="s">
        <v>1897</v>
      </c>
      <c r="D6222" t="str">
        <f>IFERROR(VLOOKUP(C6222,APOYO!J:K,2,FALSE),C6222)</f>
        <v>FALAN</v>
      </c>
      <c r="E6222" s="8">
        <v>2021</v>
      </c>
      <c r="F6222" s="8"/>
      <c r="G6222" s="8"/>
      <c r="H6222" s="8">
        <v>7</v>
      </c>
      <c r="I6222" s="8"/>
      <c r="J6222" s="8"/>
      <c r="K6222" s="8"/>
    </row>
    <row r="6223" spans="1:11" hidden="1" x14ac:dyDescent="0.25">
      <c r="A6223" t="str">
        <f>_xlfn.XLOOKUP(C6223, 'Códigos DANE Municipios'!$B$2:$B$1123, 'Códigos DANE Municipios'!$A$2:$A$1123, "No encontrado")</f>
        <v>17272</v>
      </c>
      <c r="B6223" t="str">
        <f>IFERROR(VLOOKUP(D6223,APOYO!K:L,2,FALSE),A6223)</f>
        <v>17272</v>
      </c>
      <c r="C6223" s="8" t="s">
        <v>656</v>
      </c>
      <c r="D6223" t="str">
        <f>IFERROR(VLOOKUP(C6223,APOYO!J:K,2,FALSE),C6223)</f>
        <v>FILADELFIA</v>
      </c>
      <c r="E6223" s="8">
        <v>2021</v>
      </c>
      <c r="F6223" s="8"/>
      <c r="G6223" s="8"/>
      <c r="H6223" s="8">
        <v>10</v>
      </c>
      <c r="I6223" s="8"/>
      <c r="J6223" s="8"/>
      <c r="K6223" s="8"/>
    </row>
    <row r="6224" spans="1:11" hidden="1" x14ac:dyDescent="0.25">
      <c r="A6224" t="str">
        <f>_xlfn.XLOOKUP(C6224, 'Códigos DANE Municipios'!$B$2:$B$1123, 'Códigos DANE Municipios'!$A$2:$A$1123, "No encontrado")</f>
        <v>63272</v>
      </c>
      <c r="B6224" t="str">
        <f>IFERROR(VLOOKUP(D6224,APOYO!K:L,2,FALSE),A6224)</f>
        <v>63272</v>
      </c>
      <c r="C6224" s="8" t="s">
        <v>1614</v>
      </c>
      <c r="D6224" t="str">
        <f>IFERROR(VLOOKUP(C6224,APOYO!J:K,2,FALSE),C6224)</f>
        <v>FILANDIA</v>
      </c>
      <c r="E6224" s="8">
        <v>2021</v>
      </c>
      <c r="F6224" s="8"/>
      <c r="G6224" s="8"/>
      <c r="H6224" s="8">
        <v>300</v>
      </c>
      <c r="I6224" s="8"/>
      <c r="J6224" s="8"/>
      <c r="K6224" s="8"/>
    </row>
    <row r="6225" spans="1:11" hidden="1" x14ac:dyDescent="0.25">
      <c r="A6225" t="str">
        <f>_xlfn.XLOOKUP(C6225, 'Códigos DANE Municipios'!$B$2:$B$1123, 'Códigos DANE Municipios'!$A$2:$A$1123, "No encontrado")</f>
        <v>15272</v>
      </c>
      <c r="B6225" t="str">
        <f>IFERROR(VLOOKUP(D6225,APOYO!K:L,2,FALSE),A6225)</f>
        <v>15272</v>
      </c>
      <c r="C6225" s="8" t="s">
        <v>467</v>
      </c>
      <c r="D6225" t="str">
        <f>IFERROR(VLOOKUP(C6225,APOYO!J:K,2,FALSE),C6225)</f>
        <v>FIRAVITOBA</v>
      </c>
      <c r="E6225" s="8">
        <v>2021</v>
      </c>
      <c r="F6225" s="8">
        <v>112</v>
      </c>
      <c r="G6225" s="8"/>
      <c r="H6225" s="8">
        <v>2</v>
      </c>
      <c r="I6225" s="8"/>
      <c r="J6225" s="8"/>
      <c r="K6225" s="8"/>
    </row>
    <row r="6226" spans="1:11" hidden="1" x14ac:dyDescent="0.25">
      <c r="A6226" t="str">
        <f>_xlfn.XLOOKUP(C6226, 'Códigos DANE Municipios'!$B$2:$B$1123, 'Códigos DANE Municipios'!$A$2:$A$1123, "No encontrado")</f>
        <v>73275</v>
      </c>
      <c r="B6226" t="str">
        <f>IFERROR(VLOOKUP(D6226,APOYO!K:L,2,FALSE),A6226)</f>
        <v>73275</v>
      </c>
      <c r="C6226" s="8" t="s">
        <v>1899</v>
      </c>
      <c r="D6226" t="str">
        <f>IFERROR(VLOOKUP(C6226,APOYO!J:K,2,FALSE),C6226)</f>
        <v>FLANDES</v>
      </c>
      <c r="E6226" s="8">
        <v>2021</v>
      </c>
      <c r="F6226" s="8">
        <v>424</v>
      </c>
      <c r="G6226" s="8">
        <v>10</v>
      </c>
      <c r="H6226" s="8">
        <v>23</v>
      </c>
      <c r="I6226" s="8"/>
      <c r="J6226" s="8"/>
      <c r="K6226" s="8"/>
    </row>
    <row r="6227" spans="1:11" hidden="1" x14ac:dyDescent="0.25">
      <c r="A6227" t="str">
        <f>_xlfn.XLOOKUP(C6227, 'Códigos DANE Municipios'!$B$2:$B$1123, 'Códigos DANE Municipios'!$A$2:$A$1123, "No encontrado")</f>
        <v>18001</v>
      </c>
      <c r="B6227" t="str">
        <f>IFERROR(VLOOKUP(D6227,APOYO!K:L,2,FALSE),A6227)</f>
        <v>18001</v>
      </c>
      <c r="C6227" s="8" t="s">
        <v>698</v>
      </c>
      <c r="D6227" t="str">
        <f>IFERROR(VLOOKUP(C6227,APOYO!J:K,2,FALSE),C6227)</f>
        <v>FLORENCIA</v>
      </c>
      <c r="E6227" s="8">
        <v>2021</v>
      </c>
      <c r="F6227" s="8">
        <v>45599</v>
      </c>
      <c r="G6227" s="8"/>
      <c r="H6227" s="8">
        <v>320</v>
      </c>
      <c r="I6227" s="8"/>
      <c r="J6227" s="8"/>
      <c r="K6227" s="8"/>
    </row>
    <row r="6228" spans="1:11" hidden="1" x14ac:dyDescent="0.25">
      <c r="A6228" t="str">
        <f>_xlfn.XLOOKUP(C6228, 'Códigos DANE Municipios'!$B$2:$B$1123, 'Códigos DANE Municipios'!$A$2:$A$1123, "No encontrado")</f>
        <v>15276</v>
      </c>
      <c r="B6228" t="str">
        <f>IFERROR(VLOOKUP(D6228,APOYO!K:L,2,FALSE),A6228)</f>
        <v>15276</v>
      </c>
      <c r="C6228" s="8" t="s">
        <v>469</v>
      </c>
      <c r="D6228" t="str">
        <f>IFERROR(VLOOKUP(C6228,APOYO!J:K,2,FALSE),C6228)</f>
        <v>FLORESTA</v>
      </c>
      <c r="E6228" s="8">
        <v>2021</v>
      </c>
      <c r="F6228" s="8"/>
      <c r="G6228" s="8"/>
      <c r="H6228" s="8"/>
      <c r="I6228" s="8"/>
      <c r="J6228" s="8"/>
      <c r="K6228" s="8"/>
    </row>
    <row r="6229" spans="1:11" hidden="1" x14ac:dyDescent="0.25">
      <c r="A6229" t="str">
        <f>_xlfn.XLOOKUP(C6229, 'Códigos DANE Municipios'!$B$2:$B$1123, 'Códigos DANE Municipios'!$A$2:$A$1123, "No encontrado")</f>
        <v>68271</v>
      </c>
      <c r="B6229" t="str">
        <f>IFERROR(VLOOKUP(D6229,APOYO!K:L,2,FALSE),A6229)</f>
        <v>68271</v>
      </c>
      <c r="C6229" s="8" t="s">
        <v>1710</v>
      </c>
      <c r="D6229" t="str">
        <f>IFERROR(VLOOKUP(C6229,APOYO!J:K,2,FALSE),C6229)</f>
        <v>FLORIÁN</v>
      </c>
      <c r="E6229" s="8">
        <v>2021</v>
      </c>
      <c r="F6229" s="8"/>
      <c r="G6229" s="8"/>
      <c r="H6229" s="8">
        <v>4</v>
      </c>
      <c r="I6229" s="8"/>
      <c r="J6229" s="8"/>
      <c r="K6229" s="8"/>
    </row>
    <row r="6230" spans="1:11" hidden="1" x14ac:dyDescent="0.25">
      <c r="A6230" t="str">
        <f>_xlfn.XLOOKUP(C6230, 'Códigos DANE Municipios'!$B$2:$B$1123, 'Códigos DANE Municipios'!$A$2:$A$1123, "No encontrado")</f>
        <v>76275</v>
      </c>
      <c r="B6230" t="str">
        <f>IFERROR(VLOOKUP(D6230,APOYO!K:L,2,FALSE),A6230)</f>
        <v>76275</v>
      </c>
      <c r="C6230" s="8" t="s">
        <v>1990</v>
      </c>
      <c r="D6230" t="str">
        <f>IFERROR(VLOOKUP(C6230,APOYO!J:K,2,FALSE),C6230)</f>
        <v>FLORIDA</v>
      </c>
      <c r="E6230" s="8">
        <v>2021</v>
      </c>
      <c r="F6230" s="8"/>
      <c r="G6230" s="8"/>
      <c r="H6230" s="8">
        <v>152</v>
      </c>
      <c r="I6230" s="8"/>
      <c r="J6230" s="8"/>
      <c r="K6230" s="8"/>
    </row>
    <row r="6231" spans="1:11" hidden="1" x14ac:dyDescent="0.25">
      <c r="A6231" t="str">
        <f>_xlfn.XLOOKUP(C6231, 'Códigos DANE Municipios'!$B$2:$B$1123, 'Códigos DANE Municipios'!$A$2:$A$1123, "No encontrado")</f>
        <v>68276</v>
      </c>
      <c r="B6231" t="str">
        <f>IFERROR(VLOOKUP(D6231,APOYO!K:L,2,FALSE),A6231)</f>
        <v>68276</v>
      </c>
      <c r="C6231" s="8" t="s">
        <v>1712</v>
      </c>
      <c r="D6231" t="str">
        <f>IFERROR(VLOOKUP(C6231,APOYO!J:K,2,FALSE),C6231)</f>
        <v>FLORIDABLANCA</v>
      </c>
      <c r="E6231" s="8">
        <v>2021</v>
      </c>
      <c r="F6231" s="8"/>
      <c r="G6231" s="8"/>
      <c r="H6231" s="8">
        <v>1526</v>
      </c>
      <c r="I6231" s="8"/>
      <c r="J6231" s="8"/>
      <c r="K6231" s="8"/>
    </row>
    <row r="6232" spans="1:11" hidden="1" x14ac:dyDescent="0.25">
      <c r="A6232" t="str">
        <f>_xlfn.XLOOKUP(C6232, 'Códigos DANE Municipios'!$B$2:$B$1123, 'Códigos DANE Municipios'!$A$2:$A$1123, "No encontrado")</f>
        <v>25279</v>
      </c>
      <c r="B6232" t="str">
        <f>IFERROR(VLOOKUP(D6232,APOYO!K:L,2,FALSE),A6232)</f>
        <v>25279</v>
      </c>
      <c r="C6232" t="s">
        <v>967</v>
      </c>
      <c r="D6232" t="str">
        <f>IFERROR(VLOOKUP(C6232,APOYO!J:K,2,FALSE),C6232)</f>
        <v>FÓMEQUE</v>
      </c>
      <c r="E6232">
        <v>2021</v>
      </c>
      <c r="H6232">
        <v>8</v>
      </c>
    </row>
    <row r="6233" spans="1:11" hidden="1" x14ac:dyDescent="0.25">
      <c r="A6233" t="str">
        <f>_xlfn.XLOOKUP(C6233, 'Códigos DANE Municipios'!$B$2:$B$1123, 'Códigos DANE Municipios'!$A$2:$A$1123, "No encontrado")</f>
        <v>44279</v>
      </c>
      <c r="B6233" t="str">
        <f>IFERROR(VLOOKUP(D6233,APOYO!K:L,2,FALSE),A6233)</f>
        <v>44279</v>
      </c>
      <c r="C6233" s="8" t="s">
        <v>1283</v>
      </c>
      <c r="D6233" t="str">
        <f>IFERROR(VLOOKUP(C6233,APOYO!J:K,2,FALSE),C6233)</f>
        <v>FONSECA</v>
      </c>
      <c r="E6233" s="8">
        <v>2021</v>
      </c>
      <c r="F6233" s="8"/>
      <c r="G6233" s="8"/>
      <c r="H6233" s="8">
        <v>30</v>
      </c>
      <c r="I6233" s="8"/>
      <c r="J6233" s="8"/>
      <c r="K6233" s="8"/>
    </row>
    <row r="6234" spans="1:11" hidden="1" x14ac:dyDescent="0.25">
      <c r="A6234" t="str">
        <f>_xlfn.XLOOKUP(C6234, 'Códigos DANE Municipios'!$B$2:$B$1123, 'Códigos DANE Municipios'!$A$2:$A$1123, "No encontrado")</f>
        <v>25281</v>
      </c>
      <c r="B6234" t="str">
        <f>IFERROR(VLOOKUP(D6234,APOYO!K:L,2,FALSE),A6234)</f>
        <v>25281</v>
      </c>
      <c r="C6234" s="8" t="s">
        <v>969</v>
      </c>
      <c r="D6234" t="str">
        <f>IFERROR(VLOOKUP(C6234,APOYO!J:K,2,FALSE),C6234)</f>
        <v>FOSCA</v>
      </c>
      <c r="E6234" s="8">
        <v>2021</v>
      </c>
      <c r="F6234" s="8"/>
      <c r="G6234" s="8"/>
      <c r="H6234" s="8">
        <v>4</v>
      </c>
      <c r="I6234" s="8"/>
      <c r="J6234" s="8"/>
      <c r="K6234" s="8"/>
    </row>
    <row r="6235" spans="1:11" hidden="1" x14ac:dyDescent="0.25">
      <c r="A6235" t="str">
        <f>_xlfn.XLOOKUP(C6235, 'Códigos DANE Municipios'!$B$2:$B$1123, 'Códigos DANE Municipios'!$A$2:$A$1123, "No encontrado")</f>
        <v>81300</v>
      </c>
      <c r="B6235" t="str">
        <f>IFERROR(VLOOKUP(D6235,APOYO!K:L,2,FALSE),A6235)</f>
        <v>81300</v>
      </c>
      <c r="C6235" s="8" t="s">
        <v>2040</v>
      </c>
      <c r="D6235" t="str">
        <f>IFERROR(VLOOKUP(C6235,APOYO!J:K,2,FALSE),C6235)</f>
        <v>FORTUL</v>
      </c>
      <c r="E6235" s="8">
        <v>2021</v>
      </c>
      <c r="F6235" s="8"/>
      <c r="G6235" s="8"/>
      <c r="H6235" s="8">
        <v>4</v>
      </c>
      <c r="I6235" s="8"/>
      <c r="J6235" s="8"/>
      <c r="K6235" s="8"/>
    </row>
    <row r="6236" spans="1:11" hidden="1" x14ac:dyDescent="0.25">
      <c r="A6236" t="str">
        <f>_xlfn.XLOOKUP(C6236, 'Códigos DANE Municipios'!$B$2:$B$1123, 'Códigos DANE Municipios'!$A$2:$A$1123, "No encontrado")</f>
        <v>05282</v>
      </c>
      <c r="B6236" t="str">
        <f>IFERROR(VLOOKUP(D6236,APOYO!K:L,2,FALSE),A6236)</f>
        <v>05282</v>
      </c>
      <c r="C6236" s="8" t="s">
        <v>106</v>
      </c>
      <c r="D6236" t="str">
        <f>IFERROR(VLOOKUP(C6236,APOYO!J:K,2,FALSE),C6236)</f>
        <v>FREDONIA</v>
      </c>
      <c r="E6236" s="8">
        <v>2021</v>
      </c>
      <c r="F6236" s="8"/>
      <c r="G6236" s="8"/>
      <c r="H6236" s="8">
        <v>45</v>
      </c>
      <c r="I6236" s="8"/>
      <c r="J6236" s="8"/>
      <c r="K6236" s="8"/>
    </row>
    <row r="6237" spans="1:11" hidden="1" x14ac:dyDescent="0.25">
      <c r="A6237" t="str">
        <f>_xlfn.XLOOKUP(C6237, 'Códigos DANE Municipios'!$B$2:$B$1123, 'Códigos DANE Municipios'!$A$2:$A$1123, "No encontrado")</f>
        <v>73283</v>
      </c>
      <c r="B6237" t="str">
        <f>IFERROR(VLOOKUP(D6237,APOYO!K:L,2,FALSE),A6237)</f>
        <v>73283</v>
      </c>
      <c r="C6237" s="8" t="s">
        <v>1901</v>
      </c>
      <c r="D6237" t="str">
        <f>IFERROR(VLOOKUP(C6237,APOYO!J:K,2,FALSE),C6237)</f>
        <v>FRESNO</v>
      </c>
      <c r="E6237" s="8">
        <v>2021</v>
      </c>
      <c r="F6237" s="8"/>
      <c r="G6237" s="8"/>
      <c r="H6237" s="8">
        <v>49</v>
      </c>
      <c r="I6237" s="8"/>
      <c r="J6237" s="8"/>
      <c r="K6237" s="8"/>
    </row>
    <row r="6238" spans="1:11" hidden="1" x14ac:dyDescent="0.25">
      <c r="A6238" t="str">
        <f>_xlfn.XLOOKUP(C6238, 'Códigos DANE Municipios'!$B$2:$B$1123, 'Códigos DANE Municipios'!$A$2:$A$1123, "No encontrado")</f>
        <v>05284</v>
      </c>
      <c r="B6238" t="str">
        <f>IFERROR(VLOOKUP(D6238,APOYO!K:L,2,FALSE),A6238)</f>
        <v>05284</v>
      </c>
      <c r="C6238" s="8" t="s">
        <v>108</v>
      </c>
      <c r="D6238" t="str">
        <f>IFERROR(VLOOKUP(C6238,APOYO!J:K,2,FALSE),C6238)</f>
        <v>FRONTINO</v>
      </c>
      <c r="E6238" s="8">
        <v>2021</v>
      </c>
      <c r="F6238" s="8"/>
      <c r="G6238" s="8"/>
      <c r="H6238" s="8">
        <v>6</v>
      </c>
      <c r="I6238" s="8"/>
      <c r="J6238" s="8"/>
      <c r="K6238" s="8"/>
    </row>
    <row r="6239" spans="1:11" hidden="1" x14ac:dyDescent="0.25">
      <c r="A6239" t="str">
        <f>_xlfn.XLOOKUP(C6239, 'Códigos DANE Municipios'!$B$2:$B$1123, 'Códigos DANE Municipios'!$A$2:$A$1123, "No encontrado")</f>
        <v>50287</v>
      </c>
      <c r="B6239" t="str">
        <f>IFERROR(VLOOKUP(D6239,APOYO!K:L,2,FALSE),A6239)</f>
        <v>50287</v>
      </c>
      <c r="C6239" s="8" t="s">
        <v>1378</v>
      </c>
      <c r="D6239" t="str">
        <f>IFERROR(VLOOKUP(C6239,APOYO!J:K,2,FALSE),C6239)</f>
        <v>FUENTE DE ORO</v>
      </c>
      <c r="E6239" s="8">
        <v>2021</v>
      </c>
      <c r="F6239" s="8">
        <v>11</v>
      </c>
      <c r="G6239" s="8"/>
      <c r="H6239" s="8">
        <v>11</v>
      </c>
      <c r="I6239" s="8"/>
      <c r="J6239" s="8"/>
      <c r="K6239" s="8"/>
    </row>
    <row r="6240" spans="1:11" hidden="1" x14ac:dyDescent="0.25">
      <c r="A6240" t="str">
        <f>_xlfn.XLOOKUP(C6240, 'Códigos DANE Municipios'!$B$2:$B$1123, 'Códigos DANE Municipios'!$A$2:$A$1123, "No encontrado")</f>
        <v>47288</v>
      </c>
      <c r="B6240" t="str">
        <f>IFERROR(VLOOKUP(D6240,APOYO!K:L,2,FALSE),A6240)</f>
        <v>47288</v>
      </c>
      <c r="C6240" s="8" t="s">
        <v>1321</v>
      </c>
      <c r="D6240" t="str">
        <f>IFERROR(VLOOKUP(C6240,APOYO!J:K,2,FALSE),C6240)</f>
        <v>FUNDACIÓN</v>
      </c>
      <c r="E6240" s="8">
        <v>2021</v>
      </c>
      <c r="F6240" s="8"/>
      <c r="G6240" s="8"/>
      <c r="H6240" s="8">
        <v>32</v>
      </c>
      <c r="I6240" s="8"/>
      <c r="J6240" s="8"/>
      <c r="K6240" s="8"/>
    </row>
    <row r="6241" spans="1:11" hidden="1" x14ac:dyDescent="0.25">
      <c r="A6241" t="str">
        <f>_xlfn.XLOOKUP(C6241, 'Códigos DANE Municipios'!$B$2:$B$1123, 'Códigos DANE Municipios'!$A$2:$A$1123, "No encontrado")</f>
        <v>52287</v>
      </c>
      <c r="B6241" t="str">
        <f>IFERROR(VLOOKUP(D6241,APOYO!K:L,2,FALSE),A6241)</f>
        <v>52287</v>
      </c>
      <c r="C6241" s="8" t="s">
        <v>1450</v>
      </c>
      <c r="D6241" t="str">
        <f>IFERROR(VLOOKUP(C6241,APOYO!J:K,2,FALSE),C6241)</f>
        <v>FUNES</v>
      </c>
      <c r="E6241" s="8">
        <v>2021</v>
      </c>
      <c r="F6241" s="8"/>
      <c r="G6241" s="8"/>
      <c r="H6241" s="8"/>
      <c r="I6241" s="8"/>
      <c r="J6241" s="8"/>
      <c r="K6241" s="8"/>
    </row>
    <row r="6242" spans="1:11" hidden="1" x14ac:dyDescent="0.25">
      <c r="A6242" t="str">
        <f>_xlfn.XLOOKUP(C6242, 'Códigos DANE Municipios'!$B$2:$B$1123, 'Códigos DANE Municipios'!$A$2:$A$1123, "No encontrado")</f>
        <v>25286</v>
      </c>
      <c r="B6242" t="str">
        <f>IFERROR(VLOOKUP(D6242,APOYO!K:L,2,FALSE),A6242)</f>
        <v>25286</v>
      </c>
      <c r="C6242" s="8" t="s">
        <v>971</v>
      </c>
      <c r="D6242" t="str">
        <f>IFERROR(VLOOKUP(C6242,APOYO!J:K,2,FALSE),C6242)</f>
        <v>FUNZA</v>
      </c>
      <c r="E6242" s="8">
        <v>2021</v>
      </c>
      <c r="F6242" s="8"/>
      <c r="G6242" s="8"/>
      <c r="H6242" s="8">
        <v>420</v>
      </c>
      <c r="I6242" s="8"/>
      <c r="J6242" s="8"/>
      <c r="K6242" s="8"/>
    </row>
    <row r="6243" spans="1:11" hidden="1" x14ac:dyDescent="0.25">
      <c r="A6243" t="str">
        <f>_xlfn.XLOOKUP(C6243, 'Códigos DANE Municipios'!$B$2:$B$1123, 'Códigos DANE Municipios'!$A$2:$A$1123, "No encontrado")</f>
        <v>25288</v>
      </c>
      <c r="B6243" t="str">
        <f>IFERROR(VLOOKUP(D6243,APOYO!K:L,2,FALSE),A6243)</f>
        <v>25288</v>
      </c>
      <c r="C6243" t="s">
        <v>973</v>
      </c>
      <c r="D6243" t="str">
        <f>IFERROR(VLOOKUP(C6243,APOYO!J:K,2,FALSE),C6243)</f>
        <v>FÚQUENE</v>
      </c>
      <c r="E6243">
        <v>2021</v>
      </c>
      <c r="H6243">
        <v>4</v>
      </c>
    </row>
    <row r="6244" spans="1:11" hidden="1" x14ac:dyDescent="0.25">
      <c r="A6244" t="str">
        <f>_xlfn.XLOOKUP(C6244, 'Códigos DANE Municipios'!$B$2:$B$1123, 'Códigos DANE Municipios'!$A$2:$A$1123, "No encontrado")</f>
        <v>25290</v>
      </c>
      <c r="B6244" t="str">
        <f>IFERROR(VLOOKUP(D6244,APOYO!K:L,2,FALSE),A6244)</f>
        <v>25290</v>
      </c>
      <c r="C6244" s="8" t="s">
        <v>975</v>
      </c>
      <c r="D6244" t="str">
        <f>IFERROR(VLOOKUP(C6244,APOYO!J:K,2,FALSE),C6244)</f>
        <v>FUSAGASUGÁ</v>
      </c>
      <c r="E6244" s="8">
        <v>2021</v>
      </c>
      <c r="F6244" s="8"/>
      <c r="G6244" s="8"/>
      <c r="H6244" s="8">
        <v>880</v>
      </c>
      <c r="I6244" s="8"/>
      <c r="J6244" s="8"/>
      <c r="K6244" s="8"/>
    </row>
    <row r="6245" spans="1:11" hidden="1" x14ac:dyDescent="0.25">
      <c r="A6245" t="str">
        <f>_xlfn.XLOOKUP(C6245, 'Códigos DANE Municipios'!$B$2:$B$1123, 'Códigos DANE Municipios'!$A$2:$A$1123, "No encontrado")</f>
        <v>25293</v>
      </c>
      <c r="B6245" t="str">
        <f>IFERROR(VLOOKUP(D6245,APOYO!K:L,2,FALSE),A6245)</f>
        <v>25293</v>
      </c>
      <c r="C6245" t="s">
        <v>977</v>
      </c>
      <c r="D6245" t="str">
        <f>IFERROR(VLOOKUP(C6245,APOYO!J:K,2,FALSE),C6245)</f>
        <v>GACHALÁ</v>
      </c>
      <c r="E6245">
        <v>2021</v>
      </c>
      <c r="H6245">
        <v>2</v>
      </c>
    </row>
    <row r="6246" spans="1:11" hidden="1" x14ac:dyDescent="0.25">
      <c r="A6246" t="str">
        <f>_xlfn.XLOOKUP(C6246, 'Códigos DANE Municipios'!$B$2:$B$1123, 'Códigos DANE Municipios'!$A$2:$A$1123, "No encontrado")</f>
        <v>25295</v>
      </c>
      <c r="B6246" t="str">
        <f>IFERROR(VLOOKUP(D6246,APOYO!K:L,2,FALSE),A6246)</f>
        <v>25295</v>
      </c>
      <c r="C6246" s="8" t="s">
        <v>979</v>
      </c>
      <c r="D6246" t="str">
        <f>IFERROR(VLOOKUP(C6246,APOYO!J:K,2,FALSE),C6246)</f>
        <v>GACHANCIPÁ</v>
      </c>
      <c r="E6246" s="8">
        <v>2021</v>
      </c>
      <c r="F6246" s="8"/>
      <c r="G6246" s="8"/>
      <c r="H6246" s="8">
        <v>30</v>
      </c>
      <c r="I6246" s="8"/>
      <c r="J6246" s="8"/>
      <c r="K6246" s="8"/>
    </row>
    <row r="6247" spans="1:11" hidden="1" x14ac:dyDescent="0.25">
      <c r="A6247" t="str">
        <f>_xlfn.XLOOKUP(C6247, 'Códigos DANE Municipios'!$B$2:$B$1123, 'Códigos DANE Municipios'!$A$2:$A$1123, "No encontrado")</f>
        <v>25297</v>
      </c>
      <c r="B6247" t="str">
        <f>IFERROR(VLOOKUP(D6247,APOYO!K:L,2,FALSE),A6247)</f>
        <v>25297</v>
      </c>
      <c r="C6247" t="s">
        <v>981</v>
      </c>
      <c r="D6247" t="str">
        <f>IFERROR(VLOOKUP(C6247,APOYO!J:K,2,FALSE),C6247)</f>
        <v>GACHETÁ</v>
      </c>
      <c r="E6247">
        <v>2021</v>
      </c>
      <c r="H6247">
        <v>4</v>
      </c>
    </row>
    <row r="6248" spans="1:11" hidden="1" x14ac:dyDescent="0.25">
      <c r="A6248" t="str">
        <f>_xlfn.XLOOKUP(C6248, 'Códigos DANE Municipios'!$B$2:$B$1123, 'Códigos DANE Municipios'!$A$2:$A$1123, "No encontrado")</f>
        <v>08296</v>
      </c>
      <c r="B6248" t="str">
        <f>IFERROR(VLOOKUP(D6248,APOYO!K:L,2,FALSE),A6248)</f>
        <v>08296</v>
      </c>
      <c r="C6248" s="8" t="s">
        <v>270</v>
      </c>
      <c r="D6248" t="str">
        <f>IFERROR(VLOOKUP(C6248,APOYO!J:K,2,FALSE),C6248)</f>
        <v>GALAPA</v>
      </c>
      <c r="E6248" s="8">
        <v>2021</v>
      </c>
      <c r="F6248" s="8"/>
      <c r="G6248" s="8"/>
      <c r="H6248" s="8">
        <v>92</v>
      </c>
      <c r="I6248" s="8"/>
      <c r="J6248" s="8"/>
      <c r="K6248" s="8"/>
    </row>
    <row r="6249" spans="1:11" hidden="1" x14ac:dyDescent="0.25">
      <c r="A6249" t="str">
        <f>_xlfn.XLOOKUP(C6249, 'Códigos DANE Municipios'!$B$2:$B$1123, 'Códigos DANE Municipios'!$A$2:$A$1123, "No encontrado")</f>
        <v>68298</v>
      </c>
      <c r="B6249" t="str">
        <f>IFERROR(VLOOKUP(D6249,APOYO!K:L,2,FALSE),A6249)</f>
        <v>68298</v>
      </c>
      <c r="C6249" t="s">
        <v>1716</v>
      </c>
      <c r="D6249" t="str">
        <f>IFERROR(VLOOKUP(C6249,APOYO!J:K,2,FALSE),C6249)</f>
        <v>GÁMBITA</v>
      </c>
      <c r="E6249">
        <v>2021</v>
      </c>
    </row>
    <row r="6250" spans="1:11" hidden="1" x14ac:dyDescent="0.25">
      <c r="A6250" t="str">
        <f>_xlfn.XLOOKUP(C6250, 'Códigos DANE Municipios'!$B$2:$B$1123, 'Códigos DANE Municipios'!$A$2:$A$1123, "No encontrado")</f>
        <v>15293</v>
      </c>
      <c r="B6250" t="str">
        <f>IFERROR(VLOOKUP(D6250,APOYO!K:L,2,FALSE),A6250)</f>
        <v>15293</v>
      </c>
      <c r="C6250" s="8" t="s">
        <v>471</v>
      </c>
      <c r="D6250" t="str">
        <f>IFERROR(VLOOKUP(C6250,APOYO!J:K,2,FALSE),C6250)</f>
        <v>GACHANTIVÁ</v>
      </c>
      <c r="E6250" s="8">
        <v>2021</v>
      </c>
      <c r="F6250" s="8"/>
      <c r="G6250" s="8"/>
      <c r="H6250" s="8">
        <v>2</v>
      </c>
      <c r="I6250" s="8"/>
      <c r="J6250" s="8"/>
      <c r="K6250" s="8"/>
    </row>
    <row r="6251" spans="1:11" hidden="1" x14ac:dyDescent="0.25">
      <c r="A6251" t="str">
        <f>_xlfn.XLOOKUP(C6251, 'Códigos DANE Municipios'!$B$2:$B$1123, 'Códigos DANE Municipios'!$A$2:$A$1123, "No encontrado")</f>
        <v>68296</v>
      </c>
      <c r="B6251" t="str">
        <f>IFERROR(VLOOKUP(D6251,APOYO!K:L,2,FALSE),A6251)</f>
        <v>68296</v>
      </c>
      <c r="C6251" s="8" t="s">
        <v>1714</v>
      </c>
      <c r="D6251" t="str">
        <f>IFERROR(VLOOKUP(C6251,APOYO!J:K,2,FALSE),C6251)</f>
        <v>GALÁN</v>
      </c>
      <c r="E6251" s="8">
        <v>2021</v>
      </c>
      <c r="F6251" s="8"/>
      <c r="G6251" s="8"/>
      <c r="H6251" s="8">
        <v>4</v>
      </c>
      <c r="I6251" s="8"/>
      <c r="J6251" s="8"/>
      <c r="K6251" s="8"/>
    </row>
    <row r="6252" spans="1:11" hidden="1" x14ac:dyDescent="0.25">
      <c r="A6252" t="str">
        <f>_xlfn.XLOOKUP(C6252, 'Códigos DANE Municipios'!$B$2:$B$1123, 'Códigos DANE Municipios'!$A$2:$A$1123, "No encontrado")</f>
        <v>08296</v>
      </c>
      <c r="B6252" t="str">
        <f>IFERROR(VLOOKUP(D6252,APOYO!K:L,2,FALSE),A6252)</f>
        <v>08296</v>
      </c>
      <c r="C6252" s="8" t="s">
        <v>270</v>
      </c>
      <c r="D6252" t="str">
        <f>IFERROR(VLOOKUP(C6252,APOYO!J:K,2,FALSE),C6252)</f>
        <v>GALAPA</v>
      </c>
      <c r="E6252" s="8">
        <v>2021</v>
      </c>
      <c r="F6252" s="8"/>
      <c r="G6252" s="8"/>
      <c r="H6252" s="8"/>
      <c r="I6252" s="8"/>
      <c r="J6252" s="8"/>
      <c r="K6252" s="8"/>
    </row>
    <row r="6253" spans="1:11" hidden="1" x14ac:dyDescent="0.25">
      <c r="A6253" t="str">
        <f>_xlfn.XLOOKUP(C6253, 'Códigos DANE Municipios'!$B$2:$B$1123, 'Códigos DANE Municipios'!$A$2:$A$1123, "No encontrado")</f>
        <v>15299</v>
      </c>
      <c r="B6253" t="str">
        <f>IFERROR(VLOOKUP(D6253,APOYO!K:L,2,FALSE),A6253)</f>
        <v>15299</v>
      </c>
      <c r="C6253" s="8" t="s">
        <v>475</v>
      </c>
      <c r="D6253" t="str">
        <f>IFERROR(VLOOKUP(C6253,APOYO!J:K,2,FALSE),C6253)</f>
        <v>GARAGOA</v>
      </c>
      <c r="E6253" s="8">
        <v>2021</v>
      </c>
      <c r="F6253" s="8"/>
      <c r="G6253" s="8"/>
      <c r="H6253" s="8">
        <v>28</v>
      </c>
      <c r="I6253" s="8"/>
      <c r="J6253" s="8"/>
      <c r="K6253" s="8"/>
    </row>
    <row r="6254" spans="1:11" hidden="1" x14ac:dyDescent="0.25">
      <c r="A6254" t="str">
        <f>_xlfn.XLOOKUP(C6254, 'Códigos DANE Municipios'!$B$2:$B$1123, 'Códigos DANE Municipios'!$A$2:$A$1123, "No encontrado")</f>
        <v>41298</v>
      </c>
      <c r="B6254" t="str">
        <f>IFERROR(VLOOKUP(D6254,APOYO!K:L,2,FALSE),A6254)</f>
        <v>41298</v>
      </c>
      <c r="C6254" s="8" t="s">
        <v>1221</v>
      </c>
      <c r="D6254" t="str">
        <f>IFERROR(VLOOKUP(C6254,APOYO!J:K,2,FALSE),C6254)</f>
        <v>GARZÓN</v>
      </c>
      <c r="E6254" s="8">
        <v>2021</v>
      </c>
      <c r="F6254" s="8"/>
      <c r="G6254" s="8"/>
      <c r="H6254" s="8">
        <v>97</v>
      </c>
      <c r="I6254" s="8"/>
      <c r="J6254" s="8"/>
      <c r="K6254" s="8"/>
    </row>
    <row r="6255" spans="1:11" hidden="1" x14ac:dyDescent="0.25">
      <c r="A6255" t="str">
        <f>_xlfn.XLOOKUP(C6255, 'Códigos DANE Municipios'!$B$2:$B$1123, 'Códigos DANE Municipios'!$A$2:$A$1123, "No encontrado")</f>
        <v>63302</v>
      </c>
      <c r="B6255" t="str">
        <f>IFERROR(VLOOKUP(D6255,APOYO!K:L,2,FALSE),A6255)</f>
        <v>63302</v>
      </c>
      <c r="C6255" s="8" t="s">
        <v>1616</v>
      </c>
      <c r="D6255" t="str">
        <f>IFERROR(VLOOKUP(C6255,APOYO!J:K,2,FALSE),C6255)</f>
        <v>GÉNOVA</v>
      </c>
      <c r="E6255" s="8">
        <v>2021</v>
      </c>
      <c r="F6255" s="8"/>
      <c r="G6255" s="8"/>
      <c r="H6255" s="8">
        <v>9</v>
      </c>
      <c r="I6255" s="8"/>
      <c r="J6255" s="8"/>
      <c r="K6255" s="8"/>
    </row>
    <row r="6256" spans="1:11" hidden="1" x14ac:dyDescent="0.25">
      <c r="A6256" t="str">
        <f>_xlfn.XLOOKUP(C6256, 'Códigos DANE Municipios'!$B$2:$B$1123, 'Códigos DANE Municipios'!$A$2:$A$1123, "No encontrado")</f>
        <v>41306</v>
      </c>
      <c r="B6256" t="str">
        <f>IFERROR(VLOOKUP(D6256,APOYO!K:L,2,FALSE),A6256)</f>
        <v>41306</v>
      </c>
      <c r="C6256" s="8" t="s">
        <v>1223</v>
      </c>
      <c r="D6256" t="str">
        <f>IFERROR(VLOOKUP(C6256,APOYO!J:K,2,FALSE),C6256)</f>
        <v>GIGANTE</v>
      </c>
      <c r="E6256" s="8">
        <v>2021</v>
      </c>
      <c r="F6256" s="8"/>
      <c r="G6256" s="8"/>
      <c r="H6256" s="8">
        <v>20</v>
      </c>
      <c r="I6256" s="8"/>
      <c r="J6256" s="8"/>
      <c r="K6256" s="8"/>
    </row>
    <row r="6257" spans="1:11" hidden="1" x14ac:dyDescent="0.25">
      <c r="A6257" t="str">
        <f>_xlfn.XLOOKUP(C6257, 'Códigos DANE Municipios'!$B$2:$B$1123, 'Códigos DANE Municipios'!$A$2:$A$1123, "No encontrado")</f>
        <v>76306</v>
      </c>
      <c r="B6257" t="str">
        <f>IFERROR(VLOOKUP(D6257,APOYO!K:L,2,FALSE),A6257)</f>
        <v>76306</v>
      </c>
      <c r="C6257" s="8" t="s">
        <v>1992</v>
      </c>
      <c r="D6257" t="str">
        <f>IFERROR(VLOOKUP(C6257,APOYO!J:K,2,FALSE),C6257)</f>
        <v>GINEBRA</v>
      </c>
      <c r="E6257" s="8">
        <v>2021</v>
      </c>
      <c r="F6257" s="8"/>
      <c r="G6257" s="8"/>
      <c r="H6257" s="8">
        <v>171</v>
      </c>
      <c r="I6257" s="8"/>
      <c r="J6257" s="8"/>
      <c r="K6257" s="8"/>
    </row>
    <row r="6258" spans="1:11" hidden="1" x14ac:dyDescent="0.25">
      <c r="A6258" t="str">
        <f>_xlfn.XLOOKUP(C6258, 'Códigos DANE Municipios'!$B$2:$B$1123, 'Códigos DANE Municipios'!$A$2:$A$1123, "No encontrado")</f>
        <v>05306</v>
      </c>
      <c r="B6258" t="str">
        <f>IFERROR(VLOOKUP(D6258,APOYO!K:L,2,FALSE),A6258)</f>
        <v>05306</v>
      </c>
      <c r="C6258" s="8" t="s">
        <v>110</v>
      </c>
      <c r="D6258" t="str">
        <f>IFERROR(VLOOKUP(C6258,APOYO!J:K,2,FALSE),C6258)</f>
        <v>GIRALDO</v>
      </c>
      <c r="E6258" s="8">
        <v>2021</v>
      </c>
      <c r="F6258" s="8"/>
      <c r="G6258" s="8"/>
      <c r="H6258" s="8">
        <v>15</v>
      </c>
      <c r="I6258" s="8"/>
      <c r="J6258" s="8"/>
      <c r="K6258" s="8"/>
    </row>
    <row r="6259" spans="1:11" hidden="1" x14ac:dyDescent="0.25">
      <c r="A6259" t="str">
        <f>_xlfn.XLOOKUP(C6259, 'Códigos DANE Municipios'!$B$2:$B$1123, 'Códigos DANE Municipios'!$A$2:$A$1123, "No encontrado")</f>
        <v>25307</v>
      </c>
      <c r="B6259" t="str">
        <f>IFERROR(VLOOKUP(D6259,APOYO!K:L,2,FALSE),A6259)</f>
        <v>25307</v>
      </c>
      <c r="C6259" s="8" t="s">
        <v>985</v>
      </c>
      <c r="D6259" t="str">
        <f>IFERROR(VLOOKUP(C6259,APOYO!J:K,2,FALSE),C6259)</f>
        <v>GIRARDOT</v>
      </c>
      <c r="E6259" s="8">
        <v>2021</v>
      </c>
      <c r="F6259" s="8"/>
      <c r="G6259" s="8"/>
      <c r="H6259" s="8">
        <v>499</v>
      </c>
      <c r="I6259" s="8"/>
      <c r="J6259" s="8"/>
      <c r="K6259" s="8"/>
    </row>
    <row r="6260" spans="1:11" hidden="1" x14ac:dyDescent="0.25">
      <c r="A6260" t="str">
        <f>_xlfn.XLOOKUP(C6260, 'Códigos DANE Municipios'!$B$2:$B$1123, 'Códigos DANE Municipios'!$A$2:$A$1123, "No encontrado")</f>
        <v>05308</v>
      </c>
      <c r="B6260" t="str">
        <f>IFERROR(VLOOKUP(D6260,APOYO!K:L,2,FALSE),A6260)</f>
        <v>05308</v>
      </c>
      <c r="C6260" s="8" t="s">
        <v>112</v>
      </c>
      <c r="D6260" t="str">
        <f>IFERROR(VLOOKUP(C6260,APOYO!J:K,2,FALSE),C6260)</f>
        <v>GIRARDOTA</v>
      </c>
      <c r="E6260" s="8">
        <v>2021</v>
      </c>
      <c r="F6260" s="8"/>
      <c r="G6260" s="8"/>
      <c r="H6260" s="8">
        <v>332</v>
      </c>
      <c r="I6260" s="8"/>
      <c r="J6260" s="8"/>
      <c r="K6260" s="8"/>
    </row>
    <row r="6261" spans="1:11" hidden="1" x14ac:dyDescent="0.25">
      <c r="A6261" t="str">
        <f>_xlfn.XLOOKUP(C6261, 'Códigos DANE Municipios'!$B$2:$B$1123, 'Códigos DANE Municipios'!$A$2:$A$1123, "No encontrado")</f>
        <v>68307</v>
      </c>
      <c r="B6261" t="str">
        <f>IFERROR(VLOOKUP(D6261,APOYO!K:L,2,FALSE),A6261)</f>
        <v>68307</v>
      </c>
      <c r="C6261" s="8" t="s">
        <v>1718</v>
      </c>
      <c r="D6261" t="str">
        <f>IFERROR(VLOOKUP(C6261,APOYO!J:K,2,FALSE),C6261)</f>
        <v>GIRÓN</v>
      </c>
      <c r="E6261" s="8">
        <v>2021</v>
      </c>
      <c r="F6261" s="8"/>
      <c r="G6261" s="8"/>
      <c r="H6261" s="8">
        <v>302</v>
      </c>
      <c r="I6261" s="8"/>
      <c r="J6261" s="8"/>
      <c r="K6261" s="8"/>
    </row>
    <row r="6262" spans="1:11" hidden="1" x14ac:dyDescent="0.25">
      <c r="A6262" t="str">
        <f>_xlfn.XLOOKUP(C6262, 'Códigos DANE Municipios'!$B$2:$B$1123, 'Códigos DANE Municipios'!$A$2:$A$1123, "No encontrado")</f>
        <v>05310</v>
      </c>
      <c r="B6262" t="str">
        <f>IFERROR(VLOOKUP(D6262,APOYO!K:L,2,FALSE),A6262)</f>
        <v>05310</v>
      </c>
      <c r="C6262" s="8" t="s">
        <v>114</v>
      </c>
      <c r="D6262" t="str">
        <f>IFERROR(VLOOKUP(C6262,APOYO!J:K,2,FALSE),C6262)</f>
        <v>GÓMEZ PLATA</v>
      </c>
      <c r="E6262" s="8">
        <v>2021</v>
      </c>
      <c r="F6262" s="8"/>
      <c r="G6262" s="8"/>
      <c r="H6262" s="8">
        <v>2</v>
      </c>
      <c r="I6262" s="8"/>
      <c r="J6262" s="8"/>
      <c r="K6262" s="8"/>
    </row>
    <row r="6263" spans="1:11" hidden="1" x14ac:dyDescent="0.25">
      <c r="A6263" t="str">
        <f>_xlfn.XLOOKUP(C6263, 'Códigos DANE Municipios'!$B$2:$B$1123, 'Códigos DANE Municipios'!$A$2:$A$1123, "No encontrado")</f>
        <v>54313</v>
      </c>
      <c r="B6263" t="str">
        <f>IFERROR(VLOOKUP(D6263,APOYO!K:L,2,FALSE),A6263)</f>
        <v>54313</v>
      </c>
      <c r="C6263" s="8" t="s">
        <v>1559</v>
      </c>
      <c r="D6263" t="str">
        <f>IFERROR(VLOOKUP(C6263,APOYO!J:K,2,FALSE),C6263)</f>
        <v>GRAMALOTE</v>
      </c>
      <c r="E6263" s="8">
        <v>2021</v>
      </c>
      <c r="F6263" s="8"/>
      <c r="G6263" s="8"/>
      <c r="H6263" s="8">
        <v>1</v>
      </c>
      <c r="I6263" s="8"/>
      <c r="J6263" s="8"/>
      <c r="K6263" s="8"/>
    </row>
    <row r="6264" spans="1:11" hidden="1" x14ac:dyDescent="0.25">
      <c r="A6264" t="str">
        <f>_xlfn.XLOOKUP(C6264, 'Códigos DANE Municipios'!$B$2:$B$1123, 'Códigos DANE Municipios'!$A$2:$A$1123, "No encontrado")</f>
        <v>05313</v>
      </c>
      <c r="B6264" t="str">
        <f>IFERROR(VLOOKUP(D6264,APOYO!K:L,2,FALSE),A6264)</f>
        <v>05313</v>
      </c>
      <c r="C6264" s="8" t="s">
        <v>116</v>
      </c>
      <c r="D6264" t="str">
        <f>IFERROR(VLOOKUP(C6264,APOYO!J:K,2,FALSE),C6264)</f>
        <v>GRANADA</v>
      </c>
      <c r="E6264" s="8">
        <v>2021</v>
      </c>
      <c r="F6264" s="8"/>
      <c r="G6264" s="8"/>
      <c r="H6264" s="8">
        <v>26</v>
      </c>
      <c r="I6264" s="8"/>
      <c r="J6264" s="8"/>
      <c r="K6264" s="8"/>
    </row>
    <row r="6265" spans="1:11" hidden="1" x14ac:dyDescent="0.25">
      <c r="A6265" t="str">
        <f>_xlfn.XLOOKUP(C6265, 'Códigos DANE Municipios'!$B$2:$B$1123, 'Códigos DANE Municipios'!$A$2:$A$1123, "No encontrado")</f>
        <v>05313</v>
      </c>
      <c r="B6265" t="str">
        <f>IFERROR(VLOOKUP(D6265,APOYO!K:L,2,FALSE),A6265)</f>
        <v>05313</v>
      </c>
      <c r="C6265" s="8" t="s">
        <v>116</v>
      </c>
      <c r="D6265" t="str">
        <f>IFERROR(VLOOKUP(C6265,APOYO!J:K,2,FALSE),C6265)</f>
        <v>GRANADA</v>
      </c>
      <c r="E6265" s="8">
        <v>2021</v>
      </c>
      <c r="F6265" s="8"/>
      <c r="G6265" s="8"/>
      <c r="H6265" s="8">
        <v>9</v>
      </c>
      <c r="I6265" s="8"/>
      <c r="J6265" s="8"/>
      <c r="K6265" s="8"/>
    </row>
    <row r="6266" spans="1:11" hidden="1" x14ac:dyDescent="0.25">
      <c r="A6266" t="str">
        <f>_xlfn.XLOOKUP(C6266, 'Códigos DANE Municipios'!$B$2:$B$1123, 'Códigos DANE Municipios'!$A$2:$A$1123, "No encontrado")</f>
        <v>05313</v>
      </c>
      <c r="B6266" t="str">
        <f>IFERROR(VLOOKUP(D6266,APOYO!K:L,2,FALSE),A6266)</f>
        <v>05313</v>
      </c>
      <c r="C6266" s="8" t="s">
        <v>116</v>
      </c>
      <c r="D6266" t="str">
        <f>IFERROR(VLOOKUP(C6266,APOYO!J:K,2,FALSE),C6266)</f>
        <v>GRANADA</v>
      </c>
      <c r="E6266" s="8">
        <v>2021</v>
      </c>
      <c r="F6266" s="8"/>
      <c r="G6266" s="8"/>
      <c r="H6266" s="8">
        <v>109</v>
      </c>
      <c r="I6266" s="8"/>
      <c r="J6266" s="8"/>
      <c r="K6266" s="8"/>
    </row>
    <row r="6267" spans="1:11" hidden="1" x14ac:dyDescent="0.25">
      <c r="A6267" t="str">
        <f>_xlfn.XLOOKUP(C6267, 'Códigos DANE Municipios'!$B$2:$B$1123, 'Códigos DANE Municipios'!$A$2:$A$1123, "No encontrado")</f>
        <v>68318</v>
      </c>
      <c r="B6267" t="str">
        <f>IFERROR(VLOOKUP(D6267,APOYO!K:L,2,FALSE),A6267)</f>
        <v>68318</v>
      </c>
      <c r="C6267" s="8" t="s">
        <v>1720</v>
      </c>
      <c r="D6267" t="str">
        <f>IFERROR(VLOOKUP(C6267,APOYO!J:K,2,FALSE),C6267)</f>
        <v>GUACA</v>
      </c>
      <c r="E6267" s="8">
        <v>2021</v>
      </c>
      <c r="F6267" s="8"/>
      <c r="G6267" s="8"/>
      <c r="H6267" s="8">
        <v>1</v>
      </c>
      <c r="I6267" s="8"/>
      <c r="J6267" s="8"/>
      <c r="K6267" s="8"/>
    </row>
    <row r="6268" spans="1:11" hidden="1" x14ac:dyDescent="0.25">
      <c r="A6268" t="str">
        <f>_xlfn.XLOOKUP(C6268, 'Códigos DANE Municipios'!$B$2:$B$1123, 'Códigos DANE Municipios'!$A$2:$A$1123, "No encontrado")</f>
        <v>15317</v>
      </c>
      <c r="B6268" t="str">
        <f>IFERROR(VLOOKUP(D6268,APOYO!K:L,2,FALSE),A6268)</f>
        <v>15317</v>
      </c>
      <c r="C6268" s="8" t="s">
        <v>477</v>
      </c>
      <c r="D6268" t="str">
        <f>IFERROR(VLOOKUP(C6268,APOYO!J:K,2,FALSE),C6268)</f>
        <v>GUACAMAYAS</v>
      </c>
      <c r="E6268" s="8">
        <v>2021</v>
      </c>
      <c r="F6268" s="8"/>
      <c r="G6268" s="8"/>
      <c r="H6268" s="8"/>
      <c r="I6268" s="8"/>
      <c r="J6268" s="8"/>
      <c r="K6268" s="8"/>
    </row>
    <row r="6269" spans="1:11" hidden="1" x14ac:dyDescent="0.25">
      <c r="A6269" t="str">
        <f>_xlfn.XLOOKUP(C6269, 'Códigos DANE Municipios'!$B$2:$B$1123, 'Códigos DANE Municipios'!$A$2:$A$1123, "No encontrado")</f>
        <v>76318</v>
      </c>
      <c r="B6269" t="str">
        <f>IFERROR(VLOOKUP(D6269,APOYO!K:L,2,FALSE),A6269)</f>
        <v>76318</v>
      </c>
      <c r="C6269" s="8" t="s">
        <v>1994</v>
      </c>
      <c r="D6269" t="str">
        <f>IFERROR(VLOOKUP(C6269,APOYO!J:K,2,FALSE),C6269)</f>
        <v>GUACARÍ</v>
      </c>
      <c r="E6269" s="8">
        <v>2021</v>
      </c>
      <c r="F6269" s="8"/>
      <c r="G6269" s="8"/>
      <c r="H6269" s="8">
        <v>93</v>
      </c>
      <c r="I6269" s="8"/>
      <c r="J6269" s="8"/>
      <c r="K6269" s="8"/>
    </row>
    <row r="6270" spans="1:11" hidden="1" x14ac:dyDescent="0.25">
      <c r="A6270" t="str">
        <f>_xlfn.XLOOKUP(C6270, 'Códigos DANE Municipios'!$B$2:$B$1123, 'Códigos DANE Municipios'!$A$2:$A$1123, "No encontrado")</f>
        <v>25317</v>
      </c>
      <c r="B6270" t="str">
        <f>IFERROR(VLOOKUP(D6270,APOYO!K:L,2,FALSE),A6270)</f>
        <v>25317</v>
      </c>
      <c r="C6270" t="s">
        <v>988</v>
      </c>
      <c r="D6270" t="str">
        <f>IFERROR(VLOOKUP(C6270,APOYO!J:K,2,FALSE),C6270)</f>
        <v>GUACHETÁ</v>
      </c>
      <c r="E6270">
        <v>2021</v>
      </c>
      <c r="H6270">
        <v>7</v>
      </c>
    </row>
    <row r="6271" spans="1:11" hidden="1" x14ac:dyDescent="0.25">
      <c r="A6271" t="str">
        <f>_xlfn.XLOOKUP(C6271, 'Códigos DANE Municipios'!$B$2:$B$1123, 'Códigos DANE Municipios'!$A$2:$A$1123, "No encontrado")</f>
        <v>52317</v>
      </c>
      <c r="B6271" t="str">
        <f>IFERROR(VLOOKUP(D6271,APOYO!K:L,2,FALSE),A6271)</f>
        <v>52317</v>
      </c>
      <c r="C6271" s="8" t="s">
        <v>1452</v>
      </c>
      <c r="D6271" t="str">
        <f>IFERROR(VLOOKUP(C6271,APOYO!J:K,2,FALSE),C6271)</f>
        <v>GUACHUCAL</v>
      </c>
      <c r="E6271" s="8">
        <v>2021</v>
      </c>
      <c r="F6271" s="8"/>
      <c r="G6271" s="8"/>
      <c r="H6271" s="8">
        <v>2</v>
      </c>
      <c r="I6271" s="8"/>
      <c r="J6271" s="8"/>
      <c r="K6271" s="8"/>
    </row>
    <row r="6272" spans="1:11" hidden="1" x14ac:dyDescent="0.25">
      <c r="A6272" t="str">
        <f>_xlfn.XLOOKUP(C6272, 'Códigos DANE Municipios'!$B$2:$B$1123, 'Códigos DANE Municipios'!$A$2:$A$1123, "No encontrado")</f>
        <v>05315</v>
      </c>
      <c r="B6272" t="str">
        <f>IFERROR(VLOOKUP(D6272,APOYO!K:L,2,FALSE),A6272)</f>
        <v>05315</v>
      </c>
      <c r="C6272" s="8" t="s">
        <v>118</v>
      </c>
      <c r="D6272" t="str">
        <f>IFERROR(VLOOKUP(C6272,APOYO!J:K,2,FALSE),C6272)</f>
        <v>GUADALUPE</v>
      </c>
      <c r="E6272" s="8">
        <v>2021</v>
      </c>
      <c r="F6272" s="8"/>
      <c r="G6272" s="8"/>
      <c r="H6272" s="8">
        <v>32</v>
      </c>
      <c r="I6272" s="8"/>
      <c r="J6272" s="8"/>
      <c r="K6272" s="8"/>
    </row>
    <row r="6273" spans="1:11" hidden="1" x14ac:dyDescent="0.25">
      <c r="A6273" t="str">
        <f>_xlfn.XLOOKUP(C6273, 'Códigos DANE Municipios'!$B$2:$B$1123, 'Códigos DANE Municipios'!$A$2:$A$1123, "No encontrado")</f>
        <v>25320</v>
      </c>
      <c r="B6273" t="str">
        <f>IFERROR(VLOOKUP(D6273,APOYO!K:L,2,FALSE),A6273)</f>
        <v>25320</v>
      </c>
      <c r="C6273" s="8" t="s">
        <v>990</v>
      </c>
      <c r="D6273" t="str">
        <f>IFERROR(VLOOKUP(C6273,APOYO!J:K,2,FALSE),C6273)</f>
        <v>GUADUAS</v>
      </c>
      <c r="E6273" s="8">
        <v>2021</v>
      </c>
      <c r="F6273" s="8"/>
      <c r="G6273" s="8"/>
      <c r="H6273" s="8">
        <v>50</v>
      </c>
      <c r="I6273" s="8"/>
      <c r="J6273" s="8"/>
      <c r="K6273" s="8"/>
    </row>
    <row r="6274" spans="1:11" hidden="1" x14ac:dyDescent="0.25">
      <c r="A6274" t="str">
        <f>_xlfn.XLOOKUP(C6274, 'Códigos DANE Municipios'!$B$2:$B$1123, 'Códigos DANE Municipios'!$A$2:$A$1123, "No encontrado")</f>
        <v>47318</v>
      </c>
      <c r="B6274" t="str">
        <f>IFERROR(VLOOKUP(D6274,APOYO!K:L,2,FALSE),A6274)</f>
        <v>47318</v>
      </c>
      <c r="C6274" s="8" t="s">
        <v>1323</v>
      </c>
      <c r="D6274" t="str">
        <f>IFERROR(VLOOKUP(C6274,APOYO!J:K,2,FALSE),C6274)</f>
        <v>GUAMAL</v>
      </c>
      <c r="E6274" s="8">
        <v>2021</v>
      </c>
      <c r="F6274" s="8"/>
      <c r="G6274" s="8"/>
      <c r="H6274" s="8">
        <v>38</v>
      </c>
      <c r="I6274" s="8"/>
      <c r="J6274" s="8"/>
      <c r="K6274" s="8"/>
    </row>
    <row r="6275" spans="1:11" hidden="1" x14ac:dyDescent="0.25">
      <c r="A6275" t="str">
        <f>_xlfn.XLOOKUP(C6275, 'Códigos DANE Municipios'!$B$2:$B$1123, 'Códigos DANE Municipios'!$A$2:$A$1123, "No encontrado")</f>
        <v>73319</v>
      </c>
      <c r="B6275" t="str">
        <f>IFERROR(VLOOKUP(D6275,APOYO!K:L,2,FALSE),A6275)</f>
        <v>73319</v>
      </c>
      <c r="C6275" s="8" t="s">
        <v>1903</v>
      </c>
      <c r="D6275" t="str">
        <f>IFERROR(VLOOKUP(C6275,APOYO!J:K,2,FALSE),C6275)</f>
        <v>GUAMO</v>
      </c>
      <c r="E6275" s="8">
        <v>2021</v>
      </c>
      <c r="F6275" s="8"/>
      <c r="G6275" s="8"/>
      <c r="H6275" s="8">
        <v>28</v>
      </c>
      <c r="I6275" s="8"/>
      <c r="J6275" s="8"/>
      <c r="K6275" s="8"/>
    </row>
    <row r="6276" spans="1:11" hidden="1" x14ac:dyDescent="0.25">
      <c r="A6276" t="str">
        <f>_xlfn.XLOOKUP(C6276, 'Códigos DANE Municipios'!$B$2:$B$1123, 'Códigos DANE Municipios'!$A$2:$A$1123, "No encontrado")</f>
        <v>19318</v>
      </c>
      <c r="B6276" t="str">
        <f>IFERROR(VLOOKUP(D6276,APOYO!K:L,2,FALSE),A6276)</f>
        <v>19318</v>
      </c>
      <c r="C6276" s="8" t="s">
        <v>753</v>
      </c>
      <c r="D6276" t="str">
        <f>IFERROR(VLOOKUP(C6276,APOYO!J:K,2,FALSE),C6276)</f>
        <v>GUAPÍ</v>
      </c>
      <c r="E6276" s="8">
        <v>2021</v>
      </c>
      <c r="F6276" s="8">
        <v>29674</v>
      </c>
      <c r="G6276" s="8"/>
      <c r="H6276" s="8">
        <v>16</v>
      </c>
      <c r="I6276" s="8">
        <v>6325</v>
      </c>
      <c r="J6276" s="8"/>
      <c r="K6276" s="8"/>
    </row>
    <row r="6277" spans="1:11" hidden="1" x14ac:dyDescent="0.25">
      <c r="A6277" t="str">
        <f>_xlfn.XLOOKUP(C6277, 'Códigos DANE Municipios'!$B$2:$B$1123, 'Códigos DANE Municipios'!$A$2:$A$1123, "No encontrado")</f>
        <v>70265</v>
      </c>
      <c r="B6277" t="str">
        <f>IFERROR(VLOOKUP(D6277,APOYO!K:L,2,FALSE),A6277)</f>
        <v>70265</v>
      </c>
      <c r="C6277" s="8" t="s">
        <v>1833</v>
      </c>
      <c r="D6277" t="str">
        <f>IFERROR(VLOOKUP(C6277,APOYO!J:K,2,FALSE),C6277)</f>
        <v>GUARANDA</v>
      </c>
      <c r="E6277" s="8">
        <v>2021</v>
      </c>
      <c r="F6277" s="8"/>
      <c r="G6277" s="8"/>
      <c r="H6277" s="8"/>
      <c r="I6277" s="8"/>
      <c r="J6277" s="8"/>
      <c r="K6277" s="8"/>
    </row>
    <row r="6278" spans="1:11" hidden="1" x14ac:dyDescent="0.25">
      <c r="A6278" t="str">
        <f>_xlfn.XLOOKUP(C6278, 'Códigos DANE Municipios'!$B$2:$B$1123, 'Códigos DANE Municipios'!$A$2:$A$1123, "No encontrado")</f>
        <v>05318</v>
      </c>
      <c r="B6278" t="str">
        <f>IFERROR(VLOOKUP(D6278,APOYO!K:L,2,FALSE),A6278)</f>
        <v>05318</v>
      </c>
      <c r="C6278" s="8" t="s">
        <v>120</v>
      </c>
      <c r="D6278" t="str">
        <f>IFERROR(VLOOKUP(C6278,APOYO!J:K,2,FALSE),C6278)</f>
        <v>GUARNE</v>
      </c>
      <c r="E6278" s="8">
        <v>2021</v>
      </c>
      <c r="F6278" s="8"/>
      <c r="G6278" s="8"/>
      <c r="H6278" s="8">
        <v>727</v>
      </c>
      <c r="I6278" s="8"/>
      <c r="J6278" s="8"/>
      <c r="K6278" s="8"/>
    </row>
    <row r="6279" spans="1:11" hidden="1" x14ac:dyDescent="0.25">
      <c r="A6279" t="str">
        <f>_xlfn.XLOOKUP(C6279, 'Códigos DANE Municipios'!$B$2:$B$1123, 'Códigos DANE Municipios'!$A$2:$A$1123, "No encontrado")</f>
        <v>25322</v>
      </c>
      <c r="B6279" t="str">
        <f>IFERROR(VLOOKUP(D6279,APOYO!K:L,2,FALSE),A6279)</f>
        <v>25322</v>
      </c>
      <c r="C6279" s="8" t="s">
        <v>992</v>
      </c>
      <c r="D6279" t="str">
        <f>IFERROR(VLOOKUP(C6279,APOYO!J:K,2,FALSE),C6279)</f>
        <v>GUASCA</v>
      </c>
      <c r="E6279" s="8">
        <v>2021</v>
      </c>
      <c r="F6279" s="8"/>
      <c r="G6279" s="8"/>
      <c r="H6279" s="8">
        <v>79</v>
      </c>
      <c r="I6279" s="8"/>
      <c r="J6279" s="8"/>
      <c r="K6279" s="8"/>
    </row>
    <row r="6280" spans="1:11" hidden="1" x14ac:dyDescent="0.25">
      <c r="A6280" t="str">
        <f>_xlfn.XLOOKUP(C6280, 'Códigos DANE Municipios'!$B$2:$B$1123, 'Códigos DANE Municipios'!$A$2:$A$1123, "No encontrado")</f>
        <v>05321</v>
      </c>
      <c r="B6280" t="str">
        <f>IFERROR(VLOOKUP(D6280,APOYO!K:L,2,FALSE),A6280)</f>
        <v>05321</v>
      </c>
      <c r="C6280" s="8" t="s">
        <v>122</v>
      </c>
      <c r="D6280" t="str">
        <f>IFERROR(VLOOKUP(C6280,APOYO!J:K,2,FALSE),C6280)</f>
        <v>GUATAPÉ</v>
      </c>
      <c r="E6280" s="8">
        <v>2021</v>
      </c>
      <c r="F6280" s="8"/>
      <c r="G6280" s="8"/>
      <c r="H6280" s="8">
        <v>976</v>
      </c>
      <c r="I6280" s="8"/>
      <c r="J6280" s="8"/>
      <c r="K6280" s="8"/>
    </row>
    <row r="6281" spans="1:11" hidden="1" x14ac:dyDescent="0.25">
      <c r="A6281" t="str">
        <f>_xlfn.XLOOKUP(C6281, 'Códigos DANE Municipios'!$B$2:$B$1123, 'Códigos DANE Municipios'!$A$2:$A$1123, "No encontrado")</f>
        <v>25324</v>
      </c>
      <c r="B6281" t="str">
        <f>IFERROR(VLOOKUP(D6281,APOYO!K:L,2,FALSE),A6281)</f>
        <v>25324</v>
      </c>
      <c r="C6281" t="s">
        <v>994</v>
      </c>
      <c r="D6281" t="str">
        <f>IFERROR(VLOOKUP(C6281,APOYO!J:K,2,FALSE),C6281)</f>
        <v>GUATAQUÍ</v>
      </c>
      <c r="E6281">
        <v>2021</v>
      </c>
    </row>
    <row r="6282" spans="1:11" hidden="1" x14ac:dyDescent="0.25">
      <c r="A6282" t="str">
        <f>_xlfn.XLOOKUP(C6282, 'Códigos DANE Municipios'!$B$2:$B$1123, 'Códigos DANE Municipios'!$A$2:$A$1123, "No encontrado")</f>
        <v>25326</v>
      </c>
      <c r="B6282" t="str">
        <f>IFERROR(VLOOKUP(D6282,APOYO!K:L,2,FALSE),A6282)</f>
        <v>25326</v>
      </c>
      <c r="C6282" s="8" t="s">
        <v>996</v>
      </c>
      <c r="D6282" t="str">
        <f>IFERROR(VLOOKUP(C6282,APOYO!J:K,2,FALSE),C6282)</f>
        <v>GUATAVITA</v>
      </c>
      <c r="E6282" s="8">
        <v>2021</v>
      </c>
      <c r="F6282" s="8"/>
      <c r="G6282" s="8"/>
      <c r="H6282" s="8">
        <v>36</v>
      </c>
      <c r="I6282" s="8"/>
      <c r="J6282" s="8"/>
      <c r="K6282" s="8"/>
    </row>
    <row r="6283" spans="1:11" hidden="1" x14ac:dyDescent="0.25">
      <c r="A6283" t="str">
        <f>_xlfn.XLOOKUP(C6283, 'Códigos DANE Municipios'!$B$2:$B$1123, 'Códigos DANE Municipios'!$A$2:$A$1123, "No encontrado")</f>
        <v>15322</v>
      </c>
      <c r="B6283" t="str">
        <f>IFERROR(VLOOKUP(D6283,APOYO!K:L,2,FALSE),A6283)</f>
        <v>15322</v>
      </c>
      <c r="C6283" s="8" t="s">
        <v>479</v>
      </c>
      <c r="D6283" t="str">
        <f>IFERROR(VLOOKUP(C6283,APOYO!J:K,2,FALSE),C6283)</f>
        <v>GUATEQUE</v>
      </c>
      <c r="E6283" s="8">
        <v>2021</v>
      </c>
      <c r="F6283" s="8"/>
      <c r="G6283" s="8"/>
      <c r="H6283" s="8">
        <v>12</v>
      </c>
      <c r="I6283" s="8"/>
      <c r="J6283" s="8"/>
      <c r="K6283" s="8"/>
    </row>
    <row r="6284" spans="1:11" hidden="1" x14ac:dyDescent="0.25">
      <c r="A6284" t="str">
        <f>_xlfn.XLOOKUP(C6284, 'Códigos DANE Municipios'!$B$2:$B$1123, 'Códigos DANE Municipios'!$A$2:$A$1123, "No encontrado")</f>
        <v>66318</v>
      </c>
      <c r="B6284" t="str">
        <f>IFERROR(VLOOKUP(D6284,APOYO!K:L,2,FALSE),A6284)</f>
        <v>66318</v>
      </c>
      <c r="C6284" s="8" t="s">
        <v>1637</v>
      </c>
      <c r="D6284" t="str">
        <f>IFERROR(VLOOKUP(C6284,APOYO!J:K,2,FALSE),C6284)</f>
        <v>GUÁTICA</v>
      </c>
      <c r="E6284" s="8">
        <v>2021</v>
      </c>
      <c r="F6284" s="8"/>
      <c r="G6284" s="8"/>
      <c r="H6284" s="8">
        <v>8</v>
      </c>
      <c r="I6284" s="8"/>
      <c r="J6284" s="8"/>
      <c r="K6284" s="8"/>
    </row>
    <row r="6285" spans="1:11" hidden="1" x14ac:dyDescent="0.25">
      <c r="A6285" t="str">
        <f>_xlfn.XLOOKUP(C6285, 'Códigos DANE Municipios'!$B$2:$B$1123, 'Códigos DANE Municipios'!$A$2:$A$1123, "No encontrado")</f>
        <v>25328</v>
      </c>
      <c r="B6285" t="str">
        <f>IFERROR(VLOOKUP(D6285,APOYO!K:L,2,FALSE),A6285)</f>
        <v>25328</v>
      </c>
      <c r="C6285" t="s">
        <v>998</v>
      </c>
      <c r="D6285" t="str">
        <f>IFERROR(VLOOKUP(C6285,APOYO!J:K,2,FALSE),C6285)</f>
        <v>GUAYABAL DE SÍQUIMA</v>
      </c>
      <c r="E6285">
        <v>2021</v>
      </c>
      <c r="H6285">
        <v>5</v>
      </c>
    </row>
    <row r="6286" spans="1:11" hidden="1" x14ac:dyDescent="0.25">
      <c r="A6286" t="str">
        <f>_xlfn.XLOOKUP(C6286, 'Códigos DANE Municipios'!$B$2:$B$1123, 'Códigos DANE Municipios'!$A$2:$A$1123, "No encontrado")</f>
        <v>25335</v>
      </c>
      <c r="B6286" t="str">
        <f>IFERROR(VLOOKUP(D6286,APOYO!K:L,2,FALSE),A6286)</f>
        <v>25335</v>
      </c>
      <c r="C6286" s="8" t="s">
        <v>1000</v>
      </c>
      <c r="D6286" t="str">
        <f>IFERROR(VLOOKUP(C6286,APOYO!J:K,2,FALSE),C6286)</f>
        <v>GUAYABETAL</v>
      </c>
      <c r="E6286" s="8">
        <v>2021</v>
      </c>
      <c r="F6286" s="8"/>
      <c r="G6286" s="8"/>
      <c r="H6286" s="8">
        <v>2</v>
      </c>
      <c r="I6286" s="8"/>
      <c r="J6286" s="8"/>
      <c r="K6286" s="8"/>
    </row>
    <row r="6287" spans="1:11" hidden="1" x14ac:dyDescent="0.25">
      <c r="A6287" t="str">
        <f>_xlfn.XLOOKUP(C6287, 'Códigos DANE Municipios'!$B$2:$B$1123, 'Códigos DANE Municipios'!$A$2:$A$1123, "No encontrado")</f>
        <v>15325</v>
      </c>
      <c r="B6287" t="str">
        <f>IFERROR(VLOOKUP(D6287,APOYO!K:L,2,FALSE),A6287)</f>
        <v>15325</v>
      </c>
      <c r="C6287" s="8" t="s">
        <v>481</v>
      </c>
      <c r="D6287" t="str">
        <f>IFERROR(VLOOKUP(C6287,APOYO!J:K,2,FALSE),C6287)</f>
        <v>GUAYATÁ</v>
      </c>
      <c r="E6287" s="8">
        <v>2021</v>
      </c>
      <c r="F6287" s="8"/>
      <c r="G6287" s="8"/>
      <c r="H6287" s="8">
        <v>3</v>
      </c>
      <c r="I6287" s="8"/>
      <c r="J6287" s="8"/>
      <c r="K6287" s="8"/>
    </row>
    <row r="6288" spans="1:11" hidden="1" x14ac:dyDescent="0.25">
      <c r="A6288" t="str">
        <f>_xlfn.XLOOKUP(C6288, 'Códigos DANE Municipios'!$B$2:$B$1123, 'Códigos DANE Municipios'!$A$2:$A$1123, "No encontrado")</f>
        <v>68327</v>
      </c>
      <c r="B6288" t="str">
        <f>IFERROR(VLOOKUP(D6288,APOYO!K:L,2,FALSE),A6288)</f>
        <v>68327</v>
      </c>
      <c r="C6288" s="8" t="s">
        <v>1727</v>
      </c>
      <c r="D6288" t="str">
        <f>IFERROR(VLOOKUP(C6288,APOYO!J:K,2,FALSE),C6288)</f>
        <v>GÜEPSA</v>
      </c>
      <c r="E6288" s="8">
        <v>2021</v>
      </c>
      <c r="F6288" s="8"/>
      <c r="G6288" s="8"/>
      <c r="H6288" s="8">
        <v>7</v>
      </c>
      <c r="I6288" s="8"/>
      <c r="J6288" s="8"/>
      <c r="K6288" s="8"/>
    </row>
    <row r="6289" spans="1:11" hidden="1" x14ac:dyDescent="0.25">
      <c r="A6289" t="str">
        <f>_xlfn.XLOOKUP(C6289, 'Códigos DANE Municipios'!$B$2:$B$1123, 'Códigos DANE Municipios'!$A$2:$A$1123, "No encontrado")</f>
        <v>15332</v>
      </c>
      <c r="B6289" t="str">
        <f>IFERROR(VLOOKUP(D6289,APOYO!K:L,2,FALSE),A6289)</f>
        <v>15332</v>
      </c>
      <c r="C6289" t="s">
        <v>483</v>
      </c>
      <c r="D6289" t="str">
        <f>IFERROR(VLOOKUP(C6289,APOYO!J:K,2,FALSE),C6289)</f>
        <v>GÜICÁN</v>
      </c>
      <c r="E6289">
        <v>2021</v>
      </c>
      <c r="H6289">
        <v>1</v>
      </c>
    </row>
    <row r="6290" spans="1:11" hidden="1" x14ac:dyDescent="0.25">
      <c r="A6290" t="str">
        <f>_xlfn.XLOOKUP(C6290, 'Códigos DANE Municipios'!$B$2:$B$1123, 'Códigos DANE Municipios'!$A$2:$A$1123, "No encontrado")</f>
        <v>85125</v>
      </c>
      <c r="B6290" t="str">
        <f>IFERROR(VLOOKUP(D6290,APOYO!K:L,2,FALSE),A6290)</f>
        <v>85125</v>
      </c>
      <c r="C6290" s="8" t="s">
        <v>2054</v>
      </c>
      <c r="D6290" t="str">
        <f>IFERROR(VLOOKUP(C6290,APOYO!J:K,2,FALSE),C6290)</f>
        <v>HATO COROZAL</v>
      </c>
      <c r="E6290" s="8">
        <v>2021</v>
      </c>
      <c r="F6290" s="8">
        <v>8</v>
      </c>
      <c r="G6290" s="8"/>
      <c r="H6290" s="8">
        <v>1</v>
      </c>
      <c r="I6290" s="8"/>
      <c r="J6290" s="8"/>
      <c r="K6290" s="8"/>
    </row>
    <row r="6291" spans="1:11" hidden="1" x14ac:dyDescent="0.25">
      <c r="A6291" t="str">
        <f>_xlfn.XLOOKUP(C6291, 'Códigos DANE Municipios'!$B$2:$B$1123, 'Códigos DANE Municipios'!$A$2:$A$1123, "No encontrado")</f>
        <v>05347</v>
      </c>
      <c r="B6291" t="str">
        <f>IFERROR(VLOOKUP(D6291,APOYO!K:L,2,FALSE),A6291)</f>
        <v>05347</v>
      </c>
      <c r="C6291" s="8" t="s">
        <v>124</v>
      </c>
      <c r="D6291" t="str">
        <f>IFERROR(VLOOKUP(C6291,APOYO!J:K,2,FALSE),C6291)</f>
        <v>HELICONIA</v>
      </c>
      <c r="E6291" s="8">
        <v>2021</v>
      </c>
      <c r="F6291" s="8"/>
      <c r="G6291" s="8"/>
      <c r="H6291" s="8">
        <v>4</v>
      </c>
      <c r="I6291" s="8"/>
      <c r="J6291" s="8"/>
      <c r="K6291" s="8"/>
    </row>
    <row r="6292" spans="1:11" hidden="1" x14ac:dyDescent="0.25">
      <c r="A6292" t="str">
        <f>_xlfn.XLOOKUP(C6292, 'Códigos DANE Municipios'!$B$2:$B$1123, 'Códigos DANE Municipios'!$A$2:$A$1123, "No encontrado")</f>
        <v>73347</v>
      </c>
      <c r="B6292" t="str">
        <f>IFERROR(VLOOKUP(D6292,APOYO!K:L,2,FALSE),A6292)</f>
        <v>73347</v>
      </c>
      <c r="C6292" s="8" t="s">
        <v>1905</v>
      </c>
      <c r="D6292" t="str">
        <f>IFERROR(VLOOKUP(C6292,APOYO!J:K,2,FALSE),C6292)</f>
        <v>HERVEO</v>
      </c>
      <c r="E6292" s="8">
        <v>2021</v>
      </c>
      <c r="F6292" s="8"/>
      <c r="G6292" s="8"/>
      <c r="H6292" s="8">
        <v>1</v>
      </c>
      <c r="I6292" s="8"/>
      <c r="J6292" s="8"/>
      <c r="K6292" s="8"/>
    </row>
    <row r="6293" spans="1:11" hidden="1" x14ac:dyDescent="0.25">
      <c r="A6293" t="str">
        <f>_xlfn.XLOOKUP(C6293, 'Códigos DANE Municipios'!$B$2:$B$1123, 'Códigos DANE Municipios'!$A$2:$A$1123, "No encontrado")</f>
        <v>05353</v>
      </c>
      <c r="B6293" t="str">
        <f>IFERROR(VLOOKUP(D6293,APOYO!K:L,2,FALSE),A6293)</f>
        <v>05353</v>
      </c>
      <c r="C6293" s="8" t="s">
        <v>126</v>
      </c>
      <c r="D6293" t="str">
        <f>IFERROR(VLOOKUP(C6293,APOYO!J:K,2,FALSE),C6293)</f>
        <v>HISPANIA</v>
      </c>
      <c r="E6293" s="8">
        <v>2021</v>
      </c>
      <c r="F6293" s="8"/>
      <c r="G6293" s="8"/>
      <c r="H6293" s="8">
        <v>8</v>
      </c>
      <c r="I6293" s="8"/>
      <c r="J6293" s="8"/>
      <c r="K6293" s="8"/>
    </row>
    <row r="6294" spans="1:11" hidden="1" x14ac:dyDescent="0.25">
      <c r="A6294" t="str">
        <f>_xlfn.XLOOKUP(C6294, 'Códigos DANE Municipios'!$B$2:$B$1123, 'Códigos DANE Municipios'!$A$2:$A$1123, "No encontrado")</f>
        <v>41349</v>
      </c>
      <c r="B6294" t="str">
        <f>IFERROR(VLOOKUP(D6294,APOYO!K:L,2,FALSE),A6294)</f>
        <v>41349</v>
      </c>
      <c r="C6294" s="8" t="s">
        <v>1226</v>
      </c>
      <c r="D6294" t="str">
        <f>IFERROR(VLOOKUP(C6294,APOYO!J:K,2,FALSE),C6294)</f>
        <v>HOBO</v>
      </c>
      <c r="E6294" s="8">
        <v>2021</v>
      </c>
      <c r="F6294" s="8"/>
      <c r="G6294" s="8"/>
      <c r="H6294" s="8">
        <v>6</v>
      </c>
      <c r="I6294" s="8"/>
      <c r="J6294" s="8"/>
      <c r="K6294" s="8"/>
    </row>
    <row r="6295" spans="1:11" hidden="1" x14ac:dyDescent="0.25">
      <c r="A6295" t="str">
        <f>_xlfn.XLOOKUP(C6295, 'Códigos DANE Municipios'!$B$2:$B$1123, 'Códigos DANE Municipios'!$A$2:$A$1123, "No encontrado")</f>
        <v>73349</v>
      </c>
      <c r="B6295" t="str">
        <f>IFERROR(VLOOKUP(D6295,APOYO!K:L,2,FALSE),A6295)</f>
        <v>73349</v>
      </c>
      <c r="C6295" s="8" t="s">
        <v>1907</v>
      </c>
      <c r="D6295" t="str">
        <f>IFERROR(VLOOKUP(C6295,APOYO!J:K,2,FALSE),C6295)</f>
        <v>HONDA</v>
      </c>
      <c r="E6295" s="8">
        <v>2021</v>
      </c>
      <c r="F6295" s="8"/>
      <c r="G6295" s="8"/>
      <c r="H6295" s="8">
        <v>96</v>
      </c>
      <c r="I6295" s="8"/>
      <c r="J6295" s="8"/>
      <c r="K6295" s="8"/>
    </row>
    <row r="6296" spans="1:11" hidden="1" x14ac:dyDescent="0.25">
      <c r="A6296" t="str">
        <f>_xlfn.XLOOKUP(C6296, 'Códigos DANE Municipios'!$B$2:$B$1123, 'Códigos DANE Municipios'!$A$2:$A$1123, "No encontrado")</f>
        <v>73001</v>
      </c>
      <c r="B6296" t="str">
        <f>IFERROR(VLOOKUP(D6296,APOYO!K:L,2,FALSE),A6296)</f>
        <v>73001</v>
      </c>
      <c r="C6296" s="8" t="s">
        <v>1865</v>
      </c>
      <c r="D6296" t="str">
        <f>IFERROR(VLOOKUP(C6296,APOYO!J:K,2,FALSE),C6296)</f>
        <v>IBAGUÉ</v>
      </c>
      <c r="E6296" s="8">
        <v>2021</v>
      </c>
      <c r="F6296" s="8">
        <v>26114</v>
      </c>
      <c r="G6296" s="8"/>
      <c r="H6296" s="8">
        <v>4593</v>
      </c>
      <c r="I6296" s="8">
        <v>49469</v>
      </c>
      <c r="J6296" s="8"/>
      <c r="K6296" s="8"/>
    </row>
    <row r="6297" spans="1:11" hidden="1" x14ac:dyDescent="0.25">
      <c r="A6297" t="str">
        <f>_xlfn.XLOOKUP(C6297, 'Códigos DANE Municipios'!$B$2:$B$1123, 'Códigos DANE Municipios'!$A$2:$A$1123, "No encontrado")</f>
        <v>73352</v>
      </c>
      <c r="B6297" t="str">
        <f>IFERROR(VLOOKUP(D6297,APOYO!K:L,2,FALSE),A6297)</f>
        <v>73352</v>
      </c>
      <c r="C6297" s="8" t="s">
        <v>1909</v>
      </c>
      <c r="D6297" t="str">
        <f>IFERROR(VLOOKUP(C6297,APOYO!J:K,2,FALSE),C6297)</f>
        <v>ICONONZO</v>
      </c>
      <c r="E6297" s="8">
        <v>2021</v>
      </c>
      <c r="F6297" s="8"/>
      <c r="G6297" s="8"/>
      <c r="H6297" s="8">
        <v>11</v>
      </c>
      <c r="I6297" s="8"/>
      <c r="J6297" s="8"/>
      <c r="K6297" s="8"/>
    </row>
    <row r="6298" spans="1:11" hidden="1" x14ac:dyDescent="0.25">
      <c r="A6298" t="str">
        <f>_xlfn.XLOOKUP(C6298, 'Códigos DANE Municipios'!$B$2:$B$1123, 'Códigos DANE Municipios'!$A$2:$A$1123, "No encontrado")</f>
        <v>41357</v>
      </c>
      <c r="B6298" t="str">
        <f>IFERROR(VLOOKUP(D6298,APOYO!K:L,2,FALSE),A6298)</f>
        <v>41357</v>
      </c>
      <c r="C6298" t="s">
        <v>1228</v>
      </c>
      <c r="D6298" t="str">
        <f>IFERROR(VLOOKUP(C6298,APOYO!J:K,2,FALSE),C6298)</f>
        <v>ÍQUIRA</v>
      </c>
      <c r="E6298">
        <v>2021</v>
      </c>
      <c r="H6298">
        <v>5</v>
      </c>
    </row>
    <row r="6299" spans="1:11" hidden="1" x14ac:dyDescent="0.25">
      <c r="A6299" t="str">
        <f>_xlfn.XLOOKUP(C6299, 'Códigos DANE Municipios'!$B$2:$B$1123, 'Códigos DANE Municipios'!$A$2:$A$1123, "No encontrado")</f>
        <v>52352</v>
      </c>
      <c r="B6299" t="str">
        <f>IFERROR(VLOOKUP(D6299,APOYO!K:L,2,FALSE),A6299)</f>
        <v>52352</v>
      </c>
      <c r="C6299" s="8" t="s">
        <v>1458</v>
      </c>
      <c r="D6299" t="str">
        <f>IFERROR(VLOOKUP(C6299,APOYO!J:K,2,FALSE),C6299)</f>
        <v>ILES</v>
      </c>
      <c r="E6299" s="8">
        <v>2021</v>
      </c>
      <c r="F6299" s="8"/>
      <c r="G6299" s="8"/>
      <c r="H6299" s="8">
        <v>3</v>
      </c>
      <c r="I6299" s="8"/>
      <c r="J6299" s="8"/>
      <c r="K6299" s="8"/>
    </row>
    <row r="6300" spans="1:11" hidden="1" x14ac:dyDescent="0.25">
      <c r="A6300" t="str">
        <f>_xlfn.XLOOKUP(C6300, 'Códigos DANE Municipios'!$B$2:$B$1123, 'Códigos DANE Municipios'!$A$2:$A$1123, "No encontrado")</f>
        <v>52354</v>
      </c>
      <c r="B6300" t="str">
        <f>IFERROR(VLOOKUP(D6300,APOYO!K:L,2,FALSE),A6300)</f>
        <v>52354</v>
      </c>
      <c r="C6300" t="s">
        <v>1460</v>
      </c>
      <c r="D6300" t="str">
        <f>IFERROR(VLOOKUP(C6300,APOYO!J:K,2,FALSE),C6300)</f>
        <v>IMUÉS</v>
      </c>
      <c r="E6300">
        <v>2021</v>
      </c>
      <c r="H6300">
        <v>2</v>
      </c>
    </row>
    <row r="6301" spans="1:11" hidden="1" x14ac:dyDescent="0.25">
      <c r="A6301" t="str">
        <f>_xlfn.XLOOKUP(C6301, 'Códigos DANE Municipios'!$B$2:$B$1123, 'Códigos DANE Municipios'!$A$2:$A$1123, "No encontrado")</f>
        <v>19355</v>
      </c>
      <c r="B6301" t="str">
        <f>IFERROR(VLOOKUP(D6301,APOYO!K:L,2,FALSE),A6301)</f>
        <v>19355</v>
      </c>
      <c r="C6301" s="8" t="s">
        <v>755</v>
      </c>
      <c r="D6301" t="str">
        <f>IFERROR(VLOOKUP(C6301,APOYO!J:K,2,FALSE),C6301)</f>
        <v>INZÁ</v>
      </c>
      <c r="E6301" s="8">
        <v>2021</v>
      </c>
      <c r="F6301" s="8"/>
      <c r="G6301" s="8"/>
      <c r="H6301" s="8">
        <v>8</v>
      </c>
      <c r="I6301" s="8"/>
      <c r="J6301" s="8"/>
      <c r="K6301" s="8"/>
    </row>
    <row r="6302" spans="1:11" hidden="1" x14ac:dyDescent="0.25">
      <c r="A6302" t="str">
        <f>_xlfn.XLOOKUP(C6302, 'Códigos DANE Municipios'!$B$2:$B$1123, 'Códigos DANE Municipios'!$A$2:$A$1123, "No encontrado")</f>
        <v>52356</v>
      </c>
      <c r="B6302" t="str">
        <f>IFERROR(VLOOKUP(D6302,APOYO!K:L,2,FALSE),A6302)</f>
        <v>52356</v>
      </c>
      <c r="C6302" s="8" t="s">
        <v>1462</v>
      </c>
      <c r="D6302" t="str">
        <f>IFERROR(VLOOKUP(C6302,APOYO!J:K,2,FALSE),C6302)</f>
        <v>IPIALES</v>
      </c>
      <c r="E6302" s="8">
        <v>2021</v>
      </c>
      <c r="F6302" s="8"/>
      <c r="G6302" s="8"/>
      <c r="H6302" s="8">
        <v>862</v>
      </c>
      <c r="I6302" s="8"/>
      <c r="J6302" s="8"/>
      <c r="K6302" s="8"/>
    </row>
    <row r="6303" spans="1:11" hidden="1" x14ac:dyDescent="0.25">
      <c r="A6303" t="str">
        <f>_xlfn.XLOOKUP(C6303, 'Códigos DANE Municipios'!$B$2:$B$1123, 'Códigos DANE Municipios'!$A$2:$A$1123, "No encontrado")</f>
        <v>27361</v>
      </c>
      <c r="B6303" t="str">
        <f>IFERROR(VLOOKUP(D6303,APOYO!K:L,2,FALSE),A6303)</f>
        <v>27361</v>
      </c>
      <c r="C6303" s="8" t="s">
        <v>1170</v>
      </c>
      <c r="D6303" t="str">
        <f>IFERROR(VLOOKUP(C6303,APOYO!J:K,2,FALSE),C6303)</f>
        <v>ISTMINA</v>
      </c>
      <c r="E6303" s="8">
        <v>2021</v>
      </c>
      <c r="F6303" s="8"/>
      <c r="G6303" s="8"/>
      <c r="H6303" s="8">
        <v>17</v>
      </c>
      <c r="I6303" s="8"/>
      <c r="J6303" s="8"/>
      <c r="K6303" s="8"/>
    </row>
    <row r="6304" spans="1:11" hidden="1" x14ac:dyDescent="0.25">
      <c r="A6304" t="str">
        <f>_xlfn.XLOOKUP(C6304, 'Códigos DANE Municipios'!$B$2:$B$1123, 'Códigos DANE Municipios'!$A$2:$A$1123, "No encontrado")</f>
        <v>05360</v>
      </c>
      <c r="B6304" t="str">
        <f>IFERROR(VLOOKUP(D6304,APOYO!K:L,2,FALSE),A6304)</f>
        <v>05360</v>
      </c>
      <c r="C6304" s="8" t="s">
        <v>128</v>
      </c>
      <c r="D6304" t="str">
        <f>IFERROR(VLOOKUP(C6304,APOYO!J:K,2,FALSE),C6304)</f>
        <v>ITAGÜÍ</v>
      </c>
      <c r="E6304" s="8">
        <v>2021</v>
      </c>
      <c r="F6304" s="8"/>
      <c r="G6304" s="8"/>
      <c r="H6304" s="8">
        <v>3201</v>
      </c>
      <c r="I6304" s="8"/>
      <c r="J6304" s="8"/>
      <c r="K6304" s="8"/>
    </row>
    <row r="6305" spans="1:11" hidden="1" x14ac:dyDescent="0.25">
      <c r="A6305" t="str">
        <f>_xlfn.XLOOKUP(C6305, 'Códigos DANE Municipios'!$B$2:$B$1123, 'Códigos DANE Municipios'!$A$2:$A$1123, "No encontrado")</f>
        <v>05361</v>
      </c>
      <c r="B6305" t="str">
        <f>IFERROR(VLOOKUP(D6305,APOYO!K:L,2,FALSE),A6305)</f>
        <v>05361</v>
      </c>
      <c r="C6305" s="8" t="s">
        <v>130</v>
      </c>
      <c r="D6305" t="str">
        <f>IFERROR(VLOOKUP(C6305,APOYO!J:K,2,FALSE),C6305)</f>
        <v>ITUANGO</v>
      </c>
      <c r="E6305" s="8">
        <v>2021</v>
      </c>
      <c r="F6305" s="8">
        <v>369</v>
      </c>
      <c r="G6305" s="8"/>
      <c r="H6305" s="8">
        <v>10</v>
      </c>
      <c r="I6305" s="8"/>
      <c r="J6305" s="8"/>
      <c r="K6305" s="8"/>
    </row>
    <row r="6306" spans="1:11" hidden="1" x14ac:dyDescent="0.25">
      <c r="A6306" t="str">
        <f>_xlfn.XLOOKUP(C6306, 'Códigos DANE Municipios'!$B$2:$B$1123, 'Códigos DANE Municipios'!$A$2:$A$1123, "No encontrado")</f>
        <v>15362</v>
      </c>
      <c r="B6306" t="str">
        <f>IFERROR(VLOOKUP(D6306,APOYO!K:L,2,FALSE),A6306)</f>
        <v>15362</v>
      </c>
      <c r="C6306" s="8" t="s">
        <v>485</v>
      </c>
      <c r="D6306" t="str">
        <f>IFERROR(VLOOKUP(C6306,APOYO!J:K,2,FALSE),C6306)</f>
        <v>IZA</v>
      </c>
      <c r="E6306" s="8">
        <v>2021</v>
      </c>
      <c r="F6306" s="8"/>
      <c r="G6306" s="8"/>
      <c r="H6306" s="8">
        <v>15</v>
      </c>
      <c r="I6306" s="8"/>
      <c r="J6306" s="8"/>
      <c r="K6306" s="8"/>
    </row>
    <row r="6307" spans="1:11" hidden="1" x14ac:dyDescent="0.25">
      <c r="A6307" t="str">
        <f>_xlfn.XLOOKUP(C6307, 'Códigos DANE Municipios'!$B$2:$B$1123, 'Códigos DANE Municipios'!$A$2:$A$1123, "No encontrado")</f>
        <v>76364</v>
      </c>
      <c r="B6307" t="str">
        <f>IFERROR(VLOOKUP(D6307,APOYO!K:L,2,FALSE),A6307)</f>
        <v>76364</v>
      </c>
      <c r="C6307" s="8" t="s">
        <v>1996</v>
      </c>
      <c r="D6307" t="str">
        <f>IFERROR(VLOOKUP(C6307,APOYO!J:K,2,FALSE),C6307)</f>
        <v>JAMUNDÍ</v>
      </c>
      <c r="E6307" s="8">
        <v>2021</v>
      </c>
      <c r="F6307" s="8"/>
      <c r="G6307" s="8"/>
      <c r="H6307" s="8">
        <v>1351</v>
      </c>
      <c r="I6307" s="8"/>
      <c r="J6307" s="8"/>
      <c r="K6307" s="8"/>
    </row>
    <row r="6308" spans="1:11" hidden="1" x14ac:dyDescent="0.25">
      <c r="A6308" t="str">
        <f>_xlfn.XLOOKUP(C6308, 'Códigos DANE Municipios'!$B$2:$B$1123, 'Códigos DANE Municipios'!$A$2:$A$1123, "No encontrado")</f>
        <v>05364</v>
      </c>
      <c r="B6308" t="str">
        <f>IFERROR(VLOOKUP(D6308,APOYO!K:L,2,FALSE),A6308)</f>
        <v>05364</v>
      </c>
      <c r="C6308" s="8" t="s">
        <v>132</v>
      </c>
      <c r="D6308" t="str">
        <f>IFERROR(VLOOKUP(C6308,APOYO!J:K,2,FALSE),C6308)</f>
        <v>JARDÍN</v>
      </c>
      <c r="E6308" s="8">
        <v>2021</v>
      </c>
      <c r="F6308" s="8"/>
      <c r="G6308" s="8"/>
      <c r="H6308" s="8">
        <v>120</v>
      </c>
      <c r="I6308" s="8"/>
      <c r="J6308" s="8"/>
      <c r="K6308" s="8"/>
    </row>
    <row r="6309" spans="1:11" hidden="1" x14ac:dyDescent="0.25">
      <c r="A6309" t="str">
        <f>_xlfn.XLOOKUP(C6309, 'Códigos DANE Municipios'!$B$2:$B$1123, 'Códigos DANE Municipios'!$A$2:$A$1123, "No encontrado")</f>
        <v>15367</v>
      </c>
      <c r="B6309" t="str">
        <f>IFERROR(VLOOKUP(D6309,APOYO!K:L,2,FALSE),A6309)</f>
        <v>15367</v>
      </c>
      <c r="C6309" s="8" t="s">
        <v>487</v>
      </c>
      <c r="D6309" t="str">
        <f>IFERROR(VLOOKUP(C6309,APOYO!J:K,2,FALSE),C6309)</f>
        <v>JENESANO</v>
      </c>
      <c r="E6309" s="8">
        <v>2021</v>
      </c>
      <c r="F6309" s="8"/>
      <c r="G6309" s="8"/>
      <c r="H6309" s="8">
        <v>11</v>
      </c>
      <c r="I6309" s="8"/>
      <c r="J6309" s="8"/>
      <c r="K6309" s="8"/>
    </row>
    <row r="6310" spans="1:11" hidden="1" x14ac:dyDescent="0.25">
      <c r="A6310" t="str">
        <f>_xlfn.XLOOKUP(C6310, 'Códigos DANE Municipios'!$B$2:$B$1123, 'Códigos DANE Municipios'!$A$2:$A$1123, "No encontrado")</f>
        <v>05368</v>
      </c>
      <c r="B6310" t="str">
        <f>IFERROR(VLOOKUP(D6310,APOYO!K:L,2,FALSE),A6310)</f>
        <v>05368</v>
      </c>
      <c r="C6310" s="8" t="s">
        <v>134</v>
      </c>
      <c r="D6310" t="str">
        <f>IFERROR(VLOOKUP(C6310,APOYO!J:K,2,FALSE),C6310)</f>
        <v>JERICÓ</v>
      </c>
      <c r="E6310" s="8">
        <v>2021</v>
      </c>
      <c r="F6310" s="8"/>
      <c r="G6310" s="8"/>
      <c r="H6310" s="8">
        <v>63</v>
      </c>
      <c r="I6310" s="8"/>
      <c r="J6310" s="8"/>
      <c r="K6310" s="8"/>
    </row>
    <row r="6311" spans="1:11" hidden="1" x14ac:dyDescent="0.25">
      <c r="A6311" t="str">
        <f>_xlfn.XLOOKUP(C6311, 'Códigos DANE Municipios'!$B$2:$B$1123, 'Códigos DANE Municipios'!$A$2:$A$1123, "No encontrado")</f>
        <v>08372</v>
      </c>
      <c r="B6311" t="str">
        <f>IFERROR(VLOOKUP(D6311,APOYO!K:L,2,FALSE),A6311)</f>
        <v>08372</v>
      </c>
      <c r="C6311" s="8" t="s">
        <v>272</v>
      </c>
      <c r="D6311" t="str">
        <f>IFERROR(VLOOKUP(C6311,APOYO!J:K,2,FALSE),C6311)</f>
        <v>JUAN DE ACOSTA</v>
      </c>
      <c r="E6311" s="8">
        <v>2021</v>
      </c>
      <c r="F6311" s="8"/>
      <c r="G6311" s="8"/>
      <c r="H6311" s="8">
        <v>139</v>
      </c>
      <c r="I6311" s="8"/>
      <c r="J6311" s="8"/>
      <c r="K6311" s="8"/>
    </row>
    <row r="6312" spans="1:11" hidden="1" x14ac:dyDescent="0.25">
      <c r="A6312" t="str">
        <f>_xlfn.XLOOKUP(C6312, 'Códigos DANE Municipios'!$B$2:$B$1123, 'Códigos DANE Municipios'!$A$2:$A$1123, "No encontrado")</f>
        <v>25372</v>
      </c>
      <c r="B6312" t="str">
        <f>IFERROR(VLOOKUP(D6312,APOYO!K:L,2,FALSE),A6312)</f>
        <v>25372</v>
      </c>
      <c r="C6312" t="s">
        <v>1006</v>
      </c>
      <c r="D6312" t="str">
        <f>IFERROR(VLOOKUP(C6312,APOYO!J:K,2,FALSE),C6312)</f>
        <v>JUNÍN</v>
      </c>
      <c r="E6312">
        <v>2021</v>
      </c>
      <c r="H6312">
        <v>1</v>
      </c>
    </row>
    <row r="6313" spans="1:11" hidden="1" x14ac:dyDescent="0.25">
      <c r="A6313" t="str">
        <f>_xlfn.XLOOKUP(C6313, 'Códigos DANE Municipios'!$B$2:$B$1123, 'Códigos DANE Municipios'!$A$2:$A$1123, "No encontrado")</f>
        <v>27372</v>
      </c>
      <c r="B6313" t="str">
        <f>IFERROR(VLOOKUP(D6313,APOYO!K:L,2,FALSE),A6313)</f>
        <v>27372</v>
      </c>
      <c r="C6313" s="8" t="s">
        <v>1172</v>
      </c>
      <c r="D6313" t="str">
        <f>IFERROR(VLOOKUP(C6313,APOYO!J:K,2,FALSE),C6313)</f>
        <v>JURADÓ</v>
      </c>
      <c r="E6313" s="8">
        <v>2021</v>
      </c>
      <c r="F6313" s="8"/>
      <c r="G6313" s="8"/>
      <c r="H6313" s="8">
        <v>47</v>
      </c>
      <c r="I6313" s="8"/>
      <c r="J6313" s="8"/>
      <c r="K6313" s="8"/>
    </row>
    <row r="6314" spans="1:11" hidden="1" x14ac:dyDescent="0.25">
      <c r="A6314" t="str">
        <f>_xlfn.XLOOKUP(C6314, 'Códigos DANE Municipios'!$B$2:$B$1123, 'Códigos DANE Municipios'!$A$2:$A$1123, "No encontrado")</f>
        <v>23350</v>
      </c>
      <c r="B6314" t="str">
        <f>IFERROR(VLOOKUP(D6314,APOYO!K:L,2,FALSE),A6314)</f>
        <v>23350</v>
      </c>
      <c r="C6314" s="8" t="s">
        <v>875</v>
      </c>
      <c r="D6314" t="str">
        <f>IFERROR(VLOOKUP(C6314,APOYO!J:K,2,FALSE),C6314)</f>
        <v>LA APARTADA</v>
      </c>
      <c r="E6314" s="8">
        <v>2021</v>
      </c>
      <c r="F6314" s="8"/>
      <c r="G6314" s="8"/>
      <c r="H6314" s="8">
        <v>1</v>
      </c>
      <c r="I6314" s="8"/>
      <c r="J6314" s="8"/>
      <c r="K6314" s="8"/>
    </row>
    <row r="6315" spans="1:11" hidden="1" x14ac:dyDescent="0.25">
      <c r="A6315" t="str">
        <f>_xlfn.XLOOKUP(C6315, 'Códigos DANE Municipios'!$B$2:$B$1123, 'Códigos DANE Municipios'!$A$2:$A$1123, "No encontrado")</f>
        <v>41378</v>
      </c>
      <c r="B6315" t="str">
        <f>IFERROR(VLOOKUP(D6315,APOYO!K:L,2,FALSE),A6315)</f>
        <v>41378</v>
      </c>
      <c r="C6315" s="8" t="s">
        <v>1232</v>
      </c>
      <c r="D6315" t="str">
        <f>IFERROR(VLOOKUP(C6315,APOYO!J:K,2,FALSE),C6315)</f>
        <v>LA ARGENTINA</v>
      </c>
      <c r="E6315" s="8">
        <v>2021</v>
      </c>
      <c r="F6315" s="8"/>
      <c r="G6315" s="8"/>
      <c r="H6315" s="8">
        <v>8</v>
      </c>
      <c r="I6315" s="8"/>
      <c r="J6315" s="8"/>
      <c r="K6315" s="8"/>
    </row>
    <row r="6316" spans="1:11" hidden="1" x14ac:dyDescent="0.25">
      <c r="A6316" t="str">
        <f>_xlfn.XLOOKUP(C6316, 'Códigos DANE Municipios'!$B$2:$B$1123, 'Códigos DANE Municipios'!$A$2:$A$1123, "No encontrado")</f>
        <v>68377</v>
      </c>
      <c r="B6316" t="str">
        <f>IFERROR(VLOOKUP(D6316,APOYO!K:L,2,FALSE),A6316)</f>
        <v>68377</v>
      </c>
      <c r="C6316" s="8" t="s">
        <v>1735</v>
      </c>
      <c r="D6316" t="str">
        <f>IFERROR(VLOOKUP(C6316,APOYO!J:K,2,FALSE),C6316)</f>
        <v>LA BELLEZA</v>
      </c>
      <c r="E6316" s="8">
        <v>2021</v>
      </c>
      <c r="F6316" s="8"/>
      <c r="G6316" s="8"/>
      <c r="H6316" s="8">
        <v>3</v>
      </c>
      <c r="I6316" s="8"/>
      <c r="J6316" s="8"/>
      <c r="K6316" s="8"/>
    </row>
    <row r="6317" spans="1:11" hidden="1" x14ac:dyDescent="0.25">
      <c r="A6317" t="str">
        <f>_xlfn.XLOOKUP(C6317, 'Códigos DANE Municipios'!$B$2:$B$1123, 'Códigos DANE Municipios'!$A$2:$A$1123, "No encontrado")</f>
        <v>25377</v>
      </c>
      <c r="B6317" t="str">
        <f>IFERROR(VLOOKUP(D6317,APOYO!K:L,2,FALSE),A6317)</f>
        <v>25377</v>
      </c>
      <c r="C6317" s="8" t="s">
        <v>1008</v>
      </c>
      <c r="D6317" t="str">
        <f>IFERROR(VLOOKUP(C6317,APOYO!J:K,2,FALSE),C6317)</f>
        <v>LA CALERA</v>
      </c>
      <c r="E6317" s="8">
        <v>2021</v>
      </c>
      <c r="F6317" s="8"/>
      <c r="G6317" s="8"/>
      <c r="H6317" s="8">
        <v>491</v>
      </c>
      <c r="I6317" s="8"/>
      <c r="J6317" s="8"/>
      <c r="K6317" s="8"/>
    </row>
    <row r="6318" spans="1:11" hidden="1" x14ac:dyDescent="0.25">
      <c r="A6318" t="str">
        <f>_xlfn.XLOOKUP(C6318, 'Códigos DANE Municipios'!$B$2:$B$1123, 'Códigos DANE Municipios'!$A$2:$A$1123, "No encontrado")</f>
        <v>15380</v>
      </c>
      <c r="B6318" t="str">
        <f>IFERROR(VLOOKUP(D6318,APOYO!K:L,2,FALSE),A6318)</f>
        <v>15380</v>
      </c>
      <c r="C6318" t="s">
        <v>492</v>
      </c>
      <c r="D6318" t="str">
        <f>IFERROR(VLOOKUP(C6318,APOYO!J:K,2,FALSE),C6318)</f>
        <v>LA CAPILLA</v>
      </c>
      <c r="E6318">
        <v>2021</v>
      </c>
      <c r="H6318">
        <v>1</v>
      </c>
    </row>
    <row r="6319" spans="1:11" hidden="1" x14ac:dyDescent="0.25">
      <c r="A6319" t="str">
        <f>_xlfn.XLOOKUP(C6319, 'Códigos DANE Municipios'!$B$2:$B$1123, 'Códigos DANE Municipios'!$A$2:$A$1123, "No encontrado")</f>
        <v>05376</v>
      </c>
      <c r="B6319" t="str">
        <f>IFERROR(VLOOKUP(D6319,APOYO!K:L,2,FALSE),A6319)</f>
        <v>05376</v>
      </c>
      <c r="C6319" s="8" t="s">
        <v>136</v>
      </c>
      <c r="D6319" t="str">
        <f>IFERROR(VLOOKUP(C6319,APOYO!J:K,2,FALSE),C6319)</f>
        <v>LA CEJA</v>
      </c>
      <c r="E6319" s="8">
        <v>2021</v>
      </c>
      <c r="F6319" s="8"/>
      <c r="G6319" s="8"/>
      <c r="H6319" s="8">
        <v>849</v>
      </c>
      <c r="I6319" s="8"/>
      <c r="J6319" s="8"/>
      <c r="K6319" s="8"/>
    </row>
    <row r="6320" spans="1:11" hidden="1" x14ac:dyDescent="0.25">
      <c r="A6320" t="str">
        <f>_xlfn.XLOOKUP(C6320, 'Códigos DANE Municipios'!$B$2:$B$1123, 'Códigos DANE Municipios'!$A$2:$A$1123, "No encontrado")</f>
        <v>66383</v>
      </c>
      <c r="B6320" t="str">
        <f>IFERROR(VLOOKUP(D6320,APOYO!K:L,2,FALSE),A6320)</f>
        <v>66383</v>
      </c>
      <c r="C6320" s="8" t="s">
        <v>1639</v>
      </c>
      <c r="D6320" t="str">
        <f>IFERROR(VLOOKUP(C6320,APOYO!J:K,2,FALSE),C6320)</f>
        <v>LA CELIA</v>
      </c>
      <c r="E6320" s="8">
        <v>2021</v>
      </c>
      <c r="F6320" s="8"/>
      <c r="G6320" s="8"/>
      <c r="H6320" s="8">
        <v>6</v>
      </c>
      <c r="I6320" s="8"/>
      <c r="J6320" s="8"/>
      <c r="K6320" s="8"/>
    </row>
    <row r="6321" spans="1:11" hidden="1" x14ac:dyDescent="0.25">
      <c r="A6321" t="str">
        <f>_xlfn.XLOOKUP(C6321, 'Códigos DANE Municipios'!$B$2:$B$1123, 'Códigos DANE Municipios'!$A$2:$A$1123, "No encontrado")</f>
        <v>91405</v>
      </c>
      <c r="B6321" t="str">
        <f>IFERROR(VLOOKUP(D6321,APOYO!K:L,2,FALSE),A6321)</f>
        <v>91405</v>
      </c>
      <c r="C6321" s="8" t="s">
        <v>2112</v>
      </c>
      <c r="D6321" t="str">
        <f>IFERROR(VLOOKUP(C6321,APOYO!J:K,2,FALSE),C6321)</f>
        <v>LA CHORRERA</v>
      </c>
      <c r="E6321" s="8">
        <v>2021</v>
      </c>
      <c r="F6321" s="8">
        <v>798</v>
      </c>
      <c r="G6321" s="8"/>
      <c r="H6321" s="8">
        <v>11</v>
      </c>
      <c r="I6321" s="8"/>
      <c r="J6321" s="8"/>
      <c r="K6321" s="8"/>
    </row>
    <row r="6322" spans="1:11" hidden="1" x14ac:dyDescent="0.25">
      <c r="A6322" t="str">
        <f>_xlfn.XLOOKUP(C6322, 'Códigos DANE Municipios'!$B$2:$B$1123, 'Códigos DANE Municipios'!$A$2:$A$1123, "No encontrado")</f>
        <v>52378</v>
      </c>
      <c r="B6322" t="str">
        <f>IFERROR(VLOOKUP(D6322,APOYO!K:L,2,FALSE),A6322)</f>
        <v>52378</v>
      </c>
      <c r="C6322" s="8" t="s">
        <v>1464</v>
      </c>
      <c r="D6322" t="str">
        <f>IFERROR(VLOOKUP(C6322,APOYO!J:K,2,FALSE),C6322)</f>
        <v>LA CRUZ</v>
      </c>
      <c r="E6322" s="8">
        <v>2021</v>
      </c>
      <c r="F6322" s="8"/>
      <c r="G6322" s="8"/>
      <c r="H6322" s="8">
        <v>15</v>
      </c>
      <c r="I6322" s="8"/>
      <c r="J6322" s="8"/>
      <c r="K6322" s="8"/>
    </row>
    <row r="6323" spans="1:11" hidden="1" x14ac:dyDescent="0.25">
      <c r="A6323" t="str">
        <f>_xlfn.XLOOKUP(C6323, 'Códigos DANE Municipios'!$B$2:$B$1123, 'Códigos DANE Municipios'!$A$2:$A$1123, "No encontrado")</f>
        <v>76377</v>
      </c>
      <c r="B6323" t="str">
        <f>IFERROR(VLOOKUP(D6323,APOYO!K:L,2,FALSE),A6323)</f>
        <v>76377</v>
      </c>
      <c r="C6323" s="8" t="s">
        <v>1998</v>
      </c>
      <c r="D6323" t="str">
        <f>IFERROR(VLOOKUP(C6323,APOYO!J:K,2,FALSE),C6323)</f>
        <v>LA CUMBRE</v>
      </c>
      <c r="E6323" s="8">
        <v>2021</v>
      </c>
      <c r="F6323" s="8"/>
      <c r="G6323" s="8"/>
      <c r="H6323" s="8">
        <v>62</v>
      </c>
      <c r="I6323" s="8"/>
      <c r="J6323" s="8"/>
      <c r="K6323" s="8"/>
    </row>
    <row r="6324" spans="1:11" hidden="1" x14ac:dyDescent="0.25">
      <c r="A6324" t="str">
        <f>_xlfn.XLOOKUP(C6324, 'Códigos DANE Municipios'!$B$2:$B$1123, 'Códigos DANE Municipios'!$A$2:$A$1123, "No encontrado")</f>
        <v>17380</v>
      </c>
      <c r="B6324" t="str">
        <f>IFERROR(VLOOKUP(D6324,APOYO!K:L,2,FALSE),A6324)</f>
        <v>17380</v>
      </c>
      <c r="C6324" s="8" t="s">
        <v>658</v>
      </c>
      <c r="D6324" t="str">
        <f>IFERROR(VLOOKUP(C6324,APOYO!J:K,2,FALSE),C6324)</f>
        <v>LA DORADA</v>
      </c>
      <c r="E6324" s="8">
        <v>2021</v>
      </c>
      <c r="F6324" s="8"/>
      <c r="G6324" s="8"/>
      <c r="H6324" s="8">
        <v>131</v>
      </c>
      <c r="I6324" s="8"/>
      <c r="J6324" s="8"/>
      <c r="K6324" s="8"/>
    </row>
    <row r="6325" spans="1:11" hidden="1" x14ac:dyDescent="0.25">
      <c r="A6325" t="str">
        <f>_xlfn.XLOOKUP(C6325, 'Códigos DANE Municipios'!$B$2:$B$1123, 'Códigos DANE Municipios'!$A$2:$A$1123, "No encontrado")</f>
        <v>05380</v>
      </c>
      <c r="B6325" t="str">
        <f>IFERROR(VLOOKUP(D6325,APOYO!K:L,2,FALSE),A6325)</f>
        <v>05380</v>
      </c>
      <c r="C6325" s="8" t="s">
        <v>138</v>
      </c>
      <c r="D6325" t="str">
        <f>IFERROR(VLOOKUP(C6325,APOYO!J:K,2,FALSE),C6325)</f>
        <v>LA ESTRELLA</v>
      </c>
      <c r="E6325" s="8">
        <v>2021</v>
      </c>
      <c r="F6325" s="8"/>
      <c r="G6325" s="8"/>
      <c r="H6325" s="8">
        <v>657</v>
      </c>
      <c r="I6325" s="8"/>
      <c r="J6325" s="8"/>
      <c r="K6325" s="8"/>
    </row>
    <row r="6326" spans="1:11" hidden="1" x14ac:dyDescent="0.25">
      <c r="A6326" t="str">
        <f>_xlfn.XLOOKUP(C6326, 'Códigos DANE Municipios'!$B$2:$B$1123, 'Códigos DANE Municipios'!$A$2:$A$1123, "No encontrado")</f>
        <v>52381</v>
      </c>
      <c r="B6326" t="str">
        <f>IFERROR(VLOOKUP(D6326,APOYO!K:L,2,FALSE),A6326)</f>
        <v>52381</v>
      </c>
      <c r="C6326" s="8" t="s">
        <v>1466</v>
      </c>
      <c r="D6326" t="str">
        <f>IFERROR(VLOOKUP(C6326,APOYO!J:K,2,FALSE),C6326)</f>
        <v>LA FLORIDA</v>
      </c>
      <c r="E6326" s="8">
        <v>2021</v>
      </c>
      <c r="F6326" s="8"/>
      <c r="G6326" s="8"/>
      <c r="H6326" s="8"/>
      <c r="I6326" s="8"/>
      <c r="J6326" s="8"/>
      <c r="K6326" s="8"/>
    </row>
    <row r="6327" spans="1:11" hidden="1" x14ac:dyDescent="0.25">
      <c r="A6327" t="str">
        <f>_xlfn.XLOOKUP(C6327, 'Códigos DANE Municipios'!$B$2:$B$1123, 'Códigos DANE Municipios'!$A$2:$A$1123, "No encontrado")</f>
        <v>20383</v>
      </c>
      <c r="B6327" t="str">
        <f>IFERROR(VLOOKUP(D6327,APOYO!K:L,2,FALSE),A6327)</f>
        <v>20383</v>
      </c>
      <c r="C6327" s="8" t="s">
        <v>834</v>
      </c>
      <c r="D6327" t="str">
        <f>IFERROR(VLOOKUP(C6327,APOYO!J:K,2,FALSE),C6327)</f>
        <v>LA GLORIA</v>
      </c>
      <c r="E6327" s="8">
        <v>2021</v>
      </c>
      <c r="F6327" s="8"/>
      <c r="G6327" s="8"/>
      <c r="H6327" s="8">
        <v>7</v>
      </c>
      <c r="I6327" s="8"/>
      <c r="J6327" s="8"/>
      <c r="K6327" s="8"/>
    </row>
    <row r="6328" spans="1:11" hidden="1" x14ac:dyDescent="0.25">
      <c r="A6328" t="str">
        <f>_xlfn.XLOOKUP(C6328, 'Códigos DANE Municipios'!$B$2:$B$1123, 'Códigos DANE Municipios'!$A$2:$A$1123, "No encontrado")</f>
        <v>20400</v>
      </c>
      <c r="B6328" t="str">
        <f>IFERROR(VLOOKUP(D6328,APOYO!K:L,2,FALSE),A6328)</f>
        <v>20400</v>
      </c>
      <c r="C6328" s="8" t="s">
        <v>836</v>
      </c>
      <c r="D6328" t="str">
        <f>IFERROR(VLOOKUP(C6328,APOYO!J:K,2,FALSE),C6328)</f>
        <v>LA JAGUA DE IBIRICO</v>
      </c>
      <c r="E6328" s="8">
        <v>2021</v>
      </c>
      <c r="F6328" s="8">
        <v>19</v>
      </c>
      <c r="G6328" s="8"/>
      <c r="H6328" s="8">
        <v>271</v>
      </c>
      <c r="I6328" s="8"/>
      <c r="J6328" s="8"/>
      <c r="K6328" s="8"/>
    </row>
    <row r="6329" spans="1:11" hidden="1" x14ac:dyDescent="0.25">
      <c r="A6329" t="str">
        <f>_xlfn.XLOOKUP(C6329, 'Códigos DANE Municipios'!$B$2:$B$1123, 'Códigos DANE Municipios'!$A$2:$A$1123, "No encontrado")</f>
        <v>50350</v>
      </c>
      <c r="B6329" t="str">
        <f>IFERROR(VLOOKUP(D6329,APOYO!K:L,2,FALSE),A6329)</f>
        <v>50350</v>
      </c>
      <c r="C6329" s="8" t="s">
        <v>1386</v>
      </c>
      <c r="D6329" t="str">
        <f>IFERROR(VLOOKUP(C6329,APOYO!J:K,2,FALSE),C6329)</f>
        <v>LA MACARENA</v>
      </c>
      <c r="E6329" s="8">
        <v>2021</v>
      </c>
      <c r="F6329" s="8">
        <v>11385</v>
      </c>
      <c r="G6329" s="8"/>
      <c r="H6329" s="8">
        <v>23</v>
      </c>
      <c r="I6329" s="8">
        <v>6808</v>
      </c>
      <c r="J6329" s="8"/>
      <c r="K6329" s="8"/>
    </row>
    <row r="6330" spans="1:11" hidden="1" x14ac:dyDescent="0.25">
      <c r="A6330" t="str">
        <f>_xlfn.XLOOKUP(C6330, 'Códigos DANE Municipios'!$B$2:$B$1123, 'Códigos DANE Municipios'!$A$2:$A$1123, "No encontrado")</f>
        <v>17388</v>
      </c>
      <c r="B6330" t="str">
        <f>IFERROR(VLOOKUP(D6330,APOYO!K:L,2,FALSE),A6330)</f>
        <v>17388</v>
      </c>
      <c r="C6330" s="8" t="s">
        <v>660</v>
      </c>
      <c r="D6330" t="str">
        <f>IFERROR(VLOOKUP(C6330,APOYO!J:K,2,FALSE),C6330)</f>
        <v>LA MERCED</v>
      </c>
      <c r="E6330" s="8">
        <v>2021</v>
      </c>
      <c r="F6330" s="8"/>
      <c r="G6330" s="8"/>
      <c r="H6330" s="8">
        <v>15</v>
      </c>
      <c r="I6330" s="8"/>
      <c r="J6330" s="8"/>
      <c r="K6330" s="8"/>
    </row>
    <row r="6331" spans="1:11" hidden="1" x14ac:dyDescent="0.25">
      <c r="A6331" t="str">
        <f>_xlfn.XLOOKUP(C6331, 'Códigos DANE Municipios'!$B$2:$B$1123, 'Códigos DANE Municipios'!$A$2:$A$1123, "No encontrado")</f>
        <v>25386</v>
      </c>
      <c r="B6331" t="str">
        <f>IFERROR(VLOOKUP(D6331,APOYO!K:L,2,FALSE),A6331)</f>
        <v>25386</v>
      </c>
      <c r="C6331" s="8" t="s">
        <v>1010</v>
      </c>
      <c r="D6331" t="str">
        <f>IFERROR(VLOOKUP(C6331,APOYO!J:K,2,FALSE),C6331)</f>
        <v>LA MESA</v>
      </c>
      <c r="E6331" s="8">
        <v>2021</v>
      </c>
      <c r="F6331" s="8"/>
      <c r="G6331" s="8"/>
      <c r="H6331" s="8">
        <v>247</v>
      </c>
      <c r="I6331" s="8"/>
      <c r="J6331" s="8"/>
      <c r="K6331" s="8"/>
    </row>
    <row r="6332" spans="1:11" hidden="1" x14ac:dyDescent="0.25">
      <c r="A6332" t="str">
        <f>_xlfn.XLOOKUP(C6332, 'Códigos DANE Municipios'!$B$2:$B$1123, 'Códigos DANE Municipios'!$A$2:$A$1123, "No encontrado")</f>
        <v>18410</v>
      </c>
      <c r="B6332" t="str">
        <f>IFERROR(VLOOKUP(D6332,APOYO!K:L,2,FALSE),A6332)</f>
        <v>18410</v>
      </c>
      <c r="C6332" t="s">
        <v>712</v>
      </c>
      <c r="D6332" t="str">
        <f>IFERROR(VLOOKUP(C6332,APOYO!J:K,2,FALSE),C6332)</f>
        <v>LA MONTAÑITA</v>
      </c>
      <c r="E6332">
        <v>2021</v>
      </c>
      <c r="H6332">
        <v>2</v>
      </c>
    </row>
    <row r="6333" spans="1:11" hidden="1" x14ac:dyDescent="0.25">
      <c r="A6333" t="str">
        <f>_xlfn.XLOOKUP(C6333, 'Códigos DANE Municipios'!$B$2:$B$1123, 'Códigos DANE Municipios'!$A$2:$A$1123, "No encontrado")</f>
        <v>20621</v>
      </c>
      <c r="B6333" t="str">
        <f>IFERROR(VLOOKUP(D6333,APOYO!K:L,2,FALSE),A6333)</f>
        <v>20621</v>
      </c>
      <c r="C6333" s="8" t="s">
        <v>848</v>
      </c>
      <c r="D6333" t="str">
        <f>IFERROR(VLOOKUP(C6333,APOYO!J:K,2,FALSE),C6333)</f>
        <v>LA PAZ</v>
      </c>
      <c r="E6333" s="8">
        <v>2021</v>
      </c>
      <c r="F6333" s="8"/>
      <c r="G6333" s="8"/>
      <c r="H6333" s="8"/>
      <c r="I6333" s="8"/>
      <c r="J6333" s="8"/>
      <c r="K6333" s="8"/>
    </row>
    <row r="6334" spans="1:11" hidden="1" x14ac:dyDescent="0.25">
      <c r="A6334" t="str">
        <f>_xlfn.XLOOKUP(C6334, 'Códigos DANE Municipios'!$B$2:$B$1123, 'Códigos DANE Municipios'!$A$2:$A$1123, "No encontrado")</f>
        <v>91407</v>
      </c>
      <c r="B6334" t="str">
        <f>IFERROR(VLOOKUP(D6334,APOYO!K:L,2,FALSE),A6334)</f>
        <v>91407</v>
      </c>
      <c r="C6334" s="8" t="s">
        <v>2114</v>
      </c>
      <c r="D6334" t="str">
        <f>IFERROR(VLOOKUP(C6334,APOYO!J:K,2,FALSE),C6334)</f>
        <v>LA PEDRERA</v>
      </c>
      <c r="E6334" s="8">
        <v>2021</v>
      </c>
      <c r="F6334" s="8">
        <v>1857</v>
      </c>
      <c r="G6334" s="8"/>
      <c r="H6334" s="8">
        <v>6</v>
      </c>
      <c r="I6334" s="8"/>
      <c r="J6334" s="8"/>
      <c r="K6334" s="8"/>
    </row>
    <row r="6335" spans="1:11" hidden="1" x14ac:dyDescent="0.25">
      <c r="A6335" t="str">
        <f>_xlfn.XLOOKUP(C6335, 'Códigos DANE Municipios'!$B$2:$B$1123, 'Códigos DANE Municipios'!$A$2:$A$1123, "No encontrado")</f>
        <v>25398</v>
      </c>
      <c r="B6335" t="str">
        <f>IFERROR(VLOOKUP(D6335,APOYO!K:L,2,FALSE),A6335)</f>
        <v>25398</v>
      </c>
      <c r="C6335" s="8" t="s">
        <v>1014</v>
      </c>
      <c r="D6335" t="str">
        <f>IFERROR(VLOOKUP(C6335,APOYO!J:K,2,FALSE),C6335)</f>
        <v>LA PEÑA</v>
      </c>
      <c r="E6335" s="8">
        <v>2021</v>
      </c>
      <c r="F6335" s="8"/>
      <c r="G6335" s="8"/>
      <c r="H6335" s="8"/>
      <c r="I6335" s="8"/>
      <c r="J6335" s="8"/>
      <c r="K6335" s="8"/>
    </row>
    <row r="6336" spans="1:11" hidden="1" x14ac:dyDescent="0.25">
      <c r="A6336" t="str">
        <f>_xlfn.XLOOKUP(C6336, 'Códigos DANE Municipios'!$B$2:$B$1123, 'Códigos DANE Municipios'!$A$2:$A$1123, "No encontrado")</f>
        <v>05390</v>
      </c>
      <c r="B6336" t="str">
        <f>IFERROR(VLOOKUP(D6336,APOYO!K:L,2,FALSE),A6336)</f>
        <v>05390</v>
      </c>
      <c r="C6336" s="8" t="s">
        <v>140</v>
      </c>
      <c r="D6336" t="str">
        <f>IFERROR(VLOOKUP(C6336,APOYO!J:K,2,FALSE),C6336)</f>
        <v>LA PINTADA</v>
      </c>
      <c r="E6336" s="8">
        <v>2021</v>
      </c>
      <c r="F6336" s="8"/>
      <c r="G6336" s="8"/>
      <c r="H6336" s="8">
        <v>26</v>
      </c>
      <c r="I6336" s="8"/>
      <c r="J6336" s="8"/>
      <c r="K6336" s="8"/>
    </row>
    <row r="6337" spans="1:11" hidden="1" x14ac:dyDescent="0.25">
      <c r="A6337" t="str">
        <f>_xlfn.XLOOKUP(C6337, 'Códigos DANE Municipios'!$B$2:$B$1123, 'Códigos DANE Municipios'!$A$2:$A$1123, "No encontrado")</f>
        <v>41396</v>
      </c>
      <c r="B6337" t="str">
        <f>IFERROR(VLOOKUP(D6337,APOYO!K:L,2,FALSE),A6337)</f>
        <v>41396</v>
      </c>
      <c r="C6337" s="8" t="s">
        <v>1234</v>
      </c>
      <c r="D6337" t="str">
        <f>IFERROR(VLOOKUP(C6337,APOYO!J:K,2,FALSE),C6337)</f>
        <v>LA PLATA</v>
      </c>
      <c r="E6337" s="8">
        <v>2021</v>
      </c>
      <c r="F6337" s="8"/>
      <c r="G6337" s="8"/>
      <c r="H6337" s="8">
        <v>60</v>
      </c>
      <c r="I6337" s="8"/>
      <c r="J6337" s="8"/>
      <c r="K6337" s="8"/>
    </row>
    <row r="6338" spans="1:11" hidden="1" x14ac:dyDescent="0.25">
      <c r="A6338" t="str">
        <f>_xlfn.XLOOKUP(C6338, 'Códigos DANE Municipios'!$B$2:$B$1123, 'Códigos DANE Municipios'!$A$2:$A$1123, "No encontrado")</f>
        <v>54398</v>
      </c>
      <c r="B6338" t="str">
        <f>IFERROR(VLOOKUP(D6338,APOYO!K:L,2,FALSE),A6338)</f>
        <v>54398</v>
      </c>
      <c r="C6338" s="8" t="s">
        <v>1569</v>
      </c>
      <c r="D6338" t="str">
        <f>IFERROR(VLOOKUP(C6338,APOYO!J:K,2,FALSE),C6338)</f>
        <v>LA PLAYA</v>
      </c>
      <c r="E6338" s="8">
        <v>2021</v>
      </c>
      <c r="F6338" s="8"/>
      <c r="G6338" s="8"/>
      <c r="H6338" s="8">
        <v>6</v>
      </c>
      <c r="I6338" s="8">
        <v>4182</v>
      </c>
      <c r="J6338" s="8"/>
      <c r="K6338" s="8"/>
    </row>
    <row r="6339" spans="1:11" hidden="1" x14ac:dyDescent="0.25">
      <c r="A6339" t="str">
        <f>_xlfn.XLOOKUP(C6339, 'Códigos DANE Municipios'!$B$2:$B$1123, 'Códigos DANE Municipios'!$A$2:$A$1123, "No encontrado")</f>
        <v>99524</v>
      </c>
      <c r="B6339" t="str">
        <f>IFERROR(VLOOKUP(D6339,APOYO!K:L,2,FALSE),A6339)</f>
        <v>99524</v>
      </c>
      <c r="C6339" s="8" t="s">
        <v>2165</v>
      </c>
      <c r="D6339" t="str">
        <f>IFERROR(VLOOKUP(C6339,APOYO!J:K,2,FALSE),C6339)</f>
        <v>LA PRIMAVERA</v>
      </c>
      <c r="E6339" s="8">
        <v>2021</v>
      </c>
      <c r="F6339" s="8">
        <v>1603</v>
      </c>
      <c r="G6339" s="8"/>
      <c r="H6339" s="8">
        <v>22</v>
      </c>
      <c r="I6339" s="8"/>
      <c r="J6339" s="8"/>
      <c r="K6339" s="8"/>
    </row>
    <row r="6340" spans="1:11" hidden="1" x14ac:dyDescent="0.25">
      <c r="A6340" t="str">
        <f>_xlfn.XLOOKUP(C6340, 'Códigos DANE Municipios'!$B$2:$B$1123, 'Códigos DANE Municipios'!$A$2:$A$1123, "No encontrado")</f>
        <v>19392</v>
      </c>
      <c r="B6340" t="str">
        <f>IFERROR(VLOOKUP(D6340,APOYO!K:L,2,FALSE),A6340)</f>
        <v>19392</v>
      </c>
      <c r="C6340" s="8" t="s">
        <v>759</v>
      </c>
      <c r="D6340" t="str">
        <f>IFERROR(VLOOKUP(C6340,APOYO!J:K,2,FALSE),C6340)</f>
        <v>LA SIERRA</v>
      </c>
      <c r="E6340" s="8">
        <v>2021</v>
      </c>
      <c r="F6340" s="8"/>
      <c r="G6340" s="8"/>
      <c r="H6340" s="8">
        <v>12</v>
      </c>
      <c r="I6340" s="8"/>
      <c r="J6340" s="8"/>
      <c r="K6340" s="8"/>
    </row>
    <row r="6341" spans="1:11" hidden="1" x14ac:dyDescent="0.25">
      <c r="A6341" t="str">
        <f>_xlfn.XLOOKUP(C6341, 'Códigos DANE Municipios'!$B$2:$B$1123, 'Códigos DANE Municipios'!$A$2:$A$1123, "No encontrado")</f>
        <v>63401</v>
      </c>
      <c r="B6341" t="str">
        <f>IFERROR(VLOOKUP(D6341,APOYO!K:L,2,FALSE),A6341)</f>
        <v>63401</v>
      </c>
      <c r="C6341" s="8" t="s">
        <v>1618</v>
      </c>
      <c r="D6341" t="str">
        <f>IFERROR(VLOOKUP(C6341,APOYO!J:K,2,FALSE),C6341)</f>
        <v>LA TEBAIDA</v>
      </c>
      <c r="E6341" s="8">
        <v>2021</v>
      </c>
      <c r="F6341" s="8"/>
      <c r="G6341" s="8"/>
      <c r="H6341" s="8">
        <v>336</v>
      </c>
      <c r="I6341" s="8"/>
      <c r="J6341" s="8"/>
      <c r="K6341" s="8"/>
    </row>
    <row r="6342" spans="1:11" hidden="1" x14ac:dyDescent="0.25">
      <c r="A6342" t="str">
        <f>_xlfn.XLOOKUP(C6342, 'Códigos DANE Municipios'!$B$2:$B$1123, 'Códigos DANE Municipios'!$A$2:$A$1123, "No encontrado")</f>
        <v>05400</v>
      </c>
      <c r="B6342" t="str">
        <f>IFERROR(VLOOKUP(D6342,APOYO!K:L,2,FALSE),A6342)</f>
        <v>05400</v>
      </c>
      <c r="C6342" s="8" t="s">
        <v>142</v>
      </c>
      <c r="D6342" t="str">
        <f>IFERROR(VLOOKUP(C6342,APOYO!J:K,2,FALSE),C6342)</f>
        <v>LA UNIÓN</v>
      </c>
      <c r="E6342" s="8">
        <v>2021</v>
      </c>
      <c r="F6342" s="8"/>
      <c r="G6342" s="8"/>
      <c r="H6342" s="8">
        <v>219</v>
      </c>
      <c r="I6342" s="8"/>
      <c r="J6342" s="8"/>
      <c r="K6342" s="8"/>
    </row>
    <row r="6343" spans="1:11" hidden="1" x14ac:dyDescent="0.25">
      <c r="A6343" t="str">
        <f>_xlfn.XLOOKUP(C6343, 'Códigos DANE Municipios'!$B$2:$B$1123, 'Códigos DANE Municipios'!$A$2:$A$1123, "No encontrado")</f>
        <v>50370</v>
      </c>
      <c r="B6343" t="str">
        <f>IFERROR(VLOOKUP(D6343,APOYO!K:L,2,FALSE),A6343)</f>
        <v>50370</v>
      </c>
      <c r="C6343" t="s">
        <v>1388</v>
      </c>
      <c r="D6343" t="str">
        <f>IFERROR(VLOOKUP(C6343,APOYO!J:K,2,FALSE),C6343)</f>
        <v>URIBE</v>
      </c>
      <c r="E6343">
        <v>2021</v>
      </c>
      <c r="F6343">
        <v>164</v>
      </c>
      <c r="H6343">
        <v>1</v>
      </c>
    </row>
    <row r="6344" spans="1:11" hidden="1" x14ac:dyDescent="0.25">
      <c r="A6344" t="str">
        <f>_xlfn.XLOOKUP(C6344, 'Códigos DANE Municipios'!$B$2:$B$1123, 'Códigos DANE Municipios'!$A$2:$A$1123, "No encontrado")</f>
        <v>19397</v>
      </c>
      <c r="B6344" t="str">
        <f>IFERROR(VLOOKUP(D6344,APOYO!K:L,2,FALSE),A6344)</f>
        <v>19397</v>
      </c>
      <c r="C6344" s="8" t="s">
        <v>761</v>
      </c>
      <c r="D6344" t="str">
        <f>IFERROR(VLOOKUP(C6344,APOYO!J:K,2,FALSE),C6344)</f>
        <v>LA VEGA</v>
      </c>
      <c r="E6344" s="8">
        <v>2021</v>
      </c>
      <c r="F6344" s="8"/>
      <c r="G6344" s="8"/>
      <c r="H6344" s="8">
        <v>111</v>
      </c>
      <c r="I6344" s="8"/>
      <c r="J6344" s="8"/>
      <c r="K6344" s="8"/>
    </row>
    <row r="6345" spans="1:11" hidden="1" x14ac:dyDescent="0.25">
      <c r="A6345" t="str">
        <f>_xlfn.XLOOKUP(C6345, 'Códigos DANE Municipios'!$B$2:$B$1123, 'Códigos DANE Municipios'!$A$2:$A$1123, "No encontrado")</f>
        <v>15401</v>
      </c>
      <c r="B6345" t="str">
        <f>IFERROR(VLOOKUP(D6345,APOYO!K:L,2,FALSE),A6345)</f>
        <v>15401</v>
      </c>
      <c r="C6345" s="8" t="s">
        <v>494</v>
      </c>
      <c r="D6345" t="str">
        <f>IFERROR(VLOOKUP(C6345,APOYO!J:K,2,FALSE),C6345)</f>
        <v>LA VICTORIA</v>
      </c>
      <c r="E6345" s="8">
        <v>2021</v>
      </c>
      <c r="F6345" s="8"/>
      <c r="G6345" s="8"/>
      <c r="H6345" s="8">
        <v>106</v>
      </c>
      <c r="I6345" s="8"/>
      <c r="J6345" s="8"/>
      <c r="K6345" s="8"/>
    </row>
    <row r="6346" spans="1:11" hidden="1" x14ac:dyDescent="0.25">
      <c r="A6346" t="str">
        <f>_xlfn.XLOOKUP(C6346, 'Códigos DANE Municipios'!$B$2:$B$1123, 'Códigos DANE Municipios'!$A$2:$A$1123, "No encontrado")</f>
        <v>66400</v>
      </c>
      <c r="B6346" t="str">
        <f>IFERROR(VLOOKUP(D6346,APOYO!K:L,2,FALSE),A6346)</f>
        <v>66400</v>
      </c>
      <c r="C6346" s="8" t="s">
        <v>1641</v>
      </c>
      <c r="D6346" t="str">
        <f>IFERROR(VLOOKUP(C6346,APOYO!J:K,2,FALSE),C6346)</f>
        <v>LA VIRGINIA</v>
      </c>
      <c r="E6346" s="8">
        <v>2021</v>
      </c>
      <c r="F6346" s="8"/>
      <c r="G6346" s="8"/>
      <c r="H6346" s="8">
        <v>288</v>
      </c>
      <c r="I6346" s="8"/>
      <c r="J6346" s="8"/>
      <c r="K6346" s="8"/>
    </row>
    <row r="6347" spans="1:11" hidden="1" x14ac:dyDescent="0.25">
      <c r="A6347" t="str">
        <f>_xlfn.XLOOKUP(C6347, 'Códigos DANE Municipios'!$B$2:$B$1123, 'Códigos DANE Municipios'!$A$2:$A$1123, "No encontrado")</f>
        <v>68385</v>
      </c>
      <c r="B6347" t="str">
        <f>IFERROR(VLOOKUP(D6347,APOYO!K:L,2,FALSE),A6347)</f>
        <v>68385</v>
      </c>
      <c r="C6347" t="s">
        <v>1737</v>
      </c>
      <c r="D6347" t="str">
        <f>IFERROR(VLOOKUP(C6347,APOYO!J:K,2,FALSE),C6347)</f>
        <v>LANDÁZURI</v>
      </c>
      <c r="E6347">
        <v>2021</v>
      </c>
      <c r="H6347">
        <v>3</v>
      </c>
    </row>
    <row r="6348" spans="1:11" hidden="1" x14ac:dyDescent="0.25">
      <c r="A6348" t="str">
        <f>_xlfn.XLOOKUP(C6348, 'Códigos DANE Municipios'!$B$2:$B$1123, 'Códigos DANE Municipios'!$A$2:$A$1123, "No encontrado")</f>
        <v>68406</v>
      </c>
      <c r="B6348" t="str">
        <f>IFERROR(VLOOKUP(D6348,APOYO!K:L,2,FALSE),A6348)</f>
        <v>68406</v>
      </c>
      <c r="C6348" t="s">
        <v>1740</v>
      </c>
      <c r="D6348" t="str">
        <f>IFERROR(VLOOKUP(C6348,APOYO!J:K,2,FALSE),C6348)</f>
        <v>LEBRIJA</v>
      </c>
      <c r="E6348">
        <v>2021</v>
      </c>
      <c r="H6348">
        <v>51</v>
      </c>
    </row>
    <row r="6349" spans="1:11" hidden="1" x14ac:dyDescent="0.25">
      <c r="A6349" t="str">
        <f>_xlfn.XLOOKUP(C6349, 'Códigos DANE Municipios'!$B$2:$B$1123, 'Códigos DANE Municipios'!$A$2:$A$1123, "No encontrado")</f>
        <v>50400</v>
      </c>
      <c r="B6349" t="str">
        <f>IFERROR(VLOOKUP(D6349,APOYO!K:L,2,FALSE),A6349)</f>
        <v>50400</v>
      </c>
      <c r="C6349" t="s">
        <v>1390</v>
      </c>
      <c r="D6349" t="str">
        <f>IFERROR(VLOOKUP(C6349,APOYO!J:K,2,FALSE),C6349)</f>
        <v>LEJANÍAS</v>
      </c>
      <c r="E6349">
        <v>2021</v>
      </c>
      <c r="H6349">
        <v>3</v>
      </c>
    </row>
    <row r="6350" spans="1:11" hidden="1" x14ac:dyDescent="0.25">
      <c r="A6350" t="str">
        <f>_xlfn.XLOOKUP(C6350, 'Códigos DANE Municipios'!$B$2:$B$1123, 'Códigos DANE Municipios'!$A$2:$A$1123, "No encontrado")</f>
        <v>25407</v>
      </c>
      <c r="B6350" t="str">
        <f>IFERROR(VLOOKUP(D6350,APOYO!K:L,2,FALSE),A6350)</f>
        <v>25407</v>
      </c>
      <c r="C6350" s="8" t="s">
        <v>1017</v>
      </c>
      <c r="D6350" t="str">
        <f>IFERROR(VLOOKUP(C6350,APOYO!J:K,2,FALSE),C6350)</f>
        <v>LENGUAZAQUE</v>
      </c>
      <c r="E6350" s="8">
        <v>2021</v>
      </c>
      <c r="F6350" s="8"/>
      <c r="G6350" s="8"/>
      <c r="H6350" s="8">
        <v>8</v>
      </c>
      <c r="I6350" s="8"/>
      <c r="J6350" s="8"/>
      <c r="K6350" s="8"/>
    </row>
    <row r="6351" spans="1:11" hidden="1" x14ac:dyDescent="0.25">
      <c r="A6351" t="str">
        <f>_xlfn.XLOOKUP(C6351, 'Códigos DANE Municipios'!$B$2:$B$1123, 'Códigos DANE Municipios'!$A$2:$A$1123, "No encontrado")</f>
        <v>73408</v>
      </c>
      <c r="B6351" t="str">
        <f>IFERROR(VLOOKUP(D6351,APOYO!K:L,2,FALSE),A6351)</f>
        <v>73408</v>
      </c>
      <c r="C6351" s="8" t="s">
        <v>1911</v>
      </c>
      <c r="D6351" t="str">
        <f>IFERROR(VLOOKUP(C6351,APOYO!J:K,2,FALSE),C6351)</f>
        <v>LÉRIDA</v>
      </c>
      <c r="E6351" s="8">
        <v>2021</v>
      </c>
      <c r="F6351" s="8"/>
      <c r="G6351" s="8"/>
      <c r="H6351" s="8">
        <v>17</v>
      </c>
      <c r="I6351" s="8"/>
      <c r="J6351" s="8"/>
      <c r="K6351" s="8"/>
    </row>
    <row r="6352" spans="1:11" hidden="1" x14ac:dyDescent="0.25">
      <c r="A6352" t="str">
        <f>_xlfn.XLOOKUP(C6352, 'Códigos DANE Municipios'!$B$2:$B$1123, 'Códigos DANE Municipios'!$A$2:$A$1123, "No encontrado")</f>
        <v>91001</v>
      </c>
      <c r="B6352" t="str">
        <f>IFERROR(VLOOKUP(D6352,APOYO!K:L,2,FALSE),A6352)</f>
        <v>91001</v>
      </c>
      <c r="C6352" s="8" t="s">
        <v>2108</v>
      </c>
      <c r="D6352" t="str">
        <f>IFERROR(VLOOKUP(C6352,APOYO!J:K,2,FALSE),C6352)</f>
        <v>LETICIA</v>
      </c>
      <c r="E6352" s="8">
        <v>2021</v>
      </c>
      <c r="F6352" s="8">
        <v>72822</v>
      </c>
      <c r="G6352" s="8">
        <v>37</v>
      </c>
      <c r="H6352" s="8">
        <v>1128</v>
      </c>
      <c r="I6352" s="8">
        <v>0</v>
      </c>
      <c r="J6352" s="8"/>
      <c r="K6352" s="8"/>
    </row>
    <row r="6353" spans="1:11" hidden="1" x14ac:dyDescent="0.25">
      <c r="A6353" t="str">
        <f>_xlfn.XLOOKUP(C6353, 'Códigos DANE Municipios'!$B$2:$B$1123, 'Códigos DANE Municipios'!$A$2:$A$1123, "No encontrado")</f>
        <v>73411</v>
      </c>
      <c r="B6353" t="str">
        <f>IFERROR(VLOOKUP(D6353,APOYO!K:L,2,FALSE),A6353)</f>
        <v>73411</v>
      </c>
      <c r="C6353" s="8" t="s">
        <v>1913</v>
      </c>
      <c r="D6353" t="str">
        <f>IFERROR(VLOOKUP(C6353,APOYO!J:K,2,FALSE),C6353)</f>
        <v>LÍBANO</v>
      </c>
      <c r="E6353" s="8">
        <v>2021</v>
      </c>
      <c r="F6353" s="8"/>
      <c r="G6353" s="8"/>
      <c r="H6353" s="8">
        <v>64</v>
      </c>
      <c r="I6353" s="8"/>
      <c r="J6353" s="8"/>
      <c r="K6353" s="8"/>
    </row>
    <row r="6354" spans="1:11" hidden="1" x14ac:dyDescent="0.25">
      <c r="A6354" t="str">
        <f>_xlfn.XLOOKUP(C6354, 'Códigos DANE Municipios'!$B$2:$B$1123, 'Códigos DANE Municipios'!$A$2:$A$1123, "No encontrado")</f>
        <v>52411</v>
      </c>
      <c r="B6354" t="str">
        <f>IFERROR(VLOOKUP(D6354,APOYO!K:L,2,FALSE),A6354)</f>
        <v>52411</v>
      </c>
      <c r="C6354" s="8" t="s">
        <v>1475</v>
      </c>
      <c r="D6354" t="str">
        <f>IFERROR(VLOOKUP(C6354,APOYO!J:K,2,FALSE),C6354)</f>
        <v>LINARES</v>
      </c>
      <c r="E6354" s="8">
        <v>2021</v>
      </c>
      <c r="F6354" s="8"/>
      <c r="G6354" s="8"/>
      <c r="H6354" s="8"/>
      <c r="I6354" s="8"/>
      <c r="J6354" s="8"/>
      <c r="K6354" s="8"/>
    </row>
    <row r="6355" spans="1:11" hidden="1" x14ac:dyDescent="0.25">
      <c r="A6355" t="str">
        <f>_xlfn.XLOOKUP(C6355, 'Códigos DANE Municipios'!$B$2:$B$1123, 'Códigos DANE Municipios'!$A$2:$A$1123, "No encontrado")</f>
        <v>27413</v>
      </c>
      <c r="B6355" t="str">
        <f>IFERROR(VLOOKUP(D6355,APOYO!K:L,2,FALSE),A6355)</f>
        <v>27413</v>
      </c>
      <c r="C6355" t="s">
        <v>1174</v>
      </c>
      <c r="D6355" t="str">
        <f>IFERROR(VLOOKUP(C6355,APOYO!J:K,2,FALSE),C6355)</f>
        <v>LLORÓ</v>
      </c>
      <c r="E6355">
        <v>2021</v>
      </c>
      <c r="H6355">
        <v>1</v>
      </c>
    </row>
    <row r="6356" spans="1:11" hidden="1" x14ac:dyDescent="0.25">
      <c r="A6356" t="str">
        <f>_xlfn.XLOOKUP(C6356, 'Códigos DANE Municipios'!$B$2:$B$1123, 'Códigos DANE Municipios'!$A$2:$A$1123, "No encontrado")</f>
        <v>05411</v>
      </c>
      <c r="B6356" t="str">
        <f>IFERROR(VLOOKUP(D6356,APOYO!K:L,2,FALSE),A6356)</f>
        <v>05411</v>
      </c>
      <c r="C6356" s="8" t="s">
        <v>144</v>
      </c>
      <c r="D6356" t="str">
        <f>IFERROR(VLOOKUP(C6356,APOYO!J:K,2,FALSE),C6356)</f>
        <v>LIBORINA</v>
      </c>
      <c r="E6356" s="8">
        <v>2021</v>
      </c>
      <c r="F6356" s="8"/>
      <c r="G6356" s="8"/>
      <c r="H6356" s="8">
        <v>7</v>
      </c>
      <c r="I6356" s="8"/>
      <c r="J6356" s="8"/>
      <c r="K6356" s="8"/>
    </row>
    <row r="6357" spans="1:11" hidden="1" x14ac:dyDescent="0.25">
      <c r="A6357" t="str">
        <f>_xlfn.XLOOKUP(C6357, 'Códigos DANE Municipios'!$B$2:$B$1123, 'Códigos DANE Municipios'!$A$2:$A$1123, "No encontrado")</f>
        <v>23417</v>
      </c>
      <c r="B6357" t="str">
        <f>IFERROR(VLOOKUP(D6357,APOYO!K:L,2,FALSE),A6357)</f>
        <v>23417</v>
      </c>
      <c r="C6357" s="8" t="s">
        <v>877</v>
      </c>
      <c r="D6357" t="str">
        <f>IFERROR(VLOOKUP(C6357,APOYO!J:K,2,FALSE),C6357)</f>
        <v>LORICA</v>
      </c>
      <c r="E6357" s="8">
        <v>2021</v>
      </c>
      <c r="F6357" s="8"/>
      <c r="G6357" s="8"/>
      <c r="H6357" s="8">
        <v>37</v>
      </c>
      <c r="I6357" s="8"/>
      <c r="J6357" s="8"/>
      <c r="K6357" s="8"/>
    </row>
    <row r="6358" spans="1:11" hidden="1" x14ac:dyDescent="0.25">
      <c r="A6358" t="str">
        <f>_xlfn.XLOOKUP(C6358, 'Códigos DANE Municipios'!$B$2:$B$1123, 'Códigos DANE Municipios'!$A$2:$A$1123, "No encontrado")</f>
        <v>23419</v>
      </c>
      <c r="B6358" t="str">
        <f>IFERROR(VLOOKUP(D6358,APOYO!K:L,2,FALSE),A6358)</f>
        <v>23419</v>
      </c>
      <c r="C6358" s="8" t="s">
        <v>879</v>
      </c>
      <c r="D6358" t="str">
        <f>IFERROR(VLOOKUP(C6358,APOYO!J:K,2,FALSE),C6358)</f>
        <v>LOS CÓRDOBAS</v>
      </c>
      <c r="E6358" s="8">
        <v>2021</v>
      </c>
      <c r="F6358" s="8"/>
      <c r="G6358" s="8"/>
      <c r="H6358" s="8">
        <v>40</v>
      </c>
      <c r="I6358" s="8"/>
      <c r="J6358" s="8"/>
      <c r="K6358" s="8"/>
    </row>
    <row r="6359" spans="1:11" hidden="1" x14ac:dyDescent="0.25">
      <c r="A6359" t="str">
        <f>_xlfn.XLOOKUP(C6359, 'Códigos DANE Municipios'!$B$2:$B$1123, 'Códigos DANE Municipios'!$A$2:$A$1123, "No encontrado")</f>
        <v>52418</v>
      </c>
      <c r="B6359" t="str">
        <f>IFERROR(VLOOKUP(D6359,APOYO!K:L,2,FALSE),A6359)</f>
        <v>52418</v>
      </c>
      <c r="C6359" t="s">
        <v>1477</v>
      </c>
      <c r="D6359" t="str">
        <f>IFERROR(VLOOKUP(C6359,APOYO!J:K,2,FALSE),C6359)</f>
        <v>LOS ANDES</v>
      </c>
      <c r="E6359">
        <v>2021</v>
      </c>
    </row>
    <row r="6360" spans="1:11" hidden="1" x14ac:dyDescent="0.25">
      <c r="A6360" t="str">
        <f>_xlfn.XLOOKUP(C6360, 'Códigos DANE Municipios'!$B$2:$B$1123, 'Códigos DANE Municipios'!$A$2:$A$1123, "No encontrado")</f>
        <v>70418</v>
      </c>
      <c r="B6360" t="str">
        <f>IFERROR(VLOOKUP(D6360,APOYO!K:L,2,FALSE),A6360)</f>
        <v>70418</v>
      </c>
      <c r="C6360" s="8" t="s">
        <v>1836</v>
      </c>
      <c r="D6360" t="str">
        <f>IFERROR(VLOOKUP(C6360,APOYO!J:K,2,FALSE),C6360)</f>
        <v>LOS PALMITOS</v>
      </c>
      <c r="E6360" s="8">
        <v>2021</v>
      </c>
      <c r="F6360" s="8"/>
      <c r="G6360" s="8"/>
      <c r="H6360" s="8">
        <v>3</v>
      </c>
      <c r="I6360" s="8"/>
      <c r="J6360" s="8"/>
      <c r="K6360" s="8"/>
    </row>
    <row r="6361" spans="1:11" hidden="1" x14ac:dyDescent="0.25">
      <c r="A6361" t="str">
        <f>_xlfn.XLOOKUP(C6361, 'Códigos DANE Municipios'!$B$2:$B$1123, 'Códigos DANE Municipios'!$A$2:$A$1123, "No encontrado")</f>
        <v>54405</v>
      </c>
      <c r="B6361" t="str">
        <f>IFERROR(VLOOKUP(D6361,APOYO!K:L,2,FALSE),A6361)</f>
        <v>54405</v>
      </c>
      <c r="C6361" s="8" t="s">
        <v>1571</v>
      </c>
      <c r="D6361" t="str">
        <f>IFERROR(VLOOKUP(C6361,APOYO!J:K,2,FALSE),C6361)</f>
        <v>LOS PATIOS</v>
      </c>
      <c r="E6361" s="8">
        <v>2021</v>
      </c>
      <c r="F6361" s="8"/>
      <c r="G6361" s="8"/>
      <c r="H6361" s="8">
        <v>169</v>
      </c>
      <c r="I6361" s="8"/>
      <c r="J6361" s="8"/>
      <c r="K6361" s="8"/>
    </row>
    <row r="6362" spans="1:11" hidden="1" x14ac:dyDescent="0.25">
      <c r="A6362" t="str">
        <f>_xlfn.XLOOKUP(C6362, 'Códigos DANE Municipios'!$B$2:$B$1123, 'Códigos DANE Municipios'!$A$2:$A$1123, "No encontrado")</f>
        <v>68418</v>
      </c>
      <c r="B6362" t="str">
        <f>IFERROR(VLOOKUP(D6362,APOYO!K:L,2,FALSE),A6362)</f>
        <v>68418</v>
      </c>
      <c r="C6362" s="8" t="s">
        <v>1742</v>
      </c>
      <c r="D6362" t="str">
        <f>IFERROR(VLOOKUP(C6362,APOYO!J:K,2,FALSE),C6362)</f>
        <v>LOS SANTOS</v>
      </c>
      <c r="E6362" s="8">
        <v>2021</v>
      </c>
      <c r="F6362" s="8"/>
      <c r="G6362" s="8"/>
      <c r="H6362" s="8">
        <v>49</v>
      </c>
      <c r="I6362" s="8"/>
      <c r="J6362" s="8"/>
      <c r="K6362" s="8"/>
    </row>
    <row r="6363" spans="1:11" hidden="1" x14ac:dyDescent="0.25">
      <c r="A6363" t="str">
        <f>_xlfn.XLOOKUP(C6363, 'Códigos DANE Municipios'!$B$2:$B$1123, 'Códigos DANE Municipios'!$A$2:$A$1123, "No encontrado")</f>
        <v>08421</v>
      </c>
      <c r="B6363" t="str">
        <f>IFERROR(VLOOKUP(D6363,APOYO!K:L,2,FALSE),A6363)</f>
        <v>08421</v>
      </c>
      <c r="C6363" s="8" t="s">
        <v>274</v>
      </c>
      <c r="D6363" t="str">
        <f>IFERROR(VLOOKUP(C6363,APOYO!J:K,2,FALSE),C6363)</f>
        <v>LURUACO</v>
      </c>
      <c r="E6363" s="8">
        <v>2021</v>
      </c>
      <c r="F6363" s="8"/>
      <c r="G6363" s="8"/>
      <c r="H6363" s="8">
        <v>27</v>
      </c>
      <c r="I6363" s="8"/>
      <c r="J6363" s="8"/>
      <c r="K6363" s="8"/>
    </row>
    <row r="6364" spans="1:11" hidden="1" x14ac:dyDescent="0.25">
      <c r="A6364" t="str">
        <f>_xlfn.XLOOKUP(C6364, 'Códigos DANE Municipios'!$B$2:$B$1123, 'Códigos DANE Municipios'!$A$2:$A$1123, "No encontrado")</f>
        <v>15425</v>
      </c>
      <c r="B6364" t="str">
        <f>IFERROR(VLOOKUP(D6364,APOYO!K:L,2,FALSE),A6364)</f>
        <v>15425</v>
      </c>
      <c r="C6364" s="8" t="s">
        <v>500</v>
      </c>
      <c r="D6364" t="str">
        <f>IFERROR(VLOOKUP(C6364,APOYO!J:K,2,FALSE),C6364)</f>
        <v>MACANAL</v>
      </c>
      <c r="E6364" s="8">
        <v>2021</v>
      </c>
      <c r="F6364" s="8"/>
      <c r="G6364" s="8"/>
      <c r="H6364" s="8">
        <v>7</v>
      </c>
      <c r="I6364" s="8"/>
      <c r="J6364" s="8"/>
      <c r="K6364" s="8"/>
    </row>
    <row r="6365" spans="1:11" hidden="1" x14ac:dyDescent="0.25">
      <c r="A6365" t="str">
        <f>_xlfn.XLOOKUP(C6365, 'Códigos DANE Municipios'!$B$2:$B$1123, 'Códigos DANE Municipios'!$A$2:$A$1123, "No encontrado")</f>
        <v>05425</v>
      </c>
      <c r="B6365" t="str">
        <f>IFERROR(VLOOKUP(D6365,APOYO!K:L,2,FALSE),A6365)</f>
        <v>05425</v>
      </c>
      <c r="C6365" s="8" t="s">
        <v>146</v>
      </c>
      <c r="D6365" t="str">
        <f>IFERROR(VLOOKUP(C6365,APOYO!J:K,2,FALSE),C6365)</f>
        <v>MACEO</v>
      </c>
      <c r="E6365" s="8">
        <v>2021</v>
      </c>
      <c r="F6365" s="8"/>
      <c r="G6365" s="8"/>
      <c r="H6365" s="8">
        <v>10</v>
      </c>
      <c r="I6365" s="8"/>
      <c r="J6365" s="8"/>
      <c r="K6365" s="8"/>
    </row>
    <row r="6366" spans="1:11" hidden="1" x14ac:dyDescent="0.25">
      <c r="A6366" t="str">
        <f>_xlfn.XLOOKUP(C6366, 'Códigos DANE Municipios'!$B$2:$B$1123, 'Códigos DANE Municipios'!$A$2:$A$1123, "No encontrado")</f>
        <v>25426</v>
      </c>
      <c r="B6366" t="str">
        <f>IFERROR(VLOOKUP(D6366,APOYO!K:L,2,FALSE),A6366)</f>
        <v>25426</v>
      </c>
      <c r="C6366" s="8" t="s">
        <v>1019</v>
      </c>
      <c r="D6366" t="str">
        <f>IFERROR(VLOOKUP(C6366,APOYO!J:K,2,FALSE),C6366)</f>
        <v>MACHETÁ</v>
      </c>
      <c r="E6366" s="8">
        <v>2021</v>
      </c>
      <c r="F6366" s="8"/>
      <c r="G6366" s="8"/>
      <c r="H6366" s="8">
        <v>20</v>
      </c>
      <c r="I6366" s="8"/>
      <c r="J6366" s="8"/>
      <c r="K6366" s="8"/>
    </row>
    <row r="6367" spans="1:11" hidden="1" x14ac:dyDescent="0.25">
      <c r="A6367" t="str">
        <f>_xlfn.XLOOKUP(C6367, 'Códigos DANE Municipios'!$B$2:$B$1123, 'Códigos DANE Municipios'!$A$2:$A$1123, "No encontrado")</f>
        <v>25430</v>
      </c>
      <c r="B6367" t="str">
        <f>IFERROR(VLOOKUP(D6367,APOYO!K:L,2,FALSE),A6367)</f>
        <v>25430</v>
      </c>
      <c r="C6367" s="8" t="s">
        <v>1021</v>
      </c>
      <c r="D6367" t="str">
        <f>IFERROR(VLOOKUP(C6367,APOYO!J:K,2,FALSE),C6367)</f>
        <v>MADRID</v>
      </c>
      <c r="E6367" s="8">
        <v>2021</v>
      </c>
      <c r="F6367" s="8"/>
      <c r="G6367" s="8"/>
      <c r="H6367" s="8">
        <v>401</v>
      </c>
      <c r="I6367" s="8"/>
      <c r="J6367" s="8"/>
      <c r="K6367" s="8"/>
    </row>
    <row r="6368" spans="1:11" hidden="1" x14ac:dyDescent="0.25">
      <c r="A6368" t="str">
        <f>_xlfn.XLOOKUP(C6368, 'Códigos DANE Municipios'!$B$2:$B$1123, 'Códigos DANE Municipios'!$A$2:$A$1123, "No encontrado")</f>
        <v>13430</v>
      </c>
      <c r="B6368" t="str">
        <f>IFERROR(VLOOKUP(D6368,APOYO!K:L,2,FALSE),A6368)</f>
        <v>13430</v>
      </c>
      <c r="C6368" s="8" t="s">
        <v>341</v>
      </c>
      <c r="D6368" t="str">
        <f>IFERROR(VLOOKUP(C6368,APOYO!J:K,2,FALSE),C6368)</f>
        <v>MAGANGUÉ</v>
      </c>
      <c r="E6368" s="8">
        <v>2021</v>
      </c>
      <c r="F6368" s="8">
        <v>13</v>
      </c>
      <c r="G6368" s="8"/>
      <c r="H6368" s="8">
        <v>47</v>
      </c>
      <c r="I6368" s="8"/>
      <c r="J6368" s="8"/>
      <c r="K6368" s="8"/>
    </row>
    <row r="6369" spans="1:11" hidden="1" x14ac:dyDescent="0.25">
      <c r="A6369" t="str">
        <f>_xlfn.XLOOKUP(C6369, 'Códigos DANE Municipios'!$B$2:$B$1123, 'Códigos DANE Municipios'!$A$2:$A$1123, "No encontrado")</f>
        <v>13433</v>
      </c>
      <c r="B6369" t="str">
        <f>IFERROR(VLOOKUP(D6369,APOYO!K:L,2,FALSE),A6369)</f>
        <v>13433</v>
      </c>
      <c r="C6369" s="8" t="s">
        <v>343</v>
      </c>
      <c r="D6369" t="str">
        <f>IFERROR(VLOOKUP(C6369,APOYO!J:K,2,FALSE),C6369)</f>
        <v>MAHATES</v>
      </c>
      <c r="E6369" s="8">
        <v>2021</v>
      </c>
      <c r="F6369" s="8"/>
      <c r="G6369" s="8"/>
      <c r="H6369" s="8">
        <v>4</v>
      </c>
      <c r="I6369" s="8"/>
      <c r="J6369" s="8"/>
      <c r="K6369" s="8"/>
    </row>
    <row r="6370" spans="1:11" hidden="1" x14ac:dyDescent="0.25">
      <c r="A6370" t="str">
        <f>_xlfn.XLOOKUP(C6370, 'Códigos DANE Municipios'!$B$2:$B$1123, 'Códigos DANE Municipios'!$A$2:$A$1123, "No encontrado")</f>
        <v>44430</v>
      </c>
      <c r="B6370" t="str">
        <f>IFERROR(VLOOKUP(D6370,APOYO!K:L,2,FALSE),A6370)</f>
        <v>44430</v>
      </c>
      <c r="C6370" s="8" t="s">
        <v>1289</v>
      </c>
      <c r="D6370" t="str">
        <f>IFERROR(VLOOKUP(C6370,APOYO!J:K,2,FALSE),C6370)</f>
        <v>MAICAO</v>
      </c>
      <c r="E6370" s="8">
        <v>2021</v>
      </c>
      <c r="F6370" s="8">
        <v>10070</v>
      </c>
      <c r="G6370" s="8"/>
      <c r="H6370" s="8">
        <v>338</v>
      </c>
      <c r="I6370" s="8"/>
      <c r="J6370" s="8"/>
      <c r="K6370" s="8"/>
    </row>
    <row r="6371" spans="1:11" hidden="1" x14ac:dyDescent="0.25">
      <c r="A6371" t="str">
        <f>_xlfn.XLOOKUP(C6371, 'Códigos DANE Municipios'!$B$2:$B$1123, 'Códigos DANE Municipios'!$A$2:$A$1123, "No encontrado")</f>
        <v>70429</v>
      </c>
      <c r="B6371" t="str">
        <f>IFERROR(VLOOKUP(D6371,APOYO!K:L,2,FALSE),A6371)</f>
        <v>70429</v>
      </c>
      <c r="C6371" s="8" t="s">
        <v>1838</v>
      </c>
      <c r="D6371" t="str">
        <f>IFERROR(VLOOKUP(C6371,APOYO!J:K,2,FALSE),C6371)</f>
        <v>MAJAGUAL</v>
      </c>
      <c r="E6371" s="8">
        <v>2021</v>
      </c>
      <c r="F6371" s="8"/>
      <c r="G6371" s="8"/>
      <c r="H6371" s="8">
        <v>2</v>
      </c>
      <c r="I6371" s="8"/>
      <c r="J6371" s="8"/>
      <c r="K6371" s="8"/>
    </row>
    <row r="6372" spans="1:11" hidden="1" x14ac:dyDescent="0.25">
      <c r="A6372" t="str">
        <f>_xlfn.XLOOKUP(C6372, 'Códigos DANE Municipios'!$B$2:$B$1123, 'Códigos DANE Municipios'!$A$2:$A$1123, "No encontrado")</f>
        <v>68432</v>
      </c>
      <c r="B6372" t="str">
        <f>IFERROR(VLOOKUP(D6372,APOYO!K:L,2,FALSE),A6372)</f>
        <v>68432</v>
      </c>
      <c r="C6372" s="8" t="s">
        <v>1746</v>
      </c>
      <c r="D6372" t="str">
        <f>IFERROR(VLOOKUP(C6372,APOYO!J:K,2,FALSE),C6372)</f>
        <v>MÁLAGA</v>
      </c>
      <c r="E6372" s="8">
        <v>2021</v>
      </c>
      <c r="F6372" s="8">
        <v>156</v>
      </c>
      <c r="G6372" s="8"/>
      <c r="H6372" s="8">
        <v>32</v>
      </c>
      <c r="I6372" s="8"/>
      <c r="J6372" s="8"/>
      <c r="K6372" s="8"/>
    </row>
    <row r="6373" spans="1:11" hidden="1" x14ac:dyDescent="0.25">
      <c r="A6373" t="str">
        <f>_xlfn.XLOOKUP(C6373, 'Códigos DANE Municipios'!$B$2:$B$1123, 'Códigos DANE Municipios'!$A$2:$A$1123, "No encontrado")</f>
        <v>08433</v>
      </c>
      <c r="B6373" t="str">
        <f>IFERROR(VLOOKUP(D6373,APOYO!K:L,2,FALSE),A6373)</f>
        <v>08433</v>
      </c>
      <c r="C6373" s="8" t="s">
        <v>276</v>
      </c>
      <c r="D6373" t="str">
        <f>IFERROR(VLOOKUP(C6373,APOYO!J:K,2,FALSE),C6373)</f>
        <v>MALAMBO</v>
      </c>
      <c r="E6373" s="8">
        <v>2021</v>
      </c>
      <c r="F6373" s="8"/>
      <c r="G6373" s="8"/>
      <c r="H6373" s="8">
        <v>77</v>
      </c>
      <c r="I6373" s="8"/>
      <c r="J6373" s="8"/>
      <c r="K6373" s="8"/>
    </row>
    <row r="6374" spans="1:11" hidden="1" x14ac:dyDescent="0.25">
      <c r="A6374" t="str">
        <f>_xlfn.XLOOKUP(C6374, 'Códigos DANE Municipios'!$B$2:$B$1123, 'Códigos DANE Municipios'!$A$2:$A$1123, "No encontrado")</f>
        <v>44560</v>
      </c>
      <c r="B6374" t="str">
        <f>IFERROR(VLOOKUP(D6374,APOYO!K:L,2,FALSE),A6374)</f>
        <v>44560</v>
      </c>
      <c r="C6374" s="8" t="s">
        <v>1291</v>
      </c>
      <c r="D6374" t="str">
        <f>IFERROR(VLOOKUP(C6374,APOYO!J:K,2,FALSE),C6374)</f>
        <v>MANAURE</v>
      </c>
      <c r="E6374" s="8">
        <v>2021</v>
      </c>
      <c r="F6374" s="8"/>
      <c r="G6374" s="8"/>
      <c r="H6374" s="8">
        <v>12</v>
      </c>
      <c r="I6374" s="8"/>
      <c r="J6374" s="8"/>
      <c r="K6374" s="8"/>
    </row>
    <row r="6375" spans="1:11" hidden="1" x14ac:dyDescent="0.25">
      <c r="A6375" t="str">
        <f>_xlfn.XLOOKUP(C6375, 'Códigos DANE Municipios'!$B$2:$B$1123, 'Códigos DANE Municipios'!$A$2:$A$1123, "No encontrado")</f>
        <v>20443</v>
      </c>
      <c r="B6375" t="str">
        <f>IFERROR(VLOOKUP(D6375,APOYO!K:L,2,FALSE),A6375)</f>
        <v>20443</v>
      </c>
      <c r="C6375" t="s">
        <v>838</v>
      </c>
      <c r="D6375" t="str">
        <f>IFERROR(VLOOKUP(C6375,APOYO!J:K,2,FALSE),C6375)</f>
        <v>MANAURE BALCÓN DEL CESAR</v>
      </c>
      <c r="E6375">
        <v>2021</v>
      </c>
      <c r="H6375">
        <v>8</v>
      </c>
    </row>
    <row r="6376" spans="1:11" hidden="1" x14ac:dyDescent="0.25">
      <c r="A6376" t="str">
        <f>_xlfn.XLOOKUP(C6376, 'Códigos DANE Municipios'!$B$2:$B$1123, 'Códigos DANE Municipios'!$A$2:$A$1123, "No encontrado")</f>
        <v>85139</v>
      </c>
      <c r="B6376" t="str">
        <f>IFERROR(VLOOKUP(D6376,APOYO!K:L,2,FALSE),A6376)</f>
        <v>85139</v>
      </c>
      <c r="C6376" s="8" t="s">
        <v>2058</v>
      </c>
      <c r="D6376" t="str">
        <f>IFERROR(VLOOKUP(C6376,APOYO!J:K,2,FALSE),C6376)</f>
        <v>MANÍ</v>
      </c>
      <c r="E6376" s="8">
        <v>2021</v>
      </c>
      <c r="F6376" s="8">
        <v>54</v>
      </c>
      <c r="G6376" s="8"/>
      <c r="H6376" s="8">
        <v>11</v>
      </c>
      <c r="I6376" s="8"/>
      <c r="J6376" s="8"/>
      <c r="K6376" s="8"/>
    </row>
    <row r="6377" spans="1:11" hidden="1" x14ac:dyDescent="0.25">
      <c r="A6377" t="str">
        <f>_xlfn.XLOOKUP(C6377, 'Códigos DANE Municipios'!$B$2:$B$1123, 'Códigos DANE Municipios'!$A$2:$A$1123, "No encontrado")</f>
        <v>17001</v>
      </c>
      <c r="B6377" t="str">
        <f>IFERROR(VLOOKUP(D6377,APOYO!K:L,2,FALSE),A6377)</f>
        <v>17001</v>
      </c>
      <c r="C6377" s="8" t="s">
        <v>644</v>
      </c>
      <c r="D6377" t="str">
        <f>IFERROR(VLOOKUP(C6377,APOYO!J:K,2,FALSE),C6377)</f>
        <v>MANIZALES</v>
      </c>
      <c r="E6377" s="8">
        <v>2021</v>
      </c>
      <c r="F6377" s="8">
        <v>58453</v>
      </c>
      <c r="G6377" s="8"/>
      <c r="H6377" s="8">
        <v>5239</v>
      </c>
      <c r="I6377" s="8"/>
      <c r="J6377" s="8"/>
      <c r="K6377" s="8"/>
    </row>
    <row r="6378" spans="1:11" hidden="1" x14ac:dyDescent="0.25">
      <c r="A6378" t="str">
        <f>_xlfn.XLOOKUP(C6378, 'Códigos DANE Municipios'!$B$2:$B$1123, 'Códigos DANE Municipios'!$A$2:$A$1123, "No encontrado")</f>
        <v>25436</v>
      </c>
      <c r="B6378" t="str">
        <f>IFERROR(VLOOKUP(D6378,APOYO!K:L,2,FALSE),A6378)</f>
        <v>25436</v>
      </c>
      <c r="C6378" s="8" t="s">
        <v>1023</v>
      </c>
      <c r="D6378" t="str">
        <f>IFERROR(VLOOKUP(C6378,APOYO!J:K,2,FALSE),C6378)</f>
        <v>MANTA</v>
      </c>
      <c r="E6378" s="8">
        <v>2021</v>
      </c>
      <c r="F6378" s="8"/>
      <c r="G6378" s="8"/>
      <c r="H6378" s="8">
        <v>2</v>
      </c>
      <c r="I6378" s="8"/>
      <c r="J6378" s="8"/>
      <c r="K6378" s="8"/>
    </row>
    <row r="6379" spans="1:11" hidden="1" x14ac:dyDescent="0.25">
      <c r="A6379" t="str">
        <f>_xlfn.XLOOKUP(C6379, 'Códigos DANE Municipios'!$B$2:$B$1123, 'Códigos DANE Municipios'!$A$2:$A$1123, "No encontrado")</f>
        <v>17433</v>
      </c>
      <c r="B6379" t="str">
        <f>IFERROR(VLOOKUP(D6379,APOYO!K:L,2,FALSE),A6379)</f>
        <v>17433</v>
      </c>
      <c r="C6379" s="8" t="s">
        <v>662</v>
      </c>
      <c r="D6379" t="str">
        <f>IFERROR(VLOOKUP(C6379,APOYO!J:K,2,FALSE),C6379)</f>
        <v>MANZANARES</v>
      </c>
      <c r="E6379" s="8">
        <v>2021</v>
      </c>
      <c r="F6379" s="8"/>
      <c r="G6379" s="8"/>
      <c r="H6379" s="8">
        <v>35</v>
      </c>
      <c r="I6379" s="8"/>
      <c r="J6379" s="8"/>
      <c r="K6379" s="8"/>
    </row>
    <row r="6380" spans="1:11" hidden="1" x14ac:dyDescent="0.25">
      <c r="A6380" t="str">
        <f>_xlfn.XLOOKUP(C6380, 'Códigos DANE Municipios'!$B$2:$B$1123, 'Códigos DANE Municipios'!$A$2:$A$1123, "No encontrado")</f>
        <v>50325</v>
      </c>
      <c r="B6380" t="str">
        <f>IFERROR(VLOOKUP(D6380,APOYO!K:L,2,FALSE),A6380)</f>
        <v>50325</v>
      </c>
      <c r="C6380" s="8" t="s">
        <v>1382</v>
      </c>
      <c r="D6380" t="str">
        <f>IFERROR(VLOOKUP(C6380,APOYO!J:K,2,FALSE),C6380)</f>
        <v>MAPIRIPÁN</v>
      </c>
      <c r="E6380" s="8">
        <v>2021</v>
      </c>
      <c r="F6380" s="8">
        <v>833</v>
      </c>
      <c r="G6380" s="8"/>
      <c r="H6380" s="8">
        <v>1</v>
      </c>
      <c r="I6380" s="8"/>
      <c r="J6380" s="8"/>
      <c r="K6380" s="8"/>
    </row>
    <row r="6381" spans="1:11" hidden="1" x14ac:dyDescent="0.25">
      <c r="A6381" t="str">
        <f>_xlfn.XLOOKUP(C6381, 'Códigos DANE Municipios'!$B$2:$B$1123, 'Códigos DANE Municipios'!$A$2:$A$1123, "No encontrado")</f>
        <v>05440</v>
      </c>
      <c r="B6381" t="str">
        <f>IFERROR(VLOOKUP(D6381,APOYO!K:L,2,FALSE),A6381)</f>
        <v>05440</v>
      </c>
      <c r="C6381" s="8" t="s">
        <v>148</v>
      </c>
      <c r="D6381" t="str">
        <f>IFERROR(VLOOKUP(C6381,APOYO!J:K,2,FALSE),C6381)</f>
        <v>MARINILLA</v>
      </c>
      <c r="E6381" s="8">
        <v>2021</v>
      </c>
      <c r="F6381" s="8"/>
      <c r="G6381" s="8"/>
      <c r="H6381" s="8">
        <v>554</v>
      </c>
      <c r="I6381" s="8"/>
      <c r="J6381" s="8"/>
      <c r="K6381" s="8"/>
    </row>
    <row r="6382" spans="1:11" hidden="1" x14ac:dyDescent="0.25">
      <c r="A6382" t="str">
        <f>_xlfn.XLOOKUP(C6382, 'Códigos DANE Municipios'!$B$2:$B$1123, 'Códigos DANE Municipios'!$A$2:$A$1123, "No encontrado")</f>
        <v>73443</v>
      </c>
      <c r="B6382" t="str">
        <f>IFERROR(VLOOKUP(D6382,APOYO!K:L,2,FALSE),A6382)</f>
        <v>73443</v>
      </c>
      <c r="C6382" t="s">
        <v>1915</v>
      </c>
      <c r="D6382" t="str">
        <f>IFERROR(VLOOKUP(C6382,APOYO!J:K,2,FALSE),C6382)</f>
        <v>SAN SEBASTIÁN DE MARIQUITA</v>
      </c>
      <c r="E6382">
        <v>2021</v>
      </c>
      <c r="F6382">
        <v>101</v>
      </c>
      <c r="H6382">
        <v>73</v>
      </c>
    </row>
    <row r="6383" spans="1:11" hidden="1" x14ac:dyDescent="0.25">
      <c r="A6383" t="str">
        <f>_xlfn.XLOOKUP(C6383, 'Códigos DANE Municipios'!$B$2:$B$1123, 'Códigos DANE Municipios'!$A$2:$A$1123, "No encontrado")</f>
        <v>17442</v>
      </c>
      <c r="B6383" t="str">
        <f>IFERROR(VLOOKUP(D6383,APOYO!K:L,2,FALSE),A6383)</f>
        <v>17442</v>
      </c>
      <c r="C6383" s="8" t="s">
        <v>664</v>
      </c>
      <c r="D6383" t="str">
        <f>IFERROR(VLOOKUP(C6383,APOYO!J:K,2,FALSE),C6383)</f>
        <v>MARMATO</v>
      </c>
      <c r="E6383" s="8">
        <v>2021</v>
      </c>
      <c r="F6383" s="8"/>
      <c r="G6383" s="8"/>
      <c r="H6383" s="8">
        <v>21</v>
      </c>
      <c r="I6383" s="8"/>
      <c r="J6383" s="8"/>
      <c r="K6383" s="8"/>
    </row>
    <row r="6384" spans="1:11" hidden="1" x14ac:dyDescent="0.25">
      <c r="A6384" t="str">
        <f>_xlfn.XLOOKUP(C6384, 'Códigos DANE Municipios'!$B$2:$B$1123, 'Códigos DANE Municipios'!$A$2:$A$1123, "No encontrado")</f>
        <v>17444</v>
      </c>
      <c r="B6384" t="str">
        <f>IFERROR(VLOOKUP(D6384,APOYO!K:L,2,FALSE),A6384)</f>
        <v>17444</v>
      </c>
      <c r="C6384" s="8" t="s">
        <v>666</v>
      </c>
      <c r="D6384" t="str">
        <f>IFERROR(VLOOKUP(C6384,APOYO!J:K,2,FALSE),C6384)</f>
        <v>MARQUETALIA</v>
      </c>
      <c r="E6384" s="8">
        <v>2021</v>
      </c>
      <c r="F6384" s="8"/>
      <c r="G6384" s="8"/>
      <c r="H6384" s="8">
        <v>17</v>
      </c>
      <c r="I6384" s="8"/>
      <c r="J6384" s="8"/>
      <c r="K6384" s="8"/>
    </row>
    <row r="6385" spans="1:11" hidden="1" x14ac:dyDescent="0.25">
      <c r="A6385" t="str">
        <f>_xlfn.XLOOKUP(C6385, 'Códigos DANE Municipios'!$B$2:$B$1123, 'Códigos DANE Municipios'!$A$2:$A$1123, "No encontrado")</f>
        <v>66440</v>
      </c>
      <c r="B6385" t="str">
        <f>IFERROR(VLOOKUP(D6385,APOYO!K:L,2,FALSE),A6385)</f>
        <v>66440</v>
      </c>
      <c r="C6385" s="8" t="s">
        <v>1643</v>
      </c>
      <c r="D6385" t="str">
        <f>IFERROR(VLOOKUP(C6385,APOYO!J:K,2,FALSE),C6385)</f>
        <v>MARSELLA</v>
      </c>
      <c r="E6385" s="8">
        <v>2021</v>
      </c>
      <c r="F6385" s="8"/>
      <c r="G6385" s="8"/>
      <c r="H6385" s="8">
        <v>55</v>
      </c>
      <c r="I6385" s="8"/>
      <c r="J6385" s="8"/>
      <c r="K6385" s="8"/>
    </row>
    <row r="6386" spans="1:11" hidden="1" x14ac:dyDescent="0.25">
      <c r="A6386" t="str">
        <f>_xlfn.XLOOKUP(C6386, 'Códigos DANE Municipios'!$B$2:$B$1123, 'Códigos DANE Municipios'!$A$2:$A$1123, "No encontrado")</f>
        <v>17446</v>
      </c>
      <c r="B6386" t="str">
        <f>IFERROR(VLOOKUP(D6386,APOYO!K:L,2,FALSE),A6386)</f>
        <v>17446</v>
      </c>
      <c r="C6386" s="8" t="s">
        <v>668</v>
      </c>
      <c r="D6386" t="str">
        <f>IFERROR(VLOOKUP(C6386,APOYO!J:K,2,FALSE),C6386)</f>
        <v>MARULANDA</v>
      </c>
      <c r="E6386" s="8">
        <v>2021</v>
      </c>
      <c r="F6386" s="8"/>
      <c r="G6386" s="8"/>
      <c r="H6386" s="8"/>
      <c r="I6386" s="8"/>
      <c r="J6386" s="8"/>
      <c r="K6386" s="8"/>
    </row>
    <row r="6387" spans="1:11" hidden="1" x14ac:dyDescent="0.25">
      <c r="A6387" t="str">
        <f>_xlfn.XLOOKUP(C6387, 'Códigos DANE Municipios'!$B$2:$B$1123, 'Códigos DANE Municipios'!$A$2:$A$1123, "No encontrado")</f>
        <v>68444</v>
      </c>
      <c r="B6387" t="str">
        <f>IFERROR(VLOOKUP(D6387,APOYO!K:L,2,FALSE),A6387)</f>
        <v>68444</v>
      </c>
      <c r="C6387" s="8" t="s">
        <v>1748</v>
      </c>
      <c r="D6387" t="str">
        <f>IFERROR(VLOOKUP(C6387,APOYO!J:K,2,FALSE),C6387)</f>
        <v>MATANZA</v>
      </c>
      <c r="E6387" s="8">
        <v>2021</v>
      </c>
      <c r="F6387" s="8"/>
      <c r="G6387" s="8"/>
      <c r="H6387" s="8"/>
      <c r="I6387" s="8"/>
      <c r="J6387" s="8"/>
      <c r="K6387" s="8"/>
    </row>
    <row r="6388" spans="1:11" hidden="1" x14ac:dyDescent="0.25">
      <c r="A6388" t="str">
        <f>_xlfn.XLOOKUP(C6388, 'Códigos DANE Municipios'!$B$2:$B$1123, 'Códigos DANE Municipios'!$A$2:$A$1123, "No encontrado")</f>
        <v>05001</v>
      </c>
      <c r="B6388" t="str">
        <f>IFERROR(VLOOKUP(D6388,APOYO!K:L,2,FALSE),A6388)</f>
        <v>05001</v>
      </c>
      <c r="C6388" s="8" t="s">
        <v>12</v>
      </c>
      <c r="D6388" t="str">
        <f>IFERROR(VLOOKUP(C6388,APOYO!J:K,2,FALSE),C6388)</f>
        <v>MEDELLÍN</v>
      </c>
      <c r="E6388" s="8">
        <v>2021</v>
      </c>
      <c r="F6388" s="8">
        <v>532946</v>
      </c>
      <c r="G6388" s="8">
        <v>139</v>
      </c>
      <c r="H6388" s="8">
        <v>249861</v>
      </c>
      <c r="I6388" s="8"/>
      <c r="J6388" s="8"/>
      <c r="K6388" s="8"/>
    </row>
    <row r="6389" spans="1:11" hidden="1" x14ac:dyDescent="0.25">
      <c r="A6389" t="str">
        <f>_xlfn.XLOOKUP(C6389, 'Códigos DANE Municipios'!$B$2:$B$1123, 'Códigos DANE Municipios'!$A$2:$A$1123, "No encontrado")</f>
        <v>25438</v>
      </c>
      <c r="B6389" t="str">
        <f>IFERROR(VLOOKUP(D6389,APOYO!K:L,2,FALSE),A6389)</f>
        <v>25438</v>
      </c>
      <c r="C6389" s="8" t="s">
        <v>1025</v>
      </c>
      <c r="D6389" t="str">
        <f>IFERROR(VLOOKUP(C6389,APOYO!J:K,2,FALSE),C6389)</f>
        <v>MEDINA</v>
      </c>
      <c r="E6389" s="8">
        <v>2021</v>
      </c>
      <c r="F6389" s="8"/>
      <c r="G6389" s="8"/>
      <c r="H6389" s="8">
        <v>8</v>
      </c>
      <c r="I6389" s="8"/>
      <c r="J6389" s="8"/>
      <c r="K6389" s="8"/>
    </row>
    <row r="6390" spans="1:11" hidden="1" x14ac:dyDescent="0.25">
      <c r="A6390" t="str">
        <f>_xlfn.XLOOKUP(C6390, 'Códigos DANE Municipios'!$B$2:$B$1123, 'Códigos DANE Municipios'!$A$2:$A$1123, "No encontrado")</f>
        <v>27430</v>
      </c>
      <c r="B6390" t="str">
        <f>IFERROR(VLOOKUP(D6390,APOYO!K:L,2,FALSE),A6390)</f>
        <v>27430</v>
      </c>
      <c r="C6390" t="s">
        <v>1178</v>
      </c>
      <c r="D6390" t="str">
        <f>IFERROR(VLOOKUP(C6390,APOYO!J:K,2,FALSE),C6390)</f>
        <v>MEDIO BAUDÓ</v>
      </c>
      <c r="E6390">
        <v>2021</v>
      </c>
      <c r="H6390">
        <v>1</v>
      </c>
    </row>
    <row r="6391" spans="1:11" hidden="1" x14ac:dyDescent="0.25">
      <c r="A6391" t="str">
        <f>_xlfn.XLOOKUP(C6391, 'Códigos DANE Municipios'!$B$2:$B$1123, 'Códigos DANE Municipios'!$A$2:$A$1123, "No encontrado")</f>
        <v>73449</v>
      </c>
      <c r="B6391" t="str">
        <f>IFERROR(VLOOKUP(D6391,APOYO!K:L,2,FALSE),A6391)</f>
        <v>73449</v>
      </c>
      <c r="C6391" s="8" t="s">
        <v>1917</v>
      </c>
      <c r="D6391" t="str">
        <f>IFERROR(VLOOKUP(C6391,APOYO!J:K,2,FALSE),C6391)</f>
        <v>MELGAR</v>
      </c>
      <c r="E6391" s="8">
        <v>2021</v>
      </c>
      <c r="F6391" s="8">
        <v>12</v>
      </c>
      <c r="G6391" s="8"/>
      <c r="H6391" s="8">
        <v>402</v>
      </c>
      <c r="I6391" s="8"/>
      <c r="J6391" s="8"/>
      <c r="K6391" s="8"/>
    </row>
    <row r="6392" spans="1:11" hidden="1" x14ac:dyDescent="0.25">
      <c r="A6392" t="str">
        <f>_xlfn.XLOOKUP(C6392, 'Códigos DANE Municipios'!$B$2:$B$1123, 'Códigos DANE Municipios'!$A$2:$A$1123, "No encontrado")</f>
        <v>50330</v>
      </c>
      <c r="B6392" t="str">
        <f>IFERROR(VLOOKUP(D6392,APOYO!K:L,2,FALSE),A6392)</f>
        <v>50330</v>
      </c>
      <c r="C6392" s="8" t="s">
        <v>1384</v>
      </c>
      <c r="D6392" t="str">
        <f>IFERROR(VLOOKUP(C6392,APOYO!J:K,2,FALSE),C6392)</f>
        <v>MESETAS</v>
      </c>
      <c r="E6392" s="8">
        <v>2021</v>
      </c>
      <c r="F6392" s="8"/>
      <c r="G6392" s="8"/>
      <c r="H6392" s="8">
        <v>16</v>
      </c>
      <c r="I6392" s="8"/>
      <c r="J6392" s="8"/>
      <c r="K6392" s="8"/>
    </row>
    <row r="6393" spans="1:11" hidden="1" x14ac:dyDescent="0.25">
      <c r="A6393" t="str">
        <f>_xlfn.XLOOKUP(C6393, 'Códigos DANE Municipios'!$B$2:$B$1123, 'Códigos DANE Municipios'!$A$2:$A$1123, "No encontrado")</f>
        <v>15455</v>
      </c>
      <c r="B6393" t="str">
        <f>IFERROR(VLOOKUP(D6393,APOYO!K:L,2,FALSE),A6393)</f>
        <v>15455</v>
      </c>
      <c r="C6393" s="8" t="s">
        <v>504</v>
      </c>
      <c r="D6393" t="str">
        <f>IFERROR(VLOOKUP(C6393,APOYO!J:K,2,FALSE),C6393)</f>
        <v>MIRAFLORES</v>
      </c>
      <c r="E6393" s="8">
        <v>2021</v>
      </c>
      <c r="F6393" s="8"/>
      <c r="G6393" s="8"/>
      <c r="H6393" s="8">
        <v>6</v>
      </c>
      <c r="I6393" s="8"/>
      <c r="J6393" s="8"/>
      <c r="K6393" s="8"/>
    </row>
    <row r="6394" spans="1:11" hidden="1" x14ac:dyDescent="0.25">
      <c r="A6394" t="str">
        <f>_xlfn.XLOOKUP(C6394, 'Códigos DANE Municipios'!$B$2:$B$1123, 'Códigos DANE Municipios'!$A$2:$A$1123, "No encontrado")</f>
        <v>19455</v>
      </c>
      <c r="B6394" t="str">
        <f>IFERROR(VLOOKUP(D6394,APOYO!K:L,2,FALSE),A6394)</f>
        <v>19455</v>
      </c>
      <c r="C6394" s="8" t="s">
        <v>767</v>
      </c>
      <c r="D6394" t="str">
        <f>IFERROR(VLOOKUP(C6394,APOYO!J:K,2,FALSE),C6394)</f>
        <v>MIRANDA</v>
      </c>
      <c r="E6394" s="8">
        <v>2021</v>
      </c>
      <c r="F6394" s="8"/>
      <c r="G6394" s="8"/>
      <c r="H6394" s="8">
        <v>75</v>
      </c>
      <c r="I6394" s="8"/>
      <c r="J6394" s="8"/>
      <c r="K6394" s="8"/>
    </row>
    <row r="6395" spans="1:11" hidden="1" x14ac:dyDescent="0.25">
      <c r="A6395" t="str">
        <f>_xlfn.XLOOKUP(C6395, 'Códigos DANE Municipios'!$B$2:$B$1123, 'Códigos DANE Municipios'!$A$2:$A$1123, "No encontrado")</f>
        <v>66456</v>
      </c>
      <c r="B6395" t="str">
        <f>IFERROR(VLOOKUP(D6395,APOYO!K:L,2,FALSE),A6395)</f>
        <v>66456</v>
      </c>
      <c r="C6395" s="8" t="s">
        <v>1645</v>
      </c>
      <c r="D6395" t="str">
        <f>IFERROR(VLOOKUP(C6395,APOYO!J:K,2,FALSE),C6395)</f>
        <v>MISTRATÓ</v>
      </c>
      <c r="E6395" s="8">
        <v>2021</v>
      </c>
      <c r="F6395" s="8"/>
      <c r="G6395" s="8"/>
      <c r="H6395" s="8">
        <v>6</v>
      </c>
      <c r="I6395" s="8"/>
      <c r="J6395" s="8"/>
      <c r="K6395" s="8"/>
    </row>
    <row r="6396" spans="1:11" hidden="1" x14ac:dyDescent="0.25">
      <c r="A6396" t="str">
        <f>_xlfn.XLOOKUP(C6396, 'Códigos DANE Municipios'!$B$2:$B$1123, 'Códigos DANE Municipios'!$A$2:$A$1123, "No encontrado")</f>
        <v>97001</v>
      </c>
      <c r="B6396" t="str">
        <f>IFERROR(VLOOKUP(D6396,APOYO!K:L,2,FALSE),A6396)</f>
        <v>97001</v>
      </c>
      <c r="C6396" s="8" t="s">
        <v>2151</v>
      </c>
      <c r="D6396" t="str">
        <f>IFERROR(VLOOKUP(C6396,APOYO!J:K,2,FALSE),C6396)</f>
        <v>MITÚ</v>
      </c>
      <c r="E6396" s="8">
        <v>2021</v>
      </c>
      <c r="F6396" s="8">
        <v>40682</v>
      </c>
      <c r="G6396" s="8">
        <v>5</v>
      </c>
      <c r="H6396" s="8">
        <v>20</v>
      </c>
      <c r="I6396" s="8"/>
      <c r="J6396" s="8"/>
      <c r="K6396" s="8"/>
    </row>
    <row r="6397" spans="1:11" hidden="1" x14ac:dyDescent="0.25">
      <c r="A6397" t="str">
        <f>_xlfn.XLOOKUP(C6397, 'Códigos DANE Municipios'!$B$2:$B$1123, 'Códigos DANE Municipios'!$A$2:$A$1123, "No encontrado")</f>
        <v>86001</v>
      </c>
      <c r="B6397" t="str">
        <f>IFERROR(VLOOKUP(D6397,APOYO!K:L,2,FALSE),A6397)</f>
        <v>86001</v>
      </c>
      <c r="C6397" s="8" t="s">
        <v>2084</v>
      </c>
      <c r="D6397" t="str">
        <f>IFERROR(VLOOKUP(C6397,APOYO!J:K,2,FALSE),C6397)</f>
        <v>MOCOA</v>
      </c>
      <c r="E6397" s="8">
        <v>2021</v>
      </c>
      <c r="F6397" s="8"/>
      <c r="G6397" s="8"/>
      <c r="H6397" s="8">
        <v>254</v>
      </c>
      <c r="I6397" s="8"/>
      <c r="J6397" s="8"/>
      <c r="K6397" s="8"/>
    </row>
    <row r="6398" spans="1:11" hidden="1" x14ac:dyDescent="0.25">
      <c r="A6398" t="str">
        <f>_xlfn.XLOOKUP(C6398, 'Códigos DANE Municipios'!$B$2:$B$1123, 'Códigos DANE Municipios'!$A$2:$A$1123, "No encontrado")</f>
        <v>68464</v>
      </c>
      <c r="B6398" t="str">
        <f>IFERROR(VLOOKUP(D6398,APOYO!K:L,2,FALSE),A6398)</f>
        <v>68464</v>
      </c>
      <c r="C6398" s="8" t="s">
        <v>1750</v>
      </c>
      <c r="D6398" t="str">
        <f>IFERROR(VLOOKUP(C6398,APOYO!J:K,2,FALSE),C6398)</f>
        <v>MOGOTES</v>
      </c>
      <c r="E6398" s="8">
        <v>2021</v>
      </c>
      <c r="F6398" s="8"/>
      <c r="G6398" s="8"/>
      <c r="H6398" s="8">
        <v>2</v>
      </c>
      <c r="I6398" s="8"/>
      <c r="J6398" s="8"/>
      <c r="K6398" s="8"/>
    </row>
    <row r="6399" spans="1:11" hidden="1" x14ac:dyDescent="0.25">
      <c r="A6399" t="str">
        <f>_xlfn.XLOOKUP(C6399, 'Códigos DANE Municipios'!$B$2:$B$1123, 'Códigos DANE Municipios'!$A$2:$A$1123, "No encontrado")</f>
        <v>13468</v>
      </c>
      <c r="B6399" t="str">
        <f>IFERROR(VLOOKUP(D6399,APOYO!K:L,2,FALSE),A6399)</f>
        <v>13468</v>
      </c>
      <c r="C6399" s="8" t="s">
        <v>351</v>
      </c>
      <c r="D6399" t="str">
        <f>IFERROR(VLOOKUP(C6399,APOYO!J:K,2,FALSE),C6399)</f>
        <v>MOMPÓS</v>
      </c>
      <c r="E6399" s="8">
        <v>2021</v>
      </c>
      <c r="F6399" s="8">
        <v>476</v>
      </c>
      <c r="G6399" s="8"/>
      <c r="H6399" s="8">
        <v>34</v>
      </c>
      <c r="I6399" s="8"/>
      <c r="J6399" s="8"/>
      <c r="K6399" s="8"/>
    </row>
    <row r="6400" spans="1:11" hidden="1" x14ac:dyDescent="0.25">
      <c r="A6400" t="str">
        <f>_xlfn.XLOOKUP(C6400, 'Códigos DANE Municipios'!$B$2:$B$1123, 'Códigos DANE Municipios'!$A$2:$A$1123, "No encontrado")</f>
        <v>15466</v>
      </c>
      <c r="B6400" t="str">
        <f>IFERROR(VLOOKUP(D6400,APOYO!K:L,2,FALSE),A6400)</f>
        <v>15466</v>
      </c>
      <c r="C6400" t="s">
        <v>508</v>
      </c>
      <c r="D6400" t="str">
        <f>IFERROR(VLOOKUP(C6400,APOYO!J:K,2,FALSE),C6400)</f>
        <v>MONGUÍ</v>
      </c>
      <c r="E6400">
        <v>2021</v>
      </c>
      <c r="H6400">
        <v>10</v>
      </c>
    </row>
    <row r="6401" spans="1:11" hidden="1" x14ac:dyDescent="0.25">
      <c r="A6401" t="str">
        <f>_xlfn.XLOOKUP(C6401, 'Códigos DANE Municipios'!$B$2:$B$1123, 'Códigos DANE Municipios'!$A$2:$A$1123, "No encontrado")</f>
        <v>15469</v>
      </c>
      <c r="B6401" t="str">
        <f>IFERROR(VLOOKUP(D6401,APOYO!K:L,2,FALSE),A6401)</f>
        <v>15469</v>
      </c>
      <c r="C6401" s="8" t="s">
        <v>510</v>
      </c>
      <c r="D6401" t="str">
        <f>IFERROR(VLOOKUP(C6401,APOYO!J:K,2,FALSE),C6401)</f>
        <v>MONIQUIRÁ</v>
      </c>
      <c r="E6401" s="8">
        <v>2021</v>
      </c>
      <c r="F6401" s="8"/>
      <c r="G6401" s="8"/>
      <c r="H6401" s="8">
        <v>71</v>
      </c>
      <c r="I6401" s="8"/>
      <c r="J6401" s="8"/>
      <c r="K6401" s="8"/>
    </row>
    <row r="6402" spans="1:11" hidden="1" x14ac:dyDescent="0.25">
      <c r="A6402" t="str">
        <f>_xlfn.XLOOKUP(C6402, 'Códigos DANE Municipios'!$B$2:$B$1123, 'Códigos DANE Municipios'!$A$2:$A$1123, "No encontrado")</f>
        <v>23500</v>
      </c>
      <c r="B6402" t="str">
        <f>IFERROR(VLOOKUP(D6402,APOYO!K:L,2,FALSE),A6402)</f>
        <v>23500</v>
      </c>
      <c r="C6402" s="8" t="s">
        <v>885</v>
      </c>
      <c r="D6402" t="str">
        <f>IFERROR(VLOOKUP(C6402,APOYO!J:K,2,FALSE),C6402)</f>
        <v>MOÑITOS</v>
      </c>
      <c r="E6402" s="8">
        <v>2021</v>
      </c>
      <c r="F6402" s="8"/>
      <c r="G6402" s="8"/>
      <c r="H6402" s="8">
        <v>15</v>
      </c>
      <c r="I6402" s="8"/>
      <c r="J6402" s="8"/>
      <c r="K6402" s="8"/>
    </row>
    <row r="6403" spans="1:11" hidden="1" x14ac:dyDescent="0.25">
      <c r="A6403" t="str">
        <f>_xlfn.XLOOKUP(C6403, 'Códigos DANE Municipios'!$B$2:$B$1123, 'Códigos DANE Municipios'!$A$2:$A$1123, "No encontrado")</f>
        <v>05467</v>
      </c>
      <c r="B6403" t="str">
        <f>IFERROR(VLOOKUP(D6403,APOYO!K:L,2,FALSE),A6403)</f>
        <v>05467</v>
      </c>
      <c r="C6403" s="8" t="s">
        <v>150</v>
      </c>
      <c r="D6403" t="str">
        <f>IFERROR(VLOOKUP(C6403,APOYO!J:K,2,FALSE),C6403)</f>
        <v>MONTEBELLO</v>
      </c>
      <c r="E6403" s="8">
        <v>2021</v>
      </c>
      <c r="F6403" s="8"/>
      <c r="G6403" s="8"/>
      <c r="H6403" s="8">
        <v>27</v>
      </c>
      <c r="I6403" s="8"/>
      <c r="J6403" s="8"/>
      <c r="K6403" s="8"/>
    </row>
    <row r="6404" spans="1:11" hidden="1" x14ac:dyDescent="0.25">
      <c r="A6404" t="str">
        <f>_xlfn.XLOOKUP(C6404, 'Códigos DANE Municipios'!$B$2:$B$1123, 'Códigos DANE Municipios'!$A$2:$A$1123, "No encontrado")</f>
        <v>23466</v>
      </c>
      <c r="B6404" t="str">
        <f>IFERROR(VLOOKUP(D6404,APOYO!K:L,2,FALSE),A6404)</f>
        <v>23466</v>
      </c>
      <c r="C6404" s="8" t="s">
        <v>883</v>
      </c>
      <c r="D6404" t="str">
        <f>IFERROR(VLOOKUP(C6404,APOYO!J:K,2,FALSE),C6404)</f>
        <v>MONTELÍBANO</v>
      </c>
      <c r="E6404" s="8">
        <v>2021</v>
      </c>
      <c r="F6404" s="8">
        <v>4711</v>
      </c>
      <c r="G6404" s="8"/>
      <c r="H6404" s="8">
        <v>83</v>
      </c>
      <c r="I6404" s="8"/>
      <c r="J6404" s="8"/>
      <c r="K6404" s="8"/>
    </row>
    <row r="6405" spans="1:11" hidden="1" x14ac:dyDescent="0.25">
      <c r="A6405" t="str">
        <f>_xlfn.XLOOKUP(C6405, 'Códigos DANE Municipios'!$B$2:$B$1123, 'Códigos DANE Municipios'!$A$2:$A$1123, "No encontrado")</f>
        <v>63470</v>
      </c>
      <c r="B6405" t="str">
        <f>IFERROR(VLOOKUP(D6405,APOYO!K:L,2,FALSE),A6405)</f>
        <v>63470</v>
      </c>
      <c r="C6405" s="8" t="s">
        <v>1620</v>
      </c>
      <c r="D6405" t="str">
        <f>IFERROR(VLOOKUP(C6405,APOYO!J:K,2,FALSE),C6405)</f>
        <v>MONTENEGRO</v>
      </c>
      <c r="E6405" s="8">
        <v>2021</v>
      </c>
      <c r="F6405" s="8"/>
      <c r="G6405" s="8"/>
      <c r="H6405" s="8">
        <v>590</v>
      </c>
      <c r="I6405" s="8"/>
      <c r="J6405" s="8"/>
      <c r="K6405" s="8"/>
    </row>
    <row r="6406" spans="1:11" hidden="1" x14ac:dyDescent="0.25">
      <c r="A6406" t="str">
        <f>_xlfn.XLOOKUP(C6406, 'Códigos DANE Municipios'!$B$2:$B$1123, 'Códigos DANE Municipios'!$A$2:$A$1123, "No encontrado")</f>
        <v>23001</v>
      </c>
      <c r="B6406" t="str">
        <f>IFERROR(VLOOKUP(D6406,APOYO!K:L,2,FALSE),A6406)</f>
        <v>23001</v>
      </c>
      <c r="C6406" s="8" t="s">
        <v>858</v>
      </c>
      <c r="D6406" t="str">
        <f>IFERROR(VLOOKUP(C6406,APOYO!J:K,2,FALSE),C6406)</f>
        <v>MONTERÍA</v>
      </c>
      <c r="E6406" s="8">
        <v>2021</v>
      </c>
      <c r="F6406" s="8">
        <v>535792</v>
      </c>
      <c r="G6406" s="8">
        <v>2313</v>
      </c>
      <c r="H6406" s="8">
        <v>1463</v>
      </c>
      <c r="I6406" s="8"/>
      <c r="J6406" s="8"/>
      <c r="K6406" s="8"/>
    </row>
    <row r="6407" spans="1:11" hidden="1" x14ac:dyDescent="0.25">
      <c r="A6407" t="str">
        <f>_xlfn.XLOOKUP(C6407, 'Códigos DANE Municipios'!$B$2:$B$1123, 'Códigos DANE Municipios'!$A$2:$A$1123, "No encontrado")</f>
        <v>85162</v>
      </c>
      <c r="B6407" t="str">
        <f>IFERROR(VLOOKUP(D6407,APOYO!K:L,2,FALSE),A6407)</f>
        <v>85162</v>
      </c>
      <c r="C6407" s="8" t="s">
        <v>2060</v>
      </c>
      <c r="D6407" t="str">
        <f>IFERROR(VLOOKUP(C6407,APOYO!J:K,2,FALSE),C6407)</f>
        <v>MONTERREY</v>
      </c>
      <c r="E6407" s="8">
        <v>2021</v>
      </c>
      <c r="F6407" s="8"/>
      <c r="G6407" s="8"/>
      <c r="H6407" s="8">
        <v>21</v>
      </c>
      <c r="I6407" s="8"/>
      <c r="J6407" s="8"/>
      <c r="K6407" s="8"/>
    </row>
    <row r="6408" spans="1:11" hidden="1" x14ac:dyDescent="0.25">
      <c r="A6408" t="str">
        <f>_xlfn.XLOOKUP(C6408, 'Códigos DANE Municipios'!$B$2:$B$1123, 'Códigos DANE Municipios'!$A$2:$A$1123, "No encontrado")</f>
        <v>13473</v>
      </c>
      <c r="B6408" t="str">
        <f>IFERROR(VLOOKUP(D6408,APOYO!K:L,2,FALSE),A6408)</f>
        <v>13473</v>
      </c>
      <c r="C6408" s="8" t="s">
        <v>353</v>
      </c>
      <c r="D6408" t="str">
        <f>IFERROR(VLOOKUP(C6408,APOYO!J:K,2,FALSE),C6408)</f>
        <v>MORALES</v>
      </c>
      <c r="E6408" s="8">
        <v>2021</v>
      </c>
      <c r="F6408" s="8"/>
      <c r="G6408" s="8">
        <v>0</v>
      </c>
      <c r="H6408" s="8">
        <v>8</v>
      </c>
      <c r="I6408" s="8"/>
      <c r="J6408" s="8"/>
      <c r="K6408" s="8"/>
    </row>
    <row r="6409" spans="1:11" hidden="1" x14ac:dyDescent="0.25">
      <c r="A6409" t="str">
        <f>_xlfn.XLOOKUP(C6409, 'Códigos DANE Municipios'!$B$2:$B$1123, 'Códigos DANE Municipios'!$A$2:$A$1123, "No encontrado")</f>
        <v>70473</v>
      </c>
      <c r="B6409" t="str">
        <f>IFERROR(VLOOKUP(D6409,APOYO!K:L,2,FALSE),A6409)</f>
        <v>70473</v>
      </c>
      <c r="C6409" s="8" t="s">
        <v>1840</v>
      </c>
      <c r="D6409" t="str">
        <f>IFERROR(VLOOKUP(C6409,APOYO!J:K,2,FALSE),C6409)</f>
        <v>MORROA</v>
      </c>
      <c r="E6409" s="8">
        <v>2021</v>
      </c>
      <c r="F6409" s="8"/>
      <c r="G6409" s="8"/>
      <c r="H6409" s="8">
        <v>14</v>
      </c>
      <c r="I6409" s="8"/>
      <c r="J6409" s="8"/>
      <c r="K6409" s="8"/>
    </row>
    <row r="6410" spans="1:11" hidden="1" x14ac:dyDescent="0.25">
      <c r="A6410" t="str">
        <f>_xlfn.XLOOKUP(C6410, 'Códigos DANE Municipios'!$B$2:$B$1123, 'Códigos DANE Municipios'!$A$2:$A$1123, "No encontrado")</f>
        <v>18479</v>
      </c>
      <c r="B6410" t="str">
        <f>IFERROR(VLOOKUP(D6410,APOYO!K:L,2,FALSE),A6410)</f>
        <v>18479</v>
      </c>
      <c r="C6410" s="8" t="s">
        <v>716</v>
      </c>
      <c r="D6410" t="str">
        <f>IFERROR(VLOOKUP(C6410,APOYO!J:K,2,FALSE),C6410)</f>
        <v>MORELIA</v>
      </c>
      <c r="E6410" s="8">
        <v>2021</v>
      </c>
      <c r="F6410" s="8"/>
      <c r="G6410" s="8"/>
      <c r="H6410" s="8">
        <v>9</v>
      </c>
      <c r="I6410" s="8"/>
      <c r="J6410" s="8"/>
      <c r="K6410" s="8"/>
    </row>
    <row r="6411" spans="1:11" hidden="1" x14ac:dyDescent="0.25">
      <c r="A6411" t="str">
        <f>_xlfn.XLOOKUP(C6411, 'Códigos DANE Municipios'!$B$2:$B$1123, 'Códigos DANE Municipios'!$A$2:$A$1123, "No encontrado")</f>
        <v>25473</v>
      </c>
      <c r="B6411" t="str">
        <f>IFERROR(VLOOKUP(D6411,APOYO!K:L,2,FALSE),A6411)</f>
        <v>25473</v>
      </c>
      <c r="C6411" s="8" t="s">
        <v>1027</v>
      </c>
      <c r="D6411" t="str">
        <f>IFERROR(VLOOKUP(C6411,APOYO!J:K,2,FALSE),C6411)</f>
        <v>MOSQUERA</v>
      </c>
      <c r="E6411" s="8">
        <v>2021</v>
      </c>
      <c r="F6411" s="8"/>
      <c r="G6411" s="8"/>
      <c r="H6411" s="8">
        <v>717</v>
      </c>
      <c r="I6411" s="8"/>
      <c r="J6411" s="8"/>
      <c r="K6411" s="8"/>
    </row>
    <row r="6412" spans="1:11" hidden="1" x14ac:dyDescent="0.25">
      <c r="A6412" t="str">
        <f>_xlfn.XLOOKUP(C6412, 'Códigos DANE Municipios'!$B$2:$B$1123, 'Códigos DANE Municipios'!$A$2:$A$1123, "No encontrado")</f>
        <v>73461</v>
      </c>
      <c r="B6412" t="str">
        <f>IFERROR(VLOOKUP(D6412,APOYO!K:L,2,FALSE),A6412)</f>
        <v>73461</v>
      </c>
      <c r="C6412" s="8" t="s">
        <v>1919</v>
      </c>
      <c r="D6412" t="str">
        <f>IFERROR(VLOOKUP(C6412,APOYO!J:K,2,FALSE),C6412)</f>
        <v>MURILLO</v>
      </c>
      <c r="E6412" s="8">
        <v>2021</v>
      </c>
      <c r="F6412" s="8"/>
      <c r="G6412" s="8"/>
      <c r="H6412" s="8"/>
      <c r="I6412" s="8"/>
      <c r="J6412" s="8"/>
      <c r="K6412" s="8"/>
    </row>
    <row r="6413" spans="1:11" hidden="1" x14ac:dyDescent="0.25">
      <c r="A6413" t="str">
        <f>_xlfn.XLOOKUP(C6413, 'Códigos DANE Municipios'!$B$2:$B$1123, 'Códigos DANE Municipios'!$A$2:$A$1123, "No encontrado")</f>
        <v>05480</v>
      </c>
      <c r="B6413" t="str">
        <f>IFERROR(VLOOKUP(D6413,APOYO!K:L,2,FALSE),A6413)</f>
        <v>05480</v>
      </c>
      <c r="C6413" s="8" t="s">
        <v>154</v>
      </c>
      <c r="D6413" t="str">
        <f>IFERROR(VLOOKUP(C6413,APOYO!J:K,2,FALSE),C6413)</f>
        <v>MUTATÁ</v>
      </c>
      <c r="E6413" s="8">
        <v>2021</v>
      </c>
      <c r="F6413" s="8"/>
      <c r="G6413" s="8"/>
      <c r="H6413" s="8">
        <v>11</v>
      </c>
      <c r="I6413" s="8"/>
      <c r="J6413" s="8"/>
      <c r="K6413" s="8"/>
    </row>
    <row r="6414" spans="1:11" hidden="1" x14ac:dyDescent="0.25">
      <c r="A6414" t="str">
        <f>_xlfn.XLOOKUP(C6414, 'Códigos DANE Municipios'!$B$2:$B$1123, 'Códigos DANE Municipios'!$A$2:$A$1123, "No encontrado")</f>
        <v>54480</v>
      </c>
      <c r="B6414" t="str">
        <f>IFERROR(VLOOKUP(D6414,APOYO!K:L,2,FALSE),A6414)</f>
        <v>54480</v>
      </c>
      <c r="C6414" s="8" t="s">
        <v>1575</v>
      </c>
      <c r="D6414" t="str">
        <f>IFERROR(VLOOKUP(C6414,APOYO!J:K,2,FALSE),C6414)</f>
        <v>MUTISCUA</v>
      </c>
      <c r="E6414" s="8">
        <v>2021</v>
      </c>
      <c r="F6414" s="8"/>
      <c r="G6414" s="8"/>
      <c r="H6414" s="8">
        <v>3</v>
      </c>
      <c r="I6414" s="8"/>
      <c r="J6414" s="8"/>
      <c r="K6414" s="8"/>
    </row>
    <row r="6415" spans="1:11" hidden="1" x14ac:dyDescent="0.25">
      <c r="A6415" t="str">
        <f>_xlfn.XLOOKUP(C6415, 'Códigos DANE Municipios'!$B$2:$B$1123, 'Códigos DANE Municipios'!$A$2:$A$1123, "No encontrado")</f>
        <v>15480</v>
      </c>
      <c r="B6415" t="str">
        <f>IFERROR(VLOOKUP(D6415,APOYO!K:L,2,FALSE),A6415)</f>
        <v>15480</v>
      </c>
      <c r="C6415" s="8" t="s">
        <v>514</v>
      </c>
      <c r="D6415" t="str">
        <f>IFERROR(VLOOKUP(C6415,APOYO!J:K,2,FALSE),C6415)</f>
        <v>MUZO</v>
      </c>
      <c r="E6415" s="8">
        <v>2021</v>
      </c>
      <c r="F6415" s="8"/>
      <c r="G6415" s="8"/>
      <c r="H6415" s="8">
        <v>15</v>
      </c>
      <c r="I6415" s="8"/>
      <c r="J6415" s="8"/>
      <c r="K6415" s="8"/>
    </row>
    <row r="6416" spans="1:11" hidden="1" x14ac:dyDescent="0.25">
      <c r="A6416" t="str">
        <f>_xlfn.XLOOKUP(C6416, 'Códigos DANE Municipios'!$B$2:$B$1123, 'Códigos DANE Municipios'!$A$2:$A$1123, "No encontrado")</f>
        <v>05483</v>
      </c>
      <c r="B6416" t="str">
        <f>IFERROR(VLOOKUP(D6416,APOYO!K:L,2,FALSE),A6416)</f>
        <v>05483</v>
      </c>
      <c r="C6416" s="8" t="s">
        <v>156</v>
      </c>
      <c r="D6416" t="str">
        <f>IFERROR(VLOOKUP(C6416,APOYO!J:K,2,FALSE),C6416)</f>
        <v>NARIÑO</v>
      </c>
      <c r="E6416" s="8">
        <v>2021</v>
      </c>
      <c r="F6416" s="8"/>
      <c r="G6416" s="8"/>
      <c r="H6416" s="8">
        <v>29</v>
      </c>
      <c r="I6416" s="8"/>
      <c r="J6416" s="8"/>
      <c r="K6416" s="8"/>
    </row>
    <row r="6417" spans="1:11" hidden="1" x14ac:dyDescent="0.25">
      <c r="A6417" t="str">
        <f>_xlfn.XLOOKUP(C6417, 'Códigos DANE Municipios'!$B$2:$B$1123, 'Códigos DANE Municipios'!$A$2:$A$1123, "No encontrado")</f>
        <v>41483</v>
      </c>
      <c r="B6417" t="str">
        <f>IFERROR(VLOOKUP(D6417,APOYO!K:L,2,FALSE),A6417)</f>
        <v>41483</v>
      </c>
      <c r="C6417" t="s">
        <v>1236</v>
      </c>
      <c r="D6417" t="str">
        <f>IFERROR(VLOOKUP(C6417,APOYO!J:K,2,FALSE),C6417)</f>
        <v>NÁTAGA</v>
      </c>
      <c r="E6417">
        <v>2021</v>
      </c>
      <c r="H6417">
        <v>1</v>
      </c>
    </row>
    <row r="6418" spans="1:11" hidden="1" x14ac:dyDescent="0.25">
      <c r="A6418" t="str">
        <f>_xlfn.XLOOKUP(C6418, 'Códigos DANE Municipios'!$B$2:$B$1123, 'Códigos DANE Municipios'!$A$2:$A$1123, "No encontrado")</f>
        <v>73483</v>
      </c>
      <c r="B6418" t="str">
        <f>IFERROR(VLOOKUP(D6418,APOYO!K:L,2,FALSE),A6418)</f>
        <v>73483</v>
      </c>
      <c r="C6418" s="8" t="s">
        <v>1921</v>
      </c>
      <c r="D6418" t="str">
        <f>IFERROR(VLOOKUP(C6418,APOYO!J:K,2,FALSE),C6418)</f>
        <v>NATAGAIMA</v>
      </c>
      <c r="E6418" s="8">
        <v>2021</v>
      </c>
      <c r="F6418" s="8"/>
      <c r="G6418" s="8"/>
      <c r="H6418" s="8">
        <v>7</v>
      </c>
      <c r="I6418" s="8"/>
      <c r="J6418" s="8"/>
      <c r="K6418" s="8"/>
    </row>
    <row r="6419" spans="1:11" hidden="1" x14ac:dyDescent="0.25">
      <c r="A6419" t="str">
        <f>_xlfn.XLOOKUP(C6419, 'Códigos DANE Municipios'!$B$2:$B$1123, 'Códigos DANE Municipios'!$A$2:$A$1123, "No encontrado")</f>
        <v>05490</v>
      </c>
      <c r="B6419" t="str">
        <f>IFERROR(VLOOKUP(D6419,APOYO!K:L,2,FALSE),A6419)</f>
        <v>05490</v>
      </c>
      <c r="C6419" s="8" t="s">
        <v>158</v>
      </c>
      <c r="D6419" t="str">
        <f>IFERROR(VLOOKUP(C6419,APOYO!J:K,2,FALSE),C6419)</f>
        <v>NECOCLÍ</v>
      </c>
      <c r="E6419" s="8">
        <v>2021</v>
      </c>
      <c r="F6419" s="8"/>
      <c r="G6419" s="8"/>
      <c r="H6419" s="8">
        <v>23</v>
      </c>
      <c r="I6419" s="8"/>
      <c r="J6419" s="8"/>
      <c r="K6419" s="8"/>
    </row>
    <row r="6420" spans="1:11" hidden="1" x14ac:dyDescent="0.25">
      <c r="A6420" t="str">
        <f>_xlfn.XLOOKUP(C6420, 'Códigos DANE Municipios'!$B$2:$B$1123, 'Códigos DANE Municipios'!$A$2:$A$1123, "No encontrado")</f>
        <v>17486</v>
      </c>
      <c r="B6420" t="str">
        <f>IFERROR(VLOOKUP(D6420,APOYO!K:L,2,FALSE),A6420)</f>
        <v>17486</v>
      </c>
      <c r="C6420" s="8" t="s">
        <v>670</v>
      </c>
      <c r="D6420" t="str">
        <f>IFERROR(VLOOKUP(C6420,APOYO!J:K,2,FALSE),C6420)</f>
        <v>NEIRA</v>
      </c>
      <c r="E6420" s="8">
        <v>2021</v>
      </c>
      <c r="F6420" s="8"/>
      <c r="G6420" s="8"/>
      <c r="H6420" s="8">
        <v>55</v>
      </c>
      <c r="I6420" s="8"/>
      <c r="J6420" s="8"/>
      <c r="K6420" s="8"/>
    </row>
    <row r="6421" spans="1:11" hidden="1" x14ac:dyDescent="0.25">
      <c r="A6421" t="str">
        <f>_xlfn.XLOOKUP(C6421, 'Códigos DANE Municipios'!$B$2:$B$1123, 'Códigos DANE Municipios'!$A$2:$A$1123, "No encontrado")</f>
        <v>41001</v>
      </c>
      <c r="B6421" t="str">
        <f>IFERROR(VLOOKUP(D6421,APOYO!K:L,2,FALSE),A6421)</f>
        <v>41001</v>
      </c>
      <c r="C6421" s="8" t="s">
        <v>1201</v>
      </c>
      <c r="D6421" t="str">
        <f>IFERROR(VLOOKUP(C6421,APOYO!J:K,2,FALSE),C6421)</f>
        <v>NEIVA</v>
      </c>
      <c r="E6421" s="8">
        <v>2021</v>
      </c>
      <c r="F6421" s="8">
        <v>73307</v>
      </c>
      <c r="G6421" s="8"/>
      <c r="H6421" s="8">
        <v>1919</v>
      </c>
      <c r="I6421" s="8"/>
      <c r="J6421" s="8"/>
      <c r="K6421" s="8"/>
    </row>
    <row r="6422" spans="1:11" hidden="1" x14ac:dyDescent="0.25">
      <c r="A6422" t="str">
        <f>_xlfn.XLOOKUP(C6422, 'Códigos DANE Municipios'!$B$2:$B$1123, 'Códigos DANE Municipios'!$A$2:$A$1123, "No encontrado")</f>
        <v>25486</v>
      </c>
      <c r="B6422" t="str">
        <f>IFERROR(VLOOKUP(D6422,APOYO!K:L,2,FALSE),A6422)</f>
        <v>25486</v>
      </c>
      <c r="C6422" s="8" t="s">
        <v>1030</v>
      </c>
      <c r="D6422" t="str">
        <f>IFERROR(VLOOKUP(C6422,APOYO!J:K,2,FALSE),C6422)</f>
        <v>NEMOCÓN</v>
      </c>
      <c r="E6422" s="8">
        <v>2021</v>
      </c>
      <c r="F6422" s="8"/>
      <c r="G6422" s="8"/>
      <c r="H6422" s="8">
        <v>9</v>
      </c>
      <c r="I6422" s="8"/>
      <c r="J6422" s="8"/>
      <c r="K6422" s="8"/>
    </row>
    <row r="6423" spans="1:11" hidden="1" x14ac:dyDescent="0.25">
      <c r="A6423" t="str">
        <f>_xlfn.XLOOKUP(C6423, 'Códigos DANE Municipios'!$B$2:$B$1123, 'Códigos DANE Municipios'!$A$2:$A$1123, "No encontrado")</f>
        <v>25488</v>
      </c>
      <c r="B6423" t="str">
        <f>IFERROR(VLOOKUP(D6423,APOYO!K:L,2,FALSE),A6423)</f>
        <v>25488</v>
      </c>
      <c r="C6423" s="8" t="s">
        <v>1032</v>
      </c>
      <c r="D6423" t="str">
        <f>IFERROR(VLOOKUP(C6423,APOYO!J:K,2,FALSE),C6423)</f>
        <v>NILO</v>
      </c>
      <c r="E6423" s="8">
        <v>2021</v>
      </c>
      <c r="F6423" s="8"/>
      <c r="G6423" s="8"/>
      <c r="H6423" s="8">
        <v>157</v>
      </c>
      <c r="I6423" s="8"/>
      <c r="J6423" s="8"/>
      <c r="K6423" s="8"/>
    </row>
    <row r="6424" spans="1:11" hidden="1" x14ac:dyDescent="0.25">
      <c r="A6424" t="str">
        <f>_xlfn.XLOOKUP(C6424, 'Códigos DANE Municipios'!$B$2:$B$1123, 'Códigos DANE Municipios'!$A$2:$A$1123, "No encontrado")</f>
        <v>25489</v>
      </c>
      <c r="B6424" t="str">
        <f>IFERROR(VLOOKUP(D6424,APOYO!K:L,2,FALSE),A6424)</f>
        <v>25489</v>
      </c>
      <c r="C6424" s="8" t="s">
        <v>1034</v>
      </c>
      <c r="D6424" t="str">
        <f>IFERROR(VLOOKUP(C6424,APOYO!J:K,2,FALSE),C6424)</f>
        <v>NIMAIMA</v>
      </c>
      <c r="E6424" s="8">
        <v>2021</v>
      </c>
      <c r="F6424" s="8"/>
      <c r="G6424" s="8"/>
      <c r="H6424" s="8">
        <v>6</v>
      </c>
      <c r="I6424" s="8"/>
      <c r="J6424" s="8"/>
      <c r="K6424" s="8"/>
    </row>
    <row r="6425" spans="1:11" hidden="1" x14ac:dyDescent="0.25">
      <c r="A6425" t="str">
        <f>_xlfn.XLOOKUP(C6425, 'Códigos DANE Municipios'!$B$2:$B$1123, 'Códigos DANE Municipios'!$A$2:$A$1123, "No encontrado")</f>
        <v>15491</v>
      </c>
      <c r="B6425" t="str">
        <f>IFERROR(VLOOKUP(D6425,APOYO!K:L,2,FALSE),A6425)</f>
        <v>15491</v>
      </c>
      <c r="C6425" s="8" t="s">
        <v>516</v>
      </c>
      <c r="D6425" t="str">
        <f>IFERROR(VLOOKUP(C6425,APOYO!J:K,2,FALSE),C6425)</f>
        <v>NOBSA</v>
      </c>
      <c r="E6425" s="8">
        <v>2021</v>
      </c>
      <c r="F6425" s="8"/>
      <c r="G6425" s="8"/>
      <c r="H6425" s="8">
        <v>64</v>
      </c>
      <c r="I6425" s="8"/>
      <c r="J6425" s="8"/>
      <c r="K6425" s="8"/>
    </row>
    <row r="6426" spans="1:11" hidden="1" x14ac:dyDescent="0.25">
      <c r="A6426" t="str">
        <f>_xlfn.XLOOKUP(C6426, 'Códigos DANE Municipios'!$B$2:$B$1123, 'Códigos DANE Municipios'!$A$2:$A$1123, "No encontrado")</f>
        <v>25491</v>
      </c>
      <c r="B6426" t="str">
        <f>IFERROR(VLOOKUP(D6426,APOYO!K:L,2,FALSE),A6426)</f>
        <v>25491</v>
      </c>
      <c r="C6426" s="8" t="s">
        <v>1036</v>
      </c>
      <c r="D6426" t="str">
        <f>IFERROR(VLOOKUP(C6426,APOYO!J:K,2,FALSE),C6426)</f>
        <v>NOCAIMA</v>
      </c>
      <c r="E6426" s="8">
        <v>2021</v>
      </c>
      <c r="F6426" s="8"/>
      <c r="G6426" s="8"/>
      <c r="H6426" s="8">
        <v>20</v>
      </c>
      <c r="I6426" s="8"/>
      <c r="J6426" s="8"/>
      <c r="K6426" s="8"/>
    </row>
    <row r="6427" spans="1:11" hidden="1" x14ac:dyDescent="0.25">
      <c r="A6427" t="str">
        <f>_xlfn.XLOOKUP(C6427, 'Códigos DANE Municipios'!$B$2:$B$1123, 'Códigos DANE Municipios'!$A$2:$A$1123, "No encontrado")</f>
        <v>17495</v>
      </c>
      <c r="B6427" t="str">
        <f>IFERROR(VLOOKUP(D6427,APOYO!K:L,2,FALSE),A6427)</f>
        <v>17495</v>
      </c>
      <c r="C6427" s="8" t="s">
        <v>672</v>
      </c>
      <c r="D6427" t="str">
        <f>IFERROR(VLOOKUP(C6427,APOYO!J:K,2,FALSE),C6427)</f>
        <v>NORCASIA</v>
      </c>
      <c r="E6427" s="8">
        <v>2021</v>
      </c>
      <c r="F6427" s="8"/>
      <c r="G6427" s="8"/>
      <c r="H6427" s="8">
        <v>14</v>
      </c>
      <c r="I6427" s="8"/>
      <c r="J6427" s="8"/>
      <c r="K6427" s="8"/>
    </row>
    <row r="6428" spans="1:11" hidden="1" x14ac:dyDescent="0.25">
      <c r="A6428" t="str">
        <f>_xlfn.XLOOKUP(C6428, 'Códigos DANE Municipios'!$B$2:$B$1123, 'Códigos DANE Municipios'!$A$2:$A$1123, "No encontrado")</f>
        <v>15494</v>
      </c>
      <c r="B6428" t="str">
        <f>IFERROR(VLOOKUP(D6428,APOYO!K:L,2,FALSE),A6428)</f>
        <v>15494</v>
      </c>
      <c r="C6428" s="8" t="s">
        <v>518</v>
      </c>
      <c r="D6428" t="str">
        <f>IFERROR(VLOOKUP(C6428,APOYO!J:K,2,FALSE),C6428)</f>
        <v>NUEVO COLÓN</v>
      </c>
      <c r="E6428" s="8">
        <v>2021</v>
      </c>
      <c r="F6428" s="8"/>
      <c r="G6428" s="8"/>
      <c r="H6428" s="8">
        <v>2</v>
      </c>
      <c r="I6428" s="8"/>
      <c r="J6428" s="8"/>
      <c r="K6428" s="8"/>
    </row>
    <row r="6429" spans="1:11" hidden="1" x14ac:dyDescent="0.25">
      <c r="A6429" t="str">
        <f>_xlfn.XLOOKUP(C6429, 'Códigos DANE Municipios'!$B$2:$B$1123, 'Códigos DANE Municipios'!$A$2:$A$1123, "No encontrado")</f>
        <v>85225</v>
      </c>
      <c r="B6429" t="str">
        <f>IFERROR(VLOOKUP(D6429,APOYO!K:L,2,FALSE),A6429)</f>
        <v>85225</v>
      </c>
      <c r="C6429" s="8" t="s">
        <v>2062</v>
      </c>
      <c r="D6429" t="str">
        <f>IFERROR(VLOOKUP(C6429,APOYO!J:K,2,FALSE),C6429)</f>
        <v>NUNCHÍA</v>
      </c>
      <c r="E6429" s="8">
        <v>2021</v>
      </c>
      <c r="F6429" s="8">
        <v>29</v>
      </c>
      <c r="G6429" s="8"/>
      <c r="H6429" s="8">
        <v>5</v>
      </c>
      <c r="I6429" s="8"/>
      <c r="J6429" s="8"/>
      <c r="K6429" s="8"/>
    </row>
    <row r="6430" spans="1:11" hidden="1" x14ac:dyDescent="0.25">
      <c r="A6430" t="str">
        <f>_xlfn.XLOOKUP(C6430, 'Códigos DANE Municipios'!$B$2:$B$1123, 'Códigos DANE Municipios'!$A$2:$A$1123, "No encontrado")</f>
        <v>27495</v>
      </c>
      <c r="B6430" t="str">
        <f>IFERROR(VLOOKUP(D6430,APOYO!K:L,2,FALSE),A6430)</f>
        <v>27495</v>
      </c>
      <c r="C6430" s="8" t="s">
        <v>1184</v>
      </c>
      <c r="D6430" t="str">
        <f>IFERROR(VLOOKUP(C6430,APOYO!J:K,2,FALSE),C6430)</f>
        <v>NUQUÍ</v>
      </c>
      <c r="E6430" s="8">
        <v>2021</v>
      </c>
      <c r="F6430" s="8">
        <v>25127</v>
      </c>
      <c r="G6430" s="8"/>
      <c r="H6430" s="8">
        <v>38</v>
      </c>
      <c r="I6430" s="8">
        <v>8683</v>
      </c>
      <c r="J6430" s="8"/>
      <c r="K6430" s="8"/>
    </row>
    <row r="6431" spans="1:11" hidden="1" x14ac:dyDescent="0.25">
      <c r="A6431" t="str">
        <f>_xlfn.XLOOKUP(C6431, 'Códigos DANE Municipios'!$B$2:$B$1123, 'Códigos DANE Municipios'!$A$2:$A$1123, "No encontrado")</f>
        <v>76497</v>
      </c>
      <c r="B6431" t="str">
        <f>IFERROR(VLOOKUP(D6431,APOYO!K:L,2,FALSE),A6431)</f>
        <v>76497</v>
      </c>
      <c r="C6431" s="8" t="s">
        <v>2002</v>
      </c>
      <c r="D6431" t="str">
        <f>IFERROR(VLOOKUP(C6431,APOYO!J:K,2,FALSE),C6431)</f>
        <v>OBANDO</v>
      </c>
      <c r="E6431" s="8">
        <v>2021</v>
      </c>
      <c r="F6431" s="8"/>
      <c r="G6431" s="8"/>
      <c r="H6431" s="8">
        <v>45</v>
      </c>
      <c r="I6431" s="8"/>
      <c r="J6431" s="8"/>
      <c r="K6431" s="8"/>
    </row>
    <row r="6432" spans="1:11" hidden="1" x14ac:dyDescent="0.25">
      <c r="A6432" t="str">
        <f>_xlfn.XLOOKUP(C6432, 'Códigos DANE Municipios'!$B$2:$B$1123, 'Códigos DANE Municipios'!$A$2:$A$1123, "No encontrado")</f>
        <v>68498</v>
      </c>
      <c r="B6432" t="str">
        <f>IFERROR(VLOOKUP(D6432,APOYO!K:L,2,FALSE),A6432)</f>
        <v>68498</v>
      </c>
      <c r="C6432" s="8" t="s">
        <v>1754</v>
      </c>
      <c r="D6432" t="str">
        <f>IFERROR(VLOOKUP(C6432,APOYO!J:K,2,FALSE),C6432)</f>
        <v>OCAMONTE</v>
      </c>
      <c r="E6432" s="8">
        <v>2021</v>
      </c>
      <c r="F6432" s="8"/>
      <c r="G6432" s="8"/>
      <c r="H6432" s="8">
        <v>2</v>
      </c>
      <c r="I6432" s="8"/>
      <c r="J6432" s="8"/>
      <c r="K6432" s="8"/>
    </row>
    <row r="6433" spans="1:11" hidden="1" x14ac:dyDescent="0.25">
      <c r="A6433" t="str">
        <f>_xlfn.XLOOKUP(C6433, 'Códigos DANE Municipios'!$B$2:$B$1123, 'Códigos DANE Municipios'!$A$2:$A$1123, "No encontrado")</f>
        <v>54498</v>
      </c>
      <c r="B6433" t="str">
        <f>IFERROR(VLOOKUP(D6433,APOYO!K:L,2,FALSE),A6433)</f>
        <v>54498</v>
      </c>
      <c r="C6433" s="8" t="s">
        <v>1577</v>
      </c>
      <c r="D6433" t="str">
        <f>IFERROR(VLOOKUP(C6433,APOYO!J:K,2,FALSE),C6433)</f>
        <v>OCAÑA</v>
      </c>
      <c r="E6433" s="8">
        <v>2021</v>
      </c>
      <c r="F6433" s="8">
        <v>121</v>
      </c>
      <c r="G6433" s="8"/>
      <c r="H6433" s="8">
        <v>159</v>
      </c>
      <c r="I6433" s="8"/>
      <c r="J6433" s="8"/>
      <c r="K6433" s="8"/>
    </row>
    <row r="6434" spans="1:11" hidden="1" x14ac:dyDescent="0.25">
      <c r="A6434" t="str">
        <f>_xlfn.XLOOKUP(C6434, 'Códigos DANE Municipios'!$B$2:$B$1123, 'Códigos DANE Municipios'!$A$2:$A$1123, "No encontrado")</f>
        <v>68500</v>
      </c>
      <c r="B6434" t="str">
        <f>IFERROR(VLOOKUP(D6434,APOYO!K:L,2,FALSE),A6434)</f>
        <v>68500</v>
      </c>
      <c r="C6434" s="8" t="s">
        <v>1756</v>
      </c>
      <c r="D6434" t="str">
        <f>IFERROR(VLOOKUP(C6434,APOYO!J:K,2,FALSE),C6434)</f>
        <v>OIBA</v>
      </c>
      <c r="E6434" s="8">
        <v>2021</v>
      </c>
      <c r="F6434" s="8"/>
      <c r="G6434" s="8"/>
      <c r="H6434" s="8">
        <v>28</v>
      </c>
      <c r="I6434" s="8"/>
      <c r="J6434" s="8"/>
      <c r="K6434" s="8"/>
    </row>
    <row r="6435" spans="1:11" hidden="1" x14ac:dyDescent="0.25">
      <c r="A6435" t="str">
        <f>_xlfn.XLOOKUP(C6435, 'Códigos DANE Municipios'!$B$2:$B$1123, 'Códigos DANE Municipios'!$A$2:$A$1123, "No encontrado")</f>
        <v>15500</v>
      </c>
      <c r="B6435" t="str">
        <f>IFERROR(VLOOKUP(D6435,APOYO!K:L,2,FALSE),A6435)</f>
        <v>15500</v>
      </c>
      <c r="C6435" t="s">
        <v>520</v>
      </c>
      <c r="D6435" t="str">
        <f>IFERROR(VLOOKUP(C6435,APOYO!J:K,2,FALSE),C6435)</f>
        <v>OICATÁ</v>
      </c>
      <c r="E6435">
        <v>2021</v>
      </c>
      <c r="H6435">
        <v>1</v>
      </c>
    </row>
    <row r="6436" spans="1:11" hidden="1" x14ac:dyDescent="0.25">
      <c r="A6436" t="str">
        <f>_xlfn.XLOOKUP(C6436, 'Códigos DANE Municipios'!$B$2:$B$1123, 'Códigos DANE Municipios'!$A$2:$A$1123, "No encontrado")</f>
        <v>05501</v>
      </c>
      <c r="B6436" t="str">
        <f>IFERROR(VLOOKUP(D6436,APOYO!K:L,2,FALSE),A6436)</f>
        <v>05501</v>
      </c>
      <c r="C6436" s="8" t="s">
        <v>162</v>
      </c>
      <c r="D6436" t="str">
        <f>IFERROR(VLOOKUP(C6436,APOYO!J:K,2,FALSE),C6436)</f>
        <v>OLAYA</v>
      </c>
      <c r="E6436" s="8">
        <v>2021</v>
      </c>
      <c r="F6436" s="8"/>
      <c r="G6436" s="8"/>
      <c r="H6436" s="8">
        <v>5</v>
      </c>
      <c r="I6436" s="8"/>
      <c r="J6436" s="8"/>
      <c r="K6436" s="8"/>
    </row>
    <row r="6437" spans="1:11" hidden="1" x14ac:dyDescent="0.25">
      <c r="A6437" t="str">
        <f>_xlfn.XLOOKUP(C6437, 'Códigos DANE Municipios'!$B$2:$B$1123, 'Códigos DANE Municipios'!$A$2:$A$1123, "No encontrado")</f>
        <v>68502</v>
      </c>
      <c r="B6437" t="str">
        <f>IFERROR(VLOOKUP(D6437,APOYO!K:L,2,FALSE),A6437)</f>
        <v>68502</v>
      </c>
      <c r="C6437" s="8" t="s">
        <v>1758</v>
      </c>
      <c r="D6437" t="str">
        <f>IFERROR(VLOOKUP(C6437,APOYO!J:K,2,FALSE),C6437)</f>
        <v>ONZAGA</v>
      </c>
      <c r="E6437" s="8">
        <v>2021</v>
      </c>
      <c r="F6437" s="8"/>
      <c r="G6437" s="8"/>
      <c r="H6437" s="8">
        <v>3</v>
      </c>
      <c r="I6437" s="8"/>
      <c r="J6437" s="8"/>
      <c r="K6437" s="8"/>
    </row>
    <row r="6438" spans="1:11" hidden="1" x14ac:dyDescent="0.25">
      <c r="A6438" t="str">
        <f>_xlfn.XLOOKUP(C6438, 'Códigos DANE Municipios'!$B$2:$B$1123, 'Códigos DANE Municipios'!$A$2:$A$1123, "No encontrado")</f>
        <v>41503</v>
      </c>
      <c r="B6438" t="str">
        <f>IFERROR(VLOOKUP(D6438,APOYO!K:L,2,FALSE),A6438)</f>
        <v>41503</v>
      </c>
      <c r="C6438" s="8" t="s">
        <v>1238</v>
      </c>
      <c r="D6438" t="str">
        <f>IFERROR(VLOOKUP(C6438,APOYO!J:K,2,FALSE),C6438)</f>
        <v>OPORAPA</v>
      </c>
      <c r="E6438" s="8">
        <v>2021</v>
      </c>
      <c r="F6438" s="8"/>
      <c r="G6438" s="8"/>
      <c r="H6438" s="8">
        <v>2</v>
      </c>
      <c r="I6438" s="8"/>
      <c r="J6438" s="8"/>
      <c r="K6438" s="8"/>
    </row>
    <row r="6439" spans="1:11" hidden="1" x14ac:dyDescent="0.25">
      <c r="A6439" t="str">
        <f>_xlfn.XLOOKUP(C6439, 'Códigos DANE Municipios'!$B$2:$B$1123, 'Códigos DANE Municipios'!$A$2:$A$1123, "No encontrado")</f>
        <v>86320</v>
      </c>
      <c r="B6439" t="str">
        <f>IFERROR(VLOOKUP(D6439,APOYO!K:L,2,FALSE),A6439)</f>
        <v>86320</v>
      </c>
      <c r="C6439" s="8" t="s">
        <v>2087</v>
      </c>
      <c r="D6439" t="str">
        <f>IFERROR(VLOOKUP(C6439,APOYO!J:K,2,FALSE),C6439)</f>
        <v>ORITO</v>
      </c>
      <c r="E6439" s="8">
        <v>2021</v>
      </c>
      <c r="F6439" s="8"/>
      <c r="G6439" s="8"/>
      <c r="H6439" s="8">
        <v>47</v>
      </c>
      <c r="I6439" s="8"/>
      <c r="J6439" s="8"/>
      <c r="K6439" s="8"/>
    </row>
    <row r="6440" spans="1:11" hidden="1" x14ac:dyDescent="0.25">
      <c r="A6440" t="str">
        <f>_xlfn.XLOOKUP(C6440, 'Códigos DANE Municipios'!$B$2:$B$1123, 'Códigos DANE Municipios'!$A$2:$A$1123, "No encontrado")</f>
        <v>85230</v>
      </c>
      <c r="B6440" t="str">
        <f>IFERROR(VLOOKUP(D6440,APOYO!K:L,2,FALSE),A6440)</f>
        <v>85230</v>
      </c>
      <c r="C6440" t="s">
        <v>2064</v>
      </c>
      <c r="D6440" t="str">
        <f>IFERROR(VLOOKUP(C6440,APOYO!J:K,2,FALSE),C6440)</f>
        <v>OROCUÉ</v>
      </c>
      <c r="E6440">
        <v>2021</v>
      </c>
      <c r="H6440">
        <v>198</v>
      </c>
    </row>
    <row r="6441" spans="1:11" hidden="1" x14ac:dyDescent="0.25">
      <c r="A6441" t="str">
        <f>_xlfn.XLOOKUP(C6441, 'Códigos DANE Municipios'!$B$2:$B$1123, 'Códigos DANE Municipios'!$A$2:$A$1123, "No encontrado")</f>
        <v>73504</v>
      </c>
      <c r="B6441" t="str">
        <f>IFERROR(VLOOKUP(D6441,APOYO!K:L,2,FALSE),A6441)</f>
        <v>73504</v>
      </c>
      <c r="C6441" s="8" t="s">
        <v>1923</v>
      </c>
      <c r="D6441" t="str">
        <f>IFERROR(VLOOKUP(C6441,APOYO!J:K,2,FALSE),C6441)</f>
        <v>ORTEGA</v>
      </c>
      <c r="E6441" s="8">
        <v>2021</v>
      </c>
      <c r="F6441" s="8"/>
      <c r="G6441" s="8"/>
      <c r="H6441" s="8">
        <v>3</v>
      </c>
      <c r="I6441" s="8"/>
      <c r="J6441" s="8"/>
      <c r="K6441" s="8"/>
    </row>
    <row r="6442" spans="1:11" hidden="1" x14ac:dyDescent="0.25">
      <c r="A6442" t="str">
        <f>_xlfn.XLOOKUP(C6442, 'Códigos DANE Municipios'!$B$2:$B$1123, 'Códigos DANE Municipios'!$A$2:$A$1123, "No encontrado")</f>
        <v>15507</v>
      </c>
      <c r="B6442" t="str">
        <f>IFERROR(VLOOKUP(D6442,APOYO!K:L,2,FALSE),A6442)</f>
        <v>15507</v>
      </c>
      <c r="C6442" s="8" t="s">
        <v>522</v>
      </c>
      <c r="D6442" t="str">
        <f>IFERROR(VLOOKUP(C6442,APOYO!J:K,2,FALSE),C6442)</f>
        <v>OTANCHE</v>
      </c>
      <c r="E6442" s="8">
        <v>2021</v>
      </c>
      <c r="F6442" s="8"/>
      <c r="G6442" s="8"/>
      <c r="H6442" s="8">
        <v>12</v>
      </c>
      <c r="I6442" s="8"/>
      <c r="J6442" s="8"/>
      <c r="K6442" s="8"/>
    </row>
    <row r="6443" spans="1:11" hidden="1" x14ac:dyDescent="0.25">
      <c r="A6443" t="str">
        <f>_xlfn.XLOOKUP(C6443, 'Códigos DANE Municipios'!$B$2:$B$1123, 'Códigos DANE Municipios'!$A$2:$A$1123, "No encontrado")</f>
        <v>70508</v>
      </c>
      <c r="B6443" t="str">
        <f>IFERROR(VLOOKUP(D6443,APOYO!K:L,2,FALSE),A6443)</f>
        <v>70508</v>
      </c>
      <c r="C6443" s="8" t="s">
        <v>1842</v>
      </c>
      <c r="D6443" t="str">
        <f>IFERROR(VLOOKUP(C6443,APOYO!J:K,2,FALSE),C6443)</f>
        <v>OVEJAS</v>
      </c>
      <c r="E6443" s="8">
        <v>2021</v>
      </c>
      <c r="F6443" s="8"/>
      <c r="G6443" s="8"/>
      <c r="H6443" s="8">
        <v>8</v>
      </c>
      <c r="I6443" s="8"/>
      <c r="J6443" s="8"/>
      <c r="K6443" s="8"/>
    </row>
    <row r="6444" spans="1:11" hidden="1" x14ac:dyDescent="0.25">
      <c r="A6444" t="str">
        <f>_xlfn.XLOOKUP(C6444, 'Códigos DANE Municipios'!$B$2:$B$1123, 'Códigos DANE Municipios'!$A$2:$A$1123, "No encontrado")</f>
        <v>25513</v>
      </c>
      <c r="B6444" t="str">
        <f>IFERROR(VLOOKUP(D6444,APOYO!K:L,2,FALSE),A6444)</f>
        <v>25513</v>
      </c>
      <c r="C6444" s="8" t="s">
        <v>1039</v>
      </c>
      <c r="D6444" t="str">
        <f>IFERROR(VLOOKUP(C6444,APOYO!J:K,2,FALSE),C6444)</f>
        <v>PACHO</v>
      </c>
      <c r="E6444" s="8">
        <v>2021</v>
      </c>
      <c r="F6444" s="8"/>
      <c r="G6444" s="8"/>
      <c r="H6444" s="8">
        <v>44</v>
      </c>
      <c r="I6444" s="8"/>
      <c r="J6444" s="8"/>
      <c r="K6444" s="8"/>
    </row>
    <row r="6445" spans="1:11" hidden="1" x14ac:dyDescent="0.25">
      <c r="A6445" t="str">
        <f>_xlfn.XLOOKUP(C6445, 'Códigos DANE Municipios'!$B$2:$B$1123, 'Códigos DANE Municipios'!$A$2:$A$1123, "No encontrado")</f>
        <v>17513</v>
      </c>
      <c r="B6445" t="str">
        <f>IFERROR(VLOOKUP(D6445,APOYO!K:L,2,FALSE),A6445)</f>
        <v>17513</v>
      </c>
      <c r="C6445" s="8" t="s">
        <v>674</v>
      </c>
      <c r="D6445" t="str">
        <f>IFERROR(VLOOKUP(C6445,APOYO!J:K,2,FALSE),C6445)</f>
        <v>PÁCORA</v>
      </c>
      <c r="E6445" s="8">
        <v>2021</v>
      </c>
      <c r="F6445" s="8"/>
      <c r="G6445" s="8"/>
      <c r="H6445" s="8">
        <v>29</v>
      </c>
      <c r="I6445" s="8"/>
      <c r="J6445" s="8"/>
      <c r="K6445" s="8"/>
    </row>
    <row r="6446" spans="1:11" hidden="1" x14ac:dyDescent="0.25">
      <c r="A6446" t="str">
        <f>_xlfn.XLOOKUP(C6446, 'Códigos DANE Municipios'!$B$2:$B$1123, 'Códigos DANE Municipios'!$A$2:$A$1123, "No encontrado")</f>
        <v>19513</v>
      </c>
      <c r="B6446" t="str">
        <f>IFERROR(VLOOKUP(D6446,APOYO!K:L,2,FALSE),A6446)</f>
        <v>19513</v>
      </c>
      <c r="C6446" s="8" t="s">
        <v>770</v>
      </c>
      <c r="D6446" t="str">
        <f>IFERROR(VLOOKUP(C6446,APOYO!J:K,2,FALSE),C6446)</f>
        <v>PADILLA</v>
      </c>
      <c r="E6446" s="8">
        <v>2021</v>
      </c>
      <c r="F6446" s="8"/>
      <c r="G6446" s="8"/>
      <c r="H6446" s="8">
        <v>8</v>
      </c>
      <c r="I6446" s="8"/>
      <c r="J6446" s="8"/>
      <c r="K6446" s="8"/>
    </row>
    <row r="6447" spans="1:11" hidden="1" x14ac:dyDescent="0.25">
      <c r="A6447" t="str">
        <f>_xlfn.XLOOKUP(C6447, 'Códigos DANE Municipios'!$B$2:$B$1123, 'Códigos DANE Municipios'!$A$2:$A$1123, "No encontrado")</f>
        <v>15514</v>
      </c>
      <c r="B6447" t="str">
        <f>IFERROR(VLOOKUP(D6447,APOYO!K:L,2,FALSE),A6447)</f>
        <v>15514</v>
      </c>
      <c r="C6447" t="s">
        <v>526</v>
      </c>
      <c r="D6447" t="str">
        <f>IFERROR(VLOOKUP(C6447,APOYO!J:K,2,FALSE),C6447)</f>
        <v>PÁEZ</v>
      </c>
      <c r="E6447">
        <v>2021</v>
      </c>
      <c r="H6447">
        <v>1</v>
      </c>
    </row>
    <row r="6448" spans="1:11" hidden="1" x14ac:dyDescent="0.25">
      <c r="A6448" t="str">
        <f>_xlfn.XLOOKUP(C6448, 'Códigos DANE Municipios'!$B$2:$B$1123, 'Códigos DANE Municipios'!$A$2:$A$1123, "No encontrado")</f>
        <v>20517</v>
      </c>
      <c r="B6448" t="str">
        <f>IFERROR(VLOOKUP(D6448,APOYO!K:L,2,FALSE),A6448)</f>
        <v>20517</v>
      </c>
      <c r="C6448" s="8" t="s">
        <v>840</v>
      </c>
      <c r="D6448" t="str">
        <f>IFERROR(VLOOKUP(C6448,APOYO!J:K,2,FALSE),C6448)</f>
        <v>PAILITAS</v>
      </c>
      <c r="E6448" s="8">
        <v>2021</v>
      </c>
      <c r="F6448" s="8"/>
      <c r="G6448" s="8"/>
      <c r="H6448" s="8">
        <v>2</v>
      </c>
      <c r="I6448" s="8"/>
      <c r="J6448" s="8"/>
      <c r="K6448" s="8"/>
    </row>
    <row r="6449" spans="1:11" hidden="1" x14ac:dyDescent="0.25">
      <c r="A6449" t="str">
        <f>_xlfn.XLOOKUP(C6449, 'Códigos DANE Municipios'!$B$2:$B$1123, 'Códigos DANE Municipios'!$A$2:$A$1123, "No encontrado")</f>
        <v>15516</v>
      </c>
      <c r="B6449" t="str">
        <f>IFERROR(VLOOKUP(D6449,APOYO!K:L,2,FALSE),A6449)</f>
        <v>15516</v>
      </c>
      <c r="C6449" s="8" t="s">
        <v>528</v>
      </c>
      <c r="D6449" t="str">
        <f>IFERROR(VLOOKUP(C6449,APOYO!J:K,2,FALSE),C6449)</f>
        <v>PAIPA</v>
      </c>
      <c r="E6449" s="8">
        <v>2021</v>
      </c>
      <c r="F6449" s="8">
        <v>20</v>
      </c>
      <c r="G6449" s="8"/>
      <c r="H6449" s="8">
        <v>273</v>
      </c>
      <c r="I6449" s="8"/>
      <c r="J6449" s="8"/>
      <c r="K6449" s="8"/>
    </row>
    <row r="6450" spans="1:11" hidden="1" x14ac:dyDescent="0.25">
      <c r="A6450" t="str">
        <f>_xlfn.XLOOKUP(C6450, 'Códigos DANE Municipios'!$B$2:$B$1123, 'Códigos DANE Municipios'!$A$2:$A$1123, "No encontrado")</f>
        <v>41524</v>
      </c>
      <c r="B6450" t="str">
        <f>IFERROR(VLOOKUP(D6450,APOYO!K:L,2,FALSE),A6450)</f>
        <v>41524</v>
      </c>
      <c r="C6450" s="8" t="s">
        <v>1242</v>
      </c>
      <c r="D6450" t="str">
        <f>IFERROR(VLOOKUP(C6450,APOYO!J:K,2,FALSE),C6450)</f>
        <v>PALERMO</v>
      </c>
      <c r="E6450" s="8">
        <v>2021</v>
      </c>
      <c r="F6450" s="8">
        <v>3</v>
      </c>
      <c r="G6450" s="8"/>
      <c r="H6450" s="8">
        <v>17</v>
      </c>
      <c r="I6450" s="8"/>
      <c r="J6450" s="8"/>
      <c r="K6450" s="8"/>
    </row>
    <row r="6451" spans="1:11" hidden="1" x14ac:dyDescent="0.25">
      <c r="A6451" t="str">
        <f>_xlfn.XLOOKUP(C6451, 'Códigos DANE Municipios'!$B$2:$B$1123, 'Códigos DANE Municipios'!$A$2:$A$1123, "No encontrado")</f>
        <v>17524</v>
      </c>
      <c r="B6451" t="str">
        <f>IFERROR(VLOOKUP(D6451,APOYO!K:L,2,FALSE),A6451)</f>
        <v>17524</v>
      </c>
      <c r="C6451" s="8" t="s">
        <v>676</v>
      </c>
      <c r="D6451" t="str">
        <f>IFERROR(VLOOKUP(C6451,APOYO!J:K,2,FALSE),C6451)</f>
        <v>PALESTINA</v>
      </c>
      <c r="E6451" s="8">
        <v>2021</v>
      </c>
      <c r="F6451" s="8"/>
      <c r="G6451" s="8"/>
      <c r="H6451" s="8">
        <v>57</v>
      </c>
      <c r="I6451" s="8"/>
      <c r="J6451" s="8"/>
      <c r="K6451" s="8"/>
    </row>
    <row r="6452" spans="1:11" hidden="1" x14ac:dyDescent="0.25">
      <c r="A6452" t="str">
        <f>_xlfn.XLOOKUP(C6452, 'Códigos DANE Municipios'!$B$2:$B$1123, 'Códigos DANE Municipios'!$A$2:$A$1123, "No encontrado")</f>
        <v>08520</v>
      </c>
      <c r="B6452" t="str">
        <f>IFERROR(VLOOKUP(D6452,APOYO!K:L,2,FALSE),A6452)</f>
        <v>08520</v>
      </c>
      <c r="C6452" s="8" t="s">
        <v>280</v>
      </c>
      <c r="D6452" t="str">
        <f>IFERROR(VLOOKUP(C6452,APOYO!J:K,2,FALSE),C6452)</f>
        <v>PALMAR DE VARELA</v>
      </c>
      <c r="E6452" s="8">
        <v>2021</v>
      </c>
      <c r="F6452" s="8"/>
      <c r="G6452" s="8"/>
      <c r="H6452" s="8">
        <v>14</v>
      </c>
      <c r="I6452" s="8"/>
      <c r="J6452" s="8"/>
      <c r="K6452" s="8"/>
    </row>
    <row r="6453" spans="1:11" hidden="1" x14ac:dyDescent="0.25">
      <c r="A6453" t="str">
        <f>_xlfn.XLOOKUP(C6453, 'Códigos DANE Municipios'!$B$2:$B$1123, 'Códigos DANE Municipios'!$A$2:$A$1123, "No encontrado")</f>
        <v>68524</v>
      </c>
      <c r="B6453" t="str">
        <f>IFERROR(VLOOKUP(D6453,APOYO!K:L,2,FALSE),A6453)</f>
        <v>68524</v>
      </c>
      <c r="C6453" s="8" t="s">
        <v>1762</v>
      </c>
      <c r="D6453" t="str">
        <f>IFERROR(VLOOKUP(C6453,APOYO!J:K,2,FALSE),C6453)</f>
        <v>PALMAS DEL SOCORRO</v>
      </c>
      <c r="E6453" s="8">
        <v>2021</v>
      </c>
      <c r="F6453" s="8"/>
      <c r="G6453" s="8"/>
      <c r="H6453" s="8">
        <v>2</v>
      </c>
      <c r="I6453" s="8"/>
      <c r="J6453" s="8"/>
      <c r="K6453" s="8"/>
    </row>
    <row r="6454" spans="1:11" hidden="1" x14ac:dyDescent="0.25">
      <c r="A6454" t="str">
        <f>_xlfn.XLOOKUP(C6454, 'Códigos DANE Municipios'!$B$2:$B$1123, 'Códigos DANE Municipios'!$A$2:$A$1123, "No encontrado")</f>
        <v>76520</v>
      </c>
      <c r="B6454" t="str">
        <f>IFERROR(VLOOKUP(D6454,APOYO!K:L,2,FALSE),A6454)</f>
        <v>76520</v>
      </c>
      <c r="C6454" s="8" t="s">
        <v>2004</v>
      </c>
      <c r="D6454" t="str">
        <f>IFERROR(VLOOKUP(C6454,APOYO!J:K,2,FALSE),C6454)</f>
        <v>PALMIRA</v>
      </c>
      <c r="E6454" s="8">
        <v>2021</v>
      </c>
      <c r="F6454" s="8"/>
      <c r="G6454" s="8"/>
      <c r="H6454" s="8">
        <v>4419</v>
      </c>
      <c r="I6454" s="8"/>
      <c r="J6454" s="8"/>
      <c r="K6454" s="8"/>
    </row>
    <row r="6455" spans="1:11" hidden="1" x14ac:dyDescent="0.25">
      <c r="A6455" t="str">
        <f>_xlfn.XLOOKUP(C6455, 'Códigos DANE Municipios'!$B$2:$B$1123, 'Códigos DANE Municipios'!$A$2:$A$1123, "No encontrado")</f>
        <v>73520</v>
      </c>
      <c r="B6455" t="str">
        <f>IFERROR(VLOOKUP(D6455,APOYO!K:L,2,FALSE),A6455)</f>
        <v>73520</v>
      </c>
      <c r="C6455" s="8" t="s">
        <v>1925</v>
      </c>
      <c r="D6455" t="str">
        <f>IFERROR(VLOOKUP(C6455,APOYO!J:K,2,FALSE),C6455)</f>
        <v>PALOCABILDO</v>
      </c>
      <c r="E6455" s="8">
        <v>2021</v>
      </c>
      <c r="F6455" s="8"/>
      <c r="G6455" s="8"/>
      <c r="H6455" s="8">
        <v>5</v>
      </c>
      <c r="I6455" s="8"/>
      <c r="J6455" s="8"/>
      <c r="K6455" s="8"/>
    </row>
    <row r="6456" spans="1:11" hidden="1" x14ac:dyDescent="0.25">
      <c r="A6456" t="str">
        <f>_xlfn.XLOOKUP(C6456, 'Códigos DANE Municipios'!$B$2:$B$1123, 'Códigos DANE Municipios'!$A$2:$A$1123, "No encontrado")</f>
        <v>54518</v>
      </c>
      <c r="B6456" t="str">
        <f>IFERROR(VLOOKUP(D6456,APOYO!K:L,2,FALSE),A6456)</f>
        <v>54518</v>
      </c>
      <c r="C6456" s="8" t="s">
        <v>1579</v>
      </c>
      <c r="D6456" t="str">
        <f>IFERROR(VLOOKUP(C6456,APOYO!J:K,2,FALSE),C6456)</f>
        <v>PAMPLONA</v>
      </c>
      <c r="E6456" s="8">
        <v>2021</v>
      </c>
      <c r="F6456" s="8"/>
      <c r="G6456" s="8"/>
      <c r="H6456" s="8">
        <v>130</v>
      </c>
      <c r="I6456" s="8"/>
      <c r="J6456" s="8"/>
      <c r="K6456" s="8"/>
    </row>
    <row r="6457" spans="1:11" hidden="1" x14ac:dyDescent="0.25">
      <c r="A6457" t="str">
        <f>_xlfn.XLOOKUP(C6457, 'Códigos DANE Municipios'!$B$2:$B$1123, 'Códigos DANE Municipios'!$A$2:$A$1123, "No encontrado")</f>
        <v>54520</v>
      </c>
      <c r="B6457" t="str">
        <f>IFERROR(VLOOKUP(D6457,APOYO!K:L,2,FALSE),A6457)</f>
        <v>54520</v>
      </c>
      <c r="C6457" s="8" t="s">
        <v>1581</v>
      </c>
      <c r="D6457" t="str">
        <f>IFERROR(VLOOKUP(C6457,APOYO!J:K,2,FALSE),C6457)</f>
        <v>PAMPLONITA</v>
      </c>
      <c r="E6457" s="8">
        <v>2021</v>
      </c>
      <c r="F6457" s="8"/>
      <c r="G6457" s="8"/>
      <c r="H6457" s="8">
        <v>3</v>
      </c>
      <c r="I6457" s="8"/>
      <c r="J6457" s="8"/>
      <c r="K6457" s="8"/>
    </row>
    <row r="6458" spans="1:11" hidden="1" x14ac:dyDescent="0.25">
      <c r="A6458" t="str">
        <f>_xlfn.XLOOKUP(C6458, 'Códigos DANE Municipios'!$B$2:$B$1123, 'Códigos DANE Municipios'!$A$2:$A$1123, "No encontrado")</f>
        <v>25524</v>
      </c>
      <c r="B6458" t="str">
        <f>IFERROR(VLOOKUP(D6458,APOYO!K:L,2,FALSE),A6458)</f>
        <v>25524</v>
      </c>
      <c r="C6458" s="8" t="s">
        <v>1043</v>
      </c>
      <c r="D6458" t="str">
        <f>IFERROR(VLOOKUP(C6458,APOYO!J:K,2,FALSE),C6458)</f>
        <v>PANDI</v>
      </c>
      <c r="E6458" s="8">
        <v>2021</v>
      </c>
      <c r="F6458" s="8"/>
      <c r="G6458" s="8"/>
      <c r="H6458" s="8">
        <v>12</v>
      </c>
      <c r="I6458" s="8"/>
      <c r="J6458" s="8"/>
      <c r="K6458" s="8"/>
    </row>
    <row r="6459" spans="1:11" hidden="1" x14ac:dyDescent="0.25">
      <c r="A6459" t="str">
        <f>_xlfn.XLOOKUP(C6459, 'Códigos DANE Municipios'!$B$2:$B$1123, 'Códigos DANE Municipios'!$A$2:$A$1123, "No encontrado")</f>
        <v>68533</v>
      </c>
      <c r="B6459" t="str">
        <f>IFERROR(VLOOKUP(D6459,APOYO!K:L,2,FALSE),A6459)</f>
        <v>68533</v>
      </c>
      <c r="C6459" t="s">
        <v>1764</v>
      </c>
      <c r="D6459" t="str">
        <f>IFERROR(VLOOKUP(C6459,APOYO!J:K,2,FALSE),C6459)</f>
        <v>PÁRAMO</v>
      </c>
      <c r="E6459">
        <v>2021</v>
      </c>
      <c r="H6459">
        <v>2</v>
      </c>
    </row>
    <row r="6460" spans="1:11" hidden="1" x14ac:dyDescent="0.25">
      <c r="A6460" t="str">
        <f>_xlfn.XLOOKUP(C6460, 'Códigos DANE Municipios'!$B$2:$B$1123, 'Códigos DANE Municipios'!$A$2:$A$1123, "No encontrado")</f>
        <v>25530</v>
      </c>
      <c r="B6460" t="str">
        <f>IFERROR(VLOOKUP(D6460,APOYO!K:L,2,FALSE),A6460)</f>
        <v>25530</v>
      </c>
      <c r="C6460" s="8" t="s">
        <v>1045</v>
      </c>
      <c r="D6460" t="str">
        <f>IFERROR(VLOOKUP(C6460,APOYO!J:K,2,FALSE),C6460)</f>
        <v>PARATEBUENO</v>
      </c>
      <c r="E6460" s="8">
        <v>2021</v>
      </c>
      <c r="F6460" s="8">
        <v>3</v>
      </c>
      <c r="G6460" s="8"/>
      <c r="H6460" s="8">
        <v>3</v>
      </c>
      <c r="I6460" s="8"/>
      <c r="J6460" s="8"/>
      <c r="K6460" s="8"/>
    </row>
    <row r="6461" spans="1:11" hidden="1" x14ac:dyDescent="0.25">
      <c r="A6461" t="str">
        <f>_xlfn.XLOOKUP(C6461, 'Códigos DANE Municipios'!$B$2:$B$1123, 'Códigos DANE Municipios'!$A$2:$A$1123, "No encontrado")</f>
        <v>25535</v>
      </c>
      <c r="B6461" t="str">
        <f>IFERROR(VLOOKUP(D6461,APOYO!K:L,2,FALSE),A6461)</f>
        <v>25535</v>
      </c>
      <c r="C6461" s="8" t="s">
        <v>1047</v>
      </c>
      <c r="D6461" t="str">
        <f>IFERROR(VLOOKUP(C6461,APOYO!J:K,2,FALSE),C6461)</f>
        <v>PASCA</v>
      </c>
      <c r="E6461" s="8">
        <v>2021</v>
      </c>
      <c r="F6461" s="8"/>
      <c r="G6461" s="8"/>
      <c r="H6461" s="8">
        <v>13</v>
      </c>
      <c r="I6461" s="8"/>
      <c r="J6461" s="8"/>
      <c r="K6461" s="8"/>
    </row>
    <row r="6462" spans="1:11" hidden="1" x14ac:dyDescent="0.25">
      <c r="A6462" t="str">
        <f>_xlfn.XLOOKUP(C6462, 'Códigos DANE Municipios'!$B$2:$B$1123, 'Códigos DANE Municipios'!$A$2:$A$1123, "No encontrado")</f>
        <v>52001</v>
      </c>
      <c r="B6462" t="str">
        <f>IFERROR(VLOOKUP(D6462,APOYO!K:L,2,FALSE),A6462)</f>
        <v>52001</v>
      </c>
      <c r="C6462" s="8" t="s">
        <v>1412</v>
      </c>
      <c r="D6462" t="str">
        <f>IFERROR(VLOOKUP(C6462,APOYO!J:K,2,FALSE),C6462)</f>
        <v>PASTO</v>
      </c>
      <c r="E6462" s="8">
        <v>2021</v>
      </c>
      <c r="F6462" s="8">
        <v>149794</v>
      </c>
      <c r="G6462" s="8">
        <v>1048</v>
      </c>
      <c r="H6462" s="8">
        <v>1361</v>
      </c>
      <c r="I6462" s="8">
        <v>198</v>
      </c>
      <c r="J6462" s="8"/>
      <c r="K6462" s="8"/>
    </row>
    <row r="6463" spans="1:11" hidden="1" x14ac:dyDescent="0.25">
      <c r="A6463" t="str">
        <f>_xlfn.XLOOKUP(C6463, 'Códigos DANE Municipios'!$B$2:$B$1123, 'Códigos DANE Municipios'!$A$2:$A$1123, "No encontrado")</f>
        <v>19532</v>
      </c>
      <c r="B6463" t="str">
        <f>IFERROR(VLOOKUP(D6463,APOYO!K:L,2,FALSE),A6463)</f>
        <v>19532</v>
      </c>
      <c r="C6463" s="8" t="s">
        <v>773</v>
      </c>
      <c r="D6463" t="str">
        <f>IFERROR(VLOOKUP(C6463,APOYO!J:K,2,FALSE),C6463)</f>
        <v>PATÍA</v>
      </c>
      <c r="E6463" s="8">
        <v>2021</v>
      </c>
      <c r="F6463" s="8"/>
      <c r="G6463" s="8"/>
      <c r="H6463" s="8">
        <v>11</v>
      </c>
      <c r="I6463" s="8"/>
      <c r="J6463" s="8"/>
      <c r="K6463" s="8"/>
    </row>
    <row r="6464" spans="1:11" hidden="1" x14ac:dyDescent="0.25">
      <c r="A6464" t="str">
        <f>_xlfn.XLOOKUP(C6464, 'Códigos DANE Municipios'!$B$2:$B$1123, 'Códigos DANE Municipios'!$A$2:$A$1123, "No encontrado")</f>
        <v>15531</v>
      </c>
      <c r="B6464" t="str">
        <f>IFERROR(VLOOKUP(D6464,APOYO!K:L,2,FALSE),A6464)</f>
        <v>15531</v>
      </c>
      <c r="C6464" s="8" t="s">
        <v>534</v>
      </c>
      <c r="D6464" t="str">
        <f>IFERROR(VLOOKUP(C6464,APOYO!J:K,2,FALSE),C6464)</f>
        <v>PAUNA</v>
      </c>
      <c r="E6464" s="8">
        <v>2021</v>
      </c>
      <c r="F6464" s="8"/>
      <c r="G6464" s="8"/>
      <c r="H6464" s="8">
        <v>1</v>
      </c>
      <c r="I6464" s="8"/>
      <c r="J6464" s="8"/>
      <c r="K6464" s="8"/>
    </row>
    <row r="6465" spans="1:11" hidden="1" x14ac:dyDescent="0.25">
      <c r="A6465" t="str">
        <f>_xlfn.XLOOKUP(C6465, 'Códigos DANE Municipios'!$B$2:$B$1123, 'Códigos DANE Municipios'!$A$2:$A$1123, "No encontrado")</f>
        <v>15533</v>
      </c>
      <c r="B6465" t="str">
        <f>IFERROR(VLOOKUP(D6465,APOYO!K:L,2,FALSE),A6465)</f>
        <v>15533</v>
      </c>
      <c r="C6465" s="8" t="s">
        <v>536</v>
      </c>
      <c r="D6465" t="str">
        <f>IFERROR(VLOOKUP(C6465,APOYO!J:K,2,FALSE),C6465)</f>
        <v>PAYA</v>
      </c>
      <c r="E6465" s="8">
        <v>2021</v>
      </c>
      <c r="F6465" s="8"/>
      <c r="G6465" s="8"/>
      <c r="H6465" s="8">
        <v>2</v>
      </c>
      <c r="I6465" s="8"/>
      <c r="J6465" s="8"/>
      <c r="K6465" s="8"/>
    </row>
    <row r="6466" spans="1:11" hidden="1" x14ac:dyDescent="0.25">
      <c r="A6466" t="str">
        <f>_xlfn.XLOOKUP(C6466, 'Códigos DANE Municipios'!$B$2:$B$1123, 'Códigos DANE Municipios'!$A$2:$A$1123, "No encontrado")</f>
        <v>85250</v>
      </c>
      <c r="B6466" t="str">
        <f>IFERROR(VLOOKUP(D6466,APOYO!K:L,2,FALSE),A6466)</f>
        <v>85250</v>
      </c>
      <c r="C6466" s="8" t="s">
        <v>2066</v>
      </c>
      <c r="D6466" t="str">
        <f>IFERROR(VLOOKUP(C6466,APOYO!J:K,2,FALSE),C6466)</f>
        <v>PAZ DE ARIPORO</v>
      </c>
      <c r="E6466" s="8">
        <v>2021</v>
      </c>
      <c r="F6466" s="8">
        <v>346</v>
      </c>
      <c r="G6466" s="8"/>
      <c r="H6466" s="8">
        <v>10</v>
      </c>
      <c r="I6466" s="8"/>
      <c r="J6466" s="8"/>
      <c r="K6466" s="8"/>
    </row>
    <row r="6467" spans="1:11" hidden="1" x14ac:dyDescent="0.25">
      <c r="A6467" t="str">
        <f>_xlfn.XLOOKUP(C6467, 'Códigos DANE Municipios'!$B$2:$B$1123, 'Códigos DANE Municipios'!$A$2:$A$1123, "No encontrado")</f>
        <v>15537</v>
      </c>
      <c r="B6467" t="str">
        <f>IFERROR(VLOOKUP(D6467,APOYO!K:L,2,FALSE),A6467)</f>
        <v>15537</v>
      </c>
      <c r="C6467" s="8" t="s">
        <v>538</v>
      </c>
      <c r="D6467" t="str">
        <f>IFERROR(VLOOKUP(C6467,APOYO!J:K,2,FALSE),C6467)</f>
        <v>PAZ DE RÍO</v>
      </c>
      <c r="E6467" s="8">
        <v>2021</v>
      </c>
      <c r="F6467" s="8"/>
      <c r="G6467" s="8"/>
      <c r="H6467" s="8">
        <v>6</v>
      </c>
      <c r="I6467" s="8"/>
      <c r="J6467" s="8"/>
      <c r="K6467" s="8"/>
    </row>
    <row r="6468" spans="1:11" hidden="1" x14ac:dyDescent="0.25">
      <c r="A6468" t="str">
        <f>_xlfn.XLOOKUP(C6468, 'Códigos DANE Municipios'!$B$2:$B$1123, 'Códigos DANE Municipios'!$A$2:$A$1123, "No encontrado")</f>
        <v>20550</v>
      </c>
      <c r="B6468" t="str">
        <f>IFERROR(VLOOKUP(D6468,APOYO!K:L,2,FALSE),A6468)</f>
        <v>20550</v>
      </c>
      <c r="C6468" s="8" t="s">
        <v>842</v>
      </c>
      <c r="D6468" t="str">
        <f>IFERROR(VLOOKUP(C6468,APOYO!J:K,2,FALSE),C6468)</f>
        <v>PELAYA</v>
      </c>
      <c r="E6468" s="8">
        <v>2021</v>
      </c>
      <c r="F6468" s="8"/>
      <c r="G6468" s="8"/>
      <c r="H6468" s="8">
        <v>7</v>
      </c>
      <c r="I6468" s="8"/>
      <c r="J6468" s="8"/>
      <c r="K6468" s="8"/>
    </row>
    <row r="6469" spans="1:11" hidden="1" x14ac:dyDescent="0.25">
      <c r="A6469" t="str">
        <f>_xlfn.XLOOKUP(C6469, 'Códigos DANE Municipios'!$B$2:$B$1123, 'Códigos DANE Municipios'!$A$2:$A$1123, "No encontrado")</f>
        <v>17541</v>
      </c>
      <c r="B6469" t="str">
        <f>IFERROR(VLOOKUP(D6469,APOYO!K:L,2,FALSE),A6469)</f>
        <v>17541</v>
      </c>
      <c r="C6469" s="8" t="s">
        <v>678</v>
      </c>
      <c r="D6469" t="str">
        <f>IFERROR(VLOOKUP(C6469,APOYO!J:K,2,FALSE),C6469)</f>
        <v>PENSILVANIA</v>
      </c>
      <c r="E6469" s="8">
        <v>2021</v>
      </c>
      <c r="F6469" s="8"/>
      <c r="G6469" s="8"/>
      <c r="H6469" s="8">
        <v>11</v>
      </c>
      <c r="I6469" s="8"/>
      <c r="J6469" s="8"/>
      <c r="K6469" s="8"/>
    </row>
    <row r="6470" spans="1:11" hidden="1" x14ac:dyDescent="0.25">
      <c r="A6470" t="str">
        <f>_xlfn.XLOOKUP(C6470, 'Códigos DANE Municipios'!$B$2:$B$1123, 'Códigos DANE Municipios'!$A$2:$A$1123, "No encontrado")</f>
        <v>05541</v>
      </c>
      <c r="B6470" t="str">
        <f>IFERROR(VLOOKUP(D6470,APOYO!K:L,2,FALSE),A6470)</f>
        <v>05541</v>
      </c>
      <c r="C6470" s="8" t="s">
        <v>164</v>
      </c>
      <c r="D6470" t="str">
        <f>IFERROR(VLOOKUP(C6470,APOYO!J:K,2,FALSE),C6470)</f>
        <v>PEÑOL</v>
      </c>
      <c r="E6470" s="8">
        <v>2021</v>
      </c>
      <c r="F6470" s="8"/>
      <c r="G6470" s="8"/>
      <c r="H6470" s="8">
        <v>214</v>
      </c>
      <c r="I6470" s="8"/>
      <c r="J6470" s="8"/>
      <c r="K6470" s="8"/>
    </row>
    <row r="6471" spans="1:11" hidden="1" x14ac:dyDescent="0.25">
      <c r="A6471" t="str">
        <f>_xlfn.XLOOKUP(C6471, 'Códigos DANE Municipios'!$B$2:$B$1123, 'Códigos DANE Municipios'!$A$2:$A$1123, "No encontrado")</f>
        <v>66001</v>
      </c>
      <c r="B6471" t="str">
        <f>IFERROR(VLOOKUP(D6471,APOYO!K:L,2,FALSE),A6471)</f>
        <v>66001</v>
      </c>
      <c r="C6471" s="8" t="s">
        <v>1628</v>
      </c>
      <c r="D6471" t="str">
        <f>IFERROR(VLOOKUP(C6471,APOYO!J:K,2,FALSE),C6471)</f>
        <v>PEREIRA</v>
      </c>
      <c r="E6471" s="8">
        <v>2021</v>
      </c>
      <c r="F6471" s="8">
        <v>712649</v>
      </c>
      <c r="G6471" s="8">
        <v>90298</v>
      </c>
      <c r="H6471" s="8">
        <v>16897</v>
      </c>
      <c r="I6471" s="8">
        <v>1775</v>
      </c>
      <c r="J6471" s="8"/>
      <c r="K6471" s="8"/>
    </row>
    <row r="6472" spans="1:11" hidden="1" x14ac:dyDescent="0.25">
      <c r="A6472" t="str">
        <f>_xlfn.XLOOKUP(C6472, 'Códigos DANE Municipios'!$B$2:$B$1123, 'Códigos DANE Municipios'!$A$2:$A$1123, "No encontrado")</f>
        <v>15542</v>
      </c>
      <c r="B6472" t="str">
        <f>IFERROR(VLOOKUP(D6472,APOYO!K:L,2,FALSE),A6472)</f>
        <v>15542</v>
      </c>
      <c r="C6472" s="8" t="s">
        <v>540</v>
      </c>
      <c r="D6472" t="str">
        <f>IFERROR(VLOOKUP(C6472,APOYO!J:K,2,FALSE),C6472)</f>
        <v>PESCA</v>
      </c>
      <c r="E6472" s="8">
        <v>2021</v>
      </c>
      <c r="F6472" s="8"/>
      <c r="G6472" s="8"/>
      <c r="H6472" s="8">
        <v>2</v>
      </c>
      <c r="I6472" s="8"/>
      <c r="J6472" s="8"/>
      <c r="K6472" s="8"/>
    </row>
    <row r="6473" spans="1:11" hidden="1" x14ac:dyDescent="0.25">
      <c r="A6473" t="str">
        <f>_xlfn.XLOOKUP(C6473, 'Códigos DANE Municipios'!$B$2:$B$1123, 'Códigos DANE Municipios'!$A$2:$A$1123, "No encontrado")</f>
        <v>19533</v>
      </c>
      <c r="B6473" t="str">
        <f>IFERROR(VLOOKUP(D6473,APOYO!K:L,2,FALSE),A6473)</f>
        <v>19533</v>
      </c>
      <c r="C6473" s="8" t="s">
        <v>775</v>
      </c>
      <c r="D6473" t="str">
        <f>IFERROR(VLOOKUP(C6473,APOYO!J:K,2,FALSE),C6473)</f>
        <v>PIAMONTE</v>
      </c>
      <c r="E6473" s="8">
        <v>2021</v>
      </c>
      <c r="F6473" s="8"/>
      <c r="G6473" s="8"/>
      <c r="H6473" s="8">
        <v>2</v>
      </c>
      <c r="I6473" s="8"/>
      <c r="J6473" s="8"/>
      <c r="K6473" s="8"/>
    </row>
    <row r="6474" spans="1:11" hidden="1" x14ac:dyDescent="0.25">
      <c r="A6474" t="str">
        <f>_xlfn.XLOOKUP(C6474, 'Códigos DANE Municipios'!$B$2:$B$1123, 'Códigos DANE Municipios'!$A$2:$A$1123, "No encontrado")</f>
        <v>68547</v>
      </c>
      <c r="B6474" t="str">
        <f>IFERROR(VLOOKUP(D6474,APOYO!K:L,2,FALSE),A6474)</f>
        <v>68547</v>
      </c>
      <c r="C6474" s="8" t="s">
        <v>1766</v>
      </c>
      <c r="D6474" t="str">
        <f>IFERROR(VLOOKUP(C6474,APOYO!J:K,2,FALSE),C6474)</f>
        <v>PIEDECUESTA</v>
      </c>
      <c r="E6474" s="8">
        <v>2021</v>
      </c>
      <c r="F6474" s="8"/>
      <c r="G6474" s="8"/>
      <c r="H6474" s="8">
        <v>534</v>
      </c>
      <c r="I6474" s="8"/>
      <c r="J6474" s="8"/>
      <c r="K6474" s="8"/>
    </row>
    <row r="6475" spans="1:11" hidden="1" x14ac:dyDescent="0.25">
      <c r="A6475" t="str">
        <f>_xlfn.XLOOKUP(C6475, 'Códigos DANE Municipios'!$B$2:$B$1123, 'Códigos DANE Municipios'!$A$2:$A$1123, "No encontrado")</f>
        <v>73547</v>
      </c>
      <c r="B6475" t="str">
        <f>IFERROR(VLOOKUP(D6475,APOYO!K:L,2,FALSE),A6475)</f>
        <v>73547</v>
      </c>
      <c r="C6475" s="8" t="s">
        <v>1927</v>
      </c>
      <c r="D6475" t="str">
        <f>IFERROR(VLOOKUP(C6475,APOYO!J:K,2,FALSE),C6475)</f>
        <v>PIEDRAS</v>
      </c>
      <c r="E6475" s="8">
        <v>2021</v>
      </c>
      <c r="F6475" s="8"/>
      <c r="G6475" s="8"/>
      <c r="H6475" s="8">
        <v>6</v>
      </c>
      <c r="I6475" s="8"/>
      <c r="J6475" s="8"/>
      <c r="K6475" s="8"/>
    </row>
    <row r="6476" spans="1:11" hidden="1" x14ac:dyDescent="0.25">
      <c r="A6476" t="str">
        <f>_xlfn.XLOOKUP(C6476, 'Códigos DANE Municipios'!$B$2:$B$1123, 'Códigos DANE Municipios'!$A$2:$A$1123, "No encontrado")</f>
        <v>19548</v>
      </c>
      <c r="B6476" t="str">
        <f>IFERROR(VLOOKUP(D6476,APOYO!K:L,2,FALSE),A6476)</f>
        <v>19548</v>
      </c>
      <c r="C6476" s="8" t="s">
        <v>777</v>
      </c>
      <c r="D6476" t="str">
        <f>IFERROR(VLOOKUP(C6476,APOYO!J:K,2,FALSE),C6476)</f>
        <v>PIENDAMÓ</v>
      </c>
      <c r="E6476" s="8">
        <v>2021</v>
      </c>
      <c r="F6476" s="8"/>
      <c r="G6476" s="8"/>
      <c r="H6476" s="8">
        <v>42</v>
      </c>
      <c r="I6476" s="8"/>
      <c r="J6476" s="8"/>
      <c r="K6476" s="8"/>
    </row>
    <row r="6477" spans="1:11" hidden="1" x14ac:dyDescent="0.25">
      <c r="A6477" t="str">
        <f>_xlfn.XLOOKUP(C6477, 'Códigos DANE Municipios'!$B$2:$B$1123, 'Códigos DANE Municipios'!$A$2:$A$1123, "No encontrado")</f>
        <v>63548</v>
      </c>
      <c r="B6477" t="str">
        <f>IFERROR(VLOOKUP(D6477,APOYO!K:L,2,FALSE),A6477)</f>
        <v>63548</v>
      </c>
      <c r="C6477" s="8" t="s">
        <v>1622</v>
      </c>
      <c r="D6477" t="str">
        <f>IFERROR(VLOOKUP(C6477,APOYO!J:K,2,FALSE),C6477)</f>
        <v>PIJAO</v>
      </c>
      <c r="E6477" s="8">
        <v>2021</v>
      </c>
      <c r="F6477" s="8"/>
      <c r="G6477" s="8"/>
      <c r="H6477" s="8">
        <v>31</v>
      </c>
      <c r="I6477" s="8"/>
      <c r="J6477" s="8"/>
      <c r="K6477" s="8"/>
    </row>
    <row r="6478" spans="1:11" hidden="1" x14ac:dyDescent="0.25">
      <c r="A6478" t="str">
        <f>_xlfn.XLOOKUP(C6478, 'Códigos DANE Municipios'!$B$2:$B$1123, 'Códigos DANE Municipios'!$A$2:$A$1123, "No encontrado")</f>
        <v>68549</v>
      </c>
      <c r="B6478" t="str">
        <f>IFERROR(VLOOKUP(D6478,APOYO!K:L,2,FALSE),A6478)</f>
        <v>68549</v>
      </c>
      <c r="C6478" s="8" t="s">
        <v>1768</v>
      </c>
      <c r="D6478" t="str">
        <f>IFERROR(VLOOKUP(C6478,APOYO!J:K,2,FALSE),C6478)</f>
        <v>PINCHOTE</v>
      </c>
      <c r="E6478" s="8">
        <v>2021</v>
      </c>
      <c r="F6478" s="8"/>
      <c r="G6478" s="8"/>
      <c r="H6478" s="8">
        <v>5</v>
      </c>
      <c r="I6478" s="8"/>
      <c r="J6478" s="8"/>
      <c r="K6478" s="8"/>
    </row>
    <row r="6479" spans="1:11" hidden="1" x14ac:dyDescent="0.25">
      <c r="A6479" t="str">
        <f>_xlfn.XLOOKUP(C6479, 'Códigos DANE Municipios'!$B$2:$B$1123, 'Códigos DANE Municipios'!$A$2:$A$1123, "No encontrado")</f>
        <v>08549</v>
      </c>
      <c r="B6479" t="str">
        <f>IFERROR(VLOOKUP(D6479,APOYO!K:L,2,FALSE),A6479)</f>
        <v>08549</v>
      </c>
      <c r="C6479" t="s">
        <v>282</v>
      </c>
      <c r="D6479" t="str">
        <f>IFERROR(VLOOKUP(C6479,APOYO!J:K,2,FALSE),C6479)</f>
        <v>PIOJÓ</v>
      </c>
      <c r="E6479">
        <v>2021</v>
      </c>
      <c r="H6479">
        <v>1</v>
      </c>
    </row>
    <row r="6480" spans="1:11" hidden="1" x14ac:dyDescent="0.25">
      <c r="A6480" t="str">
        <f>_xlfn.XLOOKUP(C6480, 'Códigos DANE Municipios'!$B$2:$B$1123, 'Códigos DANE Municipios'!$A$2:$A$1123, "No encontrado")</f>
        <v>41548</v>
      </c>
      <c r="B6480" t="str">
        <f>IFERROR(VLOOKUP(D6480,APOYO!K:L,2,FALSE),A6480)</f>
        <v>41548</v>
      </c>
      <c r="C6480" s="8" t="s">
        <v>1245</v>
      </c>
      <c r="D6480" t="str">
        <f>IFERROR(VLOOKUP(C6480,APOYO!J:K,2,FALSE),C6480)</f>
        <v>PITAL</v>
      </c>
      <c r="E6480" s="8">
        <v>2021</v>
      </c>
      <c r="F6480" s="8"/>
      <c r="G6480" s="8"/>
      <c r="H6480" s="8">
        <v>14</v>
      </c>
      <c r="I6480" s="8"/>
      <c r="J6480" s="8"/>
      <c r="K6480" s="8"/>
    </row>
    <row r="6481" spans="1:11" hidden="1" x14ac:dyDescent="0.25">
      <c r="A6481" t="str">
        <f>_xlfn.XLOOKUP(C6481, 'Códigos DANE Municipios'!$B$2:$B$1123, 'Códigos DANE Municipios'!$A$2:$A$1123, "No encontrado")</f>
        <v>41551</v>
      </c>
      <c r="B6481" t="str">
        <f>IFERROR(VLOOKUP(D6481,APOYO!K:L,2,FALSE),A6481)</f>
        <v>41551</v>
      </c>
      <c r="C6481" s="8" t="s">
        <v>1247</v>
      </c>
      <c r="D6481" t="str">
        <f>IFERROR(VLOOKUP(C6481,APOYO!J:K,2,FALSE),C6481)</f>
        <v>PITALITO</v>
      </c>
      <c r="E6481" s="8">
        <v>2021</v>
      </c>
      <c r="F6481" s="8">
        <v>8395</v>
      </c>
      <c r="G6481" s="8"/>
      <c r="H6481" s="8">
        <v>355</v>
      </c>
      <c r="I6481" s="8"/>
      <c r="J6481" s="8"/>
      <c r="K6481" s="8"/>
    </row>
    <row r="6482" spans="1:11" hidden="1" x14ac:dyDescent="0.25">
      <c r="A6482" t="str">
        <f>_xlfn.XLOOKUP(C6482, 'Códigos DANE Municipios'!$B$2:$B$1123, 'Códigos DANE Municipios'!$A$2:$A$1123, "No encontrado")</f>
        <v>47551</v>
      </c>
      <c r="B6482" t="str">
        <f>IFERROR(VLOOKUP(D6482,APOYO!K:L,2,FALSE),A6482)</f>
        <v>47551</v>
      </c>
      <c r="C6482" s="8" t="s">
        <v>1331</v>
      </c>
      <c r="D6482" t="str">
        <f>IFERROR(VLOOKUP(C6482,APOYO!J:K,2,FALSE),C6482)</f>
        <v>PIVIJAY</v>
      </c>
      <c r="E6482" s="8">
        <v>2021</v>
      </c>
      <c r="F6482" s="8"/>
      <c r="G6482" s="8"/>
      <c r="H6482" s="8">
        <v>3</v>
      </c>
      <c r="I6482" s="8"/>
      <c r="J6482" s="8"/>
      <c r="K6482" s="8"/>
    </row>
    <row r="6483" spans="1:11" hidden="1" x14ac:dyDescent="0.25">
      <c r="A6483" t="str">
        <f>_xlfn.XLOOKUP(C6483, 'Códigos DANE Municipios'!$B$2:$B$1123, 'Códigos DANE Municipios'!$A$2:$A$1123, "No encontrado")</f>
        <v>73555</v>
      </c>
      <c r="B6483" t="str">
        <f>IFERROR(VLOOKUP(D6483,APOYO!K:L,2,FALSE),A6483)</f>
        <v>73555</v>
      </c>
      <c r="C6483" s="8" t="s">
        <v>1929</v>
      </c>
      <c r="D6483" t="str">
        <f>IFERROR(VLOOKUP(C6483,APOYO!J:K,2,FALSE),C6483)</f>
        <v>PLANADAS</v>
      </c>
      <c r="E6483" s="8">
        <v>2021</v>
      </c>
      <c r="F6483" s="8"/>
      <c r="G6483" s="8"/>
      <c r="H6483" s="8">
        <v>9</v>
      </c>
      <c r="I6483" s="8"/>
      <c r="J6483" s="8"/>
      <c r="K6483" s="8"/>
    </row>
    <row r="6484" spans="1:11" hidden="1" x14ac:dyDescent="0.25">
      <c r="A6484" t="str">
        <f>_xlfn.XLOOKUP(C6484, 'Códigos DANE Municipios'!$B$2:$B$1123, 'Códigos DANE Municipios'!$A$2:$A$1123, "No encontrado")</f>
        <v>23555</v>
      </c>
      <c r="B6484" t="str">
        <f>IFERROR(VLOOKUP(D6484,APOYO!K:L,2,FALSE),A6484)</f>
        <v>23555</v>
      </c>
      <c r="C6484" s="8" t="s">
        <v>887</v>
      </c>
      <c r="D6484" t="str">
        <f>IFERROR(VLOOKUP(C6484,APOYO!J:K,2,FALSE),C6484)</f>
        <v>PLANETA RICA</v>
      </c>
      <c r="E6484" s="8">
        <v>2021</v>
      </c>
      <c r="F6484" s="8"/>
      <c r="G6484" s="8"/>
      <c r="H6484" s="8">
        <v>74</v>
      </c>
      <c r="I6484" s="8"/>
      <c r="J6484" s="8"/>
      <c r="K6484" s="8"/>
    </row>
    <row r="6485" spans="1:11" hidden="1" x14ac:dyDescent="0.25">
      <c r="A6485" t="str">
        <f>_xlfn.XLOOKUP(C6485, 'Códigos DANE Municipios'!$B$2:$B$1123, 'Códigos DANE Municipios'!$A$2:$A$1123, "No encontrado")</f>
        <v>47555</v>
      </c>
      <c r="B6485" t="str">
        <f>IFERROR(VLOOKUP(D6485,APOYO!K:L,2,FALSE),A6485)</f>
        <v>47555</v>
      </c>
      <c r="C6485" s="8" t="s">
        <v>1333</v>
      </c>
      <c r="D6485" t="str">
        <f>IFERROR(VLOOKUP(C6485,APOYO!J:K,2,FALSE),C6485)</f>
        <v>PLATO</v>
      </c>
      <c r="E6485" s="8">
        <v>2021</v>
      </c>
      <c r="F6485" s="8"/>
      <c r="G6485" s="8"/>
      <c r="H6485" s="8">
        <v>14</v>
      </c>
      <c r="I6485" s="8"/>
      <c r="J6485" s="8"/>
      <c r="K6485" s="8"/>
    </row>
    <row r="6486" spans="1:11" hidden="1" x14ac:dyDescent="0.25">
      <c r="A6486" t="str">
        <f>_xlfn.XLOOKUP(C6486, 'Códigos DANE Municipios'!$B$2:$B$1123, 'Códigos DANE Municipios'!$A$2:$A$1123, "No encontrado")</f>
        <v>52540</v>
      </c>
      <c r="B6486" t="str">
        <f>IFERROR(VLOOKUP(D6486,APOYO!K:L,2,FALSE),A6486)</f>
        <v>52540</v>
      </c>
      <c r="C6486" s="8" t="s">
        <v>1491</v>
      </c>
      <c r="D6486" t="str">
        <f>IFERROR(VLOOKUP(C6486,APOYO!J:K,2,FALSE),C6486)</f>
        <v>POLICARPA</v>
      </c>
      <c r="E6486" s="8">
        <v>2021</v>
      </c>
      <c r="F6486" s="8"/>
      <c r="G6486" s="8"/>
      <c r="H6486" s="8">
        <v>1</v>
      </c>
      <c r="I6486" s="8"/>
      <c r="J6486" s="8"/>
      <c r="K6486" s="8"/>
    </row>
    <row r="6487" spans="1:11" hidden="1" x14ac:dyDescent="0.25">
      <c r="A6487" t="str">
        <f>_xlfn.XLOOKUP(C6487, 'Códigos DANE Municipios'!$B$2:$B$1123, 'Códigos DANE Municipios'!$A$2:$A$1123, "No encontrado")</f>
        <v>08558</v>
      </c>
      <c r="B6487" t="str">
        <f>IFERROR(VLOOKUP(D6487,APOYO!K:L,2,FALSE),A6487)</f>
        <v>08558</v>
      </c>
      <c r="C6487" s="8" t="s">
        <v>284</v>
      </c>
      <c r="D6487" t="str">
        <f>IFERROR(VLOOKUP(C6487,APOYO!J:K,2,FALSE),C6487)</f>
        <v>POLONUEVO</v>
      </c>
      <c r="E6487" s="8">
        <v>2021</v>
      </c>
      <c r="F6487" s="8"/>
      <c r="G6487" s="8"/>
      <c r="H6487" s="8">
        <v>12</v>
      </c>
      <c r="I6487" s="8"/>
      <c r="J6487" s="8"/>
      <c r="K6487" s="8"/>
    </row>
    <row r="6488" spans="1:11" hidden="1" x14ac:dyDescent="0.25">
      <c r="A6488" t="str">
        <f>_xlfn.XLOOKUP(C6488, 'Códigos DANE Municipios'!$B$2:$B$1123, 'Códigos DANE Municipios'!$A$2:$A$1123, "No encontrado")</f>
        <v>08560</v>
      </c>
      <c r="B6488" t="str">
        <f>IFERROR(VLOOKUP(D6488,APOYO!K:L,2,FALSE),A6488)</f>
        <v>08560</v>
      </c>
      <c r="C6488" s="8" t="s">
        <v>286</v>
      </c>
      <c r="D6488" t="str">
        <f>IFERROR(VLOOKUP(C6488,APOYO!J:K,2,FALSE),C6488)</f>
        <v>PONEDERA</v>
      </c>
      <c r="E6488" s="8">
        <v>2021</v>
      </c>
      <c r="F6488" s="8"/>
      <c r="G6488" s="8"/>
      <c r="H6488" s="8">
        <v>14</v>
      </c>
      <c r="I6488" s="8"/>
      <c r="J6488" s="8"/>
      <c r="K6488" s="8"/>
    </row>
    <row r="6489" spans="1:11" hidden="1" x14ac:dyDescent="0.25">
      <c r="A6489" t="str">
        <f>_xlfn.XLOOKUP(C6489, 'Códigos DANE Municipios'!$B$2:$B$1123, 'Códigos DANE Municipios'!$A$2:$A$1123, "No encontrado")</f>
        <v>19001</v>
      </c>
      <c r="B6489" t="str">
        <f>IFERROR(VLOOKUP(D6489,APOYO!K:L,2,FALSE),A6489)</f>
        <v>19001</v>
      </c>
      <c r="C6489" s="8" t="s">
        <v>729</v>
      </c>
      <c r="D6489" t="str">
        <f>IFERROR(VLOOKUP(C6489,APOYO!J:K,2,FALSE),C6489)</f>
        <v>POPAYÁN</v>
      </c>
      <c r="E6489" s="8">
        <v>2021</v>
      </c>
      <c r="F6489" s="8">
        <v>33427</v>
      </c>
      <c r="G6489" s="8"/>
      <c r="H6489" s="8">
        <v>1507</v>
      </c>
      <c r="I6489" s="8"/>
      <c r="J6489" s="8"/>
      <c r="K6489" s="8"/>
    </row>
    <row r="6490" spans="1:11" hidden="1" x14ac:dyDescent="0.25">
      <c r="A6490" t="str">
        <f>_xlfn.XLOOKUP(C6490, 'Códigos DANE Municipios'!$B$2:$B$1123, 'Códigos DANE Municipios'!$A$2:$A$1123, "No encontrado")</f>
        <v>85263</v>
      </c>
      <c r="B6490" t="str">
        <f>IFERROR(VLOOKUP(D6490,APOYO!K:L,2,FALSE),A6490)</f>
        <v>85263</v>
      </c>
      <c r="C6490" s="8" t="s">
        <v>2068</v>
      </c>
      <c r="D6490" t="str">
        <f>IFERROR(VLOOKUP(C6490,APOYO!J:K,2,FALSE),C6490)</f>
        <v>PORE</v>
      </c>
      <c r="E6490" s="8">
        <v>2021</v>
      </c>
      <c r="F6490" s="8"/>
      <c r="G6490" s="8"/>
      <c r="H6490" s="8">
        <v>5</v>
      </c>
      <c r="I6490" s="8"/>
      <c r="J6490" s="8"/>
      <c r="K6490" s="8"/>
    </row>
    <row r="6491" spans="1:11" hidden="1" x14ac:dyDescent="0.25">
      <c r="A6491" t="str">
        <f>_xlfn.XLOOKUP(C6491, 'Códigos DANE Municipios'!$B$2:$B$1123, 'Códigos DANE Municipios'!$A$2:$A$1123, "No encontrado")</f>
        <v>76563</v>
      </c>
      <c r="B6491" t="str">
        <f>IFERROR(VLOOKUP(D6491,APOYO!K:L,2,FALSE),A6491)</f>
        <v>76563</v>
      </c>
      <c r="C6491" s="8" t="s">
        <v>2006</v>
      </c>
      <c r="D6491" t="str">
        <f>IFERROR(VLOOKUP(C6491,APOYO!J:K,2,FALSE),C6491)</f>
        <v>PRADERA</v>
      </c>
      <c r="E6491" s="8">
        <v>2021</v>
      </c>
      <c r="F6491" s="8"/>
      <c r="G6491" s="8"/>
      <c r="H6491" s="8">
        <v>155</v>
      </c>
      <c r="I6491" s="8"/>
      <c r="J6491" s="8"/>
      <c r="K6491" s="8"/>
    </row>
    <row r="6492" spans="1:11" hidden="1" x14ac:dyDescent="0.25">
      <c r="A6492" t="str">
        <f>_xlfn.XLOOKUP(C6492, 'Códigos DANE Municipios'!$B$2:$B$1123, 'Códigos DANE Municipios'!$A$2:$A$1123, "No encontrado")</f>
        <v>73563</v>
      </c>
      <c r="B6492" t="str">
        <f>IFERROR(VLOOKUP(D6492,APOYO!K:L,2,FALSE),A6492)</f>
        <v>73563</v>
      </c>
      <c r="C6492" s="8" t="s">
        <v>1931</v>
      </c>
      <c r="D6492" t="str">
        <f>IFERROR(VLOOKUP(C6492,APOYO!J:K,2,FALSE),C6492)</f>
        <v>PRADO</v>
      </c>
      <c r="E6492" s="8">
        <v>2021</v>
      </c>
      <c r="F6492" s="8"/>
      <c r="G6492" s="8"/>
      <c r="H6492" s="8">
        <v>4</v>
      </c>
      <c r="I6492" s="8"/>
      <c r="J6492" s="8"/>
      <c r="K6492" s="8"/>
    </row>
    <row r="6493" spans="1:11" hidden="1" x14ac:dyDescent="0.25">
      <c r="A6493" t="str">
        <f>_xlfn.XLOOKUP(C6493, 'Códigos DANE Municipios'!$B$2:$B$1123, 'Códigos DANE Municipios'!$A$2:$A$1123, "No encontrado")</f>
        <v>52565</v>
      </c>
      <c r="B6493" t="str">
        <f>IFERROR(VLOOKUP(D6493,APOYO!K:L,2,FALSE),A6493)</f>
        <v>52565</v>
      </c>
      <c r="C6493" s="8" t="s">
        <v>1495</v>
      </c>
      <c r="D6493" t="str">
        <f>IFERROR(VLOOKUP(C6493,APOYO!J:K,2,FALSE),C6493)</f>
        <v>PROVIDENCIA</v>
      </c>
      <c r="E6493" s="8">
        <v>2021</v>
      </c>
      <c r="F6493" s="8">
        <v>14723</v>
      </c>
      <c r="G6493" s="8">
        <v>14</v>
      </c>
      <c r="H6493" s="8">
        <v>715</v>
      </c>
      <c r="I6493" s="8"/>
      <c r="J6493" s="8"/>
      <c r="K6493" s="8"/>
    </row>
    <row r="6494" spans="1:11" hidden="1" x14ac:dyDescent="0.25">
      <c r="A6494" t="str">
        <f>_xlfn.XLOOKUP(C6494, 'Códigos DANE Municipios'!$B$2:$B$1123, 'Códigos DANE Municipios'!$A$2:$A$1123, "No encontrado")</f>
        <v>05585</v>
      </c>
      <c r="B6494" t="str">
        <f>IFERROR(VLOOKUP(D6494,APOYO!K:L,2,FALSE),A6494)</f>
        <v>05585</v>
      </c>
      <c r="C6494" t="s">
        <v>172</v>
      </c>
      <c r="D6494" t="str">
        <f>IFERROR(VLOOKUP(C6494,APOYO!J:K,2,FALSE),C6494)</f>
        <v>PUERTO NARE</v>
      </c>
      <c r="E6494">
        <v>2021</v>
      </c>
      <c r="H6494">
        <v>1</v>
      </c>
    </row>
    <row r="6495" spans="1:11" hidden="1" x14ac:dyDescent="0.25">
      <c r="A6495" t="str">
        <f>_xlfn.XLOOKUP(C6495, 'Códigos DANE Municipios'!$B$2:$B$1123, 'Códigos DANE Municipios'!$A$2:$A$1123, "No encontrado")</f>
        <v>23570</v>
      </c>
      <c r="B6495" t="str">
        <f>IFERROR(VLOOKUP(D6495,APOYO!K:L,2,FALSE),A6495)</f>
        <v>23570</v>
      </c>
      <c r="C6495" s="8" t="s">
        <v>889</v>
      </c>
      <c r="D6495" t="str">
        <f>IFERROR(VLOOKUP(C6495,APOYO!J:K,2,FALSE),C6495)</f>
        <v>PUEBLO NUEVO</v>
      </c>
      <c r="E6495" s="8">
        <v>2021</v>
      </c>
      <c r="F6495" s="8"/>
      <c r="G6495" s="8"/>
      <c r="H6495" s="8">
        <v>10</v>
      </c>
      <c r="I6495" s="8"/>
      <c r="J6495" s="8"/>
      <c r="K6495" s="8"/>
    </row>
    <row r="6496" spans="1:11" hidden="1" x14ac:dyDescent="0.25">
      <c r="A6496" t="str">
        <f>_xlfn.XLOOKUP(C6496, 'Códigos DANE Municipios'!$B$2:$B$1123, 'Códigos DANE Municipios'!$A$2:$A$1123, "No encontrado")</f>
        <v>66572</v>
      </c>
      <c r="B6496" t="str">
        <f>IFERROR(VLOOKUP(D6496,APOYO!K:L,2,FALSE),A6496)</f>
        <v>66572</v>
      </c>
      <c r="C6496" s="8" t="s">
        <v>1647</v>
      </c>
      <c r="D6496" t="str">
        <f>IFERROR(VLOOKUP(C6496,APOYO!J:K,2,FALSE),C6496)</f>
        <v>PUEBLO RICO</v>
      </c>
      <c r="E6496" s="8">
        <v>2021</v>
      </c>
      <c r="F6496" s="8"/>
      <c r="G6496" s="8"/>
      <c r="H6496" s="8">
        <v>12</v>
      </c>
      <c r="I6496" s="8"/>
      <c r="J6496" s="8"/>
      <c r="K6496" s="8"/>
    </row>
    <row r="6497" spans="1:11" hidden="1" x14ac:dyDescent="0.25">
      <c r="A6497" t="str">
        <f>_xlfn.XLOOKUP(C6497, 'Códigos DANE Municipios'!$B$2:$B$1123, 'Códigos DANE Municipios'!$A$2:$A$1123, "No encontrado")</f>
        <v>05576</v>
      </c>
      <c r="B6497" t="str">
        <f>IFERROR(VLOOKUP(D6497,APOYO!K:L,2,FALSE),A6497)</f>
        <v>05576</v>
      </c>
      <c r="C6497" s="8" t="s">
        <v>168</v>
      </c>
      <c r="D6497" t="str">
        <f>IFERROR(VLOOKUP(C6497,APOYO!J:K,2,FALSE),C6497)</f>
        <v>PUEBLORRICO</v>
      </c>
      <c r="E6497" s="8">
        <v>2021</v>
      </c>
      <c r="F6497" s="8"/>
      <c r="G6497" s="8"/>
      <c r="H6497" s="8">
        <v>21</v>
      </c>
      <c r="I6497" s="8"/>
      <c r="J6497" s="8"/>
      <c r="K6497" s="8"/>
    </row>
    <row r="6498" spans="1:11" hidden="1" x14ac:dyDescent="0.25">
      <c r="A6498" t="str">
        <f>_xlfn.XLOOKUP(C6498, 'Códigos DANE Municipios'!$B$2:$B$1123, 'Códigos DANE Municipios'!$A$2:$A$1123, "No encontrado")</f>
        <v>47570</v>
      </c>
      <c r="B6498" t="str">
        <f>IFERROR(VLOOKUP(D6498,APOYO!K:L,2,FALSE),A6498)</f>
        <v>47570</v>
      </c>
      <c r="C6498" s="8" t="s">
        <v>1335</v>
      </c>
      <c r="D6498" t="str">
        <f>IFERROR(VLOOKUP(C6498,APOYO!J:K,2,FALSE),C6498)</f>
        <v>PUEBLOVIEJO</v>
      </c>
      <c r="E6498" s="8">
        <v>2021</v>
      </c>
      <c r="F6498" s="8"/>
      <c r="G6498" s="8"/>
      <c r="H6498" s="8">
        <v>10</v>
      </c>
      <c r="I6498" s="8"/>
      <c r="J6498" s="8"/>
      <c r="K6498" s="8"/>
    </row>
    <row r="6499" spans="1:11" hidden="1" x14ac:dyDescent="0.25">
      <c r="A6499" t="str">
        <f>_xlfn.XLOOKUP(C6499, 'Códigos DANE Municipios'!$B$2:$B$1123, 'Códigos DANE Municipios'!$A$2:$A$1123, "No encontrado")</f>
        <v>68572</v>
      </c>
      <c r="B6499" t="str">
        <f>IFERROR(VLOOKUP(D6499,APOYO!K:L,2,FALSE),A6499)</f>
        <v>68572</v>
      </c>
      <c r="C6499" s="8" t="s">
        <v>1770</v>
      </c>
      <c r="D6499" t="str">
        <f>IFERROR(VLOOKUP(C6499,APOYO!J:K,2,FALSE),C6499)</f>
        <v>PUENTE NACIONAL</v>
      </c>
      <c r="E6499" s="8">
        <v>2021</v>
      </c>
      <c r="F6499" s="8"/>
      <c r="G6499" s="8"/>
      <c r="H6499" s="8">
        <v>19</v>
      </c>
      <c r="I6499" s="8"/>
      <c r="J6499" s="8"/>
      <c r="K6499" s="8"/>
    </row>
    <row r="6500" spans="1:11" hidden="1" x14ac:dyDescent="0.25">
      <c r="A6500" t="str">
        <f>_xlfn.XLOOKUP(C6500, 'Códigos DANE Municipios'!$B$2:$B$1123, 'Códigos DANE Municipios'!$A$2:$A$1123, "No encontrado")</f>
        <v>52573</v>
      </c>
      <c r="B6500" t="str">
        <f>IFERROR(VLOOKUP(D6500,APOYO!K:L,2,FALSE),A6500)</f>
        <v>52573</v>
      </c>
      <c r="C6500" s="8" t="s">
        <v>1497</v>
      </c>
      <c r="D6500" t="str">
        <f>IFERROR(VLOOKUP(C6500,APOYO!J:K,2,FALSE),C6500)</f>
        <v>PUERRES</v>
      </c>
      <c r="E6500" s="8">
        <v>2021</v>
      </c>
      <c r="F6500" s="8"/>
      <c r="G6500" s="8"/>
      <c r="H6500" s="8">
        <v>3</v>
      </c>
      <c r="I6500" s="8"/>
      <c r="J6500" s="8"/>
      <c r="K6500" s="8"/>
    </row>
    <row r="6501" spans="1:11" hidden="1" x14ac:dyDescent="0.25">
      <c r="A6501" t="str">
        <f>_xlfn.XLOOKUP(C6501, 'Códigos DANE Municipios'!$B$2:$B$1123, 'Códigos DANE Municipios'!$A$2:$A$1123, "No encontrado")</f>
        <v>86568</v>
      </c>
      <c r="B6501" t="str">
        <f>IFERROR(VLOOKUP(D6501,APOYO!K:L,2,FALSE),A6501)</f>
        <v>86568</v>
      </c>
      <c r="C6501" s="8" t="s">
        <v>2089</v>
      </c>
      <c r="D6501" t="str">
        <f>IFERROR(VLOOKUP(C6501,APOYO!J:K,2,FALSE),C6501)</f>
        <v>PUERTO ASÍS</v>
      </c>
      <c r="E6501" s="8">
        <v>2021</v>
      </c>
      <c r="F6501" s="8">
        <v>45537</v>
      </c>
      <c r="G6501" s="8"/>
      <c r="H6501" s="8">
        <v>81</v>
      </c>
      <c r="I6501" s="8"/>
      <c r="J6501" s="8"/>
      <c r="K6501" s="8"/>
    </row>
    <row r="6502" spans="1:11" hidden="1" x14ac:dyDescent="0.25">
      <c r="A6502" t="str">
        <f>_xlfn.XLOOKUP(C6502, 'Códigos DANE Municipios'!$B$2:$B$1123, 'Códigos DANE Municipios'!$A$2:$A$1123, "No encontrado")</f>
        <v>05579</v>
      </c>
      <c r="B6502" t="str">
        <f>IFERROR(VLOOKUP(D6502,APOYO!K:L,2,FALSE),A6502)</f>
        <v>05579</v>
      </c>
      <c r="C6502" s="8" t="s">
        <v>170</v>
      </c>
      <c r="D6502" t="str">
        <f>IFERROR(VLOOKUP(C6502,APOYO!J:K,2,FALSE),C6502)</f>
        <v>PUERTO BERRÍO</v>
      </c>
      <c r="E6502" s="8">
        <v>2021</v>
      </c>
      <c r="F6502" s="8">
        <v>1142</v>
      </c>
      <c r="G6502" s="8"/>
      <c r="H6502" s="8">
        <v>22</v>
      </c>
      <c r="I6502" s="8"/>
      <c r="J6502" s="8"/>
      <c r="K6502" s="8"/>
    </row>
    <row r="6503" spans="1:11" hidden="1" x14ac:dyDescent="0.25">
      <c r="A6503" t="str">
        <f>_xlfn.XLOOKUP(C6503, 'Códigos DANE Municipios'!$B$2:$B$1123, 'Códigos DANE Municipios'!$A$2:$A$1123, "No encontrado")</f>
        <v>15572</v>
      </c>
      <c r="B6503" t="str">
        <f>IFERROR(VLOOKUP(D6503,APOYO!K:L,2,FALSE),A6503)</f>
        <v>15572</v>
      </c>
      <c r="C6503" t="s">
        <v>544</v>
      </c>
      <c r="D6503" t="str">
        <f>IFERROR(VLOOKUP(C6503,APOYO!J:K,2,FALSE),C6503)</f>
        <v>PUERTO BOYACÁ</v>
      </c>
      <c r="E6503">
        <v>2021</v>
      </c>
      <c r="F6503">
        <v>10</v>
      </c>
      <c r="H6503">
        <v>43</v>
      </c>
    </row>
    <row r="6504" spans="1:11" hidden="1" x14ac:dyDescent="0.25">
      <c r="A6504" t="str">
        <f>_xlfn.XLOOKUP(C6504, 'Códigos DANE Municipios'!$B$2:$B$1123, 'Códigos DANE Municipios'!$A$2:$A$1123, "No encontrado")</f>
        <v>86569</v>
      </c>
      <c r="B6504" t="str">
        <f>IFERROR(VLOOKUP(D6504,APOYO!K:L,2,FALSE),A6504)</f>
        <v>86569</v>
      </c>
      <c r="C6504" s="8" t="s">
        <v>2091</v>
      </c>
      <c r="D6504" t="str">
        <f>IFERROR(VLOOKUP(C6504,APOYO!J:K,2,FALSE),C6504)</f>
        <v>PUERTO CAICEDO</v>
      </c>
      <c r="E6504" s="8">
        <v>2021</v>
      </c>
      <c r="F6504" s="8"/>
      <c r="G6504" s="8"/>
      <c r="H6504" s="8">
        <v>4</v>
      </c>
      <c r="I6504" s="8"/>
      <c r="J6504" s="8"/>
      <c r="K6504" s="8"/>
    </row>
    <row r="6505" spans="1:11" hidden="1" x14ac:dyDescent="0.25">
      <c r="A6505" t="str">
        <f>_xlfn.XLOOKUP(C6505, 'Códigos DANE Municipios'!$B$2:$B$1123, 'Códigos DANE Municipios'!$A$2:$A$1123, "No encontrado")</f>
        <v>99001</v>
      </c>
      <c r="B6505" t="str">
        <f>IFERROR(VLOOKUP(D6505,APOYO!K:L,2,FALSE),A6505)</f>
        <v>99001</v>
      </c>
      <c r="C6505" s="8" t="s">
        <v>2163</v>
      </c>
      <c r="D6505" t="str">
        <f>IFERROR(VLOOKUP(C6505,APOYO!J:K,2,FALSE),C6505)</f>
        <v>PUERTO CARREÑO</v>
      </c>
      <c r="E6505" s="8">
        <v>2021</v>
      </c>
      <c r="F6505" s="8">
        <v>20991</v>
      </c>
      <c r="G6505" s="8"/>
      <c r="H6505" s="8">
        <v>67</v>
      </c>
      <c r="I6505" s="8">
        <v>0</v>
      </c>
      <c r="J6505" s="8"/>
      <c r="K6505" s="8"/>
    </row>
    <row r="6506" spans="1:11" hidden="1" x14ac:dyDescent="0.25">
      <c r="A6506" t="str">
        <f>_xlfn.XLOOKUP(C6506, 'Códigos DANE Municipios'!$B$2:$B$1123, 'Códigos DANE Municipios'!$A$2:$A$1123, "No encontrado")</f>
        <v>08573</v>
      </c>
      <c r="B6506" t="str">
        <f>IFERROR(VLOOKUP(D6506,APOYO!K:L,2,FALSE),A6506)</f>
        <v>08573</v>
      </c>
      <c r="C6506" s="8" t="s">
        <v>288</v>
      </c>
      <c r="D6506" t="str">
        <f>IFERROR(VLOOKUP(C6506,APOYO!J:K,2,FALSE),C6506)</f>
        <v>PUERTO COLOMBIA</v>
      </c>
      <c r="E6506" s="8">
        <v>2021</v>
      </c>
      <c r="F6506" s="8"/>
      <c r="G6506" s="8"/>
      <c r="H6506" s="8">
        <v>406</v>
      </c>
      <c r="I6506" s="8"/>
      <c r="J6506" s="8"/>
      <c r="K6506" s="8"/>
    </row>
    <row r="6507" spans="1:11" hidden="1" x14ac:dyDescent="0.25">
      <c r="A6507" t="str">
        <f>_xlfn.XLOOKUP(C6507, 'Códigos DANE Municipios'!$B$2:$B$1123, 'Códigos DANE Municipios'!$A$2:$A$1123, "No encontrado")</f>
        <v>50450</v>
      </c>
      <c r="B6507" t="str">
        <f>IFERROR(VLOOKUP(D6507,APOYO!K:L,2,FALSE),A6507)</f>
        <v>50450</v>
      </c>
      <c r="C6507" s="8" t="s">
        <v>1392</v>
      </c>
      <c r="D6507" t="str">
        <f>IFERROR(VLOOKUP(C6507,APOYO!J:K,2,FALSE),C6507)</f>
        <v>PUERTO CONCORDIA</v>
      </c>
      <c r="E6507" s="8">
        <v>2021</v>
      </c>
      <c r="F6507" s="8"/>
      <c r="G6507" s="8"/>
      <c r="H6507" s="8">
        <v>14</v>
      </c>
      <c r="I6507" s="8"/>
      <c r="J6507" s="8"/>
      <c r="K6507" s="8"/>
    </row>
    <row r="6508" spans="1:11" hidden="1" x14ac:dyDescent="0.25">
      <c r="A6508" t="str">
        <f>_xlfn.XLOOKUP(C6508, 'Códigos DANE Municipios'!$B$2:$B$1123, 'Códigos DANE Municipios'!$A$2:$A$1123, "No encontrado")</f>
        <v>23574</v>
      </c>
      <c r="B6508" t="str">
        <f>IFERROR(VLOOKUP(D6508,APOYO!K:L,2,FALSE),A6508)</f>
        <v>23574</v>
      </c>
      <c r="C6508" s="8" t="s">
        <v>891</v>
      </c>
      <c r="D6508" t="str">
        <f>IFERROR(VLOOKUP(C6508,APOYO!J:K,2,FALSE),C6508)</f>
        <v>PUERTO ESCONDIDO</v>
      </c>
      <c r="E6508" s="8">
        <v>2021</v>
      </c>
      <c r="F6508" s="8"/>
      <c r="G6508" s="8"/>
      <c r="H6508" s="8">
        <v>2</v>
      </c>
      <c r="I6508" s="8"/>
      <c r="J6508" s="8"/>
      <c r="K6508" s="8"/>
    </row>
    <row r="6509" spans="1:11" hidden="1" x14ac:dyDescent="0.25">
      <c r="A6509" t="str">
        <f>_xlfn.XLOOKUP(C6509, 'Códigos DANE Municipios'!$B$2:$B$1123, 'Códigos DANE Municipios'!$A$2:$A$1123, "No encontrado")</f>
        <v>50568</v>
      </c>
      <c r="B6509" t="str">
        <f>IFERROR(VLOOKUP(D6509,APOYO!K:L,2,FALSE),A6509)</f>
        <v>50568</v>
      </c>
      <c r="C6509" s="8" t="s">
        <v>1394</v>
      </c>
      <c r="D6509" t="str">
        <f>IFERROR(VLOOKUP(C6509,APOYO!J:K,2,FALSE),C6509)</f>
        <v>PUERTO GAITÁN</v>
      </c>
      <c r="E6509" s="8">
        <v>2021</v>
      </c>
      <c r="F6509" s="8">
        <v>6011</v>
      </c>
      <c r="G6509" s="8"/>
      <c r="H6509" s="8">
        <v>1523</v>
      </c>
      <c r="I6509" s="8"/>
      <c r="J6509" s="8"/>
      <c r="K6509" s="8"/>
    </row>
    <row r="6510" spans="1:11" hidden="1" x14ac:dyDescent="0.25">
      <c r="A6510" t="str">
        <f>_xlfn.XLOOKUP(C6510, 'Códigos DANE Municipios'!$B$2:$B$1123, 'Códigos DANE Municipios'!$A$2:$A$1123, "No encontrado")</f>
        <v>94001</v>
      </c>
      <c r="B6510" t="str">
        <f>IFERROR(VLOOKUP(D6510,APOYO!K:L,2,FALSE),A6510)</f>
        <v>94001</v>
      </c>
      <c r="C6510" s="8" t="s">
        <v>2128</v>
      </c>
      <c r="D6510" t="str">
        <f>IFERROR(VLOOKUP(C6510,APOYO!J:K,2,FALSE),C6510)</f>
        <v>INÍRIDA</v>
      </c>
      <c r="E6510" s="8">
        <v>2021</v>
      </c>
      <c r="F6510" s="8">
        <v>26878</v>
      </c>
      <c r="G6510" s="8"/>
      <c r="H6510" s="8">
        <v>30</v>
      </c>
      <c r="I6510" s="8"/>
      <c r="J6510" s="8"/>
      <c r="K6510" s="8"/>
    </row>
    <row r="6511" spans="1:11" hidden="1" x14ac:dyDescent="0.25">
      <c r="A6511" t="str">
        <f>_xlfn.XLOOKUP(C6511, 'Códigos DANE Municipios'!$B$2:$B$1123, 'Códigos DANE Municipios'!$A$2:$A$1123, "No encontrado")</f>
        <v>86573</v>
      </c>
      <c r="B6511" t="str">
        <f>IFERROR(VLOOKUP(D6511,APOYO!K:L,2,FALSE),A6511)</f>
        <v>86573</v>
      </c>
      <c r="C6511" s="8" t="s">
        <v>2095</v>
      </c>
      <c r="D6511" t="str">
        <f>IFERROR(VLOOKUP(C6511,APOYO!J:K,2,FALSE),C6511)</f>
        <v>PUERTO LEGUÍZAMO</v>
      </c>
      <c r="E6511" s="8">
        <v>2021</v>
      </c>
      <c r="F6511" s="8">
        <v>6949</v>
      </c>
      <c r="G6511" s="8"/>
      <c r="H6511" s="8">
        <v>4</v>
      </c>
      <c r="I6511" s="8"/>
      <c r="J6511" s="8"/>
      <c r="K6511" s="8"/>
    </row>
    <row r="6512" spans="1:11" hidden="1" x14ac:dyDescent="0.25">
      <c r="A6512" t="str">
        <f>_xlfn.XLOOKUP(C6512, 'Códigos DANE Municipios'!$B$2:$B$1123, 'Códigos DANE Municipios'!$A$2:$A$1123, "No encontrado")</f>
        <v>23580</v>
      </c>
      <c r="B6512" t="str">
        <f>IFERROR(VLOOKUP(D6512,APOYO!K:L,2,FALSE),A6512)</f>
        <v>23580</v>
      </c>
      <c r="C6512" s="8" t="s">
        <v>893</v>
      </c>
      <c r="D6512" t="str">
        <f>IFERROR(VLOOKUP(C6512,APOYO!J:K,2,FALSE),C6512)</f>
        <v>PUERTO LIBERTADOR</v>
      </c>
      <c r="E6512" s="8">
        <v>2021</v>
      </c>
      <c r="F6512" s="8"/>
      <c r="G6512" s="8"/>
      <c r="H6512" s="8">
        <v>3</v>
      </c>
      <c r="I6512" s="8"/>
      <c r="J6512" s="8"/>
      <c r="K6512" s="8"/>
    </row>
    <row r="6513" spans="1:11" hidden="1" x14ac:dyDescent="0.25">
      <c r="A6513" t="str">
        <f>_xlfn.XLOOKUP(C6513, 'Códigos DANE Municipios'!$B$2:$B$1123, 'Códigos DANE Municipios'!$A$2:$A$1123, "No encontrado")</f>
        <v>50577</v>
      </c>
      <c r="B6513" t="str">
        <f>IFERROR(VLOOKUP(D6513,APOYO!K:L,2,FALSE),A6513)</f>
        <v>50577</v>
      </c>
      <c r="C6513" s="8" t="s">
        <v>1398</v>
      </c>
      <c r="D6513" t="str">
        <f>IFERROR(VLOOKUP(C6513,APOYO!J:K,2,FALSE),C6513)</f>
        <v>PUERTO LLERAS</v>
      </c>
      <c r="E6513" s="8">
        <v>2021</v>
      </c>
      <c r="F6513" s="8"/>
      <c r="G6513" s="8"/>
      <c r="H6513" s="8">
        <v>9</v>
      </c>
      <c r="I6513" s="8"/>
      <c r="J6513" s="8"/>
      <c r="K6513" s="8"/>
    </row>
    <row r="6514" spans="1:11" hidden="1" x14ac:dyDescent="0.25">
      <c r="A6514" t="str">
        <f>_xlfn.XLOOKUP(C6514, 'Códigos DANE Municipios'!$B$2:$B$1123, 'Códigos DANE Municipios'!$A$2:$A$1123, "No encontrado")</f>
        <v>50573</v>
      </c>
      <c r="B6514" t="str">
        <f>IFERROR(VLOOKUP(D6514,APOYO!K:L,2,FALSE),A6514)</f>
        <v>50573</v>
      </c>
      <c r="C6514" s="8" t="s">
        <v>1396</v>
      </c>
      <c r="D6514" t="str">
        <f>IFERROR(VLOOKUP(C6514,APOYO!J:K,2,FALSE),C6514)</f>
        <v>PUERTO LÓPEZ</v>
      </c>
      <c r="E6514" s="8">
        <v>2021</v>
      </c>
      <c r="F6514" s="8">
        <v>87</v>
      </c>
      <c r="G6514" s="8">
        <v>2</v>
      </c>
      <c r="H6514" s="8">
        <v>60</v>
      </c>
      <c r="I6514" s="8"/>
      <c r="J6514" s="8"/>
      <c r="K6514" s="8"/>
    </row>
    <row r="6515" spans="1:11" hidden="1" x14ac:dyDescent="0.25">
      <c r="A6515" t="str">
        <f>_xlfn.XLOOKUP(C6515, 'Códigos DANE Municipios'!$B$2:$B$1123, 'Códigos DANE Municipios'!$A$2:$A$1123, "No encontrado")</f>
        <v>91540</v>
      </c>
      <c r="B6515" t="str">
        <f>IFERROR(VLOOKUP(D6515,APOYO!K:L,2,FALSE),A6515)</f>
        <v>91540</v>
      </c>
      <c r="C6515" s="8" t="s">
        <v>2123</v>
      </c>
      <c r="D6515" t="str">
        <f>IFERROR(VLOOKUP(C6515,APOYO!J:K,2,FALSE),C6515)</f>
        <v>PUERTO NARIÑO</v>
      </c>
      <c r="E6515" s="8">
        <v>2021</v>
      </c>
      <c r="F6515" s="8"/>
      <c r="G6515" s="8"/>
      <c r="H6515" s="8">
        <v>14</v>
      </c>
      <c r="I6515" s="8"/>
      <c r="J6515" s="8"/>
      <c r="K6515" s="8"/>
    </row>
    <row r="6516" spans="1:11" hidden="1" x14ac:dyDescent="0.25">
      <c r="A6516" t="str">
        <f>_xlfn.XLOOKUP(C6516, 'Códigos DANE Municipios'!$B$2:$B$1123, 'Códigos DANE Municipios'!$A$2:$A$1123, "No encontrado")</f>
        <v>68573</v>
      </c>
      <c r="B6516" t="str">
        <f>IFERROR(VLOOKUP(D6516,APOYO!K:L,2,FALSE),A6516)</f>
        <v>68573</v>
      </c>
      <c r="C6516" s="8" t="s">
        <v>1772</v>
      </c>
      <c r="D6516" t="str">
        <f>IFERROR(VLOOKUP(C6516,APOYO!J:K,2,FALSE),C6516)</f>
        <v>PUERTO PARRA</v>
      </c>
      <c r="E6516" s="8">
        <v>2021</v>
      </c>
      <c r="F6516" s="8"/>
      <c r="G6516" s="8"/>
      <c r="H6516" s="8">
        <v>1</v>
      </c>
      <c r="I6516" s="8"/>
      <c r="J6516" s="8"/>
      <c r="K6516" s="8"/>
    </row>
    <row r="6517" spans="1:11" hidden="1" x14ac:dyDescent="0.25">
      <c r="A6517" t="str">
        <f>_xlfn.XLOOKUP(C6517, 'Códigos DANE Municipios'!$B$2:$B$1123, 'Códigos DANE Municipios'!$A$2:$A$1123, "No encontrado")</f>
        <v>18592</v>
      </c>
      <c r="B6517" t="str">
        <f>IFERROR(VLOOKUP(D6517,APOYO!K:L,2,FALSE),A6517)</f>
        <v>18592</v>
      </c>
      <c r="C6517" s="8" t="s">
        <v>718</v>
      </c>
      <c r="D6517" t="str">
        <f>IFERROR(VLOOKUP(C6517,APOYO!J:K,2,FALSE),C6517)</f>
        <v>PUERTO RICO</v>
      </c>
      <c r="E6517" s="8">
        <v>2021</v>
      </c>
      <c r="F6517" s="8"/>
      <c r="G6517" s="8"/>
      <c r="H6517" s="8">
        <v>10</v>
      </c>
      <c r="I6517" s="8"/>
      <c r="J6517" s="8"/>
      <c r="K6517" s="8"/>
    </row>
    <row r="6518" spans="1:11" hidden="1" x14ac:dyDescent="0.25">
      <c r="A6518" t="str">
        <f>_xlfn.XLOOKUP(C6518, 'Códigos DANE Municipios'!$B$2:$B$1123, 'Códigos DANE Municipios'!$A$2:$A$1123, "No encontrado")</f>
        <v>25572</v>
      </c>
      <c r="B6518" t="str">
        <f>IFERROR(VLOOKUP(D6518,APOYO!K:L,2,FALSE),A6518)</f>
        <v>25572</v>
      </c>
      <c r="C6518" s="8" t="s">
        <v>1049</v>
      </c>
      <c r="D6518" t="str">
        <f>IFERROR(VLOOKUP(C6518,APOYO!J:K,2,FALSE),C6518)</f>
        <v>PUERTO SALGAR</v>
      </c>
      <c r="E6518" s="8">
        <v>2021</v>
      </c>
      <c r="F6518" s="8"/>
      <c r="G6518" s="8"/>
      <c r="H6518" s="8">
        <v>40</v>
      </c>
      <c r="I6518" s="8"/>
      <c r="J6518" s="8"/>
      <c r="K6518" s="8"/>
    </row>
    <row r="6519" spans="1:11" hidden="1" x14ac:dyDescent="0.25">
      <c r="A6519" t="str">
        <f>_xlfn.XLOOKUP(C6519, 'Códigos DANE Municipios'!$B$2:$B$1123, 'Códigos DANE Municipios'!$A$2:$A$1123, "No encontrado")</f>
        <v>54553</v>
      </c>
      <c r="B6519" t="str">
        <f>IFERROR(VLOOKUP(D6519,APOYO!K:L,2,FALSE),A6519)</f>
        <v>54553</v>
      </c>
      <c r="C6519" s="8" t="s">
        <v>1583</v>
      </c>
      <c r="D6519" t="str">
        <f>IFERROR(VLOOKUP(C6519,APOYO!J:K,2,FALSE),C6519)</f>
        <v>PUERTO SANTANDER</v>
      </c>
      <c r="E6519" s="8">
        <v>2021</v>
      </c>
      <c r="F6519" s="8"/>
      <c r="G6519" s="8"/>
      <c r="H6519" s="8">
        <v>19</v>
      </c>
      <c r="I6519" s="8"/>
      <c r="J6519" s="8"/>
      <c r="K6519" s="8"/>
    </row>
    <row r="6520" spans="1:11" hidden="1" x14ac:dyDescent="0.25">
      <c r="A6520" t="str">
        <f>_xlfn.XLOOKUP(C6520, 'Códigos DANE Municipios'!$B$2:$B$1123, 'Códigos DANE Municipios'!$A$2:$A$1123, "No encontrado")</f>
        <v>19573</v>
      </c>
      <c r="B6520" t="str">
        <f>IFERROR(VLOOKUP(D6520,APOYO!K:L,2,FALSE),A6520)</f>
        <v>19573</v>
      </c>
      <c r="C6520" s="8" t="s">
        <v>779</v>
      </c>
      <c r="D6520" t="str">
        <f>IFERROR(VLOOKUP(C6520,APOYO!J:K,2,FALSE),C6520)</f>
        <v>PUERTO TEJADA</v>
      </c>
      <c r="E6520" s="8">
        <v>2021</v>
      </c>
      <c r="F6520" s="8"/>
      <c r="G6520" s="8"/>
      <c r="H6520" s="8">
        <v>143</v>
      </c>
      <c r="I6520" s="8"/>
      <c r="J6520" s="8"/>
      <c r="K6520" s="8"/>
    </row>
    <row r="6521" spans="1:11" hidden="1" x14ac:dyDescent="0.25">
      <c r="A6521" t="str">
        <f>_xlfn.XLOOKUP(C6521, 'Códigos DANE Municipios'!$B$2:$B$1123, 'Códigos DANE Municipios'!$A$2:$A$1123, "No encontrado")</f>
        <v>05591</v>
      </c>
      <c r="B6521" t="str">
        <f>IFERROR(VLOOKUP(D6521,APOYO!K:L,2,FALSE),A6521)</f>
        <v>05591</v>
      </c>
      <c r="C6521" s="8" t="s">
        <v>174</v>
      </c>
      <c r="D6521" t="str">
        <f>IFERROR(VLOOKUP(C6521,APOYO!J:K,2,FALSE),C6521)</f>
        <v>PUERTO TRIUNFO</v>
      </c>
      <c r="E6521" s="8">
        <v>2021</v>
      </c>
      <c r="F6521" s="8"/>
      <c r="G6521" s="8"/>
      <c r="H6521" s="8">
        <v>72</v>
      </c>
      <c r="I6521" s="8"/>
      <c r="J6521" s="8"/>
      <c r="K6521" s="8"/>
    </row>
    <row r="6522" spans="1:11" hidden="1" x14ac:dyDescent="0.25">
      <c r="A6522" t="str">
        <f>_xlfn.XLOOKUP(C6522, 'Códigos DANE Municipios'!$B$2:$B$1123, 'Códigos DANE Municipios'!$A$2:$A$1123, "No encontrado")</f>
        <v>68575</v>
      </c>
      <c r="B6522" t="str">
        <f>IFERROR(VLOOKUP(D6522,APOYO!K:L,2,FALSE),A6522)</f>
        <v>68575</v>
      </c>
      <c r="C6522" s="8" t="s">
        <v>1774</v>
      </c>
      <c r="D6522" t="str">
        <f>IFERROR(VLOOKUP(C6522,APOYO!J:K,2,FALSE),C6522)</f>
        <v>PUERTO WILCHES</v>
      </c>
      <c r="E6522" s="8">
        <v>2021</v>
      </c>
      <c r="F6522" s="8"/>
      <c r="G6522" s="8"/>
      <c r="H6522" s="8">
        <v>7</v>
      </c>
      <c r="I6522" s="8"/>
      <c r="J6522" s="8"/>
      <c r="K6522" s="8"/>
    </row>
    <row r="6523" spans="1:11" hidden="1" x14ac:dyDescent="0.25">
      <c r="A6523" t="str">
        <f>_xlfn.XLOOKUP(C6523, 'Códigos DANE Municipios'!$B$2:$B$1123, 'Códigos DANE Municipios'!$A$2:$A$1123, "No encontrado")</f>
        <v>52585</v>
      </c>
      <c r="B6523" t="str">
        <f>IFERROR(VLOOKUP(D6523,APOYO!K:L,2,FALSE),A6523)</f>
        <v>52585</v>
      </c>
      <c r="C6523" s="8" t="s">
        <v>1499</v>
      </c>
      <c r="D6523" t="str">
        <f>IFERROR(VLOOKUP(C6523,APOYO!J:K,2,FALSE),C6523)</f>
        <v>PUPIALES</v>
      </c>
      <c r="E6523" s="8">
        <v>2021</v>
      </c>
      <c r="F6523" s="8"/>
      <c r="G6523" s="8"/>
      <c r="H6523" s="8">
        <v>2</v>
      </c>
      <c r="I6523" s="8"/>
      <c r="J6523" s="8"/>
      <c r="K6523" s="8"/>
    </row>
    <row r="6524" spans="1:11" hidden="1" x14ac:dyDescent="0.25">
      <c r="A6524" t="str">
        <f>_xlfn.XLOOKUP(C6524, 'Códigos DANE Municipios'!$B$2:$B$1123, 'Códigos DANE Municipios'!$A$2:$A$1123, "No encontrado")</f>
        <v>19585</v>
      </c>
      <c r="B6524" t="str">
        <f>IFERROR(VLOOKUP(D6524,APOYO!K:L,2,FALSE),A6524)</f>
        <v>19585</v>
      </c>
      <c r="C6524" s="8" t="s">
        <v>781</v>
      </c>
      <c r="D6524" t="str">
        <f>IFERROR(VLOOKUP(C6524,APOYO!J:K,2,FALSE),C6524)</f>
        <v>PURACÉ</v>
      </c>
      <c r="E6524" s="8">
        <v>2021</v>
      </c>
      <c r="F6524" s="8"/>
      <c r="G6524" s="8"/>
      <c r="H6524" s="8">
        <v>2</v>
      </c>
      <c r="I6524" s="8"/>
      <c r="J6524" s="8"/>
      <c r="K6524" s="8"/>
    </row>
    <row r="6525" spans="1:11" hidden="1" x14ac:dyDescent="0.25">
      <c r="A6525" t="str">
        <f>_xlfn.XLOOKUP(C6525, 'Códigos DANE Municipios'!$B$2:$B$1123, 'Códigos DANE Municipios'!$A$2:$A$1123, "No encontrado")</f>
        <v>73585</v>
      </c>
      <c r="B6525" t="str">
        <f>IFERROR(VLOOKUP(D6525,APOYO!K:L,2,FALSE),A6525)</f>
        <v>73585</v>
      </c>
      <c r="C6525" s="8" t="s">
        <v>1933</v>
      </c>
      <c r="D6525" t="str">
        <f>IFERROR(VLOOKUP(C6525,APOYO!J:K,2,FALSE),C6525)</f>
        <v>PURIFICACIÓN</v>
      </c>
      <c r="E6525" s="8">
        <v>2021</v>
      </c>
      <c r="F6525" s="8"/>
      <c r="G6525" s="8"/>
      <c r="H6525" s="8">
        <v>26</v>
      </c>
      <c r="I6525" s="8"/>
      <c r="J6525" s="8"/>
      <c r="K6525" s="8"/>
    </row>
    <row r="6526" spans="1:11" hidden="1" x14ac:dyDescent="0.25">
      <c r="A6526" t="str">
        <f>_xlfn.XLOOKUP(C6526, 'Códigos DANE Municipios'!$B$2:$B$1123, 'Códigos DANE Municipios'!$A$2:$A$1123, "No encontrado")</f>
        <v>25592</v>
      </c>
      <c r="B6526" t="str">
        <f>IFERROR(VLOOKUP(D6526,APOYO!K:L,2,FALSE),A6526)</f>
        <v>25592</v>
      </c>
      <c r="C6526" s="8" t="s">
        <v>1053</v>
      </c>
      <c r="D6526" t="str">
        <f>IFERROR(VLOOKUP(C6526,APOYO!J:K,2,FALSE),C6526)</f>
        <v>QUEBRADANEGRA</v>
      </c>
      <c r="E6526" s="8">
        <v>2021</v>
      </c>
      <c r="F6526" s="8"/>
      <c r="G6526" s="8"/>
      <c r="H6526" s="8">
        <v>3</v>
      </c>
      <c r="I6526" s="8"/>
      <c r="J6526" s="8"/>
      <c r="K6526" s="8"/>
    </row>
    <row r="6527" spans="1:11" hidden="1" x14ac:dyDescent="0.25">
      <c r="A6527" t="str">
        <f>_xlfn.XLOOKUP(C6527, 'Códigos DANE Municipios'!$B$2:$B$1123, 'Códigos DANE Municipios'!$A$2:$A$1123, "No encontrado")</f>
        <v>25594</v>
      </c>
      <c r="B6527" t="str">
        <f>IFERROR(VLOOKUP(D6527,APOYO!K:L,2,FALSE),A6527)</f>
        <v>25594</v>
      </c>
      <c r="C6527" s="8" t="s">
        <v>1055</v>
      </c>
      <c r="D6527" t="str">
        <f>IFERROR(VLOOKUP(C6527,APOYO!J:K,2,FALSE),C6527)</f>
        <v>QUETAME</v>
      </c>
      <c r="E6527" s="8">
        <v>2021</v>
      </c>
      <c r="F6527" s="8"/>
      <c r="G6527" s="8"/>
      <c r="H6527" s="8">
        <v>1</v>
      </c>
      <c r="I6527" s="8"/>
      <c r="J6527" s="8"/>
      <c r="K6527" s="8"/>
    </row>
    <row r="6528" spans="1:11" hidden="1" x14ac:dyDescent="0.25">
      <c r="A6528" t="str">
        <f>_xlfn.XLOOKUP(C6528, 'Códigos DANE Municipios'!$B$2:$B$1123, 'Códigos DANE Municipios'!$A$2:$A$1123, "No encontrado")</f>
        <v>27001</v>
      </c>
      <c r="B6528" t="str">
        <f>IFERROR(VLOOKUP(D6528,APOYO!K:L,2,FALSE),A6528)</f>
        <v>27001</v>
      </c>
      <c r="C6528" s="8" t="s">
        <v>1142</v>
      </c>
      <c r="D6528" t="str">
        <f>IFERROR(VLOOKUP(C6528,APOYO!J:K,2,FALSE),C6528)</f>
        <v>QUIBDÓ</v>
      </c>
      <c r="E6528" s="8">
        <v>2021</v>
      </c>
      <c r="F6528" s="8">
        <v>147262</v>
      </c>
      <c r="G6528" s="8"/>
      <c r="H6528" s="8">
        <v>110</v>
      </c>
      <c r="I6528" s="8"/>
      <c r="J6528" s="8"/>
      <c r="K6528" s="8"/>
    </row>
    <row r="6529" spans="1:11" hidden="1" x14ac:dyDescent="0.25">
      <c r="A6529" t="str">
        <f>_xlfn.XLOOKUP(C6529, 'Códigos DANE Municipios'!$B$2:$B$1123, 'Códigos DANE Municipios'!$A$2:$A$1123, "No encontrado")</f>
        <v>63594</v>
      </c>
      <c r="B6529" t="str">
        <f>IFERROR(VLOOKUP(D6529,APOYO!K:L,2,FALSE),A6529)</f>
        <v>63594</v>
      </c>
      <c r="C6529" s="8" t="s">
        <v>1624</v>
      </c>
      <c r="D6529" t="str">
        <f>IFERROR(VLOOKUP(C6529,APOYO!J:K,2,FALSE),C6529)</f>
        <v>QUIMBAYA</v>
      </c>
      <c r="E6529" s="8">
        <v>2021</v>
      </c>
      <c r="F6529" s="8"/>
      <c r="G6529" s="8"/>
      <c r="H6529" s="8">
        <v>609</v>
      </c>
      <c r="I6529" s="8"/>
      <c r="J6529" s="8"/>
      <c r="K6529" s="8"/>
    </row>
    <row r="6530" spans="1:11" hidden="1" x14ac:dyDescent="0.25">
      <c r="A6530" t="str">
        <f>_xlfn.XLOOKUP(C6530, 'Códigos DANE Municipios'!$B$2:$B$1123, 'Códigos DANE Municipios'!$A$2:$A$1123, "No encontrado")</f>
        <v>66594</v>
      </c>
      <c r="B6530" t="str">
        <f>IFERROR(VLOOKUP(D6530,APOYO!K:L,2,FALSE),A6530)</f>
        <v>66594</v>
      </c>
      <c r="C6530" s="8" t="s">
        <v>1649</v>
      </c>
      <c r="D6530" t="str">
        <f>IFERROR(VLOOKUP(C6530,APOYO!J:K,2,FALSE),C6530)</f>
        <v>QUINCHÍA</v>
      </c>
      <c r="E6530" s="8">
        <v>2021</v>
      </c>
      <c r="F6530" s="8"/>
      <c r="G6530" s="8"/>
      <c r="H6530" s="8">
        <v>21</v>
      </c>
      <c r="I6530" s="8"/>
      <c r="J6530" s="8"/>
      <c r="K6530" s="8"/>
    </row>
    <row r="6531" spans="1:11" hidden="1" x14ac:dyDescent="0.25">
      <c r="A6531" t="str">
        <f>_xlfn.XLOOKUP(C6531, 'Códigos DANE Municipios'!$B$2:$B$1123, 'Códigos DANE Municipios'!$A$2:$A$1123, "No encontrado")</f>
        <v>15580</v>
      </c>
      <c r="B6531" t="str">
        <f>IFERROR(VLOOKUP(D6531,APOYO!K:L,2,FALSE),A6531)</f>
        <v>15580</v>
      </c>
      <c r="C6531" s="8" t="s">
        <v>546</v>
      </c>
      <c r="D6531" t="str">
        <f>IFERROR(VLOOKUP(C6531,APOYO!J:K,2,FALSE),C6531)</f>
        <v>QUÍPAMA</v>
      </c>
      <c r="E6531" s="8">
        <v>2021</v>
      </c>
      <c r="F6531" s="8"/>
      <c r="G6531" s="8"/>
      <c r="H6531" s="8">
        <v>1</v>
      </c>
      <c r="I6531" s="8"/>
      <c r="J6531" s="8"/>
      <c r="K6531" s="8"/>
    </row>
    <row r="6532" spans="1:11" hidden="1" x14ac:dyDescent="0.25">
      <c r="A6532" t="str">
        <f>_xlfn.XLOOKUP(C6532, 'Códigos DANE Municipios'!$B$2:$B$1123, 'Códigos DANE Municipios'!$A$2:$A$1123, "No encontrado")</f>
        <v>25596</v>
      </c>
      <c r="B6532" t="str">
        <f>IFERROR(VLOOKUP(D6532,APOYO!K:L,2,FALSE),A6532)</f>
        <v>25596</v>
      </c>
      <c r="C6532" s="8" t="s">
        <v>1057</v>
      </c>
      <c r="D6532" t="str">
        <f>IFERROR(VLOOKUP(C6532,APOYO!J:K,2,FALSE),C6532)</f>
        <v>QUIPILE</v>
      </c>
      <c r="E6532" s="8">
        <v>2021</v>
      </c>
      <c r="F6532" s="8"/>
      <c r="G6532" s="8"/>
      <c r="H6532" s="8">
        <v>2</v>
      </c>
      <c r="I6532" s="8"/>
      <c r="J6532" s="8"/>
      <c r="K6532" s="8"/>
    </row>
    <row r="6533" spans="1:11" hidden="1" x14ac:dyDescent="0.25">
      <c r="A6533" t="str">
        <f>_xlfn.XLOOKUP(C6533, 'Códigos DANE Municipios'!$B$2:$B$1123, 'Códigos DANE Municipios'!$A$2:$A$1123, "No encontrado")</f>
        <v>54599</v>
      </c>
      <c r="B6533" t="str">
        <f>IFERROR(VLOOKUP(D6533,APOYO!K:L,2,FALSE),A6533)</f>
        <v>54599</v>
      </c>
      <c r="C6533" s="8" t="s">
        <v>1585</v>
      </c>
      <c r="D6533" t="str">
        <f>IFERROR(VLOOKUP(C6533,APOYO!J:K,2,FALSE),C6533)</f>
        <v>RAGONVALIA</v>
      </c>
      <c r="E6533" s="8">
        <v>2021</v>
      </c>
      <c r="F6533" s="8"/>
      <c r="G6533" s="8"/>
      <c r="H6533" s="8">
        <v>3</v>
      </c>
      <c r="I6533" s="8"/>
      <c r="J6533" s="8"/>
      <c r="K6533" s="8"/>
    </row>
    <row r="6534" spans="1:11" hidden="1" x14ac:dyDescent="0.25">
      <c r="A6534" t="str">
        <f>_xlfn.XLOOKUP(C6534, 'Códigos DANE Municipios'!$B$2:$B$1123, 'Códigos DANE Municipios'!$A$2:$A$1123, "No encontrado")</f>
        <v>81794</v>
      </c>
      <c r="B6534" t="str">
        <f>IFERROR(VLOOKUP(D6534,APOYO!K:L,2,FALSE),A6534)</f>
        <v>81794</v>
      </c>
      <c r="C6534" t="s">
        <v>2046</v>
      </c>
      <c r="D6534" t="str">
        <f>IFERROR(VLOOKUP(C6534,APOYO!J:K,2,FALSE),C6534)</f>
        <v>TAME</v>
      </c>
      <c r="E6534">
        <v>2021</v>
      </c>
      <c r="H6534">
        <v>22</v>
      </c>
    </row>
    <row r="6535" spans="1:11" hidden="1" x14ac:dyDescent="0.25">
      <c r="A6535" t="str">
        <f>_xlfn.XLOOKUP(C6535, 'Códigos DANE Municipios'!$B$2:$B$1123, 'Códigos DANE Municipios'!$A$2:$A$1123, "No encontrado")</f>
        <v>15599</v>
      </c>
      <c r="B6535" t="str">
        <f>IFERROR(VLOOKUP(D6535,APOYO!K:L,2,FALSE),A6535)</f>
        <v>15599</v>
      </c>
      <c r="C6535" s="8" t="s">
        <v>548</v>
      </c>
      <c r="D6535" t="str">
        <f>IFERROR(VLOOKUP(C6535,APOYO!J:K,2,FALSE),C6535)</f>
        <v>RAMIRIQUÍ</v>
      </c>
      <c r="E6535" s="8">
        <v>2021</v>
      </c>
      <c r="F6535" s="8"/>
      <c r="G6535" s="8"/>
      <c r="H6535" s="8">
        <v>14</v>
      </c>
      <c r="I6535" s="8"/>
      <c r="J6535" s="8"/>
      <c r="K6535" s="8"/>
    </row>
    <row r="6536" spans="1:11" hidden="1" x14ac:dyDescent="0.25">
      <c r="A6536" t="str">
        <f>_xlfn.XLOOKUP(C6536, 'Códigos DANE Municipios'!$B$2:$B$1123, 'Códigos DANE Municipios'!$A$2:$A$1123, "No encontrado")</f>
        <v>15600</v>
      </c>
      <c r="B6536" t="str">
        <f>IFERROR(VLOOKUP(D6536,APOYO!K:L,2,FALSE),A6536)</f>
        <v>15600</v>
      </c>
      <c r="C6536" s="8" t="s">
        <v>550</v>
      </c>
      <c r="D6536" t="str">
        <f>IFERROR(VLOOKUP(C6536,APOYO!J:K,2,FALSE),C6536)</f>
        <v>RÁQUIRA</v>
      </c>
      <c r="E6536" s="8">
        <v>2021</v>
      </c>
      <c r="F6536" s="8"/>
      <c r="G6536" s="8"/>
      <c r="H6536" s="8">
        <v>20</v>
      </c>
      <c r="I6536" s="8"/>
      <c r="J6536" s="8"/>
      <c r="K6536" s="8"/>
    </row>
    <row r="6537" spans="1:11" hidden="1" x14ac:dyDescent="0.25">
      <c r="A6537" t="str">
        <f>_xlfn.XLOOKUP(C6537, 'Códigos DANE Municipios'!$B$2:$B$1123, 'Códigos DANE Municipios'!$A$2:$A$1123, "No encontrado")</f>
        <v>05604</v>
      </c>
      <c r="B6537" t="str">
        <f>IFERROR(VLOOKUP(D6537,APOYO!K:L,2,FALSE),A6537)</f>
        <v>05604</v>
      </c>
      <c r="C6537" s="8" t="s">
        <v>176</v>
      </c>
      <c r="D6537" t="str">
        <f>IFERROR(VLOOKUP(C6537,APOYO!J:K,2,FALSE),C6537)</f>
        <v>REMEDIOS</v>
      </c>
      <c r="E6537" s="8">
        <v>2021</v>
      </c>
      <c r="F6537" s="8">
        <v>539</v>
      </c>
      <c r="G6537" s="8"/>
      <c r="H6537" s="8">
        <v>9</v>
      </c>
      <c r="I6537" s="8"/>
      <c r="J6537" s="8"/>
      <c r="K6537" s="8"/>
    </row>
    <row r="6538" spans="1:11" hidden="1" x14ac:dyDescent="0.25">
      <c r="A6538" t="str">
        <f>_xlfn.XLOOKUP(C6538, 'Códigos DANE Municipios'!$B$2:$B$1123, 'Códigos DANE Municipios'!$A$2:$A$1123, "No encontrado")</f>
        <v>50606</v>
      </c>
      <c r="B6538" t="str">
        <f>IFERROR(VLOOKUP(D6538,APOYO!K:L,2,FALSE),A6538)</f>
        <v>50606</v>
      </c>
      <c r="C6538" s="8" t="s">
        <v>1401</v>
      </c>
      <c r="D6538" t="str">
        <f>IFERROR(VLOOKUP(C6538,APOYO!J:K,2,FALSE),C6538)</f>
        <v>RESTREPO</v>
      </c>
      <c r="E6538" s="8">
        <v>2021</v>
      </c>
      <c r="F6538" s="8"/>
      <c r="G6538" s="8"/>
      <c r="H6538" s="8">
        <v>135</v>
      </c>
      <c r="I6538" s="8"/>
      <c r="J6538" s="8"/>
      <c r="K6538" s="8"/>
    </row>
    <row r="6539" spans="1:11" hidden="1" x14ac:dyDescent="0.25">
      <c r="A6539" t="str">
        <f>_xlfn.XLOOKUP(C6539, 'Códigos DANE Municipios'!$B$2:$B$1123, 'Códigos DANE Municipios'!$A$2:$A$1123, "No encontrado")</f>
        <v>05607</v>
      </c>
      <c r="B6539" t="str">
        <f>IFERROR(VLOOKUP(D6539,APOYO!K:L,2,FALSE),A6539)</f>
        <v>05607</v>
      </c>
      <c r="C6539" s="8" t="s">
        <v>178</v>
      </c>
      <c r="D6539" t="str">
        <f>IFERROR(VLOOKUP(C6539,APOYO!J:K,2,FALSE),C6539)</f>
        <v>RETIRO</v>
      </c>
      <c r="E6539" s="8">
        <v>2021</v>
      </c>
      <c r="F6539" s="8"/>
      <c r="G6539" s="8"/>
      <c r="H6539" s="8">
        <v>759</v>
      </c>
      <c r="I6539" s="8"/>
      <c r="J6539" s="8"/>
      <c r="K6539" s="8"/>
    </row>
    <row r="6540" spans="1:11" hidden="1" x14ac:dyDescent="0.25">
      <c r="A6540" t="str">
        <f>_xlfn.XLOOKUP(C6540, 'Códigos DANE Municipios'!$B$2:$B$1123, 'Códigos DANE Municipios'!$A$2:$A$1123, "No encontrado")</f>
        <v>25612</v>
      </c>
      <c r="B6540" t="str">
        <f>IFERROR(VLOOKUP(D6540,APOYO!K:L,2,FALSE),A6540)</f>
        <v>25612</v>
      </c>
      <c r="C6540" s="8" t="s">
        <v>1061</v>
      </c>
      <c r="D6540" t="str">
        <f>IFERROR(VLOOKUP(C6540,APOYO!J:K,2,FALSE),C6540)</f>
        <v>RICAURTE</v>
      </c>
      <c r="E6540" s="8">
        <v>2021</v>
      </c>
      <c r="F6540" s="8"/>
      <c r="G6540" s="8"/>
      <c r="H6540" s="8">
        <v>77</v>
      </c>
      <c r="I6540" s="8"/>
      <c r="J6540" s="8"/>
      <c r="K6540" s="8"/>
    </row>
    <row r="6541" spans="1:11" hidden="1" x14ac:dyDescent="0.25">
      <c r="A6541" t="str">
        <f>_xlfn.XLOOKUP(C6541, 'Códigos DANE Municipios'!$B$2:$B$1123, 'Códigos DANE Municipios'!$A$2:$A$1123, "No encontrado")</f>
        <v>20614</v>
      </c>
      <c r="B6541" t="str">
        <f>IFERROR(VLOOKUP(D6541,APOYO!K:L,2,FALSE),A6541)</f>
        <v>20614</v>
      </c>
      <c r="C6541" s="8" t="s">
        <v>846</v>
      </c>
      <c r="D6541" t="str">
        <f>IFERROR(VLOOKUP(C6541,APOYO!J:K,2,FALSE),C6541)</f>
        <v>RÍO DE ORO</v>
      </c>
      <c r="E6541" s="8">
        <v>2021</v>
      </c>
      <c r="F6541" s="8"/>
      <c r="G6541" s="8"/>
      <c r="H6541" s="8">
        <v>7</v>
      </c>
      <c r="I6541" s="8"/>
      <c r="J6541" s="8"/>
      <c r="K6541" s="8"/>
    </row>
    <row r="6542" spans="1:11" hidden="1" x14ac:dyDescent="0.25">
      <c r="A6542" t="str">
        <f>_xlfn.XLOOKUP(C6542, 'Códigos DANE Municipios'!$B$2:$B$1123, 'Códigos DANE Municipios'!$A$2:$A$1123, "No encontrado")</f>
        <v>76616</v>
      </c>
      <c r="B6542" t="str">
        <f>IFERROR(VLOOKUP(D6542,APOYO!K:L,2,FALSE),A6542)</f>
        <v>76616</v>
      </c>
      <c r="C6542" s="8" t="s">
        <v>2009</v>
      </c>
      <c r="D6542" t="str">
        <f>IFERROR(VLOOKUP(C6542,APOYO!J:K,2,FALSE),C6542)</f>
        <v>RIOFRÍO</v>
      </c>
      <c r="E6542" s="8">
        <v>2021</v>
      </c>
      <c r="F6542" s="8"/>
      <c r="G6542" s="8"/>
      <c r="H6542" s="8">
        <v>46</v>
      </c>
      <c r="I6542" s="8"/>
      <c r="J6542" s="8"/>
      <c r="K6542" s="8"/>
    </row>
    <row r="6543" spans="1:11" hidden="1" x14ac:dyDescent="0.25">
      <c r="A6543" t="str">
        <f>_xlfn.XLOOKUP(C6543, 'Códigos DANE Municipios'!$B$2:$B$1123, 'Códigos DANE Municipios'!$A$2:$A$1123, "No encontrado")</f>
        <v>44001</v>
      </c>
      <c r="B6543" t="str">
        <f>IFERROR(VLOOKUP(D6543,APOYO!K:L,2,FALSE),A6543)</f>
        <v>44001</v>
      </c>
      <c r="C6543" s="8" t="s">
        <v>1272</v>
      </c>
      <c r="D6543" t="str">
        <f>IFERROR(VLOOKUP(C6543,APOYO!J:K,2,FALSE),C6543)</f>
        <v>RIOHACHA</v>
      </c>
      <c r="E6543" s="8">
        <v>2021</v>
      </c>
      <c r="F6543" s="8">
        <v>109712</v>
      </c>
      <c r="G6543" s="8">
        <v>1127</v>
      </c>
      <c r="H6543" s="8">
        <v>1154</v>
      </c>
      <c r="I6543" s="8">
        <v>22554</v>
      </c>
      <c r="J6543" s="8"/>
      <c r="K6543" s="8"/>
    </row>
    <row r="6544" spans="1:11" hidden="1" x14ac:dyDescent="0.25">
      <c r="A6544" t="str">
        <f>_xlfn.XLOOKUP(C6544, 'Códigos DANE Municipios'!$B$2:$B$1123, 'Códigos DANE Municipios'!$A$2:$A$1123, "No encontrado")</f>
        <v>05615</v>
      </c>
      <c r="B6544" t="str">
        <f>IFERROR(VLOOKUP(D6544,APOYO!K:L,2,FALSE),A6544)</f>
        <v>05615</v>
      </c>
      <c r="C6544" s="8" t="s">
        <v>180</v>
      </c>
      <c r="D6544" t="str">
        <f>IFERROR(VLOOKUP(C6544,APOYO!J:K,2,FALSE),C6544)</f>
        <v>RIONEGRO</v>
      </c>
      <c r="E6544" s="8">
        <v>2021</v>
      </c>
      <c r="F6544" s="8">
        <v>3009839</v>
      </c>
      <c r="G6544" s="8">
        <v>765424</v>
      </c>
      <c r="H6544" s="8">
        <v>8796</v>
      </c>
      <c r="I6544" s="8"/>
      <c r="J6544" s="8"/>
      <c r="K6544" s="8"/>
    </row>
    <row r="6545" spans="1:11" hidden="1" x14ac:dyDescent="0.25">
      <c r="A6545" t="str">
        <f>_xlfn.XLOOKUP(C6545, 'Códigos DANE Municipios'!$B$2:$B$1123, 'Códigos DANE Municipios'!$A$2:$A$1123, "No encontrado")</f>
        <v>17614</v>
      </c>
      <c r="B6545" t="str">
        <f>IFERROR(VLOOKUP(D6545,APOYO!K:L,2,FALSE),A6545)</f>
        <v>17614</v>
      </c>
      <c r="C6545" s="8" t="s">
        <v>680</v>
      </c>
      <c r="D6545" t="str">
        <f>IFERROR(VLOOKUP(C6545,APOYO!J:K,2,FALSE),C6545)</f>
        <v>RIOSUCIO</v>
      </c>
      <c r="E6545" s="8">
        <v>2021</v>
      </c>
      <c r="F6545" s="8">
        <v>0</v>
      </c>
      <c r="G6545" s="8"/>
      <c r="H6545" s="8">
        <v>85</v>
      </c>
      <c r="I6545" s="8"/>
      <c r="J6545" s="8"/>
      <c r="K6545" s="8"/>
    </row>
    <row r="6546" spans="1:11" hidden="1" x14ac:dyDescent="0.25">
      <c r="A6546" t="str">
        <f>_xlfn.XLOOKUP(C6546, 'Códigos DANE Municipios'!$B$2:$B$1123, 'Códigos DANE Municipios'!$A$2:$A$1123, "No encontrado")</f>
        <v>17616</v>
      </c>
      <c r="B6546" t="str">
        <f>IFERROR(VLOOKUP(D6546,APOYO!K:L,2,FALSE),A6546)</f>
        <v>17616</v>
      </c>
      <c r="C6546" s="8" t="s">
        <v>682</v>
      </c>
      <c r="D6546" t="str">
        <f>IFERROR(VLOOKUP(C6546,APOYO!J:K,2,FALSE),C6546)</f>
        <v>RISARALDA</v>
      </c>
      <c r="E6546" s="8">
        <v>2021</v>
      </c>
      <c r="F6546" s="8"/>
      <c r="G6546" s="8"/>
      <c r="H6546" s="8">
        <v>44</v>
      </c>
      <c r="I6546" s="8"/>
      <c r="J6546" s="8"/>
      <c r="K6546" s="8"/>
    </row>
    <row r="6547" spans="1:11" hidden="1" x14ac:dyDescent="0.25">
      <c r="A6547" t="str">
        <f>_xlfn.XLOOKUP(C6547, 'Códigos DANE Municipios'!$B$2:$B$1123, 'Códigos DANE Municipios'!$A$2:$A$1123, "No encontrado")</f>
        <v>41615</v>
      </c>
      <c r="B6547" t="str">
        <f>IFERROR(VLOOKUP(D6547,APOYO!K:L,2,FALSE),A6547)</f>
        <v>41615</v>
      </c>
      <c r="C6547" s="8" t="s">
        <v>1249</v>
      </c>
      <c r="D6547" t="str">
        <f>IFERROR(VLOOKUP(C6547,APOYO!J:K,2,FALSE),C6547)</f>
        <v>RIVERA</v>
      </c>
      <c r="E6547" s="8">
        <v>2021</v>
      </c>
      <c r="F6547" s="8"/>
      <c r="G6547" s="8"/>
      <c r="H6547" s="8">
        <v>55</v>
      </c>
      <c r="I6547" s="8"/>
      <c r="J6547" s="8"/>
      <c r="K6547" s="8"/>
    </row>
    <row r="6548" spans="1:11" hidden="1" x14ac:dyDescent="0.25">
      <c r="A6548" t="str">
        <f>_xlfn.XLOOKUP(C6548, 'Códigos DANE Municipios'!$B$2:$B$1123, 'Códigos DANE Municipios'!$A$2:$A$1123, "No encontrado")</f>
        <v>20621</v>
      </c>
      <c r="B6548" t="str">
        <f>IFERROR(VLOOKUP(D6548,APOYO!K:L,2,FALSE),A6548)</f>
        <v>20621</v>
      </c>
      <c r="C6548" s="8" t="s">
        <v>848</v>
      </c>
      <c r="D6548" t="str">
        <f>IFERROR(VLOOKUP(C6548,APOYO!J:K,2,FALSE),C6548)</f>
        <v>LA PAZ</v>
      </c>
      <c r="E6548" s="8">
        <v>2021</v>
      </c>
      <c r="F6548" s="8"/>
      <c r="G6548" s="8"/>
      <c r="H6548" s="8">
        <v>8</v>
      </c>
      <c r="I6548" s="8"/>
      <c r="J6548" s="8"/>
      <c r="K6548" s="8"/>
    </row>
    <row r="6549" spans="1:11" hidden="1" x14ac:dyDescent="0.25">
      <c r="A6549" t="str">
        <f>_xlfn.XLOOKUP(C6549, 'Códigos DANE Municipios'!$B$2:$B$1123, 'Códigos DANE Municipios'!$A$2:$A$1123, "No encontrado")</f>
        <v>76622</v>
      </c>
      <c r="B6549" t="str">
        <f>IFERROR(VLOOKUP(D6549,APOYO!K:L,2,FALSE),A6549)</f>
        <v>76622</v>
      </c>
      <c r="C6549" s="8" t="s">
        <v>2011</v>
      </c>
      <c r="D6549" t="str">
        <f>IFERROR(VLOOKUP(C6549,APOYO!J:K,2,FALSE),C6549)</f>
        <v>ROLDANILLO</v>
      </c>
      <c r="E6549" s="8">
        <v>2021</v>
      </c>
      <c r="F6549" s="8"/>
      <c r="G6549" s="8"/>
      <c r="H6549" s="8">
        <v>411</v>
      </c>
      <c r="I6549" s="8"/>
      <c r="J6549" s="8"/>
      <c r="K6549" s="8"/>
    </row>
    <row r="6550" spans="1:11" hidden="1" x14ac:dyDescent="0.25">
      <c r="A6550" t="str">
        <f>_xlfn.XLOOKUP(C6550, 'Códigos DANE Municipios'!$B$2:$B$1123, 'Códigos DANE Municipios'!$A$2:$A$1123, "No encontrado")</f>
        <v>73622</v>
      </c>
      <c r="B6550" t="str">
        <f>IFERROR(VLOOKUP(D6550,APOYO!K:L,2,FALSE),A6550)</f>
        <v>73622</v>
      </c>
      <c r="C6550" s="8" t="s">
        <v>1937</v>
      </c>
      <c r="D6550" t="str">
        <f>IFERROR(VLOOKUP(C6550,APOYO!J:K,2,FALSE),C6550)</f>
        <v>RONCESVALLES</v>
      </c>
      <c r="E6550" s="8">
        <v>2021</v>
      </c>
      <c r="F6550" s="8"/>
      <c r="G6550" s="8"/>
      <c r="H6550" s="8">
        <v>1</v>
      </c>
      <c r="I6550" s="8"/>
      <c r="J6550" s="8"/>
      <c r="K6550" s="8"/>
    </row>
    <row r="6551" spans="1:11" hidden="1" x14ac:dyDescent="0.25">
      <c r="A6551" t="str">
        <f>_xlfn.XLOOKUP(C6551, 'Códigos DANE Municipios'!$B$2:$B$1123, 'Códigos DANE Municipios'!$A$2:$A$1123, "No encontrado")</f>
        <v>73624</v>
      </c>
      <c r="B6551" t="str">
        <f>IFERROR(VLOOKUP(D6551,APOYO!K:L,2,FALSE),A6551)</f>
        <v>73624</v>
      </c>
      <c r="C6551" s="8" t="s">
        <v>1939</v>
      </c>
      <c r="D6551" t="str">
        <f>IFERROR(VLOOKUP(C6551,APOYO!J:K,2,FALSE),C6551)</f>
        <v>ROVIRA</v>
      </c>
      <c r="E6551" s="8">
        <v>2021</v>
      </c>
      <c r="F6551" s="8"/>
      <c r="G6551" s="8"/>
      <c r="H6551" s="8">
        <v>1</v>
      </c>
      <c r="I6551" s="8"/>
      <c r="J6551" s="8"/>
      <c r="K6551" s="8"/>
    </row>
    <row r="6552" spans="1:11" hidden="1" x14ac:dyDescent="0.25">
      <c r="A6552" t="str">
        <f>_xlfn.XLOOKUP(C6552, 'Códigos DANE Municipios'!$B$2:$B$1123, 'Códigos DANE Municipios'!$A$2:$A$1123, "No encontrado")</f>
        <v>68655</v>
      </c>
      <c r="B6552" t="str">
        <f>IFERROR(VLOOKUP(D6552,APOYO!K:L,2,FALSE),A6552)</f>
        <v>68655</v>
      </c>
      <c r="C6552" s="8" t="s">
        <v>1777</v>
      </c>
      <c r="D6552" t="str">
        <f>IFERROR(VLOOKUP(C6552,APOYO!J:K,2,FALSE),C6552)</f>
        <v>SABANA DE TORRES</v>
      </c>
      <c r="E6552" s="8">
        <v>2021</v>
      </c>
      <c r="F6552" s="8"/>
      <c r="G6552" s="8"/>
      <c r="H6552" s="8">
        <v>20</v>
      </c>
      <c r="I6552" s="8"/>
      <c r="J6552" s="8"/>
      <c r="K6552" s="8"/>
    </row>
    <row r="6553" spans="1:11" hidden="1" x14ac:dyDescent="0.25">
      <c r="A6553" t="str">
        <f>_xlfn.XLOOKUP(C6553, 'Códigos DANE Municipios'!$B$2:$B$1123, 'Códigos DANE Municipios'!$A$2:$A$1123, "No encontrado")</f>
        <v>08634</v>
      </c>
      <c r="B6553" t="str">
        <f>IFERROR(VLOOKUP(D6553,APOYO!K:L,2,FALSE),A6553)</f>
        <v>08634</v>
      </c>
      <c r="C6553" s="8" t="s">
        <v>292</v>
      </c>
      <c r="D6553" t="str">
        <f>IFERROR(VLOOKUP(C6553,APOYO!J:K,2,FALSE),C6553)</f>
        <v>SABANAGRANDE</v>
      </c>
      <c r="E6553" s="8">
        <v>2021</v>
      </c>
      <c r="F6553" s="8"/>
      <c r="G6553" s="8"/>
      <c r="H6553" s="8">
        <v>42</v>
      </c>
      <c r="I6553" s="8"/>
      <c r="J6553" s="8"/>
      <c r="K6553" s="8"/>
    </row>
    <row r="6554" spans="1:11" hidden="1" x14ac:dyDescent="0.25">
      <c r="A6554" t="str">
        <f>_xlfn.XLOOKUP(C6554, 'Códigos DANE Municipios'!$B$2:$B$1123, 'Códigos DANE Municipios'!$A$2:$A$1123, "No encontrado")</f>
        <v>05628</v>
      </c>
      <c r="B6554" t="str">
        <f>IFERROR(VLOOKUP(D6554,APOYO!K:L,2,FALSE),A6554)</f>
        <v>05628</v>
      </c>
      <c r="C6554" s="8" t="s">
        <v>182</v>
      </c>
      <c r="D6554" t="str">
        <f>IFERROR(VLOOKUP(C6554,APOYO!J:K,2,FALSE),C6554)</f>
        <v>SABANALARGA</v>
      </c>
      <c r="E6554" s="8">
        <v>2021</v>
      </c>
      <c r="F6554" s="8"/>
      <c r="G6554" s="8"/>
      <c r="H6554" s="8">
        <v>170</v>
      </c>
      <c r="I6554" s="8"/>
      <c r="J6554" s="8"/>
      <c r="K6554" s="8"/>
    </row>
    <row r="6555" spans="1:11" hidden="1" x14ac:dyDescent="0.25">
      <c r="A6555" t="str">
        <f>_xlfn.XLOOKUP(C6555, 'Códigos DANE Municipios'!$B$2:$B$1123, 'Códigos DANE Municipios'!$A$2:$A$1123, "No encontrado")</f>
        <v>05631</v>
      </c>
      <c r="B6555" t="str">
        <f>IFERROR(VLOOKUP(D6555,APOYO!K:L,2,FALSE),A6555)</f>
        <v>05631</v>
      </c>
      <c r="C6555" s="8" t="s">
        <v>184</v>
      </c>
      <c r="D6555" t="str">
        <f>IFERROR(VLOOKUP(C6555,APOYO!J:K,2,FALSE),C6555)</f>
        <v>SABANETA</v>
      </c>
      <c r="E6555" s="8">
        <v>2021</v>
      </c>
      <c r="F6555" s="8"/>
      <c r="G6555" s="8"/>
      <c r="H6555" s="8">
        <v>3334</v>
      </c>
      <c r="I6555" s="8"/>
      <c r="J6555" s="8"/>
      <c r="K6555" s="8"/>
    </row>
    <row r="6556" spans="1:11" hidden="1" x14ac:dyDescent="0.25">
      <c r="A6556" t="str">
        <f>_xlfn.XLOOKUP(C6556, 'Códigos DANE Municipios'!$B$2:$B$1123, 'Códigos DANE Municipios'!$A$2:$A$1123, "No encontrado")</f>
        <v>15632</v>
      </c>
      <c r="B6556" t="str">
        <f>IFERROR(VLOOKUP(D6556,APOYO!K:L,2,FALSE),A6556)</f>
        <v>15632</v>
      </c>
      <c r="C6556" t="s">
        <v>554</v>
      </c>
      <c r="D6556" t="str">
        <f>IFERROR(VLOOKUP(C6556,APOYO!J:K,2,FALSE),C6556)</f>
        <v>SABOYÁ</v>
      </c>
      <c r="E6556">
        <v>2021</v>
      </c>
      <c r="H6556">
        <v>5</v>
      </c>
    </row>
    <row r="6557" spans="1:11" hidden="1" x14ac:dyDescent="0.25">
      <c r="A6557" t="str">
        <f>_xlfn.XLOOKUP(C6557, 'Códigos DANE Municipios'!$B$2:$B$1123, 'Códigos DANE Municipios'!$A$2:$A$1123, "No encontrado")</f>
        <v>15638</v>
      </c>
      <c r="B6557" t="str">
        <f>IFERROR(VLOOKUP(D6557,APOYO!K:L,2,FALSE),A6557)</f>
        <v>15638</v>
      </c>
      <c r="C6557" t="s">
        <v>556</v>
      </c>
      <c r="D6557" t="str">
        <f>IFERROR(VLOOKUP(C6557,APOYO!J:K,2,FALSE),C6557)</f>
        <v>SÁCHICA</v>
      </c>
      <c r="E6557">
        <v>2021</v>
      </c>
      <c r="H6557">
        <v>6</v>
      </c>
    </row>
    <row r="6558" spans="1:11" hidden="1" x14ac:dyDescent="0.25">
      <c r="A6558" t="str">
        <f>_xlfn.XLOOKUP(C6558, 'Códigos DANE Municipios'!$B$2:$B$1123, 'Códigos DANE Municipios'!$A$2:$A$1123, "No encontrado")</f>
        <v>23660</v>
      </c>
      <c r="B6558" t="str">
        <f>IFERROR(VLOOKUP(D6558,APOYO!K:L,2,FALSE),A6558)</f>
        <v>23660</v>
      </c>
      <c r="C6558" s="8" t="s">
        <v>897</v>
      </c>
      <c r="D6558" t="str">
        <f>IFERROR(VLOOKUP(C6558,APOYO!J:K,2,FALSE),C6558)</f>
        <v>SAHAGÚN</v>
      </c>
      <c r="E6558" s="8">
        <v>2021</v>
      </c>
      <c r="F6558" s="8"/>
      <c r="G6558" s="8"/>
      <c r="H6558" s="8">
        <v>85</v>
      </c>
      <c r="I6558" s="8"/>
      <c r="J6558" s="8"/>
      <c r="K6558" s="8"/>
    </row>
    <row r="6559" spans="1:11" hidden="1" x14ac:dyDescent="0.25">
      <c r="A6559" t="str">
        <f>_xlfn.XLOOKUP(C6559, 'Códigos DANE Municipios'!$B$2:$B$1123, 'Códigos DANE Municipios'!$A$2:$A$1123, "No encontrado")</f>
        <v>41660</v>
      </c>
      <c r="B6559" t="str">
        <f>IFERROR(VLOOKUP(D6559,APOYO!K:L,2,FALSE),A6559)</f>
        <v>41660</v>
      </c>
      <c r="C6559" s="8" t="s">
        <v>1251</v>
      </c>
      <c r="D6559" t="str">
        <f>IFERROR(VLOOKUP(C6559,APOYO!J:K,2,FALSE),C6559)</f>
        <v>SALADOBLANCO</v>
      </c>
      <c r="E6559" s="8">
        <v>2021</v>
      </c>
      <c r="F6559" s="8"/>
      <c r="G6559" s="8"/>
      <c r="H6559" s="8"/>
      <c r="I6559" s="8"/>
      <c r="J6559" s="8"/>
      <c r="K6559" s="8"/>
    </row>
    <row r="6560" spans="1:11" hidden="1" x14ac:dyDescent="0.25">
      <c r="A6560" t="str">
        <f>_xlfn.XLOOKUP(C6560, 'Códigos DANE Municipios'!$B$2:$B$1123, 'Códigos DANE Municipios'!$A$2:$A$1123, "No encontrado")</f>
        <v>17653</v>
      </c>
      <c r="B6560" t="str">
        <f>IFERROR(VLOOKUP(D6560,APOYO!K:L,2,FALSE),A6560)</f>
        <v>17653</v>
      </c>
      <c r="C6560" s="8" t="s">
        <v>684</v>
      </c>
      <c r="D6560" t="str">
        <f>IFERROR(VLOOKUP(C6560,APOYO!J:K,2,FALSE),C6560)</f>
        <v>SALAMINA</v>
      </c>
      <c r="E6560" s="8">
        <v>2021</v>
      </c>
      <c r="F6560" s="8"/>
      <c r="G6560" s="8"/>
      <c r="H6560" s="8">
        <v>51</v>
      </c>
      <c r="I6560" s="8"/>
      <c r="J6560" s="8"/>
      <c r="K6560" s="8"/>
    </row>
    <row r="6561" spans="1:11" hidden="1" x14ac:dyDescent="0.25">
      <c r="A6561" t="str">
        <f>_xlfn.XLOOKUP(C6561, 'Códigos DANE Municipios'!$B$2:$B$1123, 'Códigos DANE Municipios'!$A$2:$A$1123, "No encontrado")</f>
        <v>54660</v>
      </c>
      <c r="B6561" t="str">
        <f>IFERROR(VLOOKUP(D6561,APOYO!K:L,2,FALSE),A6561)</f>
        <v>54660</v>
      </c>
      <c r="C6561" s="8" t="s">
        <v>1587</v>
      </c>
      <c r="D6561" t="str">
        <f>IFERROR(VLOOKUP(C6561,APOYO!J:K,2,FALSE),C6561)</f>
        <v>SALAZAR</v>
      </c>
      <c r="E6561" s="8">
        <v>2021</v>
      </c>
      <c r="F6561" s="8"/>
      <c r="G6561" s="8"/>
      <c r="H6561" s="8">
        <v>2</v>
      </c>
      <c r="I6561" s="8"/>
      <c r="J6561" s="8"/>
      <c r="K6561" s="8"/>
    </row>
    <row r="6562" spans="1:11" hidden="1" x14ac:dyDescent="0.25">
      <c r="A6562" t="str">
        <f>_xlfn.XLOOKUP(C6562, 'Códigos DANE Municipios'!$B$2:$B$1123, 'Códigos DANE Municipios'!$A$2:$A$1123, "No encontrado")</f>
        <v>73671</v>
      </c>
      <c r="B6562" t="str">
        <f>IFERROR(VLOOKUP(D6562,APOYO!K:L,2,FALSE),A6562)</f>
        <v>73671</v>
      </c>
      <c r="C6562" s="8" t="s">
        <v>1941</v>
      </c>
      <c r="D6562" t="str">
        <f>IFERROR(VLOOKUP(C6562,APOYO!J:K,2,FALSE),C6562)</f>
        <v>SALDAÑA</v>
      </c>
      <c r="E6562" s="8">
        <v>2021</v>
      </c>
      <c r="F6562" s="8">
        <v>89</v>
      </c>
      <c r="G6562" s="8"/>
      <c r="H6562" s="8">
        <v>11</v>
      </c>
      <c r="I6562" s="8"/>
      <c r="J6562" s="8"/>
      <c r="K6562" s="8"/>
    </row>
    <row r="6563" spans="1:11" hidden="1" x14ac:dyDescent="0.25">
      <c r="A6563" t="str">
        <f>_xlfn.XLOOKUP(C6563, 'Códigos DANE Municipios'!$B$2:$B$1123, 'Códigos DANE Municipios'!$A$2:$A$1123, "No encontrado")</f>
        <v>63690</v>
      </c>
      <c r="B6563" t="str">
        <f>IFERROR(VLOOKUP(D6563,APOYO!K:L,2,FALSE),A6563)</f>
        <v>63690</v>
      </c>
      <c r="C6563" s="8" t="s">
        <v>1626</v>
      </c>
      <c r="D6563" t="str">
        <f>IFERROR(VLOOKUP(C6563,APOYO!J:K,2,FALSE),C6563)</f>
        <v>SALENTO</v>
      </c>
      <c r="E6563" s="8">
        <v>2021</v>
      </c>
      <c r="F6563" s="8"/>
      <c r="G6563" s="8"/>
      <c r="H6563" s="8">
        <v>615</v>
      </c>
      <c r="I6563" s="8"/>
      <c r="J6563" s="8"/>
      <c r="K6563" s="8"/>
    </row>
    <row r="6564" spans="1:11" hidden="1" x14ac:dyDescent="0.25">
      <c r="A6564" t="str">
        <f>_xlfn.XLOOKUP(C6564, 'Códigos DANE Municipios'!$B$2:$B$1123, 'Códigos DANE Municipios'!$A$2:$A$1123, "No encontrado")</f>
        <v>05642</v>
      </c>
      <c r="B6564" t="str">
        <f>IFERROR(VLOOKUP(D6564,APOYO!K:L,2,FALSE),A6564)</f>
        <v>05642</v>
      </c>
      <c r="C6564" s="8" t="s">
        <v>186</v>
      </c>
      <c r="D6564" t="str">
        <f>IFERROR(VLOOKUP(C6564,APOYO!J:K,2,FALSE),C6564)</f>
        <v>SALGAR</v>
      </c>
      <c r="E6564" s="8">
        <v>2021</v>
      </c>
      <c r="F6564" s="8"/>
      <c r="G6564" s="8"/>
      <c r="H6564" s="8">
        <v>20</v>
      </c>
      <c r="I6564" s="8"/>
      <c r="J6564" s="8"/>
      <c r="K6564" s="8"/>
    </row>
    <row r="6565" spans="1:11" hidden="1" x14ac:dyDescent="0.25">
      <c r="A6565" t="str">
        <f>_xlfn.XLOOKUP(C6565, 'Códigos DANE Municipios'!$B$2:$B$1123, 'Códigos DANE Municipios'!$A$2:$A$1123, "No encontrado")</f>
        <v>15646</v>
      </c>
      <c r="B6565" t="str">
        <f>IFERROR(VLOOKUP(D6565,APOYO!K:L,2,FALSE),A6565)</f>
        <v>15646</v>
      </c>
      <c r="C6565" t="s">
        <v>558</v>
      </c>
      <c r="D6565" t="str">
        <f>IFERROR(VLOOKUP(C6565,APOYO!J:K,2,FALSE),C6565)</f>
        <v>SAMACÁ</v>
      </c>
      <c r="E6565">
        <v>2021</v>
      </c>
      <c r="H6565">
        <v>11</v>
      </c>
    </row>
    <row r="6566" spans="1:11" hidden="1" x14ac:dyDescent="0.25">
      <c r="A6566" t="str">
        <f>_xlfn.XLOOKUP(C6566, 'Códigos DANE Municipios'!$B$2:$B$1123, 'Códigos DANE Municipios'!$A$2:$A$1123, "No encontrado")</f>
        <v>17662</v>
      </c>
      <c r="B6566" t="str">
        <f>IFERROR(VLOOKUP(D6566,APOYO!K:L,2,FALSE),A6566)</f>
        <v>17662</v>
      </c>
      <c r="C6566" s="8" t="s">
        <v>686</v>
      </c>
      <c r="D6566" t="str">
        <f>IFERROR(VLOOKUP(C6566,APOYO!J:K,2,FALSE),C6566)</f>
        <v>SAMANÁ</v>
      </c>
      <c r="E6566" s="8">
        <v>2021</v>
      </c>
      <c r="F6566" s="8"/>
      <c r="G6566" s="8"/>
      <c r="H6566" s="8">
        <v>2</v>
      </c>
      <c r="I6566" s="8"/>
      <c r="J6566" s="8"/>
      <c r="K6566" s="8"/>
    </row>
    <row r="6567" spans="1:11" hidden="1" x14ac:dyDescent="0.25">
      <c r="A6567" t="str">
        <f>_xlfn.XLOOKUP(C6567, 'Códigos DANE Municipios'!$B$2:$B$1123, 'Códigos DANE Municipios'!$A$2:$A$1123, "No encontrado")</f>
        <v>52678</v>
      </c>
      <c r="B6567" t="str">
        <f>IFERROR(VLOOKUP(D6567,APOYO!K:L,2,FALSE),A6567)</f>
        <v>52678</v>
      </c>
      <c r="C6567" s="8" t="s">
        <v>1504</v>
      </c>
      <c r="D6567" t="str">
        <f>IFERROR(VLOOKUP(C6567,APOYO!J:K,2,FALSE),C6567)</f>
        <v>SAMANIEGO</v>
      </c>
      <c r="E6567" s="8">
        <v>2021</v>
      </c>
      <c r="F6567" s="8"/>
      <c r="G6567" s="8"/>
      <c r="H6567" s="8">
        <v>3</v>
      </c>
      <c r="I6567" s="8"/>
      <c r="J6567" s="8"/>
      <c r="K6567" s="8"/>
    </row>
    <row r="6568" spans="1:11" hidden="1" x14ac:dyDescent="0.25">
      <c r="A6568" t="str">
        <f>_xlfn.XLOOKUP(C6568, 'Códigos DANE Municipios'!$B$2:$B$1123, 'Códigos DANE Municipios'!$A$2:$A$1123, "No encontrado")</f>
        <v>70670</v>
      </c>
      <c r="B6568" t="str">
        <f>IFERROR(VLOOKUP(D6568,APOYO!K:L,2,FALSE),A6568)</f>
        <v>70670</v>
      </c>
      <c r="C6568" s="8" t="s">
        <v>1846</v>
      </c>
      <c r="D6568" t="str">
        <f>IFERROR(VLOOKUP(C6568,APOYO!J:K,2,FALSE),C6568)</f>
        <v>SAMPUÉS</v>
      </c>
      <c r="E6568" s="8">
        <v>2021</v>
      </c>
      <c r="F6568" s="8"/>
      <c r="G6568" s="8"/>
      <c r="H6568" s="8">
        <v>16</v>
      </c>
      <c r="I6568" s="8"/>
      <c r="J6568" s="8"/>
      <c r="K6568" s="8"/>
    </row>
    <row r="6569" spans="1:11" hidden="1" x14ac:dyDescent="0.25">
      <c r="A6569" t="str">
        <f>_xlfn.XLOOKUP(C6569, 'Códigos DANE Municipios'!$B$2:$B$1123, 'Códigos DANE Municipios'!$A$2:$A$1123, "No encontrado")</f>
        <v>41668</v>
      </c>
      <c r="B6569" t="str">
        <f>IFERROR(VLOOKUP(D6569,APOYO!K:L,2,FALSE),A6569)</f>
        <v>41668</v>
      </c>
      <c r="C6569" s="8" t="s">
        <v>1253</v>
      </c>
      <c r="D6569" t="str">
        <f>IFERROR(VLOOKUP(C6569,APOYO!J:K,2,FALSE),C6569)</f>
        <v>SAN AGUSTÍN</v>
      </c>
      <c r="E6569" s="8">
        <v>2021</v>
      </c>
      <c r="F6569" s="8"/>
      <c r="G6569" s="8"/>
      <c r="H6569" s="8">
        <v>149</v>
      </c>
      <c r="I6569" s="8"/>
      <c r="J6569" s="8"/>
      <c r="K6569" s="8"/>
    </row>
    <row r="6570" spans="1:11" hidden="1" x14ac:dyDescent="0.25">
      <c r="A6570" t="str">
        <f>_xlfn.XLOOKUP(C6570, 'Códigos DANE Municipios'!$B$2:$B$1123, 'Códigos DANE Municipios'!$A$2:$A$1123, "No encontrado")</f>
        <v>20710</v>
      </c>
      <c r="B6570" t="str">
        <f>IFERROR(VLOOKUP(D6570,APOYO!K:L,2,FALSE),A6570)</f>
        <v>20710</v>
      </c>
      <c r="C6570" s="8" t="s">
        <v>850</v>
      </c>
      <c r="D6570" t="str">
        <f>IFERROR(VLOOKUP(C6570,APOYO!J:K,2,FALSE),C6570)</f>
        <v>SAN ALBERTO</v>
      </c>
      <c r="E6570" s="8">
        <v>2021</v>
      </c>
      <c r="F6570" s="8"/>
      <c r="G6570" s="8"/>
      <c r="H6570" s="8">
        <v>11</v>
      </c>
      <c r="I6570" s="8"/>
      <c r="J6570" s="8"/>
      <c r="K6570" s="8"/>
    </row>
    <row r="6571" spans="1:11" hidden="1" x14ac:dyDescent="0.25">
      <c r="A6571" t="str">
        <f>_xlfn.XLOOKUP(C6571, 'Códigos DANE Municipios'!$B$2:$B$1123, 'Códigos DANE Municipios'!$A$2:$A$1123, "No encontrado")</f>
        <v>68669</v>
      </c>
      <c r="B6571" t="str">
        <f>IFERROR(VLOOKUP(D6571,APOYO!K:L,2,FALSE),A6571)</f>
        <v>68669</v>
      </c>
      <c r="C6571" s="8" t="s">
        <v>1779</v>
      </c>
      <c r="D6571" t="str">
        <f>IFERROR(VLOOKUP(C6571,APOYO!J:K,2,FALSE),C6571)</f>
        <v>SAN ANDRÉS</v>
      </c>
      <c r="E6571" s="8">
        <v>2021</v>
      </c>
      <c r="F6571" s="8">
        <v>1209861</v>
      </c>
      <c r="G6571" s="8">
        <v>5294</v>
      </c>
      <c r="H6571" s="8">
        <v>19166</v>
      </c>
      <c r="I6571" s="8"/>
      <c r="J6571" s="8"/>
      <c r="K6571" s="8"/>
    </row>
    <row r="6572" spans="1:11" hidden="1" x14ac:dyDescent="0.25">
      <c r="A6572" t="str">
        <f>_xlfn.XLOOKUP(C6572, 'Códigos DANE Municipios'!$B$2:$B$1123, 'Códigos DANE Municipios'!$A$2:$A$1123, "No encontrado")</f>
        <v>23670</v>
      </c>
      <c r="B6572" t="str">
        <f>IFERROR(VLOOKUP(D6572,APOYO!K:L,2,FALSE),A6572)</f>
        <v>23670</v>
      </c>
      <c r="C6572" t="s">
        <v>899</v>
      </c>
      <c r="D6572" t="str">
        <f>IFERROR(VLOOKUP(C6572,APOYO!J:K,2,FALSE),C6572)</f>
        <v>SAN ANDRÉS DE SOTAVENTO</v>
      </c>
      <c r="E6572">
        <v>2021</v>
      </c>
      <c r="H6572">
        <v>8</v>
      </c>
    </row>
    <row r="6573" spans="1:11" hidden="1" x14ac:dyDescent="0.25">
      <c r="A6573" t="str">
        <f>_xlfn.XLOOKUP(C6573, 'Códigos DANE Municipios'!$B$2:$B$1123, 'Códigos DANE Municipios'!$A$2:$A$1123, "No encontrado")</f>
        <v>23672</v>
      </c>
      <c r="B6573" t="str">
        <f>IFERROR(VLOOKUP(D6573,APOYO!K:L,2,FALSE),A6573)</f>
        <v>23672</v>
      </c>
      <c r="C6573" s="8" t="s">
        <v>901</v>
      </c>
      <c r="D6573" t="str">
        <f>IFERROR(VLOOKUP(C6573,APOYO!J:K,2,FALSE),C6573)</f>
        <v>SAN ANTERO</v>
      </c>
      <c r="E6573" s="8">
        <v>2021</v>
      </c>
      <c r="F6573" s="8"/>
      <c r="G6573" s="8"/>
      <c r="H6573" s="8">
        <v>47</v>
      </c>
      <c r="I6573" s="8"/>
      <c r="J6573" s="8"/>
      <c r="K6573" s="8"/>
    </row>
    <row r="6574" spans="1:11" hidden="1" x14ac:dyDescent="0.25">
      <c r="A6574" t="str">
        <f>_xlfn.XLOOKUP(C6574, 'Códigos DANE Municipios'!$B$2:$B$1123, 'Códigos DANE Municipios'!$A$2:$A$1123, "No encontrado")</f>
        <v>73675</v>
      </c>
      <c r="B6574" t="str">
        <f>IFERROR(VLOOKUP(D6574,APOYO!K:L,2,FALSE),A6574)</f>
        <v>73675</v>
      </c>
      <c r="C6574" s="8" t="s">
        <v>1943</v>
      </c>
      <c r="D6574" t="str">
        <f>IFERROR(VLOOKUP(C6574,APOYO!J:K,2,FALSE),C6574)</f>
        <v>SAN ANTONIO</v>
      </c>
      <c r="E6574" s="8">
        <v>2021</v>
      </c>
      <c r="F6574" s="8"/>
      <c r="G6574" s="8"/>
      <c r="H6574" s="8">
        <v>3</v>
      </c>
      <c r="I6574" s="8"/>
      <c r="J6574" s="8"/>
      <c r="K6574" s="8"/>
    </row>
    <row r="6575" spans="1:11" hidden="1" x14ac:dyDescent="0.25">
      <c r="A6575" t="str">
        <f>_xlfn.XLOOKUP(C6575, 'Códigos DANE Municipios'!$B$2:$B$1123, 'Códigos DANE Municipios'!$A$2:$A$1123, "No encontrado")</f>
        <v>No encontrado</v>
      </c>
      <c r="B6575" t="str">
        <f>IFERROR(VLOOKUP(D6575,APOYO!K:L,2,FALSE),A6575)</f>
        <v>NA</v>
      </c>
      <c r="C6575" t="s">
        <v>2474</v>
      </c>
      <c r="D6575" t="str">
        <f>IFERROR(VLOOKUP(C6575,APOYO!J:K,2,FALSE),C6575)</f>
        <v>SAN ANTONIO DE TENA</v>
      </c>
      <c r="E6575">
        <v>2021</v>
      </c>
      <c r="H6575">
        <v>40</v>
      </c>
    </row>
    <row r="6576" spans="1:11" hidden="1" x14ac:dyDescent="0.25">
      <c r="A6576" t="str">
        <f>_xlfn.XLOOKUP(C6576, 'Códigos DANE Municipios'!$B$2:$B$1123, 'Códigos DANE Municipios'!$A$2:$A$1123, "No encontrado")</f>
        <v>25649</v>
      </c>
      <c r="B6576" t="str">
        <f>IFERROR(VLOOKUP(D6576,APOYO!K:L,2,FALSE),A6576)</f>
        <v>25649</v>
      </c>
      <c r="C6576" s="8" t="s">
        <v>1065</v>
      </c>
      <c r="D6576" t="str">
        <f>IFERROR(VLOOKUP(C6576,APOYO!J:K,2,FALSE),C6576)</f>
        <v>SAN BERNARDO</v>
      </c>
      <c r="E6576" s="8">
        <v>2021</v>
      </c>
      <c r="F6576" s="8"/>
      <c r="G6576" s="8"/>
      <c r="H6576" s="8">
        <v>16</v>
      </c>
      <c r="I6576" s="8"/>
      <c r="J6576" s="8"/>
      <c r="K6576" s="8"/>
    </row>
    <row r="6577" spans="1:11" hidden="1" x14ac:dyDescent="0.25">
      <c r="A6577" t="str">
        <f>_xlfn.XLOOKUP(C6577, 'Códigos DANE Municipios'!$B$2:$B$1123, 'Códigos DANE Municipios'!$A$2:$A$1123, "No encontrado")</f>
        <v>23675</v>
      </c>
      <c r="B6577" t="str">
        <f>IFERROR(VLOOKUP(D6577,APOYO!K:L,2,FALSE),A6577)</f>
        <v>23675</v>
      </c>
      <c r="C6577" t="s">
        <v>903</v>
      </c>
      <c r="D6577" t="str">
        <f>IFERROR(VLOOKUP(C6577,APOYO!J:K,2,FALSE),C6577)</f>
        <v>SAN BERNARDO DEL VIENTO</v>
      </c>
      <c r="E6577">
        <v>2021</v>
      </c>
      <c r="H6577">
        <v>27</v>
      </c>
    </row>
    <row r="6578" spans="1:11" hidden="1" x14ac:dyDescent="0.25">
      <c r="A6578" t="str">
        <f>_xlfn.XLOOKUP(C6578, 'Códigos DANE Municipios'!$B$2:$B$1123, 'Códigos DANE Municipios'!$A$2:$A$1123, "No encontrado")</f>
        <v>05649</v>
      </c>
      <c r="B6578" t="str">
        <f>IFERROR(VLOOKUP(D6578,APOYO!K:L,2,FALSE),A6578)</f>
        <v>05649</v>
      </c>
      <c r="C6578" s="8" t="s">
        <v>190</v>
      </c>
      <c r="D6578" t="str">
        <f>IFERROR(VLOOKUP(C6578,APOYO!J:K,2,FALSE),C6578)</f>
        <v>SAN CARLOS</v>
      </c>
      <c r="E6578" s="8">
        <v>2021</v>
      </c>
      <c r="F6578" s="8"/>
      <c r="G6578" s="8"/>
      <c r="H6578" s="8">
        <v>62</v>
      </c>
      <c r="I6578" s="8"/>
      <c r="J6578" s="8"/>
      <c r="K6578" s="8"/>
    </row>
    <row r="6579" spans="1:11" hidden="1" x14ac:dyDescent="0.25">
      <c r="A6579" t="str">
        <f>_xlfn.XLOOKUP(C6579, 'Códigos DANE Municipios'!$B$2:$B$1123, 'Códigos DANE Municipios'!$A$2:$A$1123, "No encontrado")</f>
        <v>50680</v>
      </c>
      <c r="B6579" t="str">
        <f>IFERROR(VLOOKUP(D6579,APOYO!K:L,2,FALSE),A6579)</f>
        <v>50680</v>
      </c>
      <c r="C6579" t="s">
        <v>1403</v>
      </c>
      <c r="D6579" t="str">
        <f>IFERROR(VLOOKUP(C6579,APOYO!J:K,2,FALSE),C6579)</f>
        <v>SAN CARLOS DE GUAROA</v>
      </c>
      <c r="E6579">
        <v>2021</v>
      </c>
      <c r="F6579">
        <v>20</v>
      </c>
      <c r="H6579">
        <v>4</v>
      </c>
    </row>
    <row r="6580" spans="1:11" hidden="1" x14ac:dyDescent="0.25">
      <c r="A6580" t="str">
        <f>_xlfn.XLOOKUP(C6580, 'Códigos DANE Municipios'!$B$2:$B$1123, 'Códigos DANE Municipios'!$A$2:$A$1123, "No encontrado")</f>
        <v>20750</v>
      </c>
      <c r="B6580" t="str">
        <f>IFERROR(VLOOKUP(D6580,APOYO!K:L,2,FALSE),A6580)</f>
        <v>20750</v>
      </c>
      <c r="C6580" s="8" t="s">
        <v>852</v>
      </c>
      <c r="D6580" t="str">
        <f>IFERROR(VLOOKUP(C6580,APOYO!J:K,2,FALSE),C6580)</f>
        <v>SAN DIEGO</v>
      </c>
      <c r="E6580" s="8">
        <v>2021</v>
      </c>
      <c r="F6580" s="8"/>
      <c r="G6580" s="8"/>
      <c r="H6580" s="8">
        <v>9</v>
      </c>
      <c r="I6580" s="8"/>
      <c r="J6580" s="8"/>
      <c r="K6580" s="8"/>
    </row>
    <row r="6581" spans="1:11" hidden="1" x14ac:dyDescent="0.25">
      <c r="A6581" t="str">
        <f>_xlfn.XLOOKUP(C6581, 'Códigos DANE Municipios'!$B$2:$B$1123, 'Códigos DANE Municipios'!$A$2:$A$1123, "No encontrado")</f>
        <v>13647</v>
      </c>
      <c r="B6581" t="str">
        <f>IFERROR(VLOOKUP(D6581,APOYO!K:L,2,FALSE),A6581)</f>
        <v>13647</v>
      </c>
      <c r="C6581" s="8" t="s">
        <v>365</v>
      </c>
      <c r="D6581" t="str">
        <f>IFERROR(VLOOKUP(C6581,APOYO!J:K,2,FALSE),C6581)</f>
        <v>SAN ESTANISLAO</v>
      </c>
      <c r="E6581" s="8">
        <v>2021</v>
      </c>
      <c r="F6581" s="8"/>
      <c r="G6581" s="8"/>
      <c r="H6581" s="8">
        <v>1</v>
      </c>
      <c r="I6581" s="8"/>
      <c r="J6581" s="8"/>
      <c r="K6581" s="8"/>
    </row>
    <row r="6582" spans="1:11" hidden="1" x14ac:dyDescent="0.25">
      <c r="A6582" t="str">
        <f>_xlfn.XLOOKUP(C6582, 'Códigos DANE Municipios'!$B$2:$B$1123, 'Códigos DANE Municipios'!$A$2:$A$1123, "No encontrado")</f>
        <v>05652</v>
      </c>
      <c r="B6582" t="str">
        <f>IFERROR(VLOOKUP(D6582,APOYO!K:L,2,FALSE),A6582)</f>
        <v>05652</v>
      </c>
      <c r="C6582" s="8" t="s">
        <v>192</v>
      </c>
      <c r="D6582" t="str">
        <f>IFERROR(VLOOKUP(C6582,APOYO!J:K,2,FALSE),C6582)</f>
        <v>SAN FRANCISCO</v>
      </c>
      <c r="E6582" s="8">
        <v>2021</v>
      </c>
      <c r="F6582" s="8"/>
      <c r="G6582" s="8"/>
      <c r="H6582" s="8">
        <v>109</v>
      </c>
      <c r="I6582" s="8"/>
      <c r="J6582" s="8"/>
      <c r="K6582" s="8"/>
    </row>
    <row r="6583" spans="1:11" hidden="1" x14ac:dyDescent="0.25">
      <c r="A6583" t="str">
        <f>_xlfn.XLOOKUP(C6583, 'Códigos DANE Municipios'!$B$2:$B$1123, 'Códigos DANE Municipios'!$A$2:$A$1123, "No encontrado")</f>
        <v>68679</v>
      </c>
      <c r="B6583" t="str">
        <f>IFERROR(VLOOKUP(D6583,APOYO!K:L,2,FALSE),A6583)</f>
        <v>68679</v>
      </c>
      <c r="C6583" s="8" t="s">
        <v>1783</v>
      </c>
      <c r="D6583" t="str">
        <f>IFERROR(VLOOKUP(C6583,APOYO!J:K,2,FALSE),C6583)</f>
        <v>SAN GIL</v>
      </c>
      <c r="E6583" s="8">
        <v>2021</v>
      </c>
      <c r="F6583" s="8">
        <v>81</v>
      </c>
      <c r="G6583" s="8"/>
      <c r="H6583" s="8">
        <v>286</v>
      </c>
      <c r="I6583" s="8"/>
      <c r="J6583" s="8"/>
      <c r="K6583" s="8"/>
    </row>
    <row r="6584" spans="1:11" hidden="1" x14ac:dyDescent="0.25">
      <c r="A6584" t="str">
        <f>_xlfn.XLOOKUP(C6584, 'Códigos DANE Municipios'!$B$2:$B$1123, 'Códigos DANE Municipios'!$A$2:$A$1123, "No encontrado")</f>
        <v>13654</v>
      </c>
      <c r="B6584" t="str">
        <f>IFERROR(VLOOKUP(D6584,APOYO!K:L,2,FALSE),A6584)</f>
        <v>13654</v>
      </c>
      <c r="C6584" s="8" t="s">
        <v>369</v>
      </c>
      <c r="D6584" t="str">
        <f>IFERROR(VLOOKUP(C6584,APOYO!J:K,2,FALSE),C6584)</f>
        <v>SAN JACINTO</v>
      </c>
      <c r="E6584" s="8">
        <v>2021</v>
      </c>
      <c r="F6584" s="8"/>
      <c r="G6584" s="8"/>
      <c r="H6584" s="8">
        <v>2</v>
      </c>
      <c r="I6584" s="8"/>
      <c r="J6584" s="8"/>
      <c r="K6584" s="8"/>
    </row>
    <row r="6585" spans="1:11" hidden="1" x14ac:dyDescent="0.25">
      <c r="A6585" t="str">
        <f>_xlfn.XLOOKUP(C6585, 'Códigos DANE Municipios'!$B$2:$B$1123, 'Códigos DANE Municipios'!$A$2:$A$1123, "No encontrado")</f>
        <v>05656</v>
      </c>
      <c r="B6585" t="str">
        <f>IFERROR(VLOOKUP(D6585,APOYO!K:L,2,FALSE),A6585)</f>
        <v>05656</v>
      </c>
      <c r="C6585" s="8" t="s">
        <v>194</v>
      </c>
      <c r="D6585" t="str">
        <f>IFERROR(VLOOKUP(C6585,APOYO!J:K,2,FALSE),C6585)</f>
        <v>SAN JERÓNIMO</v>
      </c>
      <c r="E6585" s="8">
        <v>2021</v>
      </c>
      <c r="F6585" s="8"/>
      <c r="G6585" s="8"/>
      <c r="H6585" s="8">
        <v>87</v>
      </c>
      <c r="I6585" s="8"/>
      <c r="J6585" s="8"/>
      <c r="K6585" s="8"/>
    </row>
    <row r="6586" spans="1:11" hidden="1" x14ac:dyDescent="0.25">
      <c r="A6586" t="str">
        <f>_xlfn.XLOOKUP(C6586, 'Códigos DANE Municipios'!$B$2:$B$1123, 'Códigos DANE Municipios'!$A$2:$A$1123, "No encontrado")</f>
        <v>17665</v>
      </c>
      <c r="B6586" t="str">
        <f>IFERROR(VLOOKUP(D6586,APOYO!K:L,2,FALSE),A6586)</f>
        <v>17748</v>
      </c>
      <c r="C6586" t="s">
        <v>688</v>
      </c>
      <c r="D6586" t="str">
        <f>IFERROR(VLOOKUP(C6586,APOYO!J:K,2,FALSE),C6586)</f>
        <v>SAN JOSÉ</v>
      </c>
      <c r="E6586">
        <v>2021</v>
      </c>
      <c r="H6586">
        <v>8</v>
      </c>
    </row>
    <row r="6587" spans="1:11" hidden="1" x14ac:dyDescent="0.25">
      <c r="A6587" t="str">
        <f>_xlfn.XLOOKUP(C6587, 'Códigos DANE Municipios'!$B$2:$B$1123, 'Códigos DANE Municipios'!$A$2:$A$1123, "No encontrado")</f>
        <v>18610</v>
      </c>
      <c r="B6587" t="str">
        <f>IFERROR(VLOOKUP(D6587,APOYO!K:L,2,FALSE),A6587)</f>
        <v>18610</v>
      </c>
      <c r="C6587" t="s">
        <v>720</v>
      </c>
      <c r="D6587" t="str">
        <f>IFERROR(VLOOKUP(C6587,APOYO!J:K,2,FALSE),C6587)</f>
        <v>SAN JOSÉ DEL FRAGUA</v>
      </c>
      <c r="E6587">
        <v>2021</v>
      </c>
      <c r="H6587">
        <v>5</v>
      </c>
    </row>
    <row r="6588" spans="1:11" hidden="1" x14ac:dyDescent="0.25">
      <c r="A6588" t="str">
        <f>_xlfn.XLOOKUP(C6588, 'Códigos DANE Municipios'!$B$2:$B$1123, 'Códigos DANE Municipios'!$A$2:$A$1123, "No encontrado")</f>
        <v>41359</v>
      </c>
      <c r="B6588" t="str">
        <f>IFERROR(VLOOKUP(D6588,APOYO!K:L,2,FALSE),A6588)</f>
        <v>41359</v>
      </c>
      <c r="C6588" t="s">
        <v>1230</v>
      </c>
      <c r="D6588" t="str">
        <f>IFERROR(VLOOKUP(C6588,APOYO!J:K,2,FALSE),C6588)</f>
        <v>ISNOS</v>
      </c>
      <c r="E6588">
        <v>2021</v>
      </c>
      <c r="H6588">
        <v>4</v>
      </c>
    </row>
    <row r="6589" spans="1:11" hidden="1" x14ac:dyDescent="0.25">
      <c r="A6589" t="str">
        <f>_xlfn.XLOOKUP(C6589, 'Códigos DANE Municipios'!$B$2:$B$1123, 'Códigos DANE Municipios'!$A$2:$A$1123, "No encontrado")</f>
        <v>15664</v>
      </c>
      <c r="B6589" t="str">
        <f>IFERROR(VLOOKUP(D6589,APOYO!K:L,2,FALSE),A6589)</f>
        <v>15664</v>
      </c>
      <c r="C6589" t="s">
        <v>562</v>
      </c>
      <c r="D6589" t="str">
        <f>IFERROR(VLOOKUP(C6589,APOYO!J:K,2,FALSE),C6589)</f>
        <v>SAN JOSÉ DE PARE</v>
      </c>
      <c r="E6589">
        <v>2021</v>
      </c>
      <c r="H6589">
        <v>7</v>
      </c>
    </row>
    <row r="6590" spans="1:11" hidden="1" x14ac:dyDescent="0.25">
      <c r="A6590" t="str">
        <f>_xlfn.XLOOKUP(C6590, 'Códigos DANE Municipios'!$B$2:$B$1123, 'Códigos DANE Municipios'!$A$2:$A$1123, "No encontrado")</f>
        <v>95001</v>
      </c>
      <c r="B6590" t="str">
        <f>IFERROR(VLOOKUP(D6590,APOYO!K:L,2,FALSE),A6590)</f>
        <v>95001</v>
      </c>
      <c r="C6590" t="s">
        <v>2145</v>
      </c>
      <c r="D6590" t="str">
        <f>IFERROR(VLOOKUP(C6590,APOYO!J:K,2,FALSE),C6590)</f>
        <v>SAN JOSÉ DEL GUAVIARE</v>
      </c>
      <c r="E6590">
        <v>2021</v>
      </c>
      <c r="F6590">
        <v>16572</v>
      </c>
      <c r="H6590">
        <v>69</v>
      </c>
    </row>
    <row r="6591" spans="1:11" hidden="1" x14ac:dyDescent="0.25">
      <c r="A6591" t="str">
        <f>_xlfn.XLOOKUP(C6591, 'Códigos DANE Municipios'!$B$2:$B$1123, 'Códigos DANE Municipios'!$A$2:$A$1123, "No encontrado")</f>
        <v>No encontrado</v>
      </c>
      <c r="B6591" t="str">
        <f>IFERROR(VLOOKUP(D6591,APOYO!K:L,2,FALSE),A6591)</f>
        <v>No encontrado</v>
      </c>
      <c r="C6591" t="s">
        <v>2481</v>
      </c>
      <c r="D6591" t="str">
        <f>IFERROR(VLOOKUP(C6591,APOYO!J:K,2,FALSE),C6591)</f>
        <v>SAN JOSE DE LA MONTAÑA</v>
      </c>
      <c r="E6591">
        <v>2021</v>
      </c>
      <c r="H6591">
        <v>4</v>
      </c>
    </row>
    <row r="6592" spans="1:11" hidden="1" x14ac:dyDescent="0.25">
      <c r="A6592" t="str">
        <f>_xlfn.XLOOKUP(C6592, 'Códigos DANE Municipios'!$B$2:$B$1123, 'Códigos DANE Municipios'!$A$2:$A$1123, "No encontrado")</f>
        <v>50683</v>
      </c>
      <c r="B6592" t="str">
        <f>IFERROR(VLOOKUP(D6592,APOYO!K:L,2,FALSE),A6592)</f>
        <v>50683</v>
      </c>
      <c r="C6592" s="8" t="s">
        <v>1405</v>
      </c>
      <c r="D6592" t="str">
        <f>IFERROR(VLOOKUP(C6592,APOYO!J:K,2,FALSE),C6592)</f>
        <v>SAN JUAN DE ARAMA</v>
      </c>
      <c r="E6592" s="8">
        <v>2021</v>
      </c>
      <c r="F6592" s="8"/>
      <c r="G6592" s="8"/>
      <c r="H6592" s="8">
        <v>11</v>
      </c>
      <c r="I6592" s="8"/>
      <c r="J6592" s="8"/>
      <c r="K6592" s="8"/>
    </row>
    <row r="6593" spans="1:11" hidden="1" x14ac:dyDescent="0.25">
      <c r="A6593" t="str">
        <f>_xlfn.XLOOKUP(C6593, 'Códigos DANE Municipios'!$B$2:$B$1123, 'Códigos DANE Municipios'!$A$2:$A$1123, "No encontrado")</f>
        <v>25662</v>
      </c>
      <c r="B6593" t="str">
        <f>IFERROR(VLOOKUP(D6593,APOYO!K:L,2,FALSE),A6593)</f>
        <v>25662</v>
      </c>
      <c r="C6593" s="8" t="s">
        <v>1070</v>
      </c>
      <c r="D6593" t="str">
        <f>IFERROR(VLOOKUP(C6593,APOYO!J:K,2,FALSE),C6593)</f>
        <v>SAN JUAN DE RIOSECO</v>
      </c>
      <c r="E6593" s="8">
        <v>2021</v>
      </c>
      <c r="F6593" s="8"/>
      <c r="G6593" s="8"/>
      <c r="H6593" s="8">
        <v>4</v>
      </c>
      <c r="I6593" s="8"/>
      <c r="J6593" s="8"/>
      <c r="K6593" s="8"/>
    </row>
    <row r="6594" spans="1:11" hidden="1" x14ac:dyDescent="0.25">
      <c r="A6594" t="str">
        <f>_xlfn.XLOOKUP(C6594, 'Códigos DANE Municipios'!$B$2:$B$1123, 'Códigos DANE Municipios'!$A$2:$A$1123, "No encontrado")</f>
        <v>No encontrado</v>
      </c>
      <c r="B6594" t="str">
        <f>IFERROR(VLOOKUP(D6594,APOYO!K:L,2,FALSE),A6594)</f>
        <v>No encontrado</v>
      </c>
      <c r="C6594" t="s">
        <v>2482</v>
      </c>
      <c r="D6594" t="str">
        <f>IFERROR(VLOOKUP(C6594,APOYO!J:K,2,FALSE),C6594)</f>
        <v>SAN JOSE DE URABA</v>
      </c>
      <c r="E6594">
        <v>2021</v>
      </c>
      <c r="H6594">
        <v>5</v>
      </c>
    </row>
    <row r="6595" spans="1:11" hidden="1" x14ac:dyDescent="0.25">
      <c r="A6595" t="str">
        <f>_xlfn.XLOOKUP(C6595, 'Códigos DANE Municipios'!$B$2:$B$1123, 'Códigos DANE Municipios'!$A$2:$A$1123, "No encontrado")</f>
        <v>44650</v>
      </c>
      <c r="B6595" t="str">
        <f>IFERROR(VLOOKUP(D6595,APOYO!K:L,2,FALSE),A6595)</f>
        <v>44650</v>
      </c>
      <c r="C6595" s="8" t="s">
        <v>1293</v>
      </c>
      <c r="D6595" t="str">
        <f>IFERROR(VLOOKUP(C6595,APOYO!J:K,2,FALSE),C6595)</f>
        <v>SAN JUAN DEL CESAR</v>
      </c>
      <c r="E6595" s="8">
        <v>2021</v>
      </c>
      <c r="F6595" s="8"/>
      <c r="G6595" s="8"/>
      <c r="H6595" s="8">
        <v>26</v>
      </c>
      <c r="I6595" s="8"/>
      <c r="J6595" s="8"/>
      <c r="K6595" s="8"/>
    </row>
    <row r="6596" spans="1:11" hidden="1" x14ac:dyDescent="0.25">
      <c r="A6596" t="str">
        <f>_xlfn.XLOOKUP(C6596, 'Códigos DANE Municipios'!$B$2:$B$1123, 'Códigos DANE Municipios'!$A$2:$A$1123, "No encontrado")</f>
        <v>13657</v>
      </c>
      <c r="B6596" t="str">
        <f>IFERROR(VLOOKUP(D6596,APOYO!K:L,2,FALSE),A6596)</f>
        <v>13657</v>
      </c>
      <c r="C6596" s="8" t="s">
        <v>373</v>
      </c>
      <c r="D6596" t="str">
        <f>IFERROR(VLOOKUP(C6596,APOYO!J:K,2,FALSE),C6596)</f>
        <v>SAN JUAN NEPOMUCENO</v>
      </c>
      <c r="E6596" s="8">
        <v>2021</v>
      </c>
      <c r="F6596" s="8"/>
      <c r="G6596" s="8"/>
      <c r="H6596" s="8">
        <v>33</v>
      </c>
      <c r="I6596" s="8">
        <v>2</v>
      </c>
      <c r="J6596" s="8"/>
      <c r="K6596" s="8"/>
    </row>
    <row r="6597" spans="1:11" hidden="1" x14ac:dyDescent="0.25">
      <c r="A6597" t="str">
        <f>_xlfn.XLOOKUP(C6597, 'Códigos DANE Municipios'!$B$2:$B$1123, 'Códigos DANE Municipios'!$A$2:$A$1123, "No encontrado")</f>
        <v>50686</v>
      </c>
      <c r="B6597" t="str">
        <f>IFERROR(VLOOKUP(D6597,APOYO!K:L,2,FALSE),A6597)</f>
        <v>50686</v>
      </c>
      <c r="C6597" s="8" t="s">
        <v>1407</v>
      </c>
      <c r="D6597" t="str">
        <f>IFERROR(VLOOKUP(C6597,APOYO!J:K,2,FALSE),C6597)</f>
        <v>SAN JUANITO</v>
      </c>
      <c r="E6597" s="8">
        <v>2021</v>
      </c>
      <c r="F6597" s="8"/>
      <c r="G6597" s="8"/>
      <c r="H6597" s="8">
        <v>1</v>
      </c>
      <c r="I6597" s="8"/>
      <c r="J6597" s="8"/>
      <c r="K6597" s="8"/>
    </row>
    <row r="6598" spans="1:11" hidden="1" x14ac:dyDescent="0.25">
      <c r="A6598" t="str">
        <f>_xlfn.XLOOKUP(C6598, 'Códigos DANE Municipios'!$B$2:$B$1123, 'Códigos DANE Municipios'!$A$2:$A$1123, "No encontrado")</f>
        <v>05660</v>
      </c>
      <c r="B6598" t="str">
        <f>IFERROR(VLOOKUP(D6598,APOYO!K:L,2,FALSE),A6598)</f>
        <v>05660</v>
      </c>
      <c r="C6598" s="8" t="s">
        <v>200</v>
      </c>
      <c r="D6598" t="str">
        <f>IFERROR(VLOOKUP(C6598,APOYO!J:K,2,FALSE),C6598)</f>
        <v>SAN LUIS</v>
      </c>
      <c r="E6598" s="8">
        <v>2021</v>
      </c>
      <c r="F6598" s="8"/>
      <c r="G6598" s="8"/>
      <c r="H6598" s="8">
        <v>25</v>
      </c>
      <c r="I6598" s="8"/>
      <c r="J6598" s="8"/>
      <c r="K6598" s="8"/>
    </row>
    <row r="6599" spans="1:11" hidden="1" x14ac:dyDescent="0.25">
      <c r="A6599" t="str">
        <f>_xlfn.XLOOKUP(C6599, 'Códigos DANE Municipios'!$B$2:$B$1123, 'Códigos DANE Municipios'!$A$2:$A$1123, "No encontrado")</f>
        <v>15667</v>
      </c>
      <c r="B6599" t="str">
        <f>IFERROR(VLOOKUP(D6599,APOYO!K:L,2,FALSE),A6599)</f>
        <v>15667</v>
      </c>
      <c r="C6599" s="8" t="s">
        <v>564</v>
      </c>
      <c r="D6599" t="str">
        <f>IFERROR(VLOOKUP(C6599,APOYO!J:K,2,FALSE),C6599)</f>
        <v>SAN LUIS DE GACENO</v>
      </c>
      <c r="E6599" s="8">
        <v>2021</v>
      </c>
      <c r="F6599" s="8"/>
      <c r="G6599" s="8"/>
      <c r="H6599" s="8">
        <v>8</v>
      </c>
      <c r="I6599" s="8"/>
      <c r="J6599" s="8"/>
      <c r="K6599" s="8"/>
    </row>
    <row r="6600" spans="1:11" hidden="1" x14ac:dyDescent="0.25">
      <c r="A6600" t="str">
        <f>_xlfn.XLOOKUP(C6600, 'Códigos DANE Municipios'!$B$2:$B$1123, 'Códigos DANE Municipios'!$A$2:$A$1123, "No encontrado")</f>
        <v>85325</v>
      </c>
      <c r="B6600" t="str">
        <f>IFERROR(VLOOKUP(D6600,APOYO!K:L,2,FALSE),A6600)</f>
        <v>85325</v>
      </c>
      <c r="C6600" s="8" t="s">
        <v>2075</v>
      </c>
      <c r="D6600" t="str">
        <f>IFERROR(VLOOKUP(C6600,APOYO!J:K,2,FALSE),C6600)</f>
        <v>SAN LUIS DE PALENQUE</v>
      </c>
      <c r="E6600" s="8">
        <v>2021</v>
      </c>
      <c r="F6600" s="8">
        <v>41</v>
      </c>
      <c r="G6600" s="8"/>
      <c r="H6600" s="8"/>
      <c r="I6600" s="8"/>
      <c r="J6600" s="8"/>
      <c r="K6600" s="8"/>
    </row>
    <row r="6601" spans="1:11" hidden="1" x14ac:dyDescent="0.25">
      <c r="A6601" t="str">
        <f>_xlfn.XLOOKUP(C6601, 'Códigos DANE Municipios'!$B$2:$B$1123, 'Códigos DANE Municipios'!$A$2:$A$1123, "No encontrado")</f>
        <v>70708</v>
      </c>
      <c r="B6601" t="str">
        <f>IFERROR(VLOOKUP(D6601,APOYO!K:L,2,FALSE),A6601)</f>
        <v>70708</v>
      </c>
      <c r="C6601" s="8" t="s">
        <v>1852</v>
      </c>
      <c r="D6601" t="str">
        <f>IFERROR(VLOOKUP(C6601,APOYO!J:K,2,FALSE),C6601)</f>
        <v>SAN MARCOS</v>
      </c>
      <c r="E6601" s="8">
        <v>2021</v>
      </c>
      <c r="F6601" s="8">
        <v>2</v>
      </c>
      <c r="G6601" s="8"/>
      <c r="H6601" s="8">
        <v>29</v>
      </c>
      <c r="I6601" s="8"/>
      <c r="J6601" s="8"/>
      <c r="K6601" s="8"/>
    </row>
    <row r="6602" spans="1:11" hidden="1" x14ac:dyDescent="0.25">
      <c r="A6602" t="str">
        <f>_xlfn.XLOOKUP(C6602, 'Códigos DANE Municipios'!$B$2:$B$1123, 'Códigos DANE Municipios'!$A$2:$A$1123, "No encontrado")</f>
        <v>20770</v>
      </c>
      <c r="B6602" t="str">
        <f>IFERROR(VLOOKUP(D6602,APOYO!K:L,2,FALSE),A6602)</f>
        <v>20770</v>
      </c>
      <c r="C6602" s="8" t="s">
        <v>854</v>
      </c>
      <c r="D6602" t="str">
        <f>IFERROR(VLOOKUP(C6602,APOYO!J:K,2,FALSE),C6602)</f>
        <v>SAN MARTÍN</v>
      </c>
      <c r="E6602" s="8">
        <v>2021</v>
      </c>
      <c r="F6602" s="8">
        <v>1058</v>
      </c>
      <c r="G6602" s="8"/>
      <c r="H6602" s="8">
        <v>38</v>
      </c>
      <c r="I6602" s="8"/>
      <c r="J6602" s="8"/>
      <c r="K6602" s="8"/>
    </row>
    <row r="6603" spans="1:11" hidden="1" x14ac:dyDescent="0.25">
      <c r="A6603" t="str">
        <f>_xlfn.XLOOKUP(C6603, 'Códigos DANE Municipios'!$B$2:$B$1123, 'Códigos DANE Municipios'!$A$2:$A$1123, "No encontrado")</f>
        <v>68686</v>
      </c>
      <c r="B6603" t="str">
        <f>IFERROR(VLOOKUP(D6603,APOYO!K:L,2,FALSE),A6603)</f>
        <v>68686</v>
      </c>
      <c r="C6603" s="8" t="s">
        <v>1789</v>
      </c>
      <c r="D6603" t="str">
        <f>IFERROR(VLOOKUP(C6603,APOYO!J:K,2,FALSE),C6603)</f>
        <v>SAN MIGUEL</v>
      </c>
      <c r="E6603" s="8">
        <v>2021</v>
      </c>
      <c r="F6603" s="8"/>
      <c r="G6603" s="8"/>
      <c r="H6603" s="8">
        <v>2</v>
      </c>
      <c r="I6603" s="8"/>
      <c r="J6603" s="8"/>
      <c r="K6603" s="8"/>
    </row>
    <row r="6604" spans="1:11" hidden="1" x14ac:dyDescent="0.25">
      <c r="A6604" t="str">
        <f>_xlfn.XLOOKUP(C6604, 'Códigos DANE Municipios'!$B$2:$B$1123, 'Códigos DANE Municipios'!$A$2:$A$1123, "No encontrado")</f>
        <v>70713</v>
      </c>
      <c r="B6604" t="str">
        <f>IFERROR(VLOOKUP(D6604,APOYO!K:L,2,FALSE),A6604)</f>
        <v>70713</v>
      </c>
      <c r="C6604" s="8" t="s">
        <v>1854</v>
      </c>
      <c r="D6604" t="str">
        <f>IFERROR(VLOOKUP(C6604,APOYO!J:K,2,FALSE),C6604)</f>
        <v>SAN ONOFRE</v>
      </c>
      <c r="E6604" s="8">
        <v>2021</v>
      </c>
      <c r="F6604" s="8"/>
      <c r="G6604" s="8"/>
      <c r="H6604" s="8">
        <v>72</v>
      </c>
      <c r="I6604" s="8"/>
      <c r="J6604" s="8"/>
      <c r="K6604" s="8"/>
    </row>
    <row r="6605" spans="1:11" hidden="1" x14ac:dyDescent="0.25">
      <c r="A6605" t="str">
        <f>_xlfn.XLOOKUP(C6605, 'Códigos DANE Municipios'!$B$2:$B$1123, 'Códigos DANE Municipios'!$A$2:$A$1123, "No encontrado")</f>
        <v>13670</v>
      </c>
      <c r="B6605" t="str">
        <f>IFERROR(VLOOKUP(D6605,APOYO!K:L,2,FALSE),A6605)</f>
        <v>13670</v>
      </c>
      <c r="C6605" s="8" t="s">
        <v>377</v>
      </c>
      <c r="D6605" t="str">
        <f>IFERROR(VLOOKUP(C6605,APOYO!J:K,2,FALSE),C6605)</f>
        <v>SAN PABLO</v>
      </c>
      <c r="E6605" s="8">
        <v>2021</v>
      </c>
      <c r="F6605" s="8"/>
      <c r="G6605" s="8"/>
      <c r="H6605" s="8">
        <v>7</v>
      </c>
      <c r="I6605" s="8"/>
      <c r="J6605" s="8"/>
      <c r="K6605" s="8"/>
    </row>
    <row r="6606" spans="1:11" hidden="1" x14ac:dyDescent="0.25">
      <c r="A6606" t="str">
        <f>_xlfn.XLOOKUP(C6606, 'Códigos DANE Municipios'!$B$2:$B$1123, 'Códigos DANE Municipios'!$A$2:$A$1123, "No encontrado")</f>
        <v>15681</v>
      </c>
      <c r="B6606" t="str">
        <f>IFERROR(VLOOKUP(D6606,APOYO!K:L,2,FALSE),A6606)</f>
        <v>15681</v>
      </c>
      <c r="C6606" t="s">
        <v>570</v>
      </c>
      <c r="D6606" t="str">
        <f>IFERROR(VLOOKUP(C6606,APOYO!J:K,2,FALSE),C6606)</f>
        <v>SAN PABLO DE BORBUR</v>
      </c>
      <c r="E6606">
        <v>2021</v>
      </c>
      <c r="H6606">
        <v>30</v>
      </c>
    </row>
    <row r="6607" spans="1:11" hidden="1" x14ac:dyDescent="0.25">
      <c r="A6607" t="str">
        <f>_xlfn.XLOOKUP(C6607, 'Códigos DANE Municipios'!$B$2:$B$1123, 'Códigos DANE Municipios'!$A$2:$A$1123, "No encontrado")</f>
        <v>70717</v>
      </c>
      <c r="B6607" t="str">
        <f>IFERROR(VLOOKUP(D6607,APOYO!K:L,2,FALSE),A6607)</f>
        <v>70717</v>
      </c>
      <c r="C6607" s="8" t="s">
        <v>1856</v>
      </c>
      <c r="D6607" t="str">
        <f>IFERROR(VLOOKUP(C6607,APOYO!J:K,2,FALSE),C6607)</f>
        <v>SAN PEDRO</v>
      </c>
      <c r="E6607" s="8">
        <v>2021</v>
      </c>
      <c r="F6607" s="8"/>
      <c r="G6607" s="8"/>
      <c r="H6607" s="8">
        <v>119</v>
      </c>
      <c r="I6607" s="8"/>
      <c r="J6607" s="8"/>
      <c r="K6607" s="8"/>
    </row>
    <row r="6608" spans="1:11" hidden="1" x14ac:dyDescent="0.25">
      <c r="A6608" t="str">
        <f>_xlfn.XLOOKUP(C6608, 'Códigos DANE Municipios'!$B$2:$B$1123, 'Códigos DANE Municipios'!$A$2:$A$1123, "No encontrado")</f>
        <v>52694</v>
      </c>
      <c r="B6608" t="str">
        <f>IFERROR(VLOOKUP(D6608,APOYO!K:L,2,FALSE),A6608)</f>
        <v>52694</v>
      </c>
      <c r="C6608" s="8" t="s">
        <v>1512</v>
      </c>
      <c r="D6608" t="str">
        <f>IFERROR(VLOOKUP(C6608,APOYO!J:K,2,FALSE),C6608)</f>
        <v>SAN PEDRO DE CARTAGO</v>
      </c>
      <c r="E6608" s="8">
        <v>2021</v>
      </c>
      <c r="F6608" s="8"/>
      <c r="G6608" s="8"/>
      <c r="H6608" s="8">
        <v>2</v>
      </c>
      <c r="I6608" s="8"/>
      <c r="J6608" s="8"/>
      <c r="K6608" s="8"/>
    </row>
    <row r="6609" spans="1:11" hidden="1" x14ac:dyDescent="0.25">
      <c r="A6609" t="str">
        <f>_xlfn.XLOOKUP(C6609, 'Códigos DANE Municipios'!$B$2:$B$1123, 'Códigos DANE Municipios'!$A$2:$A$1123, "No encontrado")</f>
        <v>05665</v>
      </c>
      <c r="B6609" t="str">
        <f>IFERROR(VLOOKUP(D6609,APOYO!K:L,2,FALSE),A6609)</f>
        <v>05665</v>
      </c>
      <c r="C6609" t="s">
        <v>204</v>
      </c>
      <c r="D6609" t="str">
        <f>IFERROR(VLOOKUP(C6609,APOYO!J:K,2,FALSE),C6609)</f>
        <v>SAN PEDRO DE URABÁ</v>
      </c>
      <c r="E6609">
        <v>2021</v>
      </c>
      <c r="H6609">
        <v>5</v>
      </c>
    </row>
    <row r="6610" spans="1:11" hidden="1" x14ac:dyDescent="0.25">
      <c r="A6610" t="str">
        <f>_xlfn.XLOOKUP(C6610, 'Códigos DANE Municipios'!$B$2:$B$1123, 'Códigos DANE Municipios'!$A$2:$A$1123, "No encontrado")</f>
        <v>05667</v>
      </c>
      <c r="B6610" t="str">
        <f>IFERROR(VLOOKUP(D6610,APOYO!K:L,2,FALSE),A6610)</f>
        <v>05667</v>
      </c>
      <c r="C6610" s="8" t="s">
        <v>206</v>
      </c>
      <c r="D6610" t="str">
        <f>IFERROR(VLOOKUP(C6610,APOYO!J:K,2,FALSE),C6610)</f>
        <v>SAN RAFAEL</v>
      </c>
      <c r="E6610" s="8">
        <v>2021</v>
      </c>
      <c r="F6610" s="8"/>
      <c r="G6610" s="8"/>
      <c r="H6610" s="8">
        <v>101</v>
      </c>
      <c r="I6610" s="8"/>
      <c r="J6610" s="8"/>
      <c r="K6610" s="8"/>
    </row>
    <row r="6611" spans="1:11" hidden="1" x14ac:dyDescent="0.25">
      <c r="A6611" t="str">
        <f>_xlfn.XLOOKUP(C6611, 'Códigos DANE Municipios'!$B$2:$B$1123, 'Códigos DANE Municipios'!$A$2:$A$1123, "No encontrado")</f>
        <v>05670</v>
      </c>
      <c r="B6611" t="str">
        <f>IFERROR(VLOOKUP(D6611,APOYO!K:L,2,FALSE),A6611)</f>
        <v>05670</v>
      </c>
      <c r="C6611" s="8" t="s">
        <v>208</v>
      </c>
      <c r="D6611" t="str">
        <f>IFERROR(VLOOKUP(C6611,APOYO!J:K,2,FALSE),C6611)</f>
        <v>SAN ROQUE</v>
      </c>
      <c r="E6611" s="8">
        <v>2021</v>
      </c>
      <c r="F6611" s="8"/>
      <c r="G6611" s="8"/>
      <c r="H6611" s="8">
        <v>12</v>
      </c>
      <c r="I6611" s="8"/>
      <c r="J6611" s="8"/>
      <c r="K6611" s="8"/>
    </row>
    <row r="6612" spans="1:11" hidden="1" x14ac:dyDescent="0.25">
      <c r="A6612" t="str">
        <f>_xlfn.XLOOKUP(C6612, 'Códigos DANE Municipios'!$B$2:$B$1123, 'Códigos DANE Municipios'!$A$2:$A$1123, "No encontrado")</f>
        <v>19693</v>
      </c>
      <c r="B6612" t="str">
        <f>IFERROR(VLOOKUP(D6612,APOYO!K:L,2,FALSE),A6612)</f>
        <v>19693</v>
      </c>
      <c r="C6612" s="8" t="s">
        <v>785</v>
      </c>
      <c r="D6612" t="str">
        <f>IFERROR(VLOOKUP(C6612,APOYO!J:K,2,FALSE),C6612)</f>
        <v>SAN SEBASTIÁN</v>
      </c>
      <c r="E6612" s="8">
        <v>2021</v>
      </c>
      <c r="F6612" s="8"/>
      <c r="G6612" s="8"/>
      <c r="H6612" s="8">
        <v>14</v>
      </c>
      <c r="I6612" s="8"/>
      <c r="J6612" s="8"/>
      <c r="K6612" s="8"/>
    </row>
    <row r="6613" spans="1:11" hidden="1" x14ac:dyDescent="0.25">
      <c r="A6613" t="str">
        <f>_xlfn.XLOOKUP(C6613, 'Códigos DANE Municipios'!$B$2:$B$1123, 'Códigos DANE Municipios'!$A$2:$A$1123, "No encontrado")</f>
        <v>47692</v>
      </c>
      <c r="B6613" t="str">
        <f>IFERROR(VLOOKUP(D6613,APOYO!K:L,2,FALSE),A6613)</f>
        <v>47692</v>
      </c>
      <c r="C6613" s="8" t="s">
        <v>1342</v>
      </c>
      <c r="D6613" t="str">
        <f>IFERROR(VLOOKUP(C6613,APOYO!J:K,2,FALSE),C6613)</f>
        <v>SAN SEBASTIÁN DE BUENAVISTA</v>
      </c>
      <c r="E6613" s="8">
        <v>2021</v>
      </c>
      <c r="F6613" s="8"/>
      <c r="G6613" s="8"/>
      <c r="H6613" s="8">
        <v>15</v>
      </c>
      <c r="I6613" s="8"/>
      <c r="J6613" s="8"/>
      <c r="K6613" s="8"/>
    </row>
    <row r="6614" spans="1:11" hidden="1" x14ac:dyDescent="0.25">
      <c r="A6614" t="str">
        <f>_xlfn.XLOOKUP(C6614, 'Códigos DANE Municipios'!$B$2:$B$1123, 'Códigos DANE Municipios'!$A$2:$A$1123, "No encontrado")</f>
        <v>05674</v>
      </c>
      <c r="B6614" t="str">
        <f>IFERROR(VLOOKUP(D6614,APOYO!K:L,2,FALSE),A6614)</f>
        <v>05674</v>
      </c>
      <c r="C6614" t="s">
        <v>210</v>
      </c>
      <c r="D6614" t="str">
        <f>IFERROR(VLOOKUP(C6614,APOYO!J:K,2,FALSE),C6614)</f>
        <v>SAN VICENTE FERRER</v>
      </c>
      <c r="E6614">
        <v>2021</v>
      </c>
      <c r="H6614">
        <v>37</v>
      </c>
    </row>
    <row r="6615" spans="1:11" hidden="1" x14ac:dyDescent="0.25">
      <c r="A6615" t="str">
        <f>_xlfn.XLOOKUP(C6615, 'Códigos DANE Municipios'!$B$2:$B$1123, 'Códigos DANE Municipios'!$A$2:$A$1123, "No encontrado")</f>
        <v>68689</v>
      </c>
      <c r="B6615" t="str">
        <f>IFERROR(VLOOKUP(D6615,APOYO!K:L,2,FALSE),A6615)</f>
        <v>68689</v>
      </c>
      <c r="C6615" t="s">
        <v>1791</v>
      </c>
      <c r="D6615" t="str">
        <f>IFERROR(VLOOKUP(C6615,APOYO!J:K,2,FALSE),C6615)</f>
        <v>SAN VICENTE DE CHUCURÍ</v>
      </c>
      <c r="E6615">
        <v>2021</v>
      </c>
      <c r="F6615">
        <v>15</v>
      </c>
      <c r="H6615">
        <v>6</v>
      </c>
    </row>
    <row r="6616" spans="1:11" hidden="1" x14ac:dyDescent="0.25">
      <c r="A6616" t="str">
        <f>_xlfn.XLOOKUP(C6616, 'Códigos DANE Municipios'!$B$2:$B$1123, 'Códigos DANE Municipios'!$A$2:$A$1123, "No encontrado")</f>
        <v>18753</v>
      </c>
      <c r="B6616" t="str">
        <f>IFERROR(VLOOKUP(D6616,APOYO!K:L,2,FALSE),A6616)</f>
        <v>18753</v>
      </c>
      <c r="C6616" t="s">
        <v>722</v>
      </c>
      <c r="D6616" t="str">
        <f>IFERROR(VLOOKUP(C6616,APOYO!J:K,2,FALSE),C6616)</f>
        <v>SAN VICENTE DEL CAGUÁN</v>
      </c>
      <c r="E6616">
        <v>2021</v>
      </c>
      <c r="F6616">
        <v>3848</v>
      </c>
      <c r="H6616">
        <v>20</v>
      </c>
    </row>
    <row r="6617" spans="1:11" hidden="1" x14ac:dyDescent="0.25">
      <c r="A6617" t="str">
        <f>_xlfn.XLOOKUP(C6617, 'Códigos DANE Municipios'!$B$2:$B$1123, 'Códigos DANE Municipios'!$A$2:$A$1123, "No encontrado")</f>
        <v>52683</v>
      </c>
      <c r="B6617" t="str">
        <f>IFERROR(VLOOKUP(D6617,APOYO!K:L,2,FALSE),A6617)</f>
        <v>52683</v>
      </c>
      <c r="C6617" s="8" t="s">
        <v>1506</v>
      </c>
      <c r="D6617" t="str">
        <f>IFERROR(VLOOKUP(C6617,APOYO!J:K,2,FALSE),C6617)</f>
        <v>SANDONÁ</v>
      </c>
      <c r="E6617" s="8">
        <v>2021</v>
      </c>
      <c r="F6617" s="8"/>
      <c r="G6617" s="8"/>
      <c r="H6617" s="8">
        <v>7</v>
      </c>
      <c r="I6617" s="8"/>
      <c r="J6617" s="8"/>
      <c r="K6617" s="8"/>
    </row>
    <row r="6618" spans="1:11" hidden="1" x14ac:dyDescent="0.25">
      <c r="A6618" t="str">
        <f>_xlfn.XLOOKUP(C6618, 'Códigos DANE Municipios'!$B$2:$B$1123, 'Códigos DANE Municipios'!$A$2:$A$1123, "No encontrado")</f>
        <v>47707</v>
      </c>
      <c r="B6618" t="str">
        <f>IFERROR(VLOOKUP(D6618,APOYO!K:L,2,FALSE),A6618)</f>
        <v>47707</v>
      </c>
      <c r="C6618" s="8" t="s">
        <v>1346</v>
      </c>
      <c r="D6618" t="str">
        <f>IFERROR(VLOOKUP(C6618,APOYO!J:K,2,FALSE),C6618)</f>
        <v>SANTA ANA</v>
      </c>
      <c r="E6618" s="8">
        <v>2021</v>
      </c>
      <c r="F6618" s="8"/>
      <c r="G6618" s="8"/>
      <c r="H6618" s="8">
        <v>65</v>
      </c>
      <c r="I6618" s="8"/>
      <c r="J6618" s="8"/>
      <c r="K6618" s="8"/>
    </row>
    <row r="6619" spans="1:11" hidden="1" x14ac:dyDescent="0.25">
      <c r="A6619" t="str">
        <f>_xlfn.XLOOKUP(C6619, 'Códigos DANE Municipios'!$B$2:$B$1123, 'Códigos DANE Municipios'!$A$2:$A$1123, "No encontrado")</f>
        <v>05679</v>
      </c>
      <c r="B6619" t="str">
        <f>IFERROR(VLOOKUP(D6619,APOYO!K:L,2,FALSE),A6619)</f>
        <v>05679</v>
      </c>
      <c r="C6619" s="8" t="s">
        <v>212</v>
      </c>
      <c r="D6619" t="str">
        <f>IFERROR(VLOOKUP(C6619,APOYO!J:K,2,FALSE),C6619)</f>
        <v>SANTA BÁRBARA</v>
      </c>
      <c r="E6619" s="8">
        <v>2021</v>
      </c>
      <c r="F6619" s="8"/>
      <c r="G6619" s="8"/>
      <c r="H6619" s="8">
        <v>38</v>
      </c>
      <c r="I6619" s="8"/>
      <c r="J6619" s="8"/>
      <c r="K6619" s="8"/>
    </row>
    <row r="6620" spans="1:11" hidden="1" x14ac:dyDescent="0.25">
      <c r="A6620" t="str">
        <f>_xlfn.XLOOKUP(C6620, 'Códigos DANE Municipios'!$B$2:$B$1123, 'Códigos DANE Municipios'!$A$2:$A$1123, "No encontrado")</f>
        <v>13673</v>
      </c>
      <c r="B6620" t="str">
        <f>IFERROR(VLOOKUP(D6620,APOYO!K:L,2,FALSE),A6620)</f>
        <v>13673</v>
      </c>
      <c r="C6620" s="8" t="s">
        <v>379</v>
      </c>
      <c r="D6620" t="str">
        <f>IFERROR(VLOOKUP(C6620,APOYO!J:K,2,FALSE),C6620)</f>
        <v>SANTA CATALINA</v>
      </c>
      <c r="E6620" s="8">
        <v>2021</v>
      </c>
      <c r="F6620" s="8"/>
      <c r="G6620" s="8"/>
      <c r="H6620" s="8">
        <v>10</v>
      </c>
      <c r="I6620" s="8"/>
      <c r="J6620" s="8"/>
      <c r="K6620" s="8"/>
    </row>
    <row r="6621" spans="1:11" hidden="1" x14ac:dyDescent="0.25">
      <c r="A6621" t="str">
        <f>_xlfn.XLOOKUP(C6621, 'Códigos DANE Municipios'!$B$2:$B$1123, 'Códigos DANE Municipios'!$A$2:$A$1123, "No encontrado")</f>
        <v>73686</v>
      </c>
      <c r="B6621" t="str">
        <f>IFERROR(VLOOKUP(D6621,APOYO!K:L,2,FALSE),A6621)</f>
        <v>73686</v>
      </c>
      <c r="C6621" s="8" t="s">
        <v>1946</v>
      </c>
      <c r="D6621" t="str">
        <f>IFERROR(VLOOKUP(C6621,APOYO!J:K,2,FALSE),C6621)</f>
        <v>SANTA ISABEL</v>
      </c>
      <c r="E6621" s="8">
        <v>2021</v>
      </c>
      <c r="F6621" s="8"/>
      <c r="G6621" s="8"/>
      <c r="H6621" s="8"/>
      <c r="I6621" s="8"/>
      <c r="J6621" s="8"/>
      <c r="K6621" s="8"/>
    </row>
    <row r="6622" spans="1:11" hidden="1" x14ac:dyDescent="0.25">
      <c r="A6622" t="str">
        <f>_xlfn.XLOOKUP(C6622, 'Códigos DANE Municipios'!$B$2:$B$1123, 'Códigos DANE Municipios'!$A$2:$A$1123, "No encontrado")</f>
        <v>15690</v>
      </c>
      <c r="B6622" t="str">
        <f>IFERROR(VLOOKUP(D6622,APOYO!K:L,2,FALSE),A6622)</f>
        <v>15690</v>
      </c>
      <c r="C6622" s="8" t="s">
        <v>574</v>
      </c>
      <c r="D6622" t="str">
        <f>IFERROR(VLOOKUP(C6622,APOYO!J:K,2,FALSE),C6622)</f>
        <v>SANTA MARÍA</v>
      </c>
      <c r="E6622" s="8">
        <v>2021</v>
      </c>
      <c r="F6622" s="8"/>
      <c r="G6622" s="8"/>
      <c r="H6622" s="8">
        <v>12</v>
      </c>
      <c r="I6622" s="8"/>
      <c r="J6622" s="8"/>
      <c r="K6622" s="8"/>
    </row>
    <row r="6623" spans="1:11" hidden="1" x14ac:dyDescent="0.25">
      <c r="A6623" t="str">
        <f>_xlfn.XLOOKUP(C6623, 'Códigos DANE Municipios'!$B$2:$B$1123, 'Códigos DANE Municipios'!$A$2:$A$1123, "No encontrado")</f>
        <v>47001</v>
      </c>
      <c r="B6623" t="str">
        <f>IFERROR(VLOOKUP(D6623,APOYO!K:L,2,FALSE),A6623)</f>
        <v>47001</v>
      </c>
      <c r="C6623" s="8" t="s">
        <v>1300</v>
      </c>
      <c r="D6623" t="str">
        <f>IFERROR(VLOOKUP(C6623,APOYO!J:K,2,FALSE),C6623)</f>
        <v>SANTA MARTA</v>
      </c>
      <c r="E6623" s="8">
        <v>2021</v>
      </c>
      <c r="F6623" s="8">
        <v>1259986</v>
      </c>
      <c r="G6623" s="8">
        <v>4287</v>
      </c>
      <c r="H6623" s="8">
        <v>13148</v>
      </c>
      <c r="I6623" s="8">
        <v>405109</v>
      </c>
      <c r="J6623" s="8"/>
      <c r="K6623" s="8"/>
    </row>
    <row r="6624" spans="1:11" hidden="1" x14ac:dyDescent="0.25">
      <c r="A6624" t="str">
        <f>_xlfn.XLOOKUP(C6624, 'Códigos DANE Municipios'!$B$2:$B$1123, 'Códigos DANE Municipios'!$A$2:$A$1123, "No encontrado")</f>
        <v>13683</v>
      </c>
      <c r="B6624" t="str">
        <f>IFERROR(VLOOKUP(D6624,APOYO!K:L,2,FALSE),A6624)</f>
        <v>13683</v>
      </c>
      <c r="C6624" s="8" t="s">
        <v>381</v>
      </c>
      <c r="D6624" t="str">
        <f>IFERROR(VLOOKUP(C6624,APOYO!J:K,2,FALSE),C6624)</f>
        <v>SANTA ROSA</v>
      </c>
      <c r="E6624" s="8">
        <v>2021</v>
      </c>
      <c r="F6624" s="8"/>
      <c r="G6624" s="8"/>
      <c r="H6624" s="8">
        <v>19</v>
      </c>
      <c r="I6624" s="8"/>
      <c r="J6624" s="8"/>
      <c r="K6624" s="8"/>
    </row>
    <row r="6625" spans="1:11" hidden="1" x14ac:dyDescent="0.25">
      <c r="A6625" t="str">
        <f>_xlfn.XLOOKUP(C6625, 'Códigos DANE Municipios'!$B$2:$B$1123, 'Códigos DANE Municipios'!$A$2:$A$1123, "No encontrado")</f>
        <v>66682</v>
      </c>
      <c r="B6625" t="str">
        <f>IFERROR(VLOOKUP(D6625,APOYO!K:L,2,FALSE),A6625)</f>
        <v>66682</v>
      </c>
      <c r="C6625" s="8" t="s">
        <v>1651</v>
      </c>
      <c r="D6625" t="str">
        <f>IFERROR(VLOOKUP(C6625,APOYO!J:K,2,FALSE),C6625)</f>
        <v>SANTA ROSA DE CABAL</v>
      </c>
      <c r="E6625" s="8">
        <v>2021</v>
      </c>
      <c r="F6625" s="8"/>
      <c r="G6625" s="8"/>
      <c r="H6625" s="8">
        <v>1087</v>
      </c>
      <c r="I6625" s="8"/>
      <c r="J6625" s="8"/>
      <c r="K6625" s="8"/>
    </row>
    <row r="6626" spans="1:11" hidden="1" x14ac:dyDescent="0.25">
      <c r="A6626" t="str">
        <f>_xlfn.XLOOKUP(C6626, 'Códigos DANE Municipios'!$B$2:$B$1123, 'Códigos DANE Municipios'!$A$2:$A$1123, "No encontrado")</f>
        <v>15693</v>
      </c>
      <c r="B6626" t="str">
        <f>IFERROR(VLOOKUP(D6626,APOYO!K:L,2,FALSE),A6626)</f>
        <v>15693</v>
      </c>
      <c r="C6626" t="s">
        <v>576</v>
      </c>
      <c r="D6626" t="str">
        <f>IFERROR(VLOOKUP(C6626,APOYO!J:K,2,FALSE),C6626)</f>
        <v>SANTA ROSA DE VITERBO</v>
      </c>
      <c r="E6626">
        <v>2021</v>
      </c>
      <c r="H6626">
        <v>6</v>
      </c>
    </row>
    <row r="6627" spans="1:11" hidden="1" x14ac:dyDescent="0.25">
      <c r="A6627" t="str">
        <f>_xlfn.XLOOKUP(C6627, 'Códigos DANE Municipios'!$B$2:$B$1123, 'Códigos DANE Municipios'!$A$2:$A$1123, "No encontrado")</f>
        <v>13688</v>
      </c>
      <c r="B6627" t="str">
        <f>IFERROR(VLOOKUP(D6627,APOYO!K:L,2,FALSE),A6627)</f>
        <v>13688</v>
      </c>
      <c r="C6627" s="8" t="s">
        <v>383</v>
      </c>
      <c r="D6627" t="str">
        <f>IFERROR(VLOOKUP(C6627,APOYO!J:K,2,FALSE),C6627)</f>
        <v>SANTA ROSA DEL SUR</v>
      </c>
      <c r="E6627" s="8">
        <v>2021</v>
      </c>
      <c r="F6627" s="8">
        <v>452</v>
      </c>
      <c r="G6627" s="8"/>
      <c r="H6627" s="8">
        <v>6</v>
      </c>
      <c r="I6627" s="8"/>
      <c r="J6627" s="8"/>
      <c r="K6627" s="8"/>
    </row>
    <row r="6628" spans="1:11" hidden="1" x14ac:dyDescent="0.25">
      <c r="A6628" t="str">
        <f>_xlfn.XLOOKUP(C6628, 'Códigos DANE Municipios'!$B$2:$B$1123, 'Códigos DANE Municipios'!$A$2:$A$1123, "No encontrado")</f>
        <v>15696</v>
      </c>
      <c r="B6628" t="str">
        <f>IFERROR(VLOOKUP(D6628,APOYO!K:L,2,FALSE),A6628)</f>
        <v>15696</v>
      </c>
      <c r="C6628" t="s">
        <v>578</v>
      </c>
      <c r="D6628" t="str">
        <f>IFERROR(VLOOKUP(C6628,APOYO!J:K,2,FALSE),C6628)</f>
        <v>SANTA SOFÍA</v>
      </c>
      <c r="E6628">
        <v>2021</v>
      </c>
      <c r="H6628">
        <v>2</v>
      </c>
    </row>
    <row r="6629" spans="1:11" hidden="1" x14ac:dyDescent="0.25">
      <c r="A6629" t="str">
        <f>_xlfn.XLOOKUP(C6629, 'Códigos DANE Municipios'!$B$2:$B$1123, 'Códigos DANE Municipios'!$A$2:$A$1123, "No encontrado")</f>
        <v>15686</v>
      </c>
      <c r="B6629" t="str">
        <f>IFERROR(VLOOKUP(D6629,APOYO!K:L,2,FALSE),A6629)</f>
        <v>15686</v>
      </c>
      <c r="C6629" s="8" t="s">
        <v>572</v>
      </c>
      <c r="D6629" t="str">
        <f>IFERROR(VLOOKUP(C6629,APOYO!J:K,2,FALSE),C6629)</f>
        <v>SANTANA</v>
      </c>
      <c r="E6629" s="8">
        <v>2021</v>
      </c>
      <c r="F6629" s="8"/>
      <c r="G6629" s="8"/>
      <c r="H6629" s="8">
        <v>14</v>
      </c>
      <c r="I6629" s="8"/>
      <c r="J6629" s="8"/>
      <c r="K6629" s="8"/>
    </row>
    <row r="6630" spans="1:11" hidden="1" x14ac:dyDescent="0.25">
      <c r="A6630" t="str">
        <f>_xlfn.XLOOKUP(C6630, 'Códigos DANE Municipios'!$B$2:$B$1123, 'Códigos DANE Municipios'!$A$2:$A$1123, "No encontrado")</f>
        <v>19698</v>
      </c>
      <c r="B6630" t="str">
        <f>IFERROR(VLOOKUP(D6630,APOYO!K:L,2,FALSE),A6630)</f>
        <v>19698</v>
      </c>
      <c r="C6630" s="8" t="s">
        <v>787</v>
      </c>
      <c r="D6630" t="str">
        <f>IFERROR(VLOOKUP(C6630,APOYO!J:K,2,FALSE),C6630)</f>
        <v>SANTANDER DE QUILICHAO</v>
      </c>
      <c r="E6630" s="8">
        <v>2021</v>
      </c>
      <c r="F6630" s="8"/>
      <c r="G6630" s="8"/>
      <c r="H6630" s="8">
        <v>210</v>
      </c>
      <c r="I6630" s="8"/>
      <c r="J6630" s="8"/>
      <c r="K6630" s="8"/>
    </row>
    <row r="6631" spans="1:11" hidden="1" x14ac:dyDescent="0.25">
      <c r="A6631" t="str">
        <f>_xlfn.XLOOKUP(C6631, 'Códigos DANE Municipios'!$B$2:$B$1123, 'Códigos DANE Municipios'!$A$2:$A$1123, "No encontrado")</f>
        <v>08685</v>
      </c>
      <c r="B6631" t="str">
        <f>IFERROR(VLOOKUP(D6631,APOYO!K:L,2,FALSE),A6631)</f>
        <v>08685</v>
      </c>
      <c r="C6631" s="8" t="s">
        <v>297</v>
      </c>
      <c r="D6631" t="str">
        <f>IFERROR(VLOOKUP(C6631,APOYO!J:K,2,FALSE),C6631)</f>
        <v>SANTO TOMÁS</v>
      </c>
      <c r="E6631" s="8">
        <v>2021</v>
      </c>
      <c r="F6631" s="8"/>
      <c r="G6631" s="8"/>
      <c r="H6631" s="8">
        <v>14</v>
      </c>
      <c r="I6631" s="8"/>
      <c r="J6631" s="8"/>
      <c r="K6631" s="8"/>
    </row>
    <row r="6632" spans="1:11" hidden="1" x14ac:dyDescent="0.25">
      <c r="A6632" t="str">
        <f>_xlfn.XLOOKUP(C6632, 'Códigos DANE Municipios'!$B$2:$B$1123, 'Códigos DANE Municipios'!$A$2:$A$1123, "No encontrado")</f>
        <v>66687</v>
      </c>
      <c r="B6632" t="str">
        <f>IFERROR(VLOOKUP(D6632,APOYO!K:L,2,FALSE),A6632)</f>
        <v>66687</v>
      </c>
      <c r="C6632" s="8" t="s">
        <v>1653</v>
      </c>
      <c r="D6632" t="str">
        <f>IFERROR(VLOOKUP(C6632,APOYO!J:K,2,FALSE),C6632)</f>
        <v>SANTUARIO</v>
      </c>
      <c r="E6632" s="8">
        <v>2021</v>
      </c>
      <c r="F6632" s="8"/>
      <c r="G6632" s="8"/>
      <c r="H6632" s="8">
        <v>100</v>
      </c>
      <c r="I6632" s="8"/>
      <c r="J6632" s="8"/>
      <c r="K6632" s="8"/>
    </row>
    <row r="6633" spans="1:11" hidden="1" x14ac:dyDescent="0.25">
      <c r="A6633" t="str">
        <f>_xlfn.XLOOKUP(C6633, 'Códigos DANE Municipios'!$B$2:$B$1123, 'Códigos DANE Municipios'!$A$2:$A$1123, "No encontrado")</f>
        <v>81736</v>
      </c>
      <c r="B6633" t="str">
        <f>IFERROR(VLOOKUP(D6633,APOYO!K:L,2,FALSE),A6633)</f>
        <v>81736</v>
      </c>
      <c r="C6633" s="8" t="s">
        <v>2044</v>
      </c>
      <c r="D6633" t="str">
        <f>IFERROR(VLOOKUP(C6633,APOYO!J:K,2,FALSE),C6633)</f>
        <v>SARAVENA</v>
      </c>
      <c r="E6633" s="8">
        <v>2021</v>
      </c>
      <c r="F6633" s="8"/>
      <c r="G6633" s="8"/>
      <c r="H6633" s="8">
        <v>255</v>
      </c>
      <c r="I6633" s="8"/>
      <c r="J6633" s="8"/>
      <c r="K6633" s="8"/>
    </row>
    <row r="6634" spans="1:11" hidden="1" x14ac:dyDescent="0.25">
      <c r="A6634" t="str">
        <f>_xlfn.XLOOKUP(C6634, 'Códigos DANE Municipios'!$B$2:$B$1123, 'Códigos DANE Municipios'!$A$2:$A$1123, "No encontrado")</f>
        <v>52720</v>
      </c>
      <c r="B6634" t="str">
        <f>IFERROR(VLOOKUP(D6634,APOYO!K:L,2,FALSE),A6634)</f>
        <v>52720</v>
      </c>
      <c r="C6634" s="8" t="s">
        <v>1517</v>
      </c>
      <c r="D6634" t="str">
        <f>IFERROR(VLOOKUP(C6634,APOYO!J:K,2,FALSE),C6634)</f>
        <v>SAPUYES</v>
      </c>
      <c r="E6634" s="8">
        <v>2021</v>
      </c>
      <c r="F6634" s="8"/>
      <c r="G6634" s="8"/>
      <c r="H6634" s="8">
        <v>4</v>
      </c>
      <c r="I6634" s="8"/>
      <c r="J6634" s="8"/>
      <c r="K6634" s="8"/>
    </row>
    <row r="6635" spans="1:11" hidden="1" x14ac:dyDescent="0.25">
      <c r="A6635" t="str">
        <f>_xlfn.XLOOKUP(C6635, 'Códigos DANE Municipios'!$B$2:$B$1123, 'Códigos DANE Municipios'!$A$2:$A$1123, "No encontrado")</f>
        <v>81736</v>
      </c>
      <c r="B6635" t="str">
        <f>IFERROR(VLOOKUP(D6635,APOYO!K:L,2,FALSE),A6635)</f>
        <v>81736</v>
      </c>
      <c r="C6635" s="8" t="s">
        <v>2044</v>
      </c>
      <c r="D6635" t="str">
        <f>IFERROR(VLOOKUP(C6635,APOYO!J:K,2,FALSE),C6635)</f>
        <v>SARAVENA</v>
      </c>
      <c r="E6635" s="8">
        <v>2021</v>
      </c>
      <c r="F6635" s="8">
        <v>14484</v>
      </c>
      <c r="G6635" s="8"/>
      <c r="H6635" s="8">
        <v>34</v>
      </c>
      <c r="I6635" s="8"/>
      <c r="J6635" s="8"/>
      <c r="K6635" s="8"/>
    </row>
    <row r="6636" spans="1:11" hidden="1" x14ac:dyDescent="0.25">
      <c r="A6636" t="str">
        <f>_xlfn.XLOOKUP(C6636, 'Códigos DANE Municipios'!$B$2:$B$1123, 'Códigos DANE Municipios'!$A$2:$A$1123, "No encontrado")</f>
        <v>54720</v>
      </c>
      <c r="B6636" t="str">
        <f>IFERROR(VLOOKUP(D6636,APOYO!K:L,2,FALSE),A6636)</f>
        <v>54720</v>
      </c>
      <c r="C6636" s="8" t="s">
        <v>1594</v>
      </c>
      <c r="D6636" t="str">
        <f>IFERROR(VLOOKUP(C6636,APOYO!J:K,2,FALSE),C6636)</f>
        <v>SARDINATA</v>
      </c>
      <c r="E6636" s="8">
        <v>2021</v>
      </c>
      <c r="F6636" s="8"/>
      <c r="G6636" s="8"/>
      <c r="H6636" s="8">
        <v>5</v>
      </c>
      <c r="I6636" s="8"/>
      <c r="J6636" s="8"/>
      <c r="K6636" s="8"/>
    </row>
    <row r="6637" spans="1:11" hidden="1" x14ac:dyDescent="0.25">
      <c r="A6637" t="str">
        <f>_xlfn.XLOOKUP(C6637, 'Códigos DANE Municipios'!$B$2:$B$1123, 'Códigos DANE Municipios'!$A$2:$A$1123, "No encontrado")</f>
        <v>25718</v>
      </c>
      <c r="B6637" t="str">
        <f>IFERROR(VLOOKUP(D6637,APOYO!K:L,2,FALSE),A6637)</f>
        <v>25718</v>
      </c>
      <c r="C6637" s="8" t="s">
        <v>1072</v>
      </c>
      <c r="D6637" t="str">
        <f>IFERROR(VLOOKUP(C6637,APOYO!J:K,2,FALSE),C6637)</f>
        <v>SASAIMA</v>
      </c>
      <c r="E6637" s="8">
        <v>2021</v>
      </c>
      <c r="F6637" s="8"/>
      <c r="G6637" s="8"/>
      <c r="H6637" s="8">
        <v>28</v>
      </c>
      <c r="I6637" s="8"/>
      <c r="J6637" s="8"/>
      <c r="K6637" s="8"/>
    </row>
    <row r="6638" spans="1:11" hidden="1" x14ac:dyDescent="0.25">
      <c r="A6638" t="str">
        <f>_xlfn.XLOOKUP(C6638, 'Códigos DANE Municipios'!$B$2:$B$1123, 'Códigos DANE Municipios'!$A$2:$A$1123, "No encontrado")</f>
        <v>05736</v>
      </c>
      <c r="B6638" t="str">
        <f>IFERROR(VLOOKUP(D6638,APOYO!K:L,2,FALSE),A6638)</f>
        <v>05736</v>
      </c>
      <c r="C6638" s="8" t="s">
        <v>220</v>
      </c>
      <c r="D6638" t="str">
        <f>IFERROR(VLOOKUP(C6638,APOYO!J:K,2,FALSE),C6638)</f>
        <v>SEGOVIA</v>
      </c>
      <c r="E6638" s="8">
        <v>2021</v>
      </c>
      <c r="F6638" s="8"/>
      <c r="G6638" s="8"/>
      <c r="H6638" s="8">
        <v>38</v>
      </c>
      <c r="I6638" s="8"/>
      <c r="J6638" s="8"/>
      <c r="K6638" s="8"/>
    </row>
    <row r="6639" spans="1:11" hidden="1" x14ac:dyDescent="0.25">
      <c r="A6639" t="str">
        <f>_xlfn.XLOOKUP(C6639, 'Códigos DANE Municipios'!$B$2:$B$1123, 'Códigos DANE Municipios'!$A$2:$A$1123, "No encontrado")</f>
        <v>25736</v>
      </c>
      <c r="B6639" t="str">
        <f>IFERROR(VLOOKUP(D6639,APOYO!K:L,2,FALSE),A6639)</f>
        <v>25736</v>
      </c>
      <c r="C6639" s="8" t="s">
        <v>1074</v>
      </c>
      <c r="D6639" t="str">
        <f>IFERROR(VLOOKUP(C6639,APOYO!J:K,2,FALSE),C6639)</f>
        <v>SESQUILÉ</v>
      </c>
      <c r="E6639" s="8">
        <v>2021</v>
      </c>
      <c r="F6639" s="8"/>
      <c r="G6639" s="8"/>
      <c r="H6639" s="8">
        <v>36</v>
      </c>
      <c r="I6639" s="8"/>
      <c r="J6639" s="8"/>
      <c r="K6639" s="8"/>
    </row>
    <row r="6640" spans="1:11" hidden="1" x14ac:dyDescent="0.25">
      <c r="A6640" t="str">
        <f>_xlfn.XLOOKUP(C6640, 'Códigos DANE Municipios'!$B$2:$B$1123, 'Códigos DANE Municipios'!$A$2:$A$1123, "No encontrado")</f>
        <v>76736</v>
      </c>
      <c r="B6640" t="str">
        <f>IFERROR(VLOOKUP(D6640,APOYO!K:L,2,FALSE),A6640)</f>
        <v>76736</v>
      </c>
      <c r="C6640" s="8" t="s">
        <v>2014</v>
      </c>
      <c r="D6640" t="str">
        <f>IFERROR(VLOOKUP(C6640,APOYO!J:K,2,FALSE),C6640)</f>
        <v>SEVILLA</v>
      </c>
      <c r="E6640" s="8">
        <v>2021</v>
      </c>
      <c r="F6640" s="8"/>
      <c r="G6640" s="8"/>
      <c r="H6640" s="8">
        <v>227</v>
      </c>
      <c r="I6640" s="8"/>
      <c r="J6640" s="8"/>
      <c r="K6640" s="8"/>
    </row>
    <row r="6641" spans="1:11" hidden="1" x14ac:dyDescent="0.25">
      <c r="A6641" t="str">
        <f>_xlfn.XLOOKUP(C6641, 'Códigos DANE Municipios'!$B$2:$B$1123, 'Códigos DANE Municipios'!$A$2:$A$1123, "No encontrado")</f>
        <v>15740</v>
      </c>
      <c r="B6641" t="str">
        <f>IFERROR(VLOOKUP(D6641,APOYO!K:L,2,FALSE),A6641)</f>
        <v>15740</v>
      </c>
      <c r="C6641" s="8" t="s">
        <v>584</v>
      </c>
      <c r="D6641" t="str">
        <f>IFERROR(VLOOKUP(C6641,APOYO!J:K,2,FALSE),C6641)</f>
        <v>SIACHOQUE</v>
      </c>
      <c r="E6641" s="8">
        <v>2021</v>
      </c>
      <c r="F6641" s="8"/>
      <c r="G6641" s="8"/>
      <c r="H6641" s="8">
        <v>6</v>
      </c>
      <c r="I6641" s="8"/>
      <c r="J6641" s="8"/>
      <c r="K6641" s="8"/>
    </row>
    <row r="6642" spans="1:11" hidden="1" x14ac:dyDescent="0.25">
      <c r="A6642" t="str">
        <f>_xlfn.XLOOKUP(C6642, 'Códigos DANE Municipios'!$B$2:$B$1123, 'Códigos DANE Municipios'!$A$2:$A$1123, "No encontrado")</f>
        <v>25740</v>
      </c>
      <c r="B6642" t="str">
        <f>IFERROR(VLOOKUP(D6642,APOYO!K:L,2,FALSE),A6642)</f>
        <v>25740</v>
      </c>
      <c r="C6642" s="8" t="s">
        <v>1076</v>
      </c>
      <c r="D6642" t="str">
        <f>IFERROR(VLOOKUP(C6642,APOYO!J:K,2,FALSE),C6642)</f>
        <v>SIBATÉ</v>
      </c>
      <c r="E6642" s="8">
        <v>2021</v>
      </c>
      <c r="F6642" s="8"/>
      <c r="G6642" s="8"/>
      <c r="H6642" s="8">
        <v>59</v>
      </c>
      <c r="I6642" s="8"/>
      <c r="J6642" s="8"/>
      <c r="K6642" s="8"/>
    </row>
    <row r="6643" spans="1:11" hidden="1" x14ac:dyDescent="0.25">
      <c r="A6643" t="str">
        <f>_xlfn.XLOOKUP(C6643, 'Códigos DANE Municipios'!$B$2:$B$1123, 'Códigos DANE Municipios'!$A$2:$A$1123, "No encontrado")</f>
        <v>86749</v>
      </c>
      <c r="B6643" t="str">
        <f>IFERROR(VLOOKUP(D6643,APOYO!K:L,2,FALSE),A6643)</f>
        <v>86749</v>
      </c>
      <c r="C6643" s="8" t="s">
        <v>2097</v>
      </c>
      <c r="D6643" t="str">
        <f>IFERROR(VLOOKUP(C6643,APOYO!J:K,2,FALSE),C6643)</f>
        <v>SIBUNDOY</v>
      </c>
      <c r="E6643" s="8">
        <v>2021</v>
      </c>
      <c r="F6643" s="8"/>
      <c r="G6643" s="8"/>
      <c r="H6643" s="8">
        <v>25</v>
      </c>
      <c r="I6643" s="8"/>
      <c r="J6643" s="8"/>
      <c r="K6643" s="8"/>
    </row>
    <row r="6644" spans="1:11" hidden="1" x14ac:dyDescent="0.25">
      <c r="A6644" t="str">
        <f>_xlfn.XLOOKUP(C6644, 'Códigos DANE Municipios'!$B$2:$B$1123, 'Códigos DANE Municipios'!$A$2:$A$1123, "No encontrado")</f>
        <v>25743</v>
      </c>
      <c r="B6644" t="str">
        <f>IFERROR(VLOOKUP(D6644,APOYO!K:L,2,FALSE),A6644)</f>
        <v>25743</v>
      </c>
      <c r="C6644" s="8" t="s">
        <v>1078</v>
      </c>
      <c r="D6644" t="str">
        <f>IFERROR(VLOOKUP(C6644,APOYO!J:K,2,FALSE),C6644)</f>
        <v>SILVANIA</v>
      </c>
      <c r="E6644" s="8">
        <v>2021</v>
      </c>
      <c r="F6644" s="8"/>
      <c r="G6644" s="8"/>
      <c r="H6644" s="8">
        <v>214</v>
      </c>
      <c r="I6644" s="8"/>
      <c r="J6644" s="8"/>
      <c r="K6644" s="8"/>
    </row>
    <row r="6645" spans="1:11" hidden="1" x14ac:dyDescent="0.25">
      <c r="A6645" t="str">
        <f>_xlfn.XLOOKUP(C6645, 'Códigos DANE Municipios'!$B$2:$B$1123, 'Códigos DANE Municipios'!$A$2:$A$1123, "No encontrado")</f>
        <v>19743</v>
      </c>
      <c r="B6645" t="str">
        <f>IFERROR(VLOOKUP(D6645,APOYO!K:L,2,FALSE),A6645)</f>
        <v>19743</v>
      </c>
      <c r="C6645" s="8" t="s">
        <v>790</v>
      </c>
      <c r="D6645" t="str">
        <f>IFERROR(VLOOKUP(C6645,APOYO!J:K,2,FALSE),C6645)</f>
        <v>SILVIA</v>
      </c>
      <c r="E6645" s="8">
        <v>2021</v>
      </c>
      <c r="F6645" s="8"/>
      <c r="G6645" s="8"/>
      <c r="H6645" s="8">
        <v>14</v>
      </c>
      <c r="I6645" s="8"/>
      <c r="J6645" s="8"/>
      <c r="K6645" s="8"/>
    </row>
    <row r="6646" spans="1:11" hidden="1" x14ac:dyDescent="0.25">
      <c r="A6646" t="str">
        <f>_xlfn.XLOOKUP(C6646, 'Códigos DANE Municipios'!$B$2:$B$1123, 'Códigos DANE Municipios'!$A$2:$A$1123, "No encontrado")</f>
        <v>25745</v>
      </c>
      <c r="B6646" t="str">
        <f>IFERROR(VLOOKUP(D6646,APOYO!K:L,2,FALSE),A6646)</f>
        <v>25745</v>
      </c>
      <c r="C6646" s="8" t="s">
        <v>1080</v>
      </c>
      <c r="D6646" t="str">
        <f>IFERROR(VLOOKUP(C6646,APOYO!J:K,2,FALSE),C6646)</f>
        <v>SIMIJACA</v>
      </c>
      <c r="E6646" s="8">
        <v>2021</v>
      </c>
      <c r="F6646" s="8"/>
      <c r="G6646" s="8"/>
      <c r="H6646" s="8">
        <v>159</v>
      </c>
      <c r="I6646" s="8"/>
      <c r="J6646" s="8"/>
      <c r="K6646" s="8"/>
    </row>
    <row r="6647" spans="1:11" hidden="1" x14ac:dyDescent="0.25">
      <c r="A6647" t="str">
        <f>_xlfn.XLOOKUP(C6647, 'Códigos DANE Municipios'!$B$2:$B$1123, 'Códigos DANE Municipios'!$A$2:$A$1123, "No encontrado")</f>
        <v>70742</v>
      </c>
      <c r="B6647" t="str">
        <f>IFERROR(VLOOKUP(D6647,APOYO!K:L,2,FALSE),A6647)</f>
        <v>70742</v>
      </c>
      <c r="C6647" t="s">
        <v>1858</v>
      </c>
      <c r="D6647" t="str">
        <f>IFERROR(VLOOKUP(C6647,APOYO!J:K,2,FALSE),C6647)</f>
        <v>SAN LUIS DE SINCÉ</v>
      </c>
      <c r="E6647">
        <v>2021</v>
      </c>
      <c r="H6647">
        <v>19</v>
      </c>
    </row>
    <row r="6648" spans="1:11" hidden="1" x14ac:dyDescent="0.25">
      <c r="A6648" t="str">
        <f>_xlfn.XLOOKUP(C6648, 'Códigos DANE Municipios'!$B$2:$B$1123, 'Códigos DANE Municipios'!$A$2:$A$1123, "No encontrado")</f>
        <v>70001</v>
      </c>
      <c r="B6648" t="str">
        <f>IFERROR(VLOOKUP(D6648,APOYO!K:L,2,FALSE),A6648)</f>
        <v>70001</v>
      </c>
      <c r="C6648" s="8" t="s">
        <v>1816</v>
      </c>
      <c r="D6648" t="str">
        <f>IFERROR(VLOOKUP(C6648,APOYO!J:K,2,FALSE),C6648)</f>
        <v>SINCELEJO</v>
      </c>
      <c r="E6648" s="8">
        <v>2021</v>
      </c>
      <c r="F6648" s="8"/>
      <c r="G6648" s="8"/>
      <c r="H6648" s="8">
        <v>636</v>
      </c>
      <c r="I6648" s="8"/>
      <c r="J6648" s="8"/>
      <c r="K6648" s="8"/>
    </row>
    <row r="6649" spans="1:11" hidden="1" x14ac:dyDescent="0.25">
      <c r="A6649" t="str">
        <f>_xlfn.XLOOKUP(C6649, 'Códigos DANE Municipios'!$B$2:$B$1123, 'Códigos DANE Municipios'!$A$2:$A$1123, "No encontrado")</f>
        <v>47745</v>
      </c>
      <c r="B6649" t="str">
        <f>IFERROR(VLOOKUP(D6649,APOYO!K:L,2,FALSE),A6649)</f>
        <v>47745</v>
      </c>
      <c r="C6649" s="8" t="s">
        <v>1350</v>
      </c>
      <c r="D6649" t="str">
        <f>IFERROR(VLOOKUP(C6649,APOYO!J:K,2,FALSE),C6649)</f>
        <v>SITIONUEVO</v>
      </c>
      <c r="E6649" s="8">
        <v>2021</v>
      </c>
      <c r="F6649" s="8"/>
      <c r="G6649" s="8"/>
      <c r="H6649" s="8">
        <v>6</v>
      </c>
      <c r="I6649" s="8"/>
      <c r="J6649" s="8"/>
      <c r="K6649" s="8"/>
    </row>
    <row r="6650" spans="1:11" hidden="1" x14ac:dyDescent="0.25">
      <c r="A6650" t="str">
        <f>_xlfn.XLOOKUP(C6650, 'Códigos DANE Municipios'!$B$2:$B$1123, 'Códigos DANE Municipios'!$A$2:$A$1123, "No encontrado")</f>
        <v>25754</v>
      </c>
      <c r="B6650" t="str">
        <f>IFERROR(VLOOKUP(D6650,APOYO!K:L,2,FALSE),A6650)</f>
        <v>25754</v>
      </c>
      <c r="C6650" s="8" t="s">
        <v>1082</v>
      </c>
      <c r="D6650" t="str">
        <f>IFERROR(VLOOKUP(C6650,APOYO!J:K,2,FALSE),C6650)</f>
        <v>SOACHA</v>
      </c>
      <c r="E6650" s="8">
        <v>2021</v>
      </c>
      <c r="F6650" s="8"/>
      <c r="G6650" s="8"/>
      <c r="H6650" s="8">
        <v>924</v>
      </c>
      <c r="I6650" s="8"/>
      <c r="J6650" s="8"/>
      <c r="K6650" s="8"/>
    </row>
    <row r="6651" spans="1:11" hidden="1" x14ac:dyDescent="0.25">
      <c r="A6651" t="str">
        <f>_xlfn.XLOOKUP(C6651, 'Códigos DANE Municipios'!$B$2:$B$1123, 'Códigos DANE Municipios'!$A$2:$A$1123, "No encontrado")</f>
        <v>15753</v>
      </c>
      <c r="B6651" t="str">
        <f>IFERROR(VLOOKUP(D6651,APOYO!K:L,2,FALSE),A6651)</f>
        <v>15753</v>
      </c>
      <c r="C6651" t="s">
        <v>586</v>
      </c>
      <c r="D6651" t="str">
        <f>IFERROR(VLOOKUP(C6651,APOYO!J:K,2,FALSE),C6651)</f>
        <v>SOATÁ</v>
      </c>
      <c r="E6651">
        <v>2021</v>
      </c>
      <c r="H6651">
        <v>10</v>
      </c>
    </row>
    <row r="6652" spans="1:11" hidden="1" x14ac:dyDescent="0.25">
      <c r="A6652" t="str">
        <f>_xlfn.XLOOKUP(C6652, 'Códigos DANE Municipios'!$B$2:$B$1123, 'Códigos DANE Municipios'!$A$2:$A$1123, "No encontrado")</f>
        <v>15757</v>
      </c>
      <c r="B6652" t="str">
        <f>IFERROR(VLOOKUP(D6652,APOYO!K:L,2,FALSE),A6652)</f>
        <v>15757</v>
      </c>
      <c r="C6652" s="8" t="s">
        <v>590</v>
      </c>
      <c r="D6652" t="str">
        <f>IFERROR(VLOOKUP(C6652,APOYO!J:K,2,FALSE),C6652)</f>
        <v>SOCHA</v>
      </c>
      <c r="E6652" s="8">
        <v>2021</v>
      </c>
      <c r="F6652" s="8"/>
      <c r="G6652" s="8"/>
      <c r="H6652" s="8">
        <v>4</v>
      </c>
      <c r="I6652" s="8">
        <v>0</v>
      </c>
      <c r="J6652" s="8"/>
      <c r="K6652" s="8"/>
    </row>
    <row r="6653" spans="1:11" hidden="1" x14ac:dyDescent="0.25">
      <c r="A6653" t="str">
        <f>_xlfn.XLOOKUP(C6653, 'Códigos DANE Municipios'!$B$2:$B$1123, 'Códigos DANE Municipios'!$A$2:$A$1123, "No encontrado")</f>
        <v>68755</v>
      </c>
      <c r="B6653" t="str">
        <f>IFERROR(VLOOKUP(D6653,APOYO!K:L,2,FALSE),A6653)</f>
        <v>68755</v>
      </c>
      <c r="C6653" s="8" t="s">
        <v>1798</v>
      </c>
      <c r="D6653" t="str">
        <f>IFERROR(VLOOKUP(C6653,APOYO!J:K,2,FALSE),C6653)</f>
        <v>SOCORRO</v>
      </c>
      <c r="E6653" s="8">
        <v>2021</v>
      </c>
      <c r="F6653" s="8"/>
      <c r="G6653" s="8"/>
      <c r="H6653" s="8">
        <v>104</v>
      </c>
      <c r="I6653" s="8"/>
      <c r="J6653" s="8"/>
      <c r="K6653" s="8"/>
    </row>
    <row r="6654" spans="1:11" hidden="1" x14ac:dyDescent="0.25">
      <c r="A6654" t="str">
        <f>_xlfn.XLOOKUP(C6654, 'Códigos DANE Municipios'!$B$2:$B$1123, 'Códigos DANE Municipios'!$A$2:$A$1123, "No encontrado")</f>
        <v>15759</v>
      </c>
      <c r="B6654" t="str">
        <f>IFERROR(VLOOKUP(D6654,APOYO!K:L,2,FALSE),A6654)</f>
        <v>15759</v>
      </c>
      <c r="C6654" s="8" t="s">
        <v>592</v>
      </c>
      <c r="D6654" t="str">
        <f>IFERROR(VLOOKUP(C6654,APOYO!J:K,2,FALSE),C6654)</f>
        <v>SOGAMOSO</v>
      </c>
      <c r="E6654" s="8">
        <v>2021</v>
      </c>
      <c r="F6654" s="8"/>
      <c r="G6654" s="8"/>
      <c r="H6654" s="8">
        <v>551</v>
      </c>
      <c r="I6654" s="8"/>
      <c r="J6654" s="8"/>
      <c r="K6654" s="8"/>
    </row>
    <row r="6655" spans="1:11" hidden="1" x14ac:dyDescent="0.25">
      <c r="A6655" t="str">
        <f>_xlfn.XLOOKUP(C6655, 'Códigos DANE Municipios'!$B$2:$B$1123, 'Códigos DANE Municipios'!$A$2:$A$1123, "No encontrado")</f>
        <v>18756</v>
      </c>
      <c r="B6655" t="str">
        <f>IFERROR(VLOOKUP(D6655,APOYO!K:L,2,FALSE),A6655)</f>
        <v>18756</v>
      </c>
      <c r="C6655" s="8" t="s">
        <v>724</v>
      </c>
      <c r="D6655" t="str">
        <f>IFERROR(VLOOKUP(C6655,APOYO!J:K,2,FALSE),C6655)</f>
        <v>SOLANO</v>
      </c>
      <c r="E6655" s="8">
        <v>2021</v>
      </c>
      <c r="F6655" s="8">
        <v>267</v>
      </c>
      <c r="G6655" s="8"/>
      <c r="H6655" s="8">
        <v>2</v>
      </c>
      <c r="I6655" s="8"/>
      <c r="J6655" s="8"/>
      <c r="K6655" s="8"/>
    </row>
    <row r="6656" spans="1:11" hidden="1" x14ac:dyDescent="0.25">
      <c r="A6656" t="str">
        <f>_xlfn.XLOOKUP(C6656, 'Códigos DANE Municipios'!$B$2:$B$1123, 'Códigos DANE Municipios'!$A$2:$A$1123, "No encontrado")</f>
        <v>08758</v>
      </c>
      <c r="B6656" t="str">
        <f>IFERROR(VLOOKUP(D6656,APOYO!K:L,2,FALSE),A6656)</f>
        <v>08758</v>
      </c>
      <c r="C6656" s="8" t="s">
        <v>299</v>
      </c>
      <c r="D6656" t="str">
        <f>IFERROR(VLOOKUP(C6656,APOYO!J:K,2,FALSE),C6656)</f>
        <v>SOLEDAD</v>
      </c>
      <c r="E6656" s="8">
        <v>2021</v>
      </c>
      <c r="F6656" s="8"/>
      <c r="G6656" s="8"/>
      <c r="H6656" s="8">
        <v>716</v>
      </c>
      <c r="I6656" s="8"/>
      <c r="J6656" s="8"/>
      <c r="K6656" s="8"/>
    </row>
    <row r="6657" spans="1:11" hidden="1" x14ac:dyDescent="0.25">
      <c r="A6657" t="str">
        <f>_xlfn.XLOOKUP(C6657, 'Códigos DANE Municipios'!$B$2:$B$1123, 'Códigos DANE Municipios'!$A$2:$A$1123, "No encontrado")</f>
        <v>15761</v>
      </c>
      <c r="B6657" t="str">
        <f>IFERROR(VLOOKUP(D6657,APOYO!K:L,2,FALSE),A6657)</f>
        <v>15761</v>
      </c>
      <c r="C6657" s="8" t="s">
        <v>594</v>
      </c>
      <c r="D6657" t="str">
        <f>IFERROR(VLOOKUP(C6657,APOYO!J:K,2,FALSE),C6657)</f>
        <v>SOMONDOCO</v>
      </c>
      <c r="E6657" s="8">
        <v>2021</v>
      </c>
      <c r="F6657" s="8"/>
      <c r="G6657" s="8"/>
      <c r="H6657" s="8">
        <v>6</v>
      </c>
      <c r="I6657" s="8"/>
      <c r="J6657" s="8"/>
      <c r="K6657" s="8"/>
    </row>
    <row r="6658" spans="1:11" hidden="1" x14ac:dyDescent="0.25">
      <c r="A6658" t="str">
        <f>_xlfn.XLOOKUP(C6658, 'Códigos DANE Municipios'!$B$2:$B$1123, 'Códigos DANE Municipios'!$A$2:$A$1123, "No encontrado")</f>
        <v>05756</v>
      </c>
      <c r="B6658" t="str">
        <f>IFERROR(VLOOKUP(D6658,APOYO!K:L,2,FALSE),A6658)</f>
        <v>05756</v>
      </c>
      <c r="C6658" s="8" t="s">
        <v>222</v>
      </c>
      <c r="D6658" t="str">
        <f>IFERROR(VLOOKUP(C6658,APOYO!J:K,2,FALSE),C6658)</f>
        <v>SONSÓN</v>
      </c>
      <c r="E6658" s="8">
        <v>2021</v>
      </c>
      <c r="F6658" s="8"/>
      <c r="G6658" s="8"/>
      <c r="H6658" s="8">
        <v>44</v>
      </c>
      <c r="I6658" s="8"/>
      <c r="J6658" s="8"/>
      <c r="K6658" s="8"/>
    </row>
    <row r="6659" spans="1:11" hidden="1" x14ac:dyDescent="0.25">
      <c r="A6659" t="str">
        <f>_xlfn.XLOOKUP(C6659, 'Códigos DANE Municipios'!$B$2:$B$1123, 'Códigos DANE Municipios'!$A$2:$A$1123, "No encontrado")</f>
        <v>05761</v>
      </c>
      <c r="B6659" t="str">
        <f>IFERROR(VLOOKUP(D6659,APOYO!K:L,2,FALSE),A6659)</f>
        <v>05761</v>
      </c>
      <c r="C6659" s="8" t="s">
        <v>224</v>
      </c>
      <c r="D6659" t="str">
        <f>IFERROR(VLOOKUP(C6659,APOYO!J:K,2,FALSE),C6659)</f>
        <v>SOPETRÁN</v>
      </c>
      <c r="E6659" s="8">
        <v>2021</v>
      </c>
      <c r="F6659" s="8"/>
      <c r="G6659" s="8"/>
      <c r="H6659" s="8">
        <v>21</v>
      </c>
      <c r="I6659" s="8"/>
      <c r="J6659" s="8"/>
      <c r="K6659" s="8"/>
    </row>
    <row r="6660" spans="1:11" hidden="1" x14ac:dyDescent="0.25">
      <c r="A6660" t="str">
        <f>_xlfn.XLOOKUP(C6660, 'Códigos DANE Municipios'!$B$2:$B$1123, 'Códigos DANE Municipios'!$A$2:$A$1123, "No encontrado")</f>
        <v>25758</v>
      </c>
      <c r="B6660" t="str">
        <f>IFERROR(VLOOKUP(D6660,APOYO!K:L,2,FALSE),A6660)</f>
        <v>25758</v>
      </c>
      <c r="C6660" s="8" t="s">
        <v>1084</v>
      </c>
      <c r="D6660" t="str">
        <f>IFERROR(VLOOKUP(C6660,APOYO!J:K,2,FALSE),C6660)</f>
        <v>SOPÓ</v>
      </c>
      <c r="E6660" s="8">
        <v>2021</v>
      </c>
      <c r="F6660" s="8"/>
      <c r="G6660" s="8"/>
      <c r="H6660" s="8">
        <v>290</v>
      </c>
      <c r="I6660" s="8"/>
      <c r="J6660" s="8"/>
      <c r="K6660" s="8"/>
    </row>
    <row r="6661" spans="1:11" hidden="1" x14ac:dyDescent="0.25">
      <c r="A6661" t="str">
        <f>_xlfn.XLOOKUP(C6661, 'Códigos DANE Municipios'!$B$2:$B$1123, 'Códigos DANE Municipios'!$A$2:$A$1123, "No encontrado")</f>
        <v>15762</v>
      </c>
      <c r="B6661" t="str">
        <f>IFERROR(VLOOKUP(D6661,APOYO!K:L,2,FALSE),A6661)</f>
        <v>15762</v>
      </c>
      <c r="C6661" s="8" t="s">
        <v>596</v>
      </c>
      <c r="D6661" t="str">
        <f>IFERROR(VLOOKUP(C6661,APOYO!J:K,2,FALSE),C6661)</f>
        <v>SORA</v>
      </c>
      <c r="E6661" s="8">
        <v>2021</v>
      </c>
      <c r="F6661" s="8"/>
      <c r="G6661" s="8"/>
      <c r="H6661" s="8">
        <v>3</v>
      </c>
      <c r="I6661" s="8"/>
      <c r="J6661" s="8"/>
      <c r="K6661" s="8"/>
    </row>
    <row r="6662" spans="1:11" hidden="1" x14ac:dyDescent="0.25">
      <c r="A6662" t="str">
        <f>_xlfn.XLOOKUP(C6662, 'Códigos DANE Municipios'!$B$2:$B$1123, 'Códigos DANE Municipios'!$A$2:$A$1123, "No encontrado")</f>
        <v>15763</v>
      </c>
      <c r="B6662" t="str">
        <f>IFERROR(VLOOKUP(D6662,APOYO!K:L,2,FALSE),A6662)</f>
        <v>15763</v>
      </c>
      <c r="C6662" s="8" t="s">
        <v>598</v>
      </c>
      <c r="D6662" t="str">
        <f>IFERROR(VLOOKUP(C6662,APOYO!J:K,2,FALSE),C6662)</f>
        <v>SOTAQUIRÁ</v>
      </c>
      <c r="E6662" s="8">
        <v>2021</v>
      </c>
      <c r="F6662" s="8"/>
      <c r="G6662" s="8"/>
      <c r="H6662" s="8">
        <v>5</v>
      </c>
      <c r="I6662" s="8"/>
      <c r="J6662" s="8"/>
      <c r="K6662" s="8"/>
    </row>
    <row r="6663" spans="1:11" hidden="1" x14ac:dyDescent="0.25">
      <c r="A6663" t="str">
        <f>_xlfn.XLOOKUP(C6663, 'Códigos DANE Municipios'!$B$2:$B$1123, 'Códigos DANE Municipios'!$A$2:$A$1123, "No encontrado")</f>
        <v>05686</v>
      </c>
      <c r="B6663" t="str">
        <f>IFERROR(VLOOKUP(D6663,APOYO!K:L,2,FALSE),A6663)</f>
        <v>05686</v>
      </c>
      <c r="C6663" s="8" t="s">
        <v>214</v>
      </c>
      <c r="D6663" t="str">
        <f>IFERROR(VLOOKUP(C6663,APOYO!J:K,2,FALSE),C6663)</f>
        <v>SANTA ROSA DE OSOS</v>
      </c>
      <c r="E6663" s="8">
        <v>2021</v>
      </c>
      <c r="F6663" s="8"/>
      <c r="G6663" s="8"/>
      <c r="H6663" s="8">
        <v>103</v>
      </c>
      <c r="I6663" s="8"/>
      <c r="J6663" s="8"/>
      <c r="K6663" s="8"/>
    </row>
    <row r="6664" spans="1:11" hidden="1" x14ac:dyDescent="0.25">
      <c r="A6664" t="str">
        <f>_xlfn.XLOOKUP(C6664, 'Códigos DANE Municipios'!$B$2:$B$1123, 'Códigos DANE Municipios'!$A$2:$A$1123, "No encontrado")</f>
        <v>68770</v>
      </c>
      <c r="B6664" t="str">
        <f>IFERROR(VLOOKUP(D6664,APOYO!K:L,2,FALSE),A6664)</f>
        <v>68770</v>
      </c>
      <c r="C6664" s="8" t="s">
        <v>1800</v>
      </c>
      <c r="D6664" t="str">
        <f>IFERROR(VLOOKUP(C6664,APOYO!J:K,2,FALSE),C6664)</f>
        <v>SUAITA</v>
      </c>
      <c r="E6664" s="8">
        <v>2021</v>
      </c>
      <c r="F6664" s="8"/>
      <c r="G6664" s="8"/>
      <c r="H6664" s="8">
        <v>11</v>
      </c>
      <c r="I6664" s="8"/>
      <c r="J6664" s="8"/>
      <c r="K6664" s="8"/>
    </row>
    <row r="6665" spans="1:11" hidden="1" x14ac:dyDescent="0.25">
      <c r="A6665" t="str">
        <f>_xlfn.XLOOKUP(C6665, 'Códigos DANE Municipios'!$B$2:$B$1123, 'Códigos DANE Municipios'!$A$2:$A$1123, "No encontrado")</f>
        <v>08770</v>
      </c>
      <c r="B6665" t="str">
        <f>IFERROR(VLOOKUP(D6665,APOYO!K:L,2,FALSE),A6665)</f>
        <v>08770</v>
      </c>
      <c r="C6665" s="8" t="s">
        <v>301</v>
      </c>
      <c r="D6665" t="str">
        <f>IFERROR(VLOOKUP(C6665,APOYO!J:K,2,FALSE),C6665)</f>
        <v>SUAN</v>
      </c>
      <c r="E6665" s="8">
        <v>2021</v>
      </c>
      <c r="F6665" s="8"/>
      <c r="G6665" s="8"/>
      <c r="H6665" s="8">
        <v>11</v>
      </c>
      <c r="I6665" s="8"/>
      <c r="J6665" s="8"/>
      <c r="K6665" s="8"/>
    </row>
    <row r="6666" spans="1:11" hidden="1" x14ac:dyDescent="0.25">
      <c r="A6666" t="str">
        <f>_xlfn.XLOOKUP(C6666, 'Códigos DANE Municipios'!$B$2:$B$1123, 'Códigos DANE Municipios'!$A$2:$A$1123, "No encontrado")</f>
        <v>19780</v>
      </c>
      <c r="B6666" t="str">
        <f>IFERROR(VLOOKUP(D6666,APOYO!K:L,2,FALSE),A6666)</f>
        <v>19780</v>
      </c>
      <c r="C6666" t="s">
        <v>794</v>
      </c>
      <c r="D6666" t="str">
        <f>IFERROR(VLOOKUP(C6666,APOYO!J:K,2,FALSE),C6666)</f>
        <v>SUÁREZ</v>
      </c>
      <c r="E6666">
        <v>2021</v>
      </c>
      <c r="H6666">
        <v>2</v>
      </c>
    </row>
    <row r="6667" spans="1:11" hidden="1" x14ac:dyDescent="0.25">
      <c r="A6667" t="str">
        <f>_xlfn.XLOOKUP(C6667, 'Códigos DANE Municipios'!$B$2:$B$1123, 'Códigos DANE Municipios'!$A$2:$A$1123, "No encontrado")</f>
        <v>41770</v>
      </c>
      <c r="B6667" t="str">
        <f>IFERROR(VLOOKUP(D6667,APOYO!K:L,2,FALSE),A6667)</f>
        <v>41770</v>
      </c>
      <c r="C6667" s="8" t="s">
        <v>1256</v>
      </c>
      <c r="D6667" t="str">
        <f>IFERROR(VLOOKUP(C6667,APOYO!J:K,2,FALSE),C6667)</f>
        <v>SUAZA</v>
      </c>
      <c r="E6667" s="8">
        <v>2021</v>
      </c>
      <c r="F6667" s="8"/>
      <c r="G6667" s="8"/>
      <c r="H6667" s="8">
        <v>8</v>
      </c>
      <c r="I6667" s="8"/>
      <c r="J6667" s="8"/>
      <c r="K6667" s="8"/>
    </row>
    <row r="6668" spans="1:11" hidden="1" x14ac:dyDescent="0.25">
      <c r="A6668" t="str">
        <f>_xlfn.XLOOKUP(C6668, 'Códigos DANE Municipios'!$B$2:$B$1123, 'Códigos DANE Municipios'!$A$2:$A$1123, "No encontrado")</f>
        <v>25769</v>
      </c>
      <c r="B6668" t="str">
        <f>IFERROR(VLOOKUP(D6668,APOYO!K:L,2,FALSE),A6668)</f>
        <v>25769</v>
      </c>
      <c r="C6668" s="8" t="s">
        <v>1086</v>
      </c>
      <c r="D6668" t="str">
        <f>IFERROR(VLOOKUP(C6668,APOYO!J:K,2,FALSE),C6668)</f>
        <v>SUBACHOQUE</v>
      </c>
      <c r="E6668" s="8">
        <v>2021</v>
      </c>
      <c r="F6668" s="8"/>
      <c r="G6668" s="8"/>
      <c r="H6668" s="8">
        <v>116</v>
      </c>
      <c r="I6668" s="8"/>
      <c r="J6668" s="8"/>
      <c r="K6668" s="8"/>
    </row>
    <row r="6669" spans="1:11" hidden="1" x14ac:dyDescent="0.25">
      <c r="A6669" t="str">
        <f>_xlfn.XLOOKUP(C6669, 'Códigos DANE Municipios'!$B$2:$B$1123, 'Códigos DANE Municipios'!$A$2:$A$1123, "No encontrado")</f>
        <v>19785</v>
      </c>
      <c r="B6669" t="str">
        <f>IFERROR(VLOOKUP(D6669,APOYO!K:L,2,FALSE),A6669)</f>
        <v>19785</v>
      </c>
      <c r="C6669" s="8" t="s">
        <v>796</v>
      </c>
      <c r="D6669" t="str">
        <f>IFERROR(VLOOKUP(C6669,APOYO!J:K,2,FALSE),C6669)</f>
        <v>SUCRE</v>
      </c>
      <c r="E6669" s="8">
        <v>2021</v>
      </c>
      <c r="F6669" s="8"/>
      <c r="G6669" s="8"/>
      <c r="H6669" s="8">
        <v>3</v>
      </c>
      <c r="I6669" s="8"/>
      <c r="J6669" s="8"/>
      <c r="K6669" s="8"/>
    </row>
    <row r="6670" spans="1:11" hidden="1" x14ac:dyDescent="0.25">
      <c r="A6670" t="str">
        <f>_xlfn.XLOOKUP(C6670, 'Códigos DANE Municipios'!$B$2:$B$1123, 'Códigos DANE Municipios'!$A$2:$A$1123, "No encontrado")</f>
        <v>25772</v>
      </c>
      <c r="B6670" t="str">
        <f>IFERROR(VLOOKUP(D6670,APOYO!K:L,2,FALSE),A6670)</f>
        <v>25772</v>
      </c>
      <c r="C6670" s="8" t="s">
        <v>1088</v>
      </c>
      <c r="D6670" t="str">
        <f>IFERROR(VLOOKUP(C6670,APOYO!J:K,2,FALSE),C6670)</f>
        <v>SUESCA</v>
      </c>
      <c r="E6670" s="8">
        <v>2021</v>
      </c>
      <c r="F6670" s="8"/>
      <c r="G6670" s="8"/>
      <c r="H6670" s="8">
        <v>82</v>
      </c>
      <c r="I6670" s="8"/>
      <c r="J6670" s="8"/>
      <c r="K6670" s="8"/>
    </row>
    <row r="6671" spans="1:11" hidden="1" x14ac:dyDescent="0.25">
      <c r="A6671" t="str">
        <f>_xlfn.XLOOKUP(C6671, 'Códigos DANE Municipios'!$B$2:$B$1123, 'Códigos DANE Municipios'!$A$2:$A$1123, "No encontrado")</f>
        <v>25777</v>
      </c>
      <c r="B6671" t="str">
        <f>IFERROR(VLOOKUP(D6671,APOYO!K:L,2,FALSE),A6671)</f>
        <v>25777</v>
      </c>
      <c r="C6671" t="s">
        <v>1090</v>
      </c>
      <c r="D6671" t="str">
        <f>IFERROR(VLOOKUP(C6671,APOYO!J:K,2,FALSE),C6671)</f>
        <v>SUPATÁ</v>
      </c>
      <c r="E6671">
        <v>2021</v>
      </c>
      <c r="H6671">
        <v>12</v>
      </c>
    </row>
    <row r="6672" spans="1:11" hidden="1" x14ac:dyDescent="0.25">
      <c r="A6672" t="str">
        <f>_xlfn.XLOOKUP(C6672, 'Códigos DANE Municipios'!$B$2:$B$1123, 'Códigos DANE Municipios'!$A$2:$A$1123, "No encontrado")</f>
        <v>17777</v>
      </c>
      <c r="B6672" t="str">
        <f>IFERROR(VLOOKUP(D6672,APOYO!K:L,2,FALSE),A6672)</f>
        <v>17777</v>
      </c>
      <c r="C6672" s="8" t="s">
        <v>690</v>
      </c>
      <c r="D6672" t="str">
        <f>IFERROR(VLOOKUP(C6672,APOYO!J:K,2,FALSE),C6672)</f>
        <v>SUPÍA</v>
      </c>
      <c r="E6672" s="8">
        <v>2021</v>
      </c>
      <c r="F6672" s="8"/>
      <c r="G6672" s="8"/>
      <c r="H6672" s="8">
        <v>107</v>
      </c>
      <c r="I6672" s="8"/>
      <c r="J6672" s="8"/>
      <c r="K6672" s="8"/>
    </row>
    <row r="6673" spans="1:11" hidden="1" x14ac:dyDescent="0.25">
      <c r="A6673" t="str">
        <f>_xlfn.XLOOKUP(C6673, 'Códigos DANE Municipios'!$B$2:$B$1123, 'Códigos DANE Municipios'!$A$2:$A$1123, "No encontrado")</f>
        <v>25779</v>
      </c>
      <c r="B6673" t="str">
        <f>IFERROR(VLOOKUP(D6673,APOYO!K:L,2,FALSE),A6673)</f>
        <v>25779</v>
      </c>
      <c r="C6673" s="8" t="s">
        <v>1092</v>
      </c>
      <c r="D6673" t="str">
        <f>IFERROR(VLOOKUP(C6673,APOYO!J:K,2,FALSE),C6673)</f>
        <v>SUSA</v>
      </c>
      <c r="E6673" s="8">
        <v>2021</v>
      </c>
      <c r="F6673" s="8"/>
      <c r="G6673" s="8"/>
      <c r="H6673" s="8">
        <v>4</v>
      </c>
      <c r="I6673" s="8"/>
      <c r="J6673" s="8"/>
      <c r="K6673" s="8"/>
    </row>
    <row r="6674" spans="1:11" hidden="1" x14ac:dyDescent="0.25">
      <c r="A6674" t="str">
        <f>_xlfn.XLOOKUP(C6674, 'Códigos DANE Municipios'!$B$2:$B$1123, 'Códigos DANE Municipios'!$A$2:$A$1123, "No encontrado")</f>
        <v>25779</v>
      </c>
      <c r="B6674" t="str">
        <f>IFERROR(VLOOKUP(D6674,APOYO!K:L,2,FALSE),A6674)</f>
        <v>25779</v>
      </c>
      <c r="C6674" t="s">
        <v>1092</v>
      </c>
      <c r="D6674" t="str">
        <f>IFERROR(VLOOKUP(C6674,APOYO!J:K,2,FALSE),C6674)</f>
        <v>SUSA</v>
      </c>
      <c r="E6674">
        <v>2021</v>
      </c>
      <c r="H6674">
        <v>3</v>
      </c>
    </row>
    <row r="6675" spans="1:11" hidden="1" x14ac:dyDescent="0.25">
      <c r="A6675" t="str">
        <f>_xlfn.XLOOKUP(C6675, 'Códigos DANE Municipios'!$B$2:$B$1123, 'Códigos DANE Municipios'!$A$2:$A$1123, "No encontrado")</f>
        <v>68780</v>
      </c>
      <c r="B6675" t="str">
        <f>IFERROR(VLOOKUP(D6675,APOYO!K:L,2,FALSE),A6675)</f>
        <v>68780</v>
      </c>
      <c r="C6675" t="s">
        <v>1803</v>
      </c>
      <c r="D6675" t="str">
        <f>IFERROR(VLOOKUP(C6675,APOYO!J:K,2,FALSE),C6675)</f>
        <v>SURATÁ</v>
      </c>
      <c r="E6675">
        <v>2021</v>
      </c>
      <c r="H6675">
        <v>2</v>
      </c>
    </row>
    <row r="6676" spans="1:11" hidden="1" x14ac:dyDescent="0.25">
      <c r="A6676" t="str">
        <f>_xlfn.XLOOKUP(C6676, 'Códigos DANE Municipios'!$B$2:$B$1123, 'Códigos DANE Municipios'!$A$2:$A$1123, "No encontrado")</f>
        <v>15776</v>
      </c>
      <c r="B6676" t="str">
        <f>IFERROR(VLOOKUP(D6676,APOYO!K:L,2,FALSE),A6676)</f>
        <v>15776</v>
      </c>
      <c r="C6676" s="8" t="s">
        <v>604</v>
      </c>
      <c r="D6676" t="str">
        <f>IFERROR(VLOOKUP(C6676,APOYO!J:K,2,FALSE),C6676)</f>
        <v>SUTAMARCHÁN</v>
      </c>
      <c r="E6676" s="8">
        <v>2021</v>
      </c>
      <c r="F6676" s="8"/>
      <c r="G6676" s="8"/>
      <c r="H6676" s="8">
        <v>9</v>
      </c>
      <c r="I6676" s="8"/>
      <c r="J6676" s="8"/>
      <c r="K6676" s="8"/>
    </row>
    <row r="6677" spans="1:11" hidden="1" x14ac:dyDescent="0.25">
      <c r="A6677" t="str">
        <f>_xlfn.XLOOKUP(C6677, 'Códigos DANE Municipios'!$B$2:$B$1123, 'Códigos DANE Municipios'!$A$2:$A$1123, "No encontrado")</f>
        <v>25781</v>
      </c>
      <c r="B6677" t="str">
        <f>IFERROR(VLOOKUP(D6677,APOYO!K:L,2,FALSE),A6677)</f>
        <v>25781</v>
      </c>
      <c r="C6677" s="8" t="s">
        <v>1094</v>
      </c>
      <c r="D6677" t="str">
        <f>IFERROR(VLOOKUP(C6677,APOYO!J:K,2,FALSE),C6677)</f>
        <v>SUTATAUSA</v>
      </c>
      <c r="E6677" s="8">
        <v>2021</v>
      </c>
      <c r="F6677" s="8"/>
      <c r="G6677" s="8"/>
      <c r="H6677" s="8">
        <v>12</v>
      </c>
      <c r="I6677" s="8"/>
      <c r="J6677" s="8"/>
      <c r="K6677" s="8"/>
    </row>
    <row r="6678" spans="1:11" hidden="1" x14ac:dyDescent="0.25">
      <c r="A6678" t="str">
        <f>_xlfn.XLOOKUP(C6678, 'Códigos DANE Municipios'!$B$2:$B$1123, 'Códigos DANE Municipios'!$A$2:$A$1123, "No encontrado")</f>
        <v>15778</v>
      </c>
      <c r="B6678" t="str">
        <f>IFERROR(VLOOKUP(D6678,APOYO!K:L,2,FALSE),A6678)</f>
        <v>15778</v>
      </c>
      <c r="C6678" s="8" t="s">
        <v>606</v>
      </c>
      <c r="D6678" t="str">
        <f>IFERROR(VLOOKUP(C6678,APOYO!J:K,2,FALSE),C6678)</f>
        <v>SUTATENZA</v>
      </c>
      <c r="E6678" s="8">
        <v>2021</v>
      </c>
      <c r="F6678" s="8"/>
      <c r="G6678" s="8"/>
      <c r="H6678" s="8">
        <v>2</v>
      </c>
      <c r="I6678" s="8"/>
      <c r="J6678" s="8"/>
      <c r="K6678" s="8"/>
    </row>
    <row r="6679" spans="1:11" hidden="1" x14ac:dyDescent="0.25">
      <c r="A6679" t="str">
        <f>_xlfn.XLOOKUP(C6679, 'Códigos DANE Municipios'!$B$2:$B$1123, 'Códigos DANE Municipios'!$A$2:$A$1123, "No encontrado")</f>
        <v>25785</v>
      </c>
      <c r="B6679" t="str">
        <f>IFERROR(VLOOKUP(D6679,APOYO!K:L,2,FALSE),A6679)</f>
        <v>25785</v>
      </c>
      <c r="C6679" s="8" t="s">
        <v>1096</v>
      </c>
      <c r="D6679" t="str">
        <f>IFERROR(VLOOKUP(C6679,APOYO!J:K,2,FALSE),C6679)</f>
        <v>TABIO</v>
      </c>
      <c r="E6679" s="8">
        <v>2021</v>
      </c>
      <c r="F6679" s="8"/>
      <c r="G6679" s="8"/>
      <c r="H6679" s="8">
        <v>248</v>
      </c>
      <c r="I6679" s="8"/>
      <c r="J6679" s="8"/>
      <c r="K6679" s="8"/>
    </row>
    <row r="6680" spans="1:11" hidden="1" x14ac:dyDescent="0.25">
      <c r="A6680" t="str">
        <f>_xlfn.XLOOKUP(C6680, 'Códigos DANE Municipios'!$B$2:$B$1123, 'Códigos DANE Municipios'!$A$2:$A$1123, "No encontrado")</f>
        <v>27787</v>
      </c>
      <c r="B6680" t="str">
        <f>IFERROR(VLOOKUP(D6680,APOYO!K:L,2,FALSE),A6680)</f>
        <v>27787</v>
      </c>
      <c r="C6680" t="s">
        <v>1195</v>
      </c>
      <c r="D6680" t="str">
        <f>IFERROR(VLOOKUP(C6680,APOYO!J:K,2,FALSE),C6680)</f>
        <v>TADÓ</v>
      </c>
      <c r="E6680">
        <v>2021</v>
      </c>
      <c r="H6680">
        <v>4</v>
      </c>
    </row>
    <row r="6681" spans="1:11" hidden="1" x14ac:dyDescent="0.25">
      <c r="A6681" t="str">
        <f>_xlfn.XLOOKUP(C6681, 'Códigos DANE Municipios'!$B$2:$B$1123, 'Códigos DANE Municipios'!$A$2:$A$1123, "No encontrado")</f>
        <v>13780</v>
      </c>
      <c r="B6681" t="str">
        <f>IFERROR(VLOOKUP(D6681,APOYO!K:L,2,FALSE),A6681)</f>
        <v>13780</v>
      </c>
      <c r="C6681" s="8" t="s">
        <v>389</v>
      </c>
      <c r="D6681" t="str">
        <f>IFERROR(VLOOKUP(C6681,APOYO!J:K,2,FALSE),C6681)</f>
        <v>TALAIGUA NUEVO</v>
      </c>
      <c r="E6681" s="8">
        <v>2021</v>
      </c>
      <c r="F6681" s="8"/>
      <c r="G6681" s="8"/>
      <c r="H6681" s="8">
        <v>4</v>
      </c>
      <c r="I6681" s="8"/>
      <c r="J6681" s="8"/>
      <c r="K6681" s="8"/>
    </row>
    <row r="6682" spans="1:11" hidden="1" x14ac:dyDescent="0.25">
      <c r="A6682" t="str">
        <f>_xlfn.XLOOKUP(C6682, 'Códigos DANE Municipios'!$B$2:$B$1123, 'Códigos DANE Municipios'!$A$2:$A$1123, "No encontrado")</f>
        <v>85400</v>
      </c>
      <c r="B6682" t="str">
        <f>IFERROR(VLOOKUP(D6682,APOYO!K:L,2,FALSE),A6682)</f>
        <v>85400</v>
      </c>
      <c r="C6682" s="8" t="s">
        <v>2077</v>
      </c>
      <c r="D6682" t="str">
        <f>IFERROR(VLOOKUP(C6682,APOYO!J:K,2,FALSE),C6682)</f>
        <v>TÁMARA</v>
      </c>
      <c r="E6682" s="8">
        <v>2021</v>
      </c>
      <c r="F6682" s="8"/>
      <c r="G6682" s="8"/>
      <c r="H6682" s="8">
        <v>1</v>
      </c>
      <c r="I6682" s="8"/>
      <c r="J6682" s="8"/>
      <c r="K6682" s="8"/>
    </row>
    <row r="6683" spans="1:11" hidden="1" x14ac:dyDescent="0.25">
      <c r="A6683" t="str">
        <f>_xlfn.XLOOKUP(C6683, 'Códigos DANE Municipios'!$B$2:$B$1123, 'Códigos DANE Municipios'!$A$2:$A$1123, "No encontrado")</f>
        <v>81794</v>
      </c>
      <c r="B6683" t="str">
        <f>IFERROR(VLOOKUP(D6683,APOYO!K:L,2,FALSE),A6683)</f>
        <v>81794</v>
      </c>
      <c r="C6683" s="8" t="s">
        <v>2046</v>
      </c>
      <c r="D6683" t="str">
        <f>IFERROR(VLOOKUP(C6683,APOYO!J:K,2,FALSE),C6683)</f>
        <v>TAME</v>
      </c>
      <c r="E6683" s="8">
        <v>2021</v>
      </c>
      <c r="F6683" s="8">
        <v>4107</v>
      </c>
      <c r="G6683" s="8"/>
      <c r="H6683" s="8">
        <v>34</v>
      </c>
      <c r="I6683" s="8"/>
      <c r="J6683" s="8"/>
      <c r="K6683" s="8"/>
    </row>
    <row r="6684" spans="1:11" hidden="1" x14ac:dyDescent="0.25">
      <c r="A6684" t="str">
        <f>_xlfn.XLOOKUP(C6684, 'Códigos DANE Municipios'!$B$2:$B$1123, 'Códigos DANE Municipios'!$A$2:$A$1123, "No encontrado")</f>
        <v>05789</v>
      </c>
      <c r="B6684" t="str">
        <f>IFERROR(VLOOKUP(D6684,APOYO!K:L,2,FALSE),A6684)</f>
        <v>05789</v>
      </c>
      <c r="C6684" t="s">
        <v>226</v>
      </c>
      <c r="D6684" t="str">
        <f>IFERROR(VLOOKUP(C6684,APOYO!J:K,2,FALSE),C6684)</f>
        <v>TÁMESIS</v>
      </c>
      <c r="E6684">
        <v>2021</v>
      </c>
      <c r="H6684">
        <v>25</v>
      </c>
    </row>
    <row r="6685" spans="1:11" hidden="1" x14ac:dyDescent="0.25">
      <c r="A6685" t="str">
        <f>_xlfn.XLOOKUP(C6685, 'Códigos DANE Municipios'!$B$2:$B$1123, 'Códigos DANE Municipios'!$A$2:$A$1123, "No encontrado")</f>
        <v>52786</v>
      </c>
      <c r="B6685" t="str">
        <f>IFERROR(VLOOKUP(D6685,APOYO!K:L,2,FALSE),A6685)</f>
        <v>52786</v>
      </c>
      <c r="C6685" s="8" t="s">
        <v>1519</v>
      </c>
      <c r="D6685" t="str">
        <f>IFERROR(VLOOKUP(C6685,APOYO!J:K,2,FALSE),C6685)</f>
        <v>TAMINANGO</v>
      </c>
      <c r="E6685" s="8">
        <v>2021</v>
      </c>
      <c r="F6685" s="8"/>
      <c r="G6685" s="8"/>
      <c r="H6685" s="8">
        <v>4</v>
      </c>
      <c r="I6685" s="8"/>
      <c r="J6685" s="8"/>
      <c r="K6685" s="8"/>
    </row>
    <row r="6686" spans="1:11" hidden="1" x14ac:dyDescent="0.25">
      <c r="A6686" t="str">
        <f>_xlfn.XLOOKUP(C6686, 'Códigos DANE Municipios'!$B$2:$B$1123, 'Códigos DANE Municipios'!$A$2:$A$1123, "No encontrado")</f>
        <v>05790</v>
      </c>
      <c r="B6686" t="str">
        <f>IFERROR(VLOOKUP(D6686,APOYO!K:L,2,FALSE),A6686)</f>
        <v>05790</v>
      </c>
      <c r="C6686" t="s">
        <v>228</v>
      </c>
      <c r="D6686" t="str">
        <f>IFERROR(VLOOKUP(C6686,APOYO!J:K,2,FALSE),C6686)</f>
        <v>TARAZÁ</v>
      </c>
      <c r="E6686">
        <v>2021</v>
      </c>
      <c r="H6686">
        <v>7</v>
      </c>
    </row>
    <row r="6687" spans="1:11" hidden="1" x14ac:dyDescent="0.25">
      <c r="A6687" t="str">
        <f>_xlfn.XLOOKUP(C6687, 'Códigos DANE Municipios'!$B$2:$B$1123, 'Códigos DANE Municipios'!$A$2:$A$1123, "No encontrado")</f>
        <v>41791</v>
      </c>
      <c r="B6687" t="str">
        <f>IFERROR(VLOOKUP(D6687,APOYO!K:L,2,FALSE),A6687)</f>
        <v>41791</v>
      </c>
      <c r="C6687" s="8" t="s">
        <v>1258</v>
      </c>
      <c r="D6687" t="str">
        <f>IFERROR(VLOOKUP(C6687,APOYO!J:K,2,FALSE),C6687)</f>
        <v>TARQUI</v>
      </c>
      <c r="E6687" s="8">
        <v>2021</v>
      </c>
      <c r="F6687" s="8"/>
      <c r="G6687" s="8"/>
      <c r="H6687" s="8">
        <v>7</v>
      </c>
      <c r="I6687" s="8"/>
      <c r="J6687" s="8"/>
      <c r="K6687" s="8"/>
    </row>
    <row r="6688" spans="1:11" hidden="1" x14ac:dyDescent="0.25">
      <c r="A6688" t="str">
        <f>_xlfn.XLOOKUP(C6688, 'Códigos DANE Municipios'!$B$2:$B$1123, 'Códigos DANE Municipios'!$A$2:$A$1123, "No encontrado")</f>
        <v>05792</v>
      </c>
      <c r="B6688" t="str">
        <f>IFERROR(VLOOKUP(D6688,APOYO!K:L,2,FALSE),A6688)</f>
        <v>05792</v>
      </c>
      <c r="C6688" t="s">
        <v>230</v>
      </c>
      <c r="D6688" t="str">
        <f>IFERROR(VLOOKUP(C6688,APOYO!J:K,2,FALSE),C6688)</f>
        <v>TARSO</v>
      </c>
      <c r="E6688">
        <v>2021</v>
      </c>
      <c r="H6688">
        <v>1</v>
      </c>
    </row>
    <row r="6689" spans="1:11" hidden="1" x14ac:dyDescent="0.25">
      <c r="A6689" t="str">
        <f>_xlfn.XLOOKUP(C6689, 'Códigos DANE Municipios'!$B$2:$B$1123, 'Códigos DANE Municipios'!$A$2:$A$1123, "No encontrado")</f>
        <v>85410</v>
      </c>
      <c r="B6689" t="str">
        <f>IFERROR(VLOOKUP(D6689,APOYO!K:L,2,FALSE),A6689)</f>
        <v>85410</v>
      </c>
      <c r="C6689" s="8" t="s">
        <v>2079</v>
      </c>
      <c r="D6689" t="str">
        <f>IFERROR(VLOOKUP(C6689,APOYO!J:K,2,FALSE),C6689)</f>
        <v>TAURAMENA</v>
      </c>
      <c r="E6689" s="8">
        <v>2021</v>
      </c>
      <c r="F6689" s="8">
        <v>2</v>
      </c>
      <c r="G6689" s="8"/>
      <c r="H6689" s="8">
        <v>23</v>
      </c>
      <c r="I6689" s="8"/>
      <c r="J6689" s="8"/>
      <c r="K6689" s="8"/>
    </row>
    <row r="6690" spans="1:11" hidden="1" x14ac:dyDescent="0.25">
      <c r="A6690" t="str">
        <f>_xlfn.XLOOKUP(C6690, 'Códigos DANE Municipios'!$B$2:$B$1123, 'Códigos DANE Municipios'!$A$2:$A$1123, "No encontrado")</f>
        <v>25793</v>
      </c>
      <c r="B6690" t="str">
        <f>IFERROR(VLOOKUP(D6690,APOYO!K:L,2,FALSE),A6690)</f>
        <v>25793</v>
      </c>
      <c r="C6690" s="8" t="s">
        <v>1098</v>
      </c>
      <c r="D6690" t="str">
        <f>IFERROR(VLOOKUP(C6690,APOYO!J:K,2,FALSE),C6690)</f>
        <v>TAUSA</v>
      </c>
      <c r="E6690" s="8">
        <v>2021</v>
      </c>
      <c r="F6690" s="8"/>
      <c r="G6690" s="8"/>
      <c r="H6690" s="8">
        <v>2</v>
      </c>
      <c r="I6690" s="8"/>
      <c r="J6690" s="8"/>
      <c r="K6690" s="8"/>
    </row>
    <row r="6691" spans="1:11" hidden="1" x14ac:dyDescent="0.25">
      <c r="A6691" t="str">
        <f>_xlfn.XLOOKUP(C6691, 'Códigos DANE Municipios'!$B$2:$B$1123, 'Códigos DANE Municipios'!$A$2:$A$1123, "No encontrado")</f>
        <v>41799</v>
      </c>
      <c r="B6691" t="str">
        <f>IFERROR(VLOOKUP(D6691,APOYO!K:L,2,FALSE),A6691)</f>
        <v>41799</v>
      </c>
      <c r="C6691" s="8" t="s">
        <v>1262</v>
      </c>
      <c r="D6691" t="str">
        <f>IFERROR(VLOOKUP(C6691,APOYO!J:K,2,FALSE),C6691)</f>
        <v>TELLO</v>
      </c>
      <c r="E6691" s="8">
        <v>2021</v>
      </c>
      <c r="F6691" s="8"/>
      <c r="G6691" s="8"/>
      <c r="H6691" s="8"/>
      <c r="I6691" s="8"/>
      <c r="J6691" s="8"/>
      <c r="K6691" s="8"/>
    </row>
    <row r="6692" spans="1:11" hidden="1" x14ac:dyDescent="0.25">
      <c r="A6692" t="str">
        <f>_xlfn.XLOOKUP(C6692, 'Códigos DANE Municipios'!$B$2:$B$1123, 'Códigos DANE Municipios'!$A$2:$A$1123, "No encontrado")</f>
        <v>25797</v>
      </c>
      <c r="B6692" t="str">
        <f>IFERROR(VLOOKUP(D6692,APOYO!K:L,2,FALSE),A6692)</f>
        <v>25797</v>
      </c>
      <c r="C6692" s="8" t="s">
        <v>1100</v>
      </c>
      <c r="D6692" t="str">
        <f>IFERROR(VLOOKUP(C6692,APOYO!J:K,2,FALSE),C6692)</f>
        <v>TENA</v>
      </c>
      <c r="E6692" s="8">
        <v>2021</v>
      </c>
      <c r="F6692" s="8"/>
      <c r="G6692" s="8"/>
      <c r="H6692" s="8">
        <v>43</v>
      </c>
      <c r="I6692" s="8"/>
      <c r="J6692" s="8"/>
      <c r="K6692" s="8"/>
    </row>
    <row r="6693" spans="1:11" hidden="1" x14ac:dyDescent="0.25">
      <c r="A6693" t="str">
        <f>_xlfn.XLOOKUP(C6693, 'Códigos DANE Municipios'!$B$2:$B$1123, 'Códigos DANE Municipios'!$A$2:$A$1123, "No encontrado")</f>
        <v>25799</v>
      </c>
      <c r="B6693" t="str">
        <f>IFERROR(VLOOKUP(D6693,APOYO!K:L,2,FALSE),A6693)</f>
        <v>25799</v>
      </c>
      <c r="C6693" s="8" t="s">
        <v>1102</v>
      </c>
      <c r="D6693" t="str">
        <f>IFERROR(VLOOKUP(C6693,APOYO!J:K,2,FALSE),C6693)</f>
        <v>TENJO</v>
      </c>
      <c r="E6693" s="8">
        <v>2021</v>
      </c>
      <c r="F6693" s="8"/>
      <c r="G6693" s="8"/>
      <c r="H6693" s="8">
        <v>204</v>
      </c>
      <c r="I6693" s="8"/>
      <c r="J6693" s="8"/>
      <c r="K6693" s="8"/>
    </row>
    <row r="6694" spans="1:11" hidden="1" x14ac:dyDescent="0.25">
      <c r="A6694" t="str">
        <f>_xlfn.XLOOKUP(C6694, 'Códigos DANE Municipios'!$B$2:$B$1123, 'Códigos DANE Municipios'!$A$2:$A$1123, "No encontrado")</f>
        <v>15798</v>
      </c>
      <c r="B6694" t="str">
        <f>IFERROR(VLOOKUP(D6694,APOYO!K:L,2,FALSE),A6694)</f>
        <v>15798</v>
      </c>
      <c r="C6694" s="8" t="s">
        <v>610</v>
      </c>
      <c r="D6694" t="str">
        <f>IFERROR(VLOOKUP(C6694,APOYO!J:K,2,FALSE),C6694)</f>
        <v>TENZA</v>
      </c>
      <c r="E6694" s="8">
        <v>2021</v>
      </c>
      <c r="F6694" s="8"/>
      <c r="G6694" s="8"/>
      <c r="H6694" s="8">
        <v>4</v>
      </c>
      <c r="I6694" s="8"/>
      <c r="J6694" s="8"/>
      <c r="K6694" s="8"/>
    </row>
    <row r="6695" spans="1:11" hidden="1" x14ac:dyDescent="0.25">
      <c r="A6695" t="str">
        <f>_xlfn.XLOOKUP(C6695, 'Códigos DANE Municipios'!$B$2:$B$1123, 'Códigos DANE Municipios'!$A$2:$A$1123, "No encontrado")</f>
        <v>41801</v>
      </c>
      <c r="B6695" t="str">
        <f>IFERROR(VLOOKUP(D6695,APOYO!K:L,2,FALSE),A6695)</f>
        <v>41801</v>
      </c>
      <c r="C6695" s="8" t="s">
        <v>1264</v>
      </c>
      <c r="D6695" t="str">
        <f>IFERROR(VLOOKUP(C6695,APOYO!J:K,2,FALSE),C6695)</f>
        <v>TERUEL</v>
      </c>
      <c r="E6695" s="8">
        <v>2021</v>
      </c>
      <c r="F6695" s="8"/>
      <c r="G6695" s="8"/>
      <c r="H6695" s="8">
        <v>1</v>
      </c>
      <c r="I6695" s="8"/>
      <c r="J6695" s="8"/>
      <c r="K6695" s="8"/>
    </row>
    <row r="6696" spans="1:11" hidden="1" x14ac:dyDescent="0.25">
      <c r="A6696" t="str">
        <f>_xlfn.XLOOKUP(C6696, 'Códigos DANE Municipios'!$B$2:$B$1123, 'Códigos DANE Municipios'!$A$2:$A$1123, "No encontrado")</f>
        <v>41797</v>
      </c>
      <c r="B6696" t="str">
        <f>IFERROR(VLOOKUP(D6696,APOYO!K:L,2,FALSE),A6696)</f>
        <v>41797</v>
      </c>
      <c r="C6696" s="8" t="s">
        <v>1260</v>
      </c>
      <c r="D6696" t="str">
        <f>IFERROR(VLOOKUP(C6696,APOYO!J:K,2,FALSE),C6696)</f>
        <v>TESALIA</v>
      </c>
      <c r="E6696" s="8">
        <v>2021</v>
      </c>
      <c r="F6696" s="8"/>
      <c r="G6696" s="8"/>
      <c r="H6696" s="8">
        <v>7</v>
      </c>
      <c r="I6696" s="8"/>
      <c r="J6696" s="8"/>
      <c r="K6696" s="8"/>
    </row>
    <row r="6697" spans="1:11" hidden="1" x14ac:dyDescent="0.25">
      <c r="A6697" t="str">
        <f>_xlfn.XLOOKUP(C6697, 'Códigos DANE Municipios'!$B$2:$B$1123, 'Códigos DANE Municipios'!$A$2:$A$1123, "No encontrado")</f>
        <v>25805</v>
      </c>
      <c r="B6697" t="str">
        <f>IFERROR(VLOOKUP(D6697,APOYO!K:L,2,FALSE),A6697)</f>
        <v>25805</v>
      </c>
      <c r="C6697" s="8" t="s">
        <v>1104</v>
      </c>
      <c r="D6697" t="str">
        <f>IFERROR(VLOOKUP(C6697,APOYO!J:K,2,FALSE),C6697)</f>
        <v>TIBACUY</v>
      </c>
      <c r="E6697" s="8">
        <v>2021</v>
      </c>
      <c r="F6697" s="8"/>
      <c r="G6697" s="8"/>
      <c r="H6697" s="8">
        <v>5</v>
      </c>
      <c r="I6697" s="8"/>
      <c r="J6697" s="8"/>
      <c r="K6697" s="8"/>
    </row>
    <row r="6698" spans="1:11" hidden="1" x14ac:dyDescent="0.25">
      <c r="A6698" t="str">
        <f>_xlfn.XLOOKUP(C6698, 'Códigos DANE Municipios'!$B$2:$B$1123, 'Códigos DANE Municipios'!$A$2:$A$1123, "No encontrado")</f>
        <v>15804</v>
      </c>
      <c r="B6698" t="str">
        <f>IFERROR(VLOOKUP(D6698,APOYO!K:L,2,FALSE),A6698)</f>
        <v>15804</v>
      </c>
      <c r="C6698" s="8" t="s">
        <v>612</v>
      </c>
      <c r="D6698" t="str">
        <f>IFERROR(VLOOKUP(C6698,APOYO!J:K,2,FALSE),C6698)</f>
        <v>TIBANÁ</v>
      </c>
      <c r="E6698" s="8">
        <v>2021</v>
      </c>
      <c r="F6698" s="8"/>
      <c r="G6698" s="8"/>
      <c r="H6698" s="8">
        <v>4</v>
      </c>
      <c r="I6698" s="8"/>
      <c r="J6698" s="8"/>
      <c r="K6698" s="8"/>
    </row>
    <row r="6699" spans="1:11" hidden="1" x14ac:dyDescent="0.25">
      <c r="A6699" t="str">
        <f>_xlfn.XLOOKUP(C6699, 'Códigos DANE Municipios'!$B$2:$B$1123, 'Códigos DANE Municipios'!$A$2:$A$1123, "No encontrado")</f>
        <v>15806</v>
      </c>
      <c r="B6699" t="str">
        <f>IFERROR(VLOOKUP(D6699,APOYO!K:L,2,FALSE),A6699)</f>
        <v>15806</v>
      </c>
      <c r="C6699" s="8" t="s">
        <v>614</v>
      </c>
      <c r="D6699" t="str">
        <f>IFERROR(VLOOKUP(C6699,APOYO!J:K,2,FALSE),C6699)</f>
        <v>TIBASOSA</v>
      </c>
      <c r="E6699" s="8">
        <v>2021</v>
      </c>
      <c r="F6699" s="8"/>
      <c r="G6699" s="8"/>
      <c r="H6699" s="8">
        <v>36</v>
      </c>
      <c r="I6699" s="8"/>
      <c r="J6699" s="8"/>
      <c r="K6699" s="8"/>
    </row>
    <row r="6700" spans="1:11" hidden="1" x14ac:dyDescent="0.25">
      <c r="A6700" t="str">
        <f>_xlfn.XLOOKUP(C6700, 'Códigos DANE Municipios'!$B$2:$B$1123, 'Códigos DANE Municipios'!$A$2:$A$1123, "No encontrado")</f>
        <v>25807</v>
      </c>
      <c r="B6700" t="str">
        <f>IFERROR(VLOOKUP(D6700,APOYO!K:L,2,FALSE),A6700)</f>
        <v>25807</v>
      </c>
      <c r="C6700" s="8" t="s">
        <v>1106</v>
      </c>
      <c r="D6700" t="str">
        <f>IFERROR(VLOOKUP(C6700,APOYO!J:K,2,FALSE),C6700)</f>
        <v>TIBIRITA</v>
      </c>
      <c r="E6700" s="8">
        <v>2021</v>
      </c>
      <c r="F6700" s="8"/>
      <c r="G6700" s="8"/>
      <c r="H6700" s="8">
        <v>4</v>
      </c>
      <c r="I6700" s="8"/>
      <c r="J6700" s="8"/>
      <c r="K6700" s="8"/>
    </row>
    <row r="6701" spans="1:11" hidden="1" x14ac:dyDescent="0.25">
      <c r="A6701" t="str">
        <f>_xlfn.XLOOKUP(C6701, 'Códigos DANE Municipios'!$B$2:$B$1123, 'Códigos DANE Municipios'!$A$2:$A$1123, "No encontrado")</f>
        <v>54810</v>
      </c>
      <c r="B6701" t="str">
        <f>IFERROR(VLOOKUP(D6701,APOYO!K:L,2,FALSE),A6701)</f>
        <v>54810</v>
      </c>
      <c r="C6701" s="8" t="s">
        <v>1600</v>
      </c>
      <c r="D6701" t="str">
        <f>IFERROR(VLOOKUP(C6701,APOYO!J:K,2,FALSE),C6701)</f>
        <v>TIBÚ</v>
      </c>
      <c r="E6701" s="8">
        <v>2021</v>
      </c>
      <c r="F6701" s="8">
        <v>5</v>
      </c>
      <c r="G6701" s="8"/>
      <c r="H6701" s="8">
        <v>9</v>
      </c>
      <c r="I6701" s="8"/>
      <c r="J6701" s="8"/>
      <c r="K6701" s="8"/>
    </row>
    <row r="6702" spans="1:11" hidden="1" x14ac:dyDescent="0.25">
      <c r="A6702" t="str">
        <f>_xlfn.XLOOKUP(C6702, 'Códigos DANE Municipios'!$B$2:$B$1123, 'Códigos DANE Municipios'!$A$2:$A$1123, "No encontrado")</f>
        <v>23807</v>
      </c>
      <c r="B6702" t="str">
        <f>IFERROR(VLOOKUP(D6702,APOYO!K:L,2,FALSE),A6702)</f>
        <v>23807</v>
      </c>
      <c r="C6702" s="8" t="s">
        <v>910</v>
      </c>
      <c r="D6702" t="str">
        <f>IFERROR(VLOOKUP(C6702,APOYO!J:K,2,FALSE),C6702)</f>
        <v>TIERRALTA</v>
      </c>
      <c r="E6702" s="8">
        <v>2021</v>
      </c>
      <c r="F6702" s="8"/>
      <c r="G6702" s="8"/>
      <c r="H6702" s="8">
        <v>12</v>
      </c>
      <c r="I6702" s="8"/>
      <c r="J6702" s="8"/>
      <c r="K6702" s="8"/>
    </row>
    <row r="6703" spans="1:11" hidden="1" x14ac:dyDescent="0.25">
      <c r="A6703" t="str">
        <f>_xlfn.XLOOKUP(C6703, 'Códigos DANE Municipios'!$B$2:$B$1123, 'Códigos DANE Municipios'!$A$2:$A$1123, "No encontrado")</f>
        <v>41807</v>
      </c>
      <c r="B6703" t="str">
        <f>IFERROR(VLOOKUP(D6703,APOYO!K:L,2,FALSE),A6703)</f>
        <v>41807</v>
      </c>
      <c r="C6703" s="8" t="s">
        <v>1266</v>
      </c>
      <c r="D6703" t="str">
        <f>IFERROR(VLOOKUP(C6703,APOYO!J:K,2,FALSE),C6703)</f>
        <v>TIMANÁ</v>
      </c>
      <c r="E6703" s="8">
        <v>2021</v>
      </c>
      <c r="F6703" s="8"/>
      <c r="G6703" s="8"/>
      <c r="H6703" s="8">
        <v>17</v>
      </c>
      <c r="I6703" s="8"/>
      <c r="J6703" s="8"/>
      <c r="K6703" s="8"/>
    </row>
    <row r="6704" spans="1:11" hidden="1" x14ac:dyDescent="0.25">
      <c r="A6704" t="str">
        <f>_xlfn.XLOOKUP(C6704, 'Códigos DANE Municipios'!$B$2:$B$1123, 'Códigos DANE Municipios'!$A$2:$A$1123, "No encontrado")</f>
        <v>19807</v>
      </c>
      <c r="B6704" t="str">
        <f>IFERROR(VLOOKUP(D6704,APOYO!K:L,2,FALSE),A6704)</f>
        <v>19807</v>
      </c>
      <c r="C6704" s="8" t="s">
        <v>798</v>
      </c>
      <c r="D6704" t="str">
        <f>IFERROR(VLOOKUP(C6704,APOYO!J:K,2,FALSE),C6704)</f>
        <v>TIMBÍO</v>
      </c>
      <c r="E6704" s="8">
        <v>2021</v>
      </c>
      <c r="F6704" s="8"/>
      <c r="G6704" s="8"/>
      <c r="H6704" s="8">
        <v>34</v>
      </c>
      <c r="I6704" s="8"/>
      <c r="J6704" s="8"/>
      <c r="K6704" s="8"/>
    </row>
    <row r="6705" spans="1:11" hidden="1" x14ac:dyDescent="0.25">
      <c r="A6705" t="str">
        <f>_xlfn.XLOOKUP(C6705, 'Códigos DANE Municipios'!$B$2:$B$1123, 'Códigos DANE Municipios'!$A$2:$A$1123, "No encontrado")</f>
        <v>19809</v>
      </c>
      <c r="B6705" t="str">
        <f>IFERROR(VLOOKUP(D6705,APOYO!K:L,2,FALSE),A6705)</f>
        <v>19809</v>
      </c>
      <c r="C6705" s="8" t="s">
        <v>800</v>
      </c>
      <c r="D6705" t="str">
        <f>IFERROR(VLOOKUP(C6705,APOYO!J:K,2,FALSE),C6705)</f>
        <v>TIMBIQUÍ</v>
      </c>
      <c r="E6705" s="8">
        <v>2021</v>
      </c>
      <c r="F6705" s="8">
        <v>3089</v>
      </c>
      <c r="G6705" s="8"/>
      <c r="H6705" s="8">
        <v>2</v>
      </c>
      <c r="I6705" s="8"/>
      <c r="J6705" s="8"/>
      <c r="K6705" s="8"/>
    </row>
    <row r="6706" spans="1:11" hidden="1" x14ac:dyDescent="0.25">
      <c r="A6706" t="str">
        <f>_xlfn.XLOOKUP(C6706, 'Códigos DANE Municipios'!$B$2:$B$1123, 'Códigos DANE Municipios'!$A$2:$A$1123, "No encontrado")</f>
        <v>15808</v>
      </c>
      <c r="B6706" t="str">
        <f>IFERROR(VLOOKUP(D6706,APOYO!K:L,2,FALSE),A6706)</f>
        <v>15808</v>
      </c>
      <c r="C6706" s="8" t="s">
        <v>616</v>
      </c>
      <c r="D6706" t="str">
        <f>IFERROR(VLOOKUP(C6706,APOYO!J:K,2,FALSE),C6706)</f>
        <v>TINJACÁ</v>
      </c>
      <c r="E6706" s="8">
        <v>2021</v>
      </c>
      <c r="F6706" s="8"/>
      <c r="G6706" s="8"/>
      <c r="H6706" s="8">
        <v>8</v>
      </c>
      <c r="I6706" s="8"/>
      <c r="J6706" s="8"/>
      <c r="K6706" s="8"/>
    </row>
    <row r="6707" spans="1:11" hidden="1" x14ac:dyDescent="0.25">
      <c r="A6707" t="str">
        <f>_xlfn.XLOOKUP(C6707, 'Códigos DANE Municipios'!$B$2:$B$1123, 'Códigos DANE Municipios'!$A$2:$A$1123, "No encontrado")</f>
        <v>05809</v>
      </c>
      <c r="B6707" t="str">
        <f>IFERROR(VLOOKUP(D6707,APOYO!K:L,2,FALSE),A6707)</f>
        <v>05809</v>
      </c>
      <c r="C6707" s="8" t="s">
        <v>232</v>
      </c>
      <c r="D6707" t="str">
        <f>IFERROR(VLOOKUP(C6707,APOYO!J:K,2,FALSE),C6707)</f>
        <v>TITIRIBÍ</v>
      </c>
      <c r="E6707" s="8">
        <v>2021</v>
      </c>
      <c r="F6707" s="8"/>
      <c r="G6707" s="8"/>
      <c r="H6707" s="8">
        <v>10</v>
      </c>
      <c r="I6707" s="8"/>
      <c r="J6707" s="8"/>
      <c r="K6707" s="8"/>
    </row>
    <row r="6708" spans="1:11" hidden="1" x14ac:dyDescent="0.25">
      <c r="A6708" t="str">
        <f>_xlfn.XLOOKUP(C6708, 'Códigos DANE Municipios'!$B$2:$B$1123, 'Códigos DANE Municipios'!$A$2:$A$1123, "No encontrado")</f>
        <v>15814</v>
      </c>
      <c r="B6708" t="str">
        <f>IFERROR(VLOOKUP(D6708,APOYO!K:L,2,FALSE),A6708)</f>
        <v>15814</v>
      </c>
      <c r="C6708" s="9" t="s">
        <v>620</v>
      </c>
      <c r="D6708" t="str">
        <f>IFERROR(VLOOKUP(C6708,APOYO!J:K,2,FALSE),C6708)</f>
        <v>TOCA</v>
      </c>
      <c r="E6708" s="9">
        <v>2021</v>
      </c>
      <c r="F6708" s="8"/>
      <c r="G6708" s="8"/>
      <c r="H6708" s="9">
        <v>6</v>
      </c>
      <c r="I6708" s="8"/>
      <c r="J6708" s="8"/>
      <c r="K6708" s="8"/>
    </row>
    <row r="6709" spans="1:11" hidden="1" x14ac:dyDescent="0.25">
      <c r="A6709" t="str">
        <f>_xlfn.XLOOKUP(C6709, 'Códigos DANE Municipios'!$B$2:$B$1123, 'Códigos DANE Municipios'!$A$2:$A$1123, "No encontrado")</f>
        <v>25815</v>
      </c>
      <c r="B6709" t="str">
        <f>IFERROR(VLOOKUP(D6709,APOYO!K:L,2,FALSE),A6709)</f>
        <v>25815</v>
      </c>
      <c r="C6709" s="9" t="s">
        <v>1108</v>
      </c>
      <c r="D6709" t="str">
        <f>IFERROR(VLOOKUP(C6709,APOYO!J:K,2,FALSE),C6709)</f>
        <v>TOCAIMA</v>
      </c>
      <c r="E6709" s="9">
        <v>2021</v>
      </c>
      <c r="F6709" s="8"/>
      <c r="G6709" s="8"/>
      <c r="H6709" s="9">
        <v>33</v>
      </c>
      <c r="I6709" s="8"/>
      <c r="J6709" s="8"/>
      <c r="K6709" s="8"/>
    </row>
    <row r="6710" spans="1:11" hidden="1" x14ac:dyDescent="0.25">
      <c r="A6710" t="str">
        <f>_xlfn.XLOOKUP(C6710, 'Códigos DANE Municipios'!$B$2:$B$1123, 'Códigos DANE Municipios'!$A$2:$A$1123, "No encontrado")</f>
        <v>25817</v>
      </c>
      <c r="B6710" t="str">
        <f>IFERROR(VLOOKUP(D6710,APOYO!K:L,2,FALSE),A6710)</f>
        <v>25817</v>
      </c>
      <c r="C6710" s="9" t="s">
        <v>1110</v>
      </c>
      <c r="D6710" t="str">
        <f>IFERROR(VLOOKUP(C6710,APOYO!J:K,2,FALSE),C6710)</f>
        <v>TOCANCIPÁ</v>
      </c>
      <c r="E6710" s="9">
        <v>2021</v>
      </c>
      <c r="F6710" s="8"/>
      <c r="G6710" s="8"/>
      <c r="H6710" s="9">
        <v>421</v>
      </c>
      <c r="I6710" s="8"/>
      <c r="J6710" s="8"/>
      <c r="K6710" s="8"/>
    </row>
    <row r="6711" spans="1:11" hidden="1" x14ac:dyDescent="0.25">
      <c r="A6711" t="str">
        <f>_xlfn.XLOOKUP(C6711, 'Códigos DANE Municipios'!$B$2:$B$1123, 'Códigos DANE Municipios'!$A$2:$A$1123, "No encontrado")</f>
        <v>15816</v>
      </c>
      <c r="B6711" t="str">
        <f>IFERROR(VLOOKUP(D6711,APOYO!K:L,2,FALSE),A6711)</f>
        <v>15816</v>
      </c>
      <c r="C6711" s="7" t="s">
        <v>622</v>
      </c>
      <c r="D6711" t="str">
        <f>IFERROR(VLOOKUP(C6711,APOYO!J:K,2,FALSE),C6711)</f>
        <v>TOGÜÍ</v>
      </c>
      <c r="E6711" s="7">
        <v>2021</v>
      </c>
      <c r="F6711" s="7"/>
      <c r="H6711" s="7">
        <v>2</v>
      </c>
    </row>
    <row r="6712" spans="1:11" hidden="1" x14ac:dyDescent="0.25">
      <c r="A6712" t="str">
        <f>_xlfn.XLOOKUP(C6712, 'Códigos DANE Municipios'!$B$2:$B$1123, 'Códigos DANE Municipios'!$A$2:$A$1123, "No encontrado")</f>
        <v>05819</v>
      </c>
      <c r="B6712" t="str">
        <f>IFERROR(VLOOKUP(D6712,APOYO!K:L,2,FALSE),A6712)</f>
        <v>05819</v>
      </c>
      <c r="C6712" s="9" t="s">
        <v>234</v>
      </c>
      <c r="D6712" t="str">
        <f>IFERROR(VLOOKUP(C6712,APOYO!J:K,2,FALSE),C6712)</f>
        <v>TOLEDO</v>
      </c>
      <c r="E6712" s="9">
        <v>2021</v>
      </c>
      <c r="F6712" s="9">
        <v>268</v>
      </c>
      <c r="G6712" s="8"/>
      <c r="H6712" s="9">
        <v>20</v>
      </c>
      <c r="I6712" s="8"/>
      <c r="J6712" s="8"/>
      <c r="K6712" s="8"/>
    </row>
    <row r="6713" spans="1:11" hidden="1" x14ac:dyDescent="0.25">
      <c r="A6713" t="str">
        <f>_xlfn.XLOOKUP(C6713, 'Códigos DANE Municipios'!$B$2:$B$1123, 'Códigos DANE Municipios'!$A$2:$A$1123, "No encontrado")</f>
        <v>70820</v>
      </c>
      <c r="B6713" t="str">
        <f>IFERROR(VLOOKUP(D6713,APOYO!K:L,2,FALSE),A6713)</f>
        <v>70820</v>
      </c>
      <c r="C6713" s="9" t="s">
        <v>1861</v>
      </c>
      <c r="D6713" t="str">
        <f>IFERROR(VLOOKUP(C6713,APOYO!J:K,2,FALSE),C6713)</f>
        <v>SANTIAGO DE TOLÚ</v>
      </c>
      <c r="E6713" s="9">
        <v>2021</v>
      </c>
      <c r="F6713" s="8"/>
      <c r="G6713" s="8"/>
      <c r="H6713" s="9">
        <v>61</v>
      </c>
      <c r="I6713" s="8"/>
      <c r="J6713" s="8"/>
      <c r="K6713" s="8"/>
    </row>
    <row r="6714" spans="1:11" hidden="1" x14ac:dyDescent="0.25">
      <c r="A6714" t="str">
        <f>_xlfn.XLOOKUP(C6714, 'Códigos DANE Municipios'!$B$2:$B$1123, 'Códigos DANE Municipios'!$A$2:$A$1123, "No encontrado")</f>
        <v>70823</v>
      </c>
      <c r="B6714" t="str">
        <f>IFERROR(VLOOKUP(D6714,APOYO!K:L,2,FALSE),A6714)</f>
        <v>70823</v>
      </c>
      <c r="C6714" s="7" t="s">
        <v>1863</v>
      </c>
      <c r="D6714" t="str">
        <f>IFERROR(VLOOKUP(C6714,APOYO!J:K,2,FALSE),C6714)</f>
        <v>TOLÚ VIEJO</v>
      </c>
      <c r="E6714" s="7">
        <v>2021</v>
      </c>
      <c r="F6714" s="7">
        <v>8372</v>
      </c>
      <c r="H6714" s="7">
        <v>63</v>
      </c>
    </row>
    <row r="6715" spans="1:11" hidden="1" x14ac:dyDescent="0.25">
      <c r="A6715" t="str">
        <f>_xlfn.XLOOKUP(C6715, 'Códigos DANE Municipios'!$B$2:$B$1123, 'Códigos DANE Municipios'!$A$2:$A$1123, "No encontrado")</f>
        <v>68820</v>
      </c>
      <c r="B6715" t="str">
        <f>IFERROR(VLOOKUP(D6715,APOYO!K:L,2,FALSE),A6715)</f>
        <v>68820</v>
      </c>
      <c r="C6715" s="9" t="s">
        <v>1805</v>
      </c>
      <c r="D6715" t="str">
        <f>IFERROR(VLOOKUP(C6715,APOYO!J:K,2,FALSE),C6715)</f>
        <v>TONA</v>
      </c>
      <c r="E6715" s="9">
        <v>2021</v>
      </c>
      <c r="F6715" s="8"/>
      <c r="G6715" s="8"/>
      <c r="H6715" s="9">
        <v>1</v>
      </c>
      <c r="I6715" s="8"/>
      <c r="J6715" s="8"/>
      <c r="K6715" s="8"/>
    </row>
    <row r="6716" spans="1:11" hidden="1" x14ac:dyDescent="0.25">
      <c r="A6716" t="str">
        <f>_xlfn.XLOOKUP(C6716, 'Códigos DANE Municipios'!$B$2:$B$1123, 'Códigos DANE Municipios'!$A$2:$A$1123, "No encontrado")</f>
        <v>76823</v>
      </c>
      <c r="B6716" t="str">
        <f>IFERROR(VLOOKUP(D6716,APOYO!K:L,2,FALSE),A6716)</f>
        <v>76823</v>
      </c>
      <c r="C6716" s="9" t="s">
        <v>2016</v>
      </c>
      <c r="D6716" t="str">
        <f>IFERROR(VLOOKUP(C6716,APOYO!J:K,2,FALSE),C6716)</f>
        <v>TORO</v>
      </c>
      <c r="E6716" s="9">
        <v>2021</v>
      </c>
      <c r="F6716" s="8"/>
      <c r="G6716" s="8"/>
      <c r="H6716" s="9">
        <v>92</v>
      </c>
      <c r="I6716" s="8"/>
      <c r="J6716" s="8"/>
      <c r="K6716" s="8"/>
    </row>
    <row r="6717" spans="1:11" hidden="1" x14ac:dyDescent="0.25">
      <c r="A6717" t="str">
        <f>_xlfn.XLOOKUP(C6717, 'Códigos DANE Municipios'!$B$2:$B$1123, 'Códigos DANE Municipios'!$A$2:$A$1123, "No encontrado")</f>
        <v>19824</v>
      </c>
      <c r="B6717" t="str">
        <f>IFERROR(VLOOKUP(D6717,APOYO!K:L,2,FALSE),A6717)</f>
        <v>19824</v>
      </c>
      <c r="C6717" s="9" t="s">
        <v>804</v>
      </c>
      <c r="D6717" t="str">
        <f>IFERROR(VLOOKUP(C6717,APOYO!J:K,2,FALSE),C6717)</f>
        <v>TOTORÓ</v>
      </c>
      <c r="E6717" s="9">
        <v>2021</v>
      </c>
      <c r="F6717" s="8"/>
      <c r="G6717" s="8"/>
      <c r="H6717" s="9">
        <v>2</v>
      </c>
      <c r="I6717" s="8"/>
      <c r="J6717" s="8"/>
      <c r="K6717" s="8"/>
    </row>
    <row r="6718" spans="1:11" hidden="1" x14ac:dyDescent="0.25">
      <c r="A6718" t="str">
        <f>_xlfn.XLOOKUP(C6718, 'Códigos DANE Municipios'!$B$2:$B$1123, 'Códigos DANE Municipios'!$A$2:$A$1123, "No encontrado")</f>
        <v>85430</v>
      </c>
      <c r="B6718" t="str">
        <f>IFERROR(VLOOKUP(D6718,APOYO!K:L,2,FALSE),A6718)</f>
        <v>85430</v>
      </c>
      <c r="C6718" s="9" t="s">
        <v>2081</v>
      </c>
      <c r="D6718" t="str">
        <f>IFERROR(VLOOKUP(C6718,APOYO!J:K,2,FALSE),C6718)</f>
        <v>TRINIDAD</v>
      </c>
      <c r="E6718" s="9">
        <v>2021</v>
      </c>
      <c r="F6718" s="9">
        <v>387</v>
      </c>
      <c r="G6718" s="8"/>
      <c r="H6718" s="9">
        <v>3</v>
      </c>
      <c r="I6718" s="8"/>
      <c r="J6718" s="8"/>
      <c r="K6718" s="8"/>
    </row>
    <row r="6719" spans="1:11" hidden="1" x14ac:dyDescent="0.25">
      <c r="A6719" t="str">
        <f>_xlfn.XLOOKUP(C6719, 'Códigos DANE Municipios'!$B$2:$B$1123, 'Códigos DANE Municipios'!$A$2:$A$1123, "No encontrado")</f>
        <v>76828</v>
      </c>
      <c r="B6719" t="str">
        <f>IFERROR(VLOOKUP(D6719,APOYO!K:L,2,FALSE),A6719)</f>
        <v>76828</v>
      </c>
      <c r="C6719" s="9" t="s">
        <v>2018</v>
      </c>
      <c r="D6719" t="str">
        <f>IFERROR(VLOOKUP(C6719,APOYO!J:K,2,FALSE),C6719)</f>
        <v>TRUJILLO</v>
      </c>
      <c r="E6719" s="9">
        <v>2021</v>
      </c>
      <c r="F6719" s="8"/>
      <c r="G6719" s="8"/>
      <c r="H6719" s="9">
        <v>55</v>
      </c>
      <c r="I6719" s="8"/>
      <c r="J6719" s="8"/>
      <c r="K6719" s="8"/>
    </row>
    <row r="6720" spans="1:11" hidden="1" x14ac:dyDescent="0.25">
      <c r="A6720" t="str">
        <f>_xlfn.XLOOKUP(C6720, 'Códigos DANE Municipios'!$B$2:$B$1123, 'Códigos DANE Municipios'!$A$2:$A$1123, "No encontrado")</f>
        <v>08832</v>
      </c>
      <c r="B6720" t="str">
        <f>IFERROR(VLOOKUP(D6720,APOYO!K:L,2,FALSE),A6720)</f>
        <v>08832</v>
      </c>
      <c r="C6720" s="9" t="s">
        <v>303</v>
      </c>
      <c r="D6720" t="str">
        <f>IFERROR(VLOOKUP(C6720,APOYO!J:K,2,FALSE),C6720)</f>
        <v>TUBARÁ</v>
      </c>
      <c r="E6720" s="9">
        <v>2021</v>
      </c>
      <c r="F6720" s="9">
        <v>13</v>
      </c>
      <c r="G6720" s="8"/>
      <c r="H6720" s="9">
        <v>33</v>
      </c>
      <c r="I6720" s="8"/>
      <c r="J6720" s="8"/>
      <c r="K6720" s="8"/>
    </row>
    <row r="6721" spans="1:11" hidden="1" x14ac:dyDescent="0.25">
      <c r="A6721" t="str">
        <f>_xlfn.XLOOKUP(C6721, 'Códigos DANE Municipios'!$B$2:$B$1123, 'Códigos DANE Municipios'!$A$2:$A$1123, "No encontrado")</f>
        <v>23815</v>
      </c>
      <c r="B6721" t="str">
        <f>IFERROR(VLOOKUP(D6721,APOYO!K:L,2,FALSE),A6721)</f>
        <v>23815</v>
      </c>
      <c r="C6721" s="7" t="s">
        <v>912</v>
      </c>
      <c r="D6721" t="str">
        <f>IFERROR(VLOOKUP(C6721,APOYO!J:K,2,FALSE),C6721)</f>
        <v>TUCHÍN</v>
      </c>
      <c r="E6721" s="7">
        <v>2021</v>
      </c>
      <c r="H6721" s="7">
        <v>1</v>
      </c>
    </row>
    <row r="6722" spans="1:11" hidden="1" x14ac:dyDescent="0.25">
      <c r="A6722" t="str">
        <f>_xlfn.XLOOKUP(C6722, 'Códigos DANE Municipios'!$B$2:$B$1123, 'Códigos DANE Municipios'!$A$2:$A$1123, "No encontrado")</f>
        <v>76834</v>
      </c>
      <c r="B6722" t="str">
        <f>IFERROR(VLOOKUP(D6722,APOYO!K:L,2,FALSE),A6722)</f>
        <v>76834</v>
      </c>
      <c r="C6722" s="9" t="s">
        <v>2020</v>
      </c>
      <c r="D6722" t="str">
        <f>IFERROR(VLOOKUP(C6722,APOYO!J:K,2,FALSE),C6722)</f>
        <v>TULUÁ</v>
      </c>
      <c r="E6722" s="9">
        <v>2021</v>
      </c>
      <c r="F6722" s="8"/>
      <c r="G6722" s="8"/>
      <c r="H6722" s="9">
        <v>1978</v>
      </c>
      <c r="I6722" s="8"/>
      <c r="J6722" s="8"/>
      <c r="K6722" s="8"/>
    </row>
    <row r="6723" spans="1:11" hidden="1" x14ac:dyDescent="0.25">
      <c r="A6723" t="str">
        <f>_xlfn.XLOOKUP(C6723, 'Códigos DANE Municipios'!$B$2:$B$1123, 'Códigos DANE Municipios'!$A$2:$A$1123, "No encontrado")</f>
        <v>52835</v>
      </c>
      <c r="B6723" t="str">
        <f>IFERROR(VLOOKUP(D6723,APOYO!K:L,2,FALSE),A6723)</f>
        <v>52835</v>
      </c>
      <c r="C6723" s="7" t="s">
        <v>1523</v>
      </c>
      <c r="D6723" t="str">
        <f>IFERROR(VLOOKUP(C6723,APOYO!J:K,2,FALSE),C6723)</f>
        <v>SAN ANDRÉS DE TUMACO</v>
      </c>
      <c r="E6723" s="7">
        <v>2021</v>
      </c>
      <c r="F6723" s="7">
        <v>52705</v>
      </c>
      <c r="H6723" s="7">
        <v>407</v>
      </c>
    </row>
    <row r="6724" spans="1:11" hidden="1" x14ac:dyDescent="0.25">
      <c r="A6724" t="str">
        <f>_xlfn.XLOOKUP(C6724, 'Códigos DANE Municipios'!$B$2:$B$1123, 'Códigos DANE Municipios'!$A$2:$A$1123, "No encontrado")</f>
        <v>15001</v>
      </c>
      <c r="B6724" t="str">
        <f>IFERROR(VLOOKUP(D6724,APOYO!K:L,2,FALSE),A6724)</f>
        <v>15001</v>
      </c>
      <c r="C6724" s="9" t="s">
        <v>401</v>
      </c>
      <c r="D6724" t="str">
        <f>IFERROR(VLOOKUP(C6724,APOYO!J:K,2,FALSE),C6724)</f>
        <v>TUNJA</v>
      </c>
      <c r="E6724" s="9">
        <v>2021</v>
      </c>
      <c r="F6724" s="8"/>
      <c r="G6724" s="8"/>
      <c r="H6724" s="9">
        <v>885</v>
      </c>
      <c r="I6724" s="8"/>
      <c r="J6724" s="8"/>
      <c r="K6724" s="8"/>
    </row>
    <row r="6725" spans="1:11" hidden="1" x14ac:dyDescent="0.25">
      <c r="A6725" t="str">
        <f>_xlfn.XLOOKUP(C6725, 'Códigos DANE Municipios'!$B$2:$B$1123, 'Códigos DANE Municipios'!$A$2:$A$1123, "No encontrado")</f>
        <v>52838</v>
      </c>
      <c r="B6725" t="str">
        <f>IFERROR(VLOOKUP(D6725,APOYO!K:L,2,FALSE),A6725)</f>
        <v>52838</v>
      </c>
      <c r="C6725" s="9" t="s">
        <v>1525</v>
      </c>
      <c r="D6725" t="str">
        <f>IFERROR(VLOOKUP(C6725,APOYO!J:K,2,FALSE),C6725)</f>
        <v>TÚQUERRES</v>
      </c>
      <c r="E6725" s="9">
        <v>2021</v>
      </c>
      <c r="F6725" s="8"/>
      <c r="G6725" s="8"/>
      <c r="H6725" s="9">
        <v>13</v>
      </c>
      <c r="I6725" s="8"/>
      <c r="J6725" s="8"/>
      <c r="K6725" s="8"/>
    </row>
    <row r="6726" spans="1:11" hidden="1" x14ac:dyDescent="0.25">
      <c r="A6726" t="str">
        <f>_xlfn.XLOOKUP(C6726, 'Códigos DANE Municipios'!$B$2:$B$1123, 'Códigos DANE Municipios'!$A$2:$A$1123, "No encontrado")</f>
        <v>13836</v>
      </c>
      <c r="B6726" t="str">
        <f>IFERROR(VLOOKUP(D6726,APOYO!K:L,2,FALSE),A6726)</f>
        <v>13836</v>
      </c>
      <c r="C6726" s="9" t="s">
        <v>393</v>
      </c>
      <c r="D6726" t="str">
        <f>IFERROR(VLOOKUP(C6726,APOYO!J:K,2,FALSE),C6726)</f>
        <v>TURBACO</v>
      </c>
      <c r="E6726" s="9">
        <v>2021</v>
      </c>
      <c r="F6726" s="8"/>
      <c r="G6726" s="8"/>
      <c r="H6726" s="9">
        <v>314</v>
      </c>
      <c r="I6726" s="8"/>
      <c r="J6726" s="8"/>
      <c r="K6726" s="8"/>
    </row>
    <row r="6727" spans="1:11" hidden="1" x14ac:dyDescent="0.25">
      <c r="A6727" t="str">
        <f>_xlfn.XLOOKUP(C6727, 'Códigos DANE Municipios'!$B$2:$B$1123, 'Códigos DANE Municipios'!$A$2:$A$1123, "No encontrado")</f>
        <v>13838</v>
      </c>
      <c r="B6727" t="str">
        <f>IFERROR(VLOOKUP(D6727,APOYO!K:L,2,FALSE),A6727)</f>
        <v>13838</v>
      </c>
      <c r="C6727" s="9" t="s">
        <v>395</v>
      </c>
      <c r="D6727" t="str">
        <f>IFERROR(VLOOKUP(C6727,APOYO!J:K,2,FALSE),C6727)</f>
        <v>TURBANÁ</v>
      </c>
      <c r="E6727" s="9">
        <v>2021</v>
      </c>
      <c r="F6727" s="8"/>
      <c r="G6727" s="8"/>
      <c r="H6727" s="9">
        <v>6</v>
      </c>
      <c r="I6727" s="8"/>
      <c r="J6727" s="8"/>
      <c r="K6727" s="8"/>
    </row>
    <row r="6728" spans="1:11" hidden="1" x14ac:dyDescent="0.25">
      <c r="A6728" t="str">
        <f>_xlfn.XLOOKUP(C6728, 'Códigos DANE Municipios'!$B$2:$B$1123, 'Códigos DANE Municipios'!$A$2:$A$1123, "No encontrado")</f>
        <v>05837</v>
      </c>
      <c r="B6728" t="str">
        <f>IFERROR(VLOOKUP(D6728,APOYO!K:L,2,FALSE),A6728)</f>
        <v>05837</v>
      </c>
      <c r="C6728" s="9" t="s">
        <v>236</v>
      </c>
      <c r="D6728" t="str">
        <f>IFERROR(VLOOKUP(C6728,APOYO!J:K,2,FALSE),C6728)</f>
        <v>TURBO</v>
      </c>
      <c r="E6728" s="9">
        <v>2021</v>
      </c>
      <c r="F6728" s="9">
        <v>0</v>
      </c>
      <c r="G6728" s="8"/>
      <c r="H6728" s="9">
        <v>76</v>
      </c>
      <c r="I6728" s="8"/>
      <c r="J6728" s="8"/>
      <c r="K6728" s="8"/>
    </row>
    <row r="6729" spans="1:11" hidden="1" x14ac:dyDescent="0.25">
      <c r="A6729" t="str">
        <f>_xlfn.XLOOKUP(C6729, 'Códigos DANE Municipios'!$B$2:$B$1123, 'Códigos DANE Municipios'!$A$2:$A$1123, "No encontrado")</f>
        <v>15835</v>
      </c>
      <c r="B6729" t="str">
        <f>IFERROR(VLOOKUP(D6729,APOYO!K:L,2,FALSE),A6729)</f>
        <v>15835</v>
      </c>
      <c r="C6729" s="9" t="s">
        <v>630</v>
      </c>
      <c r="D6729" t="str">
        <f>IFERROR(VLOOKUP(C6729,APOYO!J:K,2,FALSE),C6729)</f>
        <v>TURMEQUÉ</v>
      </c>
      <c r="E6729" s="9">
        <v>2021</v>
      </c>
      <c r="F6729" s="8"/>
      <c r="G6729" s="8"/>
      <c r="H6729" s="9">
        <v>8</v>
      </c>
      <c r="I6729" s="8"/>
      <c r="J6729" s="8"/>
      <c r="K6729" s="8"/>
    </row>
    <row r="6730" spans="1:11" hidden="1" x14ac:dyDescent="0.25">
      <c r="A6730" t="str">
        <f>_xlfn.XLOOKUP(C6730, 'Códigos DANE Municipios'!$B$2:$B$1123, 'Códigos DANE Municipios'!$A$2:$A$1123, "No encontrado")</f>
        <v>15837</v>
      </c>
      <c r="B6730" t="str">
        <f>IFERROR(VLOOKUP(D6730,APOYO!K:L,2,FALSE),A6730)</f>
        <v>15837</v>
      </c>
      <c r="C6730" s="9" t="s">
        <v>632</v>
      </c>
      <c r="D6730" t="str">
        <f>IFERROR(VLOOKUP(C6730,APOYO!J:K,2,FALSE),C6730)</f>
        <v>TUTA</v>
      </c>
      <c r="E6730" s="9">
        <v>2021</v>
      </c>
      <c r="F6730" s="8"/>
      <c r="G6730" s="8"/>
      <c r="H6730" s="9">
        <v>4</v>
      </c>
      <c r="I6730" s="8"/>
      <c r="J6730" s="8"/>
      <c r="K6730" s="8"/>
    </row>
    <row r="6731" spans="1:11" hidden="1" x14ac:dyDescent="0.25">
      <c r="A6731" t="str">
        <f>_xlfn.XLOOKUP(C6731, 'Códigos DANE Municipios'!$B$2:$B$1123, 'Códigos DANE Municipios'!$A$2:$A$1123, "No encontrado")</f>
        <v>25839</v>
      </c>
      <c r="B6731" t="str">
        <f>IFERROR(VLOOKUP(D6731,APOYO!K:L,2,FALSE),A6731)</f>
        <v>25839</v>
      </c>
      <c r="C6731" s="9" t="s">
        <v>1114</v>
      </c>
      <c r="D6731" t="str">
        <f>IFERROR(VLOOKUP(C6731,APOYO!J:K,2,FALSE),C6731)</f>
        <v>UBALÁ</v>
      </c>
      <c r="E6731" s="9">
        <v>2021</v>
      </c>
      <c r="F6731" s="8"/>
      <c r="G6731" s="8"/>
      <c r="H6731" s="9">
        <v>3</v>
      </c>
      <c r="I6731" s="8"/>
      <c r="J6731" s="8"/>
      <c r="K6731" s="8"/>
    </row>
    <row r="6732" spans="1:11" hidden="1" x14ac:dyDescent="0.25">
      <c r="A6732" t="str">
        <f>_xlfn.XLOOKUP(C6732, 'Códigos DANE Municipios'!$B$2:$B$1123, 'Códigos DANE Municipios'!$A$2:$A$1123, "No encontrado")</f>
        <v>25841</v>
      </c>
      <c r="B6732" t="str">
        <f>IFERROR(VLOOKUP(D6732,APOYO!K:L,2,FALSE),A6732)</f>
        <v>25841</v>
      </c>
      <c r="C6732" s="9" t="s">
        <v>1116</v>
      </c>
      <c r="D6732" t="str">
        <f>IFERROR(VLOOKUP(C6732,APOYO!J:K,2,FALSE),C6732)</f>
        <v>UBAQUE</v>
      </c>
      <c r="E6732" s="9">
        <v>2021</v>
      </c>
      <c r="F6732" s="8"/>
      <c r="G6732" s="8"/>
      <c r="H6732" s="9">
        <v>36</v>
      </c>
      <c r="I6732" s="8"/>
      <c r="J6732" s="8"/>
      <c r="K6732" s="8"/>
    </row>
    <row r="6733" spans="1:11" hidden="1" x14ac:dyDescent="0.25">
      <c r="A6733" t="str">
        <f>_xlfn.XLOOKUP(C6733, 'Códigos DANE Municipios'!$B$2:$B$1123, 'Códigos DANE Municipios'!$A$2:$A$1123, "No encontrado")</f>
        <v>25843</v>
      </c>
      <c r="B6733" t="str">
        <f>IFERROR(VLOOKUP(D6733,APOYO!K:L,2,FALSE),A6733)</f>
        <v>25843</v>
      </c>
      <c r="C6733" s="7" t="s">
        <v>1118</v>
      </c>
      <c r="D6733" t="str">
        <f>IFERROR(VLOOKUP(C6733,APOYO!J:K,2,FALSE),C6733)</f>
        <v>VILLA DE SAN DIEGO DE UBATÉ</v>
      </c>
      <c r="E6733" s="7">
        <v>2021</v>
      </c>
      <c r="H6733" s="7">
        <v>41</v>
      </c>
    </row>
    <row r="6734" spans="1:11" hidden="1" x14ac:dyDescent="0.25">
      <c r="A6734" t="str">
        <f>_xlfn.XLOOKUP(C6734, 'Códigos DANE Municipios'!$B$2:$B$1123, 'Códigos DANE Municipios'!$A$2:$A$1123, "No encontrado")</f>
        <v>76845</v>
      </c>
      <c r="B6734" t="str">
        <f>IFERROR(VLOOKUP(D6734,APOYO!K:L,2,FALSE),A6734)</f>
        <v>76845</v>
      </c>
      <c r="C6734" s="9" t="s">
        <v>2022</v>
      </c>
      <c r="D6734" t="str">
        <f>IFERROR(VLOOKUP(C6734,APOYO!J:K,2,FALSE),C6734)</f>
        <v>ULLOA</v>
      </c>
      <c r="E6734" s="9">
        <v>2021</v>
      </c>
      <c r="F6734" s="8"/>
      <c r="G6734" s="8"/>
      <c r="H6734" s="9">
        <v>27</v>
      </c>
      <c r="I6734" s="8"/>
      <c r="J6734" s="8"/>
      <c r="K6734" s="8"/>
    </row>
    <row r="6735" spans="1:11" hidden="1" x14ac:dyDescent="0.25">
      <c r="A6735" t="str">
        <f>_xlfn.XLOOKUP(C6735, 'Códigos DANE Municipios'!$B$2:$B$1123, 'Códigos DANE Municipios'!$A$2:$A$1123, "No encontrado")</f>
        <v>15842</v>
      </c>
      <c r="B6735" t="str">
        <f>IFERROR(VLOOKUP(D6735,APOYO!K:L,2,FALSE),A6735)</f>
        <v>15842</v>
      </c>
      <c r="C6735" s="9" t="s">
        <v>636</v>
      </c>
      <c r="D6735" t="str">
        <f>IFERROR(VLOOKUP(C6735,APOYO!J:K,2,FALSE),C6735)</f>
        <v>ÚMBITA</v>
      </c>
      <c r="E6735" s="9">
        <v>2021</v>
      </c>
      <c r="F6735" s="8"/>
      <c r="G6735" s="8"/>
      <c r="H6735" s="8"/>
      <c r="I6735" s="8"/>
      <c r="J6735" s="8"/>
      <c r="K6735" s="8"/>
    </row>
    <row r="6736" spans="1:11" hidden="1" x14ac:dyDescent="0.25">
      <c r="A6736" t="str">
        <f>_xlfn.XLOOKUP(C6736, 'Códigos DANE Municipios'!$B$2:$B$1123, 'Códigos DANE Municipios'!$A$2:$A$1123, "No encontrado")</f>
        <v>25845</v>
      </c>
      <c r="B6736" t="str">
        <f>IFERROR(VLOOKUP(D6736,APOYO!K:L,2,FALSE),A6736)</f>
        <v>25845</v>
      </c>
      <c r="C6736" s="9" t="s">
        <v>1120</v>
      </c>
      <c r="D6736" t="str">
        <f>IFERROR(VLOOKUP(C6736,APOYO!J:K,2,FALSE),C6736)</f>
        <v>UNE</v>
      </c>
      <c r="E6736" s="9">
        <v>2021</v>
      </c>
      <c r="F6736" s="8"/>
      <c r="G6736" s="8"/>
      <c r="H6736" s="9">
        <v>1</v>
      </c>
      <c r="I6736" s="8"/>
      <c r="J6736" s="8"/>
      <c r="K6736" s="8"/>
    </row>
    <row r="6737" spans="1:11" hidden="1" x14ac:dyDescent="0.25">
      <c r="A6737" t="str">
        <f>_xlfn.XLOOKUP(C6737, 'Códigos DANE Municipios'!$B$2:$B$1123, 'Códigos DANE Municipios'!$A$2:$A$1123, "No encontrado")</f>
        <v>27800</v>
      </c>
      <c r="B6737" t="str">
        <f>IFERROR(VLOOKUP(D6737,APOYO!K:L,2,FALSE),A6737)</f>
        <v>27800</v>
      </c>
      <c r="C6737" s="9" t="s">
        <v>1197</v>
      </c>
      <c r="D6737" t="str">
        <f>IFERROR(VLOOKUP(C6737,APOYO!J:K,2,FALSE),C6737)</f>
        <v>UNGUÍA</v>
      </c>
      <c r="E6737" s="9">
        <v>2021</v>
      </c>
      <c r="F6737" s="9">
        <v>1</v>
      </c>
      <c r="G6737" s="8"/>
      <c r="H6737" s="9">
        <v>5</v>
      </c>
      <c r="I6737" s="8"/>
      <c r="J6737" s="8"/>
      <c r="K6737" s="8"/>
    </row>
    <row r="6738" spans="1:11" hidden="1" x14ac:dyDescent="0.25">
      <c r="A6738" t="str">
        <f>_xlfn.XLOOKUP(C6738, 'Códigos DANE Municipios'!$B$2:$B$1123, 'Códigos DANE Municipios'!$A$2:$A$1123, "No encontrado")</f>
        <v>44847</v>
      </c>
      <c r="B6738" t="str">
        <f>IFERROR(VLOOKUP(D6738,APOYO!K:L,2,FALSE),A6738)</f>
        <v>44847</v>
      </c>
      <c r="C6738" s="9" t="s">
        <v>1295</v>
      </c>
      <c r="D6738" t="str">
        <f>IFERROR(VLOOKUP(C6738,APOYO!J:K,2,FALSE),C6738)</f>
        <v>URIBIA</v>
      </c>
      <c r="E6738" s="9">
        <v>2021</v>
      </c>
      <c r="F6738" s="9">
        <v>8517</v>
      </c>
      <c r="G6738" s="8"/>
      <c r="H6738" s="9">
        <v>55</v>
      </c>
      <c r="I6738" s="9">
        <v>453</v>
      </c>
      <c r="J6738" s="8"/>
      <c r="K6738" s="8"/>
    </row>
    <row r="6739" spans="1:11" hidden="1" x14ac:dyDescent="0.25">
      <c r="A6739" t="str">
        <f>_xlfn.XLOOKUP(C6739, 'Códigos DANE Municipios'!$B$2:$B$1123, 'Códigos DANE Municipios'!$A$2:$A$1123, "No encontrado")</f>
        <v>05847</v>
      </c>
      <c r="B6739" t="str">
        <f>IFERROR(VLOOKUP(D6739,APOYO!K:L,2,FALSE),A6739)</f>
        <v>05847</v>
      </c>
      <c r="C6739" s="9" t="s">
        <v>240</v>
      </c>
      <c r="D6739" t="str">
        <f>IFERROR(VLOOKUP(C6739,APOYO!J:K,2,FALSE),C6739)</f>
        <v>URRAO</v>
      </c>
      <c r="E6739" s="9">
        <v>2021</v>
      </c>
      <c r="F6739" s="9">
        <v>2641</v>
      </c>
      <c r="G6739" s="8"/>
      <c r="H6739" s="9">
        <v>12</v>
      </c>
      <c r="I6739" s="8"/>
      <c r="J6739" s="8"/>
      <c r="K6739" s="8"/>
    </row>
    <row r="6740" spans="1:11" hidden="1" x14ac:dyDescent="0.25">
      <c r="A6740" t="str">
        <f>_xlfn.XLOOKUP(C6740, 'Códigos DANE Municipios'!$B$2:$B$1123, 'Códigos DANE Municipios'!$A$2:$A$1123, "No encontrado")</f>
        <v>44855</v>
      </c>
      <c r="B6740" t="str">
        <f>IFERROR(VLOOKUP(D6740,APOYO!K:L,2,FALSE),A6740)</f>
        <v>44855</v>
      </c>
      <c r="C6740" s="9" t="s">
        <v>1297</v>
      </c>
      <c r="D6740" t="str">
        <f>IFERROR(VLOOKUP(C6740,APOYO!J:K,2,FALSE),C6740)</f>
        <v>URUMITA</v>
      </c>
      <c r="E6740" s="9">
        <v>2021</v>
      </c>
      <c r="F6740" s="8"/>
      <c r="G6740" s="8"/>
      <c r="H6740" s="9">
        <v>15</v>
      </c>
      <c r="I6740" s="8"/>
      <c r="J6740" s="8"/>
      <c r="K6740" s="8"/>
    </row>
    <row r="6741" spans="1:11" hidden="1" x14ac:dyDescent="0.25">
      <c r="A6741" t="str">
        <f>_xlfn.XLOOKUP(C6741, 'Códigos DANE Municipios'!$B$2:$B$1123, 'Códigos DANE Municipios'!$A$2:$A$1123, "No encontrado")</f>
        <v>08849</v>
      </c>
      <c r="B6741" t="str">
        <f>IFERROR(VLOOKUP(D6741,APOYO!K:L,2,FALSE),A6741)</f>
        <v>08849</v>
      </c>
      <c r="C6741" s="9" t="s">
        <v>305</v>
      </c>
      <c r="D6741" t="str">
        <f>IFERROR(VLOOKUP(C6741,APOYO!J:K,2,FALSE),C6741)</f>
        <v>USIACURÍ</v>
      </c>
      <c r="E6741" s="9">
        <v>2021</v>
      </c>
      <c r="F6741" s="8"/>
      <c r="G6741" s="8"/>
      <c r="H6741" s="9">
        <v>10</v>
      </c>
      <c r="I6741" s="8"/>
      <c r="J6741" s="8"/>
      <c r="K6741" s="8"/>
    </row>
    <row r="6742" spans="1:11" hidden="1" x14ac:dyDescent="0.25">
      <c r="A6742" t="str">
        <f>_xlfn.XLOOKUP(C6742, 'Códigos DANE Municipios'!$B$2:$B$1123, 'Códigos DANE Municipios'!$A$2:$A$1123, "No encontrado")</f>
        <v>25851</v>
      </c>
      <c r="B6742" t="str">
        <f>IFERROR(VLOOKUP(D6742,APOYO!K:L,2,FALSE),A6742)</f>
        <v>25851</v>
      </c>
      <c r="C6742" s="9" t="s">
        <v>1122</v>
      </c>
      <c r="D6742" t="str">
        <f>IFERROR(VLOOKUP(C6742,APOYO!J:K,2,FALSE),C6742)</f>
        <v>ÚTICA</v>
      </c>
      <c r="E6742" s="9">
        <v>2021</v>
      </c>
      <c r="F6742" s="8"/>
      <c r="G6742" s="8"/>
      <c r="H6742" s="9">
        <v>7</v>
      </c>
      <c r="I6742" s="8"/>
      <c r="J6742" s="8"/>
      <c r="K6742" s="8"/>
    </row>
    <row r="6743" spans="1:11" hidden="1" x14ac:dyDescent="0.25">
      <c r="A6743" t="str">
        <f>_xlfn.XLOOKUP(C6743, 'Códigos DANE Municipios'!$B$2:$B$1123, 'Códigos DANE Municipios'!$A$2:$A$1123, "No encontrado")</f>
        <v>05854</v>
      </c>
      <c r="B6743" t="str">
        <f>IFERROR(VLOOKUP(D6743,APOYO!K:L,2,FALSE),A6743)</f>
        <v>05854</v>
      </c>
      <c r="C6743" s="9" t="s">
        <v>242</v>
      </c>
      <c r="D6743" t="str">
        <f>IFERROR(VLOOKUP(C6743,APOYO!J:K,2,FALSE),C6743)</f>
        <v>VALDIVIA</v>
      </c>
      <c r="E6743" s="9">
        <v>2021</v>
      </c>
      <c r="F6743" s="8"/>
      <c r="G6743" s="8"/>
      <c r="H6743" s="9">
        <v>4</v>
      </c>
      <c r="I6743" s="8"/>
      <c r="J6743" s="8"/>
      <c r="K6743" s="8"/>
    </row>
    <row r="6744" spans="1:11" hidden="1" x14ac:dyDescent="0.25">
      <c r="A6744" t="str">
        <f>_xlfn.XLOOKUP(C6744, 'Códigos DANE Municipios'!$B$2:$B$1123, 'Códigos DANE Municipios'!$A$2:$A$1123, "No encontrado")</f>
        <v>23855</v>
      </c>
      <c r="B6744" t="str">
        <f>IFERROR(VLOOKUP(D6744,APOYO!K:L,2,FALSE),A6744)</f>
        <v>23855</v>
      </c>
      <c r="C6744" s="9" t="s">
        <v>914</v>
      </c>
      <c r="D6744" t="str">
        <f>IFERROR(VLOOKUP(C6744,APOYO!J:K,2,FALSE),C6744)</f>
        <v>VALENCIA</v>
      </c>
      <c r="E6744" s="9">
        <v>2021</v>
      </c>
      <c r="F6744" s="8"/>
      <c r="G6744" s="8"/>
      <c r="H6744" s="9">
        <v>16</v>
      </c>
      <c r="I6744" s="8"/>
      <c r="J6744" s="8"/>
      <c r="K6744" s="8"/>
    </row>
    <row r="6745" spans="1:11" hidden="1" x14ac:dyDescent="0.25">
      <c r="A6745" t="str">
        <f>_xlfn.XLOOKUP(C6745, 'Códigos DANE Municipios'!$B$2:$B$1123, 'Códigos DANE Municipios'!$A$2:$A$1123, "No encontrado")</f>
        <v>86865</v>
      </c>
      <c r="B6745" t="str">
        <f>IFERROR(VLOOKUP(D6745,APOYO!K:L,2,FALSE),A6745)</f>
        <v>86865</v>
      </c>
      <c r="C6745" s="7" t="s">
        <v>2102</v>
      </c>
      <c r="D6745" t="str">
        <f>IFERROR(VLOOKUP(C6745,APOYO!J:K,2,FALSE),C6745)</f>
        <v>VALLE DEL GUAMUEZ</v>
      </c>
      <c r="E6745" s="7">
        <v>2021</v>
      </c>
      <c r="H6745" s="7">
        <v>1</v>
      </c>
    </row>
    <row r="6746" spans="1:11" hidden="1" x14ac:dyDescent="0.25">
      <c r="A6746" t="str">
        <f>_xlfn.XLOOKUP(C6746, 'Códigos DANE Municipios'!$B$2:$B$1123, 'Códigos DANE Municipios'!$A$2:$A$1123, "No encontrado")</f>
        <v>68855</v>
      </c>
      <c r="B6746" t="str">
        <f>IFERROR(VLOOKUP(D6746,APOYO!K:L,2,FALSE),A6746)</f>
        <v>68855</v>
      </c>
      <c r="C6746" s="9" t="s">
        <v>1807</v>
      </c>
      <c r="D6746" t="str">
        <f>IFERROR(VLOOKUP(C6746,APOYO!J:K,2,FALSE),C6746)</f>
        <v>VALLE DE SAN JOSÉ</v>
      </c>
      <c r="E6746" s="9">
        <v>2021</v>
      </c>
      <c r="F6746" s="8"/>
      <c r="G6746" s="8"/>
      <c r="H6746" s="9">
        <v>9</v>
      </c>
      <c r="I6746" s="8"/>
      <c r="J6746" s="8"/>
      <c r="K6746" s="8"/>
    </row>
    <row r="6747" spans="1:11" hidden="1" x14ac:dyDescent="0.25">
      <c r="A6747" t="str">
        <f>_xlfn.XLOOKUP(C6747, 'Códigos DANE Municipios'!$B$2:$B$1123, 'Códigos DANE Municipios'!$A$2:$A$1123, "No encontrado")</f>
        <v>20001</v>
      </c>
      <c r="B6747" t="str">
        <f>IFERROR(VLOOKUP(D6747,APOYO!K:L,2,FALSE),A6747)</f>
        <v>20001</v>
      </c>
      <c r="C6747" s="9" t="s">
        <v>808</v>
      </c>
      <c r="D6747" t="str">
        <f>IFERROR(VLOOKUP(C6747,APOYO!J:K,2,FALSE),C6747)</f>
        <v>VALLEDUPAR</v>
      </c>
      <c r="E6747" s="9">
        <v>2021</v>
      </c>
      <c r="F6747" s="9">
        <v>141205</v>
      </c>
      <c r="G6747" s="9">
        <v>1132</v>
      </c>
      <c r="H6747" s="9">
        <v>1566</v>
      </c>
      <c r="I6747" s="8"/>
      <c r="J6747" s="8"/>
      <c r="K6747" s="8"/>
    </row>
    <row r="6748" spans="1:11" hidden="1" x14ac:dyDescent="0.25">
      <c r="A6748" t="str">
        <f>_xlfn.XLOOKUP(C6748, 'Códigos DANE Municipios'!$B$2:$B$1123, 'Códigos DANE Municipios'!$A$2:$A$1123, "No encontrado")</f>
        <v>05856</v>
      </c>
      <c r="B6748" t="str">
        <f>IFERROR(VLOOKUP(D6748,APOYO!K:L,2,FALSE),A6748)</f>
        <v>05856</v>
      </c>
      <c r="C6748" s="7" t="s">
        <v>244</v>
      </c>
      <c r="D6748" t="str">
        <f>IFERROR(VLOOKUP(C6748,APOYO!J:K,2,FALSE),C6748)</f>
        <v>VALPARAÍSO</v>
      </c>
      <c r="E6748" s="7">
        <v>2021</v>
      </c>
      <c r="H6748" s="7">
        <v>3</v>
      </c>
    </row>
    <row r="6749" spans="1:11" hidden="1" x14ac:dyDescent="0.25">
      <c r="A6749" t="str">
        <f>_xlfn.XLOOKUP(C6749, 'Códigos DANE Municipios'!$B$2:$B$1123, 'Códigos DANE Municipios'!$A$2:$A$1123, "No encontrado")</f>
        <v>05858</v>
      </c>
      <c r="B6749" t="str">
        <f>IFERROR(VLOOKUP(D6749,APOYO!K:L,2,FALSE),A6749)</f>
        <v>05858</v>
      </c>
      <c r="C6749" s="7" t="s">
        <v>246</v>
      </c>
      <c r="D6749" t="str">
        <f>IFERROR(VLOOKUP(C6749,APOYO!J:K,2,FALSE),C6749)</f>
        <v>VEGACHÍ</v>
      </c>
      <c r="E6749" s="7">
        <v>2021</v>
      </c>
      <c r="H6749" s="7">
        <v>12</v>
      </c>
    </row>
    <row r="6750" spans="1:11" hidden="1" x14ac:dyDescent="0.25">
      <c r="A6750" t="str">
        <f>_xlfn.XLOOKUP(C6750, 'Códigos DANE Municipios'!$B$2:$B$1123, 'Códigos DANE Municipios'!$A$2:$A$1123, "No encontrado")</f>
        <v>68861</v>
      </c>
      <c r="B6750" t="str">
        <f>IFERROR(VLOOKUP(D6750,APOYO!K:L,2,FALSE),A6750)</f>
        <v>68861</v>
      </c>
      <c r="C6750" s="9" t="s">
        <v>1809</v>
      </c>
      <c r="D6750" t="str">
        <f>IFERROR(VLOOKUP(C6750,APOYO!J:K,2,FALSE),C6750)</f>
        <v>VÉLEZ</v>
      </c>
      <c r="E6750" s="9">
        <v>2021</v>
      </c>
      <c r="F6750" s="8"/>
      <c r="G6750" s="8"/>
      <c r="H6750" s="9">
        <v>29</v>
      </c>
      <c r="I6750" s="8"/>
      <c r="J6750" s="8"/>
      <c r="K6750" s="8"/>
    </row>
    <row r="6751" spans="1:11" hidden="1" x14ac:dyDescent="0.25">
      <c r="A6751" t="str">
        <f>_xlfn.XLOOKUP(C6751, 'Códigos DANE Municipios'!$B$2:$B$1123, 'Códigos DANE Municipios'!$A$2:$A$1123, "No encontrado")</f>
        <v>73861</v>
      </c>
      <c r="B6751" t="str">
        <f>IFERROR(VLOOKUP(D6751,APOYO!K:L,2,FALSE),A6751)</f>
        <v>73861</v>
      </c>
      <c r="C6751" s="9" t="s">
        <v>1951</v>
      </c>
      <c r="D6751" t="str">
        <f>IFERROR(VLOOKUP(C6751,APOYO!J:K,2,FALSE),C6751)</f>
        <v>VENADILLO</v>
      </c>
      <c r="E6751" s="9">
        <v>2021</v>
      </c>
      <c r="F6751" s="8"/>
      <c r="G6751" s="8"/>
      <c r="H6751" s="9">
        <v>7</v>
      </c>
      <c r="I6751" s="8"/>
      <c r="J6751" s="8"/>
      <c r="K6751" s="8"/>
    </row>
    <row r="6752" spans="1:11" hidden="1" x14ac:dyDescent="0.25">
      <c r="A6752" t="str">
        <f>_xlfn.XLOOKUP(C6752, 'Códigos DANE Municipios'!$B$2:$B$1123, 'Códigos DANE Municipios'!$A$2:$A$1123, "No encontrado")</f>
        <v>05861</v>
      </c>
      <c r="B6752" t="str">
        <f>IFERROR(VLOOKUP(D6752,APOYO!K:L,2,FALSE),A6752)</f>
        <v>05861</v>
      </c>
      <c r="C6752" s="9" t="s">
        <v>248</v>
      </c>
      <c r="D6752" t="str">
        <f>IFERROR(VLOOKUP(C6752,APOYO!J:K,2,FALSE),C6752)</f>
        <v>VENECIA</v>
      </c>
      <c r="E6752" s="9">
        <v>2021</v>
      </c>
      <c r="F6752" s="8"/>
      <c r="G6752" s="8"/>
      <c r="H6752" s="9">
        <v>76</v>
      </c>
      <c r="I6752" s="8"/>
      <c r="J6752" s="8"/>
      <c r="K6752" s="8"/>
    </row>
    <row r="6753" spans="1:11" hidden="1" x14ac:dyDescent="0.25">
      <c r="A6753" t="str">
        <f>_xlfn.XLOOKUP(C6753, 'Códigos DANE Municipios'!$B$2:$B$1123, 'Códigos DANE Municipios'!$A$2:$A$1123, "No encontrado")</f>
        <v>15861</v>
      </c>
      <c r="B6753" t="str">
        <f>IFERROR(VLOOKUP(D6753,APOYO!K:L,2,FALSE),A6753)</f>
        <v>15861</v>
      </c>
      <c r="C6753" s="9" t="s">
        <v>638</v>
      </c>
      <c r="D6753" t="str">
        <f>IFERROR(VLOOKUP(C6753,APOYO!J:K,2,FALSE),C6753)</f>
        <v>VENTAQUEMADA</v>
      </c>
      <c r="E6753" s="9">
        <v>2021</v>
      </c>
      <c r="F6753" s="8"/>
      <c r="G6753" s="8"/>
      <c r="H6753" s="9">
        <v>4</v>
      </c>
      <c r="I6753" s="8"/>
      <c r="J6753" s="8"/>
      <c r="K6753" s="8"/>
    </row>
    <row r="6754" spans="1:11" hidden="1" x14ac:dyDescent="0.25">
      <c r="A6754" t="str">
        <f>_xlfn.XLOOKUP(C6754, 'Códigos DANE Municipios'!$B$2:$B$1123, 'Códigos DANE Municipios'!$A$2:$A$1123, "No encontrado")</f>
        <v>25862</v>
      </c>
      <c r="B6754" t="str">
        <f>IFERROR(VLOOKUP(D6754,APOYO!K:L,2,FALSE),A6754)</f>
        <v>25862</v>
      </c>
      <c r="C6754" s="9" t="s">
        <v>1124</v>
      </c>
      <c r="D6754" t="str">
        <f>IFERROR(VLOOKUP(C6754,APOYO!J:K,2,FALSE),C6754)</f>
        <v>VERGARA</v>
      </c>
      <c r="E6754" s="9">
        <v>2021</v>
      </c>
      <c r="F6754" s="8"/>
      <c r="G6754" s="8"/>
      <c r="H6754" s="9">
        <v>7</v>
      </c>
      <c r="I6754" s="8"/>
      <c r="J6754" s="8"/>
      <c r="K6754" s="8"/>
    </row>
    <row r="6755" spans="1:11" hidden="1" x14ac:dyDescent="0.25">
      <c r="A6755" t="str">
        <f>_xlfn.XLOOKUP(C6755, 'Códigos DANE Municipios'!$B$2:$B$1123, 'Códigos DANE Municipios'!$A$2:$A$1123, "No encontrado")</f>
        <v>76863</v>
      </c>
      <c r="B6755" t="str">
        <f>IFERROR(VLOOKUP(D6755,APOYO!K:L,2,FALSE),A6755)</f>
        <v>76863</v>
      </c>
      <c r="C6755" s="9" t="s">
        <v>2024</v>
      </c>
      <c r="D6755" t="str">
        <f>IFERROR(VLOOKUP(C6755,APOYO!J:K,2,FALSE),C6755)</f>
        <v>VERSALLES</v>
      </c>
      <c r="E6755" s="9">
        <v>2021</v>
      </c>
      <c r="F6755" s="8"/>
      <c r="G6755" s="8"/>
      <c r="H6755" s="9">
        <v>24</v>
      </c>
      <c r="I6755" s="8"/>
      <c r="J6755" s="8"/>
      <c r="K6755" s="8"/>
    </row>
    <row r="6756" spans="1:11" hidden="1" x14ac:dyDescent="0.25">
      <c r="A6756" t="str">
        <f>_xlfn.XLOOKUP(C6756, 'Códigos DANE Municipios'!$B$2:$B$1123, 'Códigos DANE Municipios'!$A$2:$A$1123, "No encontrado")</f>
        <v>25867</v>
      </c>
      <c r="B6756" t="str">
        <f>IFERROR(VLOOKUP(D6756,APOYO!K:L,2,FALSE),A6756)</f>
        <v>25867</v>
      </c>
      <c r="C6756" s="9" t="s">
        <v>1126</v>
      </c>
      <c r="D6756" t="str">
        <f>IFERROR(VLOOKUP(C6756,APOYO!J:K,2,FALSE),C6756)</f>
        <v>VIANÍ</v>
      </c>
      <c r="E6756" s="9">
        <v>2021</v>
      </c>
      <c r="F6756" s="8"/>
      <c r="G6756" s="8"/>
      <c r="H6756" s="9">
        <v>8</v>
      </c>
      <c r="I6756" s="8"/>
      <c r="J6756" s="8"/>
      <c r="K6756" s="8"/>
    </row>
    <row r="6757" spans="1:11" hidden="1" x14ac:dyDescent="0.25">
      <c r="A6757" t="str">
        <f>_xlfn.XLOOKUP(C6757, 'Códigos DANE Municipios'!$B$2:$B$1123, 'Códigos DANE Municipios'!$A$2:$A$1123, "No encontrado")</f>
        <v>17867</v>
      </c>
      <c r="B6757" t="str">
        <f>IFERROR(VLOOKUP(D6757,APOYO!K:L,2,FALSE),A6757)</f>
        <v>17867</v>
      </c>
      <c r="C6757" s="9" t="s">
        <v>692</v>
      </c>
      <c r="D6757" t="str">
        <f>IFERROR(VLOOKUP(C6757,APOYO!J:K,2,FALSE),C6757)</f>
        <v>VICTORIA</v>
      </c>
      <c r="E6757" s="9">
        <v>2021</v>
      </c>
      <c r="F6757" s="8"/>
      <c r="G6757" s="8"/>
      <c r="H6757" s="9">
        <v>10</v>
      </c>
      <c r="I6757" s="8"/>
      <c r="J6757" s="8"/>
      <c r="K6757" s="8"/>
    </row>
    <row r="6758" spans="1:11" hidden="1" x14ac:dyDescent="0.25">
      <c r="A6758" t="str">
        <f>_xlfn.XLOOKUP(C6758, 'Códigos DANE Municipios'!$B$2:$B$1123, 'Códigos DANE Municipios'!$A$2:$A$1123, "No encontrado")</f>
        <v>76869</v>
      </c>
      <c r="B6758" t="str">
        <f>IFERROR(VLOOKUP(D6758,APOYO!K:L,2,FALSE),A6758)</f>
        <v>76869</v>
      </c>
      <c r="C6758" s="9" t="s">
        <v>2026</v>
      </c>
      <c r="D6758" t="str">
        <f>IFERROR(VLOOKUP(C6758,APOYO!J:K,2,FALSE),C6758)</f>
        <v>VIJES</v>
      </c>
      <c r="E6758" s="9">
        <v>2021</v>
      </c>
      <c r="F6758" s="8"/>
      <c r="G6758" s="8"/>
      <c r="H6758" s="9">
        <v>58</v>
      </c>
      <c r="I6758" s="8"/>
      <c r="J6758" s="8"/>
      <c r="K6758" s="8"/>
    </row>
    <row r="6759" spans="1:11" hidden="1" x14ac:dyDescent="0.25">
      <c r="A6759" t="str">
        <f>_xlfn.XLOOKUP(C6759, 'Códigos DANE Municipios'!$B$2:$B$1123, 'Códigos DANE Municipios'!$A$2:$A$1123, "No encontrado")</f>
        <v>15407</v>
      </c>
      <c r="B6759" t="str">
        <f>IFERROR(VLOOKUP(D6759,APOYO!K:L,2,FALSE),A6759)</f>
        <v>15407</v>
      </c>
      <c r="C6759" s="9" t="s">
        <v>498</v>
      </c>
      <c r="D6759" t="str">
        <f>IFERROR(VLOOKUP(C6759,APOYO!J:K,2,FALSE),C6759)</f>
        <v>VILLA DE LEYVA</v>
      </c>
      <c r="E6759" s="9">
        <v>2021</v>
      </c>
      <c r="F6759" s="8"/>
      <c r="G6759" s="8"/>
      <c r="H6759" s="9">
        <v>618</v>
      </c>
      <c r="I6759" s="9">
        <v>0</v>
      </c>
      <c r="J6759" s="8"/>
      <c r="K6759" s="8"/>
    </row>
    <row r="6760" spans="1:11" hidden="1" x14ac:dyDescent="0.25">
      <c r="A6760" t="str">
        <f>_xlfn.XLOOKUP(C6760, 'Códigos DANE Municipios'!$B$2:$B$1123, 'Códigos DANE Municipios'!$A$2:$A$1123, "No encontrado")</f>
        <v>19845</v>
      </c>
      <c r="B6760" t="str">
        <f>IFERROR(VLOOKUP(D6760,APOYO!K:L,2,FALSE),A6760)</f>
        <v>19845</v>
      </c>
      <c r="C6760" s="9" t="s">
        <v>806</v>
      </c>
      <c r="D6760" t="str">
        <f>IFERROR(VLOOKUP(C6760,APOYO!J:K,2,FALSE),C6760)</f>
        <v>VILLA RICA</v>
      </c>
      <c r="E6760" s="9">
        <v>2021</v>
      </c>
      <c r="F6760" s="8"/>
      <c r="G6760" s="8"/>
      <c r="H6760" s="9">
        <v>95</v>
      </c>
      <c r="I6760" s="8"/>
      <c r="J6760" s="8"/>
      <c r="K6760" s="8"/>
    </row>
    <row r="6761" spans="1:11" hidden="1" x14ac:dyDescent="0.25">
      <c r="A6761" t="str">
        <f>_xlfn.XLOOKUP(C6761, 'Códigos DANE Municipios'!$B$2:$B$1123, 'Códigos DANE Municipios'!$A$2:$A$1123, "No encontrado")</f>
        <v>54874</v>
      </c>
      <c r="B6761" t="str">
        <f>IFERROR(VLOOKUP(D6761,APOYO!K:L,2,FALSE),A6761)</f>
        <v>54874</v>
      </c>
      <c r="C6761" s="9" t="s">
        <v>1605</v>
      </c>
      <c r="D6761" t="str">
        <f>IFERROR(VLOOKUP(C6761,APOYO!J:K,2,FALSE),C6761)</f>
        <v>VILLA DEL ROSARIO</v>
      </c>
      <c r="E6761" s="9">
        <v>2021</v>
      </c>
      <c r="F6761" s="8"/>
      <c r="G6761" s="8"/>
      <c r="H6761" s="9">
        <v>450</v>
      </c>
      <c r="I6761" s="8"/>
      <c r="J6761" s="8"/>
      <c r="K6761" s="8"/>
    </row>
    <row r="6762" spans="1:11" hidden="1" x14ac:dyDescent="0.25">
      <c r="A6762" t="str">
        <f>_xlfn.XLOOKUP(C6762, 'Códigos DANE Municipios'!$B$2:$B$1123, 'Códigos DANE Municipios'!$A$2:$A$1123, "No encontrado")</f>
        <v>86885</v>
      </c>
      <c r="B6762" t="str">
        <f>IFERROR(VLOOKUP(D6762,APOYO!K:L,2,FALSE),A6762)</f>
        <v>86885</v>
      </c>
      <c r="C6762" s="9" t="s">
        <v>2104</v>
      </c>
      <c r="D6762" t="str">
        <f>IFERROR(VLOOKUP(C6762,APOYO!J:K,2,FALSE),C6762)</f>
        <v>VILLAGARZÓN</v>
      </c>
      <c r="E6762" s="9">
        <v>2021</v>
      </c>
      <c r="F6762" s="9">
        <v>9625</v>
      </c>
      <c r="G6762" s="8"/>
      <c r="H6762" s="9">
        <v>43</v>
      </c>
      <c r="I6762" s="8"/>
      <c r="J6762" s="8"/>
      <c r="K6762" s="8"/>
    </row>
    <row r="6763" spans="1:11" hidden="1" x14ac:dyDescent="0.25">
      <c r="A6763" t="str">
        <f>_xlfn.XLOOKUP(C6763, 'Códigos DANE Municipios'!$B$2:$B$1123, 'Códigos DANE Municipios'!$A$2:$A$1123, "No encontrado")</f>
        <v>17873</v>
      </c>
      <c r="B6763" t="str">
        <f>IFERROR(VLOOKUP(D6763,APOYO!K:L,2,FALSE),A6763)</f>
        <v>17873</v>
      </c>
      <c r="C6763" s="9" t="s">
        <v>694</v>
      </c>
      <c r="D6763" t="str">
        <f>IFERROR(VLOOKUP(C6763,APOYO!J:K,2,FALSE),C6763)</f>
        <v>VILLAMARÍA</v>
      </c>
      <c r="E6763" s="9">
        <v>2021</v>
      </c>
      <c r="F6763" s="9" t="s">
        <v>2500</v>
      </c>
      <c r="G6763" s="8"/>
      <c r="H6763" s="9">
        <v>180</v>
      </c>
      <c r="I6763" s="8"/>
      <c r="J6763" s="8"/>
      <c r="K6763" s="8"/>
    </row>
    <row r="6764" spans="1:11" hidden="1" x14ac:dyDescent="0.25">
      <c r="A6764" t="str">
        <f>_xlfn.XLOOKUP(C6764, 'Códigos DANE Municipios'!$B$2:$B$1123, 'Códigos DANE Municipios'!$A$2:$A$1123, "No encontrado")</f>
        <v>13873</v>
      </c>
      <c r="B6764" t="str">
        <f>IFERROR(VLOOKUP(D6764,APOYO!K:L,2,FALSE),A6764)</f>
        <v>13873</v>
      </c>
      <c r="C6764" s="9" t="s">
        <v>397</v>
      </c>
      <c r="D6764" t="str">
        <f>IFERROR(VLOOKUP(C6764,APOYO!J:K,2,FALSE),C6764)</f>
        <v>VILLANUEVA</v>
      </c>
      <c r="E6764" s="9">
        <v>2021</v>
      </c>
      <c r="F6764" s="9">
        <v>1478</v>
      </c>
      <c r="G6764" s="8"/>
      <c r="H6764" s="9">
        <v>90</v>
      </c>
      <c r="I6764" s="8"/>
      <c r="J6764" s="8"/>
      <c r="K6764" s="8"/>
    </row>
    <row r="6765" spans="1:11" hidden="1" x14ac:dyDescent="0.25">
      <c r="A6765" t="str">
        <f>_xlfn.XLOOKUP(C6765, 'Códigos DANE Municipios'!$B$2:$B$1123, 'Códigos DANE Municipios'!$A$2:$A$1123, "No encontrado")</f>
        <v>25873</v>
      </c>
      <c r="B6765" t="str">
        <f>IFERROR(VLOOKUP(D6765,APOYO!K:L,2,FALSE),A6765)</f>
        <v>25873</v>
      </c>
      <c r="C6765" s="9" t="s">
        <v>1130</v>
      </c>
      <c r="D6765" t="str">
        <f>IFERROR(VLOOKUP(C6765,APOYO!J:K,2,FALSE),C6765)</f>
        <v>VILLAPINZÓN</v>
      </c>
      <c r="E6765" s="9">
        <v>2021</v>
      </c>
      <c r="F6765" s="8"/>
      <c r="G6765" s="8"/>
      <c r="H6765" s="9">
        <v>11</v>
      </c>
      <c r="I6765" s="8"/>
      <c r="J6765" s="8"/>
      <c r="K6765" s="8"/>
    </row>
    <row r="6766" spans="1:11" hidden="1" x14ac:dyDescent="0.25">
      <c r="A6766" t="str">
        <f>_xlfn.XLOOKUP(C6766, 'Códigos DANE Municipios'!$B$2:$B$1123, 'Códigos DANE Municipios'!$A$2:$A$1123, "No encontrado")</f>
        <v>50001</v>
      </c>
      <c r="B6766" t="str">
        <f>IFERROR(VLOOKUP(D6766,APOYO!K:L,2,FALSE),A6766)</f>
        <v>50001</v>
      </c>
      <c r="C6766" s="9" t="s">
        <v>1358</v>
      </c>
      <c r="D6766" t="str">
        <f>IFERROR(VLOOKUP(C6766,APOYO!J:K,2,FALSE),C6766)</f>
        <v>VILLAVICENCIO</v>
      </c>
      <c r="E6766" s="9">
        <v>2021</v>
      </c>
      <c r="F6766" s="9">
        <v>61081</v>
      </c>
      <c r="G6766" s="9">
        <v>0</v>
      </c>
      <c r="H6766" s="9">
        <v>3021</v>
      </c>
      <c r="I6766" s="8"/>
      <c r="J6766" s="8"/>
      <c r="K6766" s="8"/>
    </row>
    <row r="6767" spans="1:11" hidden="1" x14ac:dyDescent="0.25">
      <c r="A6767" t="str">
        <f>_xlfn.XLOOKUP(C6767, 'Códigos DANE Municipios'!$B$2:$B$1123, 'Códigos DANE Municipios'!$A$2:$A$1123, "No encontrado")</f>
        <v>41872</v>
      </c>
      <c r="B6767" t="str">
        <f>IFERROR(VLOOKUP(D6767,APOYO!K:L,2,FALSE),A6767)</f>
        <v>41872</v>
      </c>
      <c r="C6767" s="9" t="s">
        <v>1268</v>
      </c>
      <c r="D6767" t="str">
        <f>IFERROR(VLOOKUP(C6767,APOYO!J:K,2,FALSE),C6767)</f>
        <v>VILLAVIEJA</v>
      </c>
      <c r="E6767" s="9">
        <v>2021</v>
      </c>
      <c r="F6767" s="8"/>
      <c r="G6767" s="8"/>
      <c r="H6767" s="9">
        <v>24</v>
      </c>
      <c r="I6767" s="8"/>
      <c r="J6767" s="8"/>
      <c r="K6767" s="8"/>
    </row>
    <row r="6768" spans="1:11" hidden="1" x14ac:dyDescent="0.25">
      <c r="A6768" t="str">
        <f>_xlfn.XLOOKUP(C6768, 'Códigos DANE Municipios'!$B$2:$B$1123, 'Códigos DANE Municipios'!$A$2:$A$1123, "No encontrado")</f>
        <v>25875</v>
      </c>
      <c r="B6768" t="str">
        <f>IFERROR(VLOOKUP(D6768,APOYO!K:L,2,FALSE),A6768)</f>
        <v>25875</v>
      </c>
      <c r="C6768" s="9" t="s">
        <v>1132</v>
      </c>
      <c r="D6768" t="str">
        <f>IFERROR(VLOOKUP(C6768,APOYO!J:K,2,FALSE),C6768)</f>
        <v>VILLETA</v>
      </c>
      <c r="E6768" s="9">
        <v>2021</v>
      </c>
      <c r="F6768" s="8"/>
      <c r="G6768" s="8"/>
      <c r="H6768" s="9">
        <v>172</v>
      </c>
      <c r="I6768" s="8"/>
      <c r="J6768" s="8"/>
      <c r="K6768" s="8"/>
    </row>
    <row r="6769" spans="1:11" hidden="1" x14ac:dyDescent="0.25">
      <c r="A6769" t="str">
        <f>_xlfn.XLOOKUP(C6769, 'Códigos DANE Municipios'!$B$2:$B$1123, 'Códigos DANE Municipios'!$A$2:$A$1123, "No encontrado")</f>
        <v>25878</v>
      </c>
      <c r="B6769" t="str">
        <f>IFERROR(VLOOKUP(D6769,APOYO!K:L,2,FALSE),A6769)</f>
        <v>25878</v>
      </c>
      <c r="C6769" s="9" t="s">
        <v>1134</v>
      </c>
      <c r="D6769" t="str">
        <f>IFERROR(VLOOKUP(C6769,APOYO!J:K,2,FALSE),C6769)</f>
        <v>VIOTÁ</v>
      </c>
      <c r="E6769" s="9">
        <v>2021</v>
      </c>
      <c r="F6769" s="8"/>
      <c r="G6769" s="8"/>
      <c r="H6769" s="9">
        <v>9</v>
      </c>
      <c r="I6769" s="8"/>
      <c r="J6769" s="8"/>
      <c r="K6769" s="8"/>
    </row>
    <row r="6770" spans="1:11" hidden="1" x14ac:dyDescent="0.25">
      <c r="A6770" t="str">
        <f>_xlfn.XLOOKUP(C6770, 'Códigos DANE Municipios'!$B$2:$B$1123, 'Códigos DANE Municipios'!$A$2:$A$1123, "No encontrado")</f>
        <v>15879</v>
      </c>
      <c r="B6770" t="str">
        <f>IFERROR(VLOOKUP(D6770,APOYO!K:L,2,FALSE),A6770)</f>
        <v>15879</v>
      </c>
      <c r="C6770" s="9" t="s">
        <v>640</v>
      </c>
      <c r="D6770" t="str">
        <f>IFERROR(VLOOKUP(C6770,APOYO!J:K,2,FALSE),C6770)</f>
        <v>VIRACACHÁ</v>
      </c>
      <c r="E6770" s="9">
        <v>2021</v>
      </c>
      <c r="F6770" s="8"/>
      <c r="G6770" s="8"/>
      <c r="H6770" s="8"/>
      <c r="I6770" s="8"/>
      <c r="J6770" s="8"/>
      <c r="K6770" s="8"/>
    </row>
    <row r="6771" spans="1:11" hidden="1" x14ac:dyDescent="0.25">
      <c r="A6771" t="str">
        <f>_xlfn.XLOOKUP(C6771, 'Códigos DANE Municipios'!$B$2:$B$1123, 'Códigos DANE Municipios'!$A$2:$A$1123, "No encontrado")</f>
        <v>50711</v>
      </c>
      <c r="B6771" t="str">
        <f>IFERROR(VLOOKUP(D6771,APOYO!K:L,2,FALSE),A6771)</f>
        <v>50711</v>
      </c>
      <c r="C6771" s="7" t="s">
        <v>1410</v>
      </c>
      <c r="D6771" t="str">
        <f>IFERROR(VLOOKUP(C6771,APOYO!J:K,2,FALSE),C6771)</f>
        <v>VISTAHERMOSA</v>
      </c>
      <c r="E6771" s="7">
        <v>2021</v>
      </c>
      <c r="F6771" s="7">
        <v>5</v>
      </c>
      <c r="H6771" s="7">
        <v>10</v>
      </c>
    </row>
    <row r="6772" spans="1:11" hidden="1" x14ac:dyDescent="0.25">
      <c r="A6772" t="str">
        <f>_xlfn.XLOOKUP(C6772, 'Códigos DANE Municipios'!$B$2:$B$1123, 'Códigos DANE Municipios'!$A$2:$A$1123, "No encontrado")</f>
        <v>17877</v>
      </c>
      <c r="B6772" t="str">
        <f>IFERROR(VLOOKUP(D6772,APOYO!K:L,2,FALSE),A6772)</f>
        <v>17877</v>
      </c>
      <c r="C6772" s="9" t="s">
        <v>696</v>
      </c>
      <c r="D6772" t="str">
        <f>IFERROR(VLOOKUP(C6772,APOYO!J:K,2,FALSE),C6772)</f>
        <v>VITERBO</v>
      </c>
      <c r="E6772" s="9">
        <v>2021</v>
      </c>
      <c r="F6772" s="8"/>
      <c r="G6772" s="8"/>
      <c r="H6772" s="9">
        <v>145</v>
      </c>
      <c r="I6772" s="8"/>
      <c r="J6772" s="8"/>
      <c r="K6772" s="8"/>
    </row>
    <row r="6773" spans="1:11" hidden="1" x14ac:dyDescent="0.25">
      <c r="A6773" t="str">
        <f>_xlfn.XLOOKUP(C6773, 'Códigos DANE Municipios'!$B$2:$B$1123, 'Códigos DANE Municipios'!$A$2:$A$1123, "No encontrado")</f>
        <v>41885</v>
      </c>
      <c r="B6773" t="str">
        <f>IFERROR(VLOOKUP(D6773,APOYO!K:L,2,FALSE),A6773)</f>
        <v>41885</v>
      </c>
      <c r="C6773" s="9" t="s">
        <v>1270</v>
      </c>
      <c r="D6773" t="str">
        <f>IFERROR(VLOOKUP(C6773,APOYO!J:K,2,FALSE),C6773)</f>
        <v>YAGUARÁ</v>
      </c>
      <c r="E6773" s="9">
        <v>2021</v>
      </c>
      <c r="F6773" s="9">
        <v>53</v>
      </c>
      <c r="G6773" s="8"/>
      <c r="H6773" s="9">
        <v>5</v>
      </c>
      <c r="I6773" s="8"/>
      <c r="J6773" s="8"/>
      <c r="K6773" s="8"/>
    </row>
    <row r="6774" spans="1:11" hidden="1" x14ac:dyDescent="0.25">
      <c r="A6774" t="str">
        <f>_xlfn.XLOOKUP(C6774, 'Códigos DANE Municipios'!$B$2:$B$1123, 'Códigos DANE Municipios'!$A$2:$A$1123, "No encontrado")</f>
        <v>05885</v>
      </c>
      <c r="B6774" t="str">
        <f>IFERROR(VLOOKUP(D6774,APOYO!K:L,2,FALSE),A6774)</f>
        <v>05885</v>
      </c>
      <c r="C6774" s="7" t="s">
        <v>252</v>
      </c>
      <c r="D6774" t="str">
        <f>IFERROR(VLOOKUP(C6774,APOYO!J:K,2,FALSE),C6774)</f>
        <v>YALÍ</v>
      </c>
      <c r="E6774" s="7">
        <v>2021</v>
      </c>
      <c r="H6774" s="7">
        <v>6</v>
      </c>
    </row>
    <row r="6775" spans="1:11" hidden="1" x14ac:dyDescent="0.25">
      <c r="A6775" t="str">
        <f>_xlfn.XLOOKUP(C6775, 'Códigos DANE Municipios'!$B$2:$B$1123, 'Códigos DANE Municipios'!$A$2:$A$1123, "No encontrado")</f>
        <v>05887</v>
      </c>
      <c r="B6775" t="str">
        <f>IFERROR(VLOOKUP(D6775,APOYO!K:L,2,FALSE),A6775)</f>
        <v>05887</v>
      </c>
      <c r="C6775" s="9" t="s">
        <v>254</v>
      </c>
      <c r="D6775" t="str">
        <f>IFERROR(VLOOKUP(C6775,APOYO!J:K,2,FALSE),C6775)</f>
        <v>YARUMAL</v>
      </c>
      <c r="E6775" s="9">
        <v>2021</v>
      </c>
      <c r="F6775" s="8"/>
      <c r="G6775" s="8"/>
      <c r="H6775" s="9">
        <v>32</v>
      </c>
      <c r="I6775" s="8"/>
      <c r="J6775" s="8"/>
      <c r="K6775" s="8"/>
    </row>
    <row r="6776" spans="1:11" hidden="1" x14ac:dyDescent="0.25">
      <c r="A6776" t="str">
        <f>_xlfn.XLOOKUP(C6776, 'Códigos DANE Municipios'!$B$2:$B$1123, 'Códigos DANE Municipios'!$A$2:$A$1123, "No encontrado")</f>
        <v>05890</v>
      </c>
      <c r="B6776" t="str">
        <f>IFERROR(VLOOKUP(D6776,APOYO!K:L,2,FALSE),A6776)</f>
        <v>05890</v>
      </c>
      <c r="C6776" s="9" t="s">
        <v>256</v>
      </c>
      <c r="D6776" t="str">
        <f>IFERROR(VLOOKUP(C6776,APOYO!J:K,2,FALSE),C6776)</f>
        <v>YOLOMBÓ</v>
      </c>
      <c r="E6776" s="9">
        <v>2021</v>
      </c>
      <c r="F6776" s="8"/>
      <c r="G6776" s="8"/>
      <c r="H6776" s="9">
        <v>11</v>
      </c>
      <c r="I6776" s="8"/>
      <c r="J6776" s="8"/>
      <c r="K6776" s="8"/>
    </row>
    <row r="6777" spans="1:11" hidden="1" x14ac:dyDescent="0.25">
      <c r="A6777" t="str">
        <f>_xlfn.XLOOKUP(C6777, 'Códigos DANE Municipios'!$B$2:$B$1123, 'Códigos DANE Municipios'!$A$2:$A$1123, "No encontrado")</f>
        <v>05893</v>
      </c>
      <c r="B6777" t="str">
        <f>IFERROR(VLOOKUP(D6777,APOYO!K:L,2,FALSE),A6777)</f>
        <v>05893</v>
      </c>
      <c r="C6777" s="9" t="s">
        <v>258</v>
      </c>
      <c r="D6777" t="str">
        <f>IFERROR(VLOOKUP(C6777,APOYO!J:K,2,FALSE),C6777)</f>
        <v>YONDÓ</v>
      </c>
      <c r="E6777" s="9">
        <v>2021</v>
      </c>
      <c r="F6777" s="8"/>
      <c r="G6777" s="8"/>
      <c r="H6777" s="9">
        <v>8</v>
      </c>
      <c r="I6777" s="8"/>
      <c r="J6777" s="8"/>
      <c r="K6777" s="8"/>
    </row>
    <row r="6778" spans="1:11" hidden="1" x14ac:dyDescent="0.25">
      <c r="A6778" t="str">
        <f>_xlfn.XLOOKUP(C6778, 'Códigos DANE Municipios'!$B$2:$B$1123, 'Códigos DANE Municipios'!$A$2:$A$1123, "No encontrado")</f>
        <v>85001</v>
      </c>
      <c r="B6778" t="str">
        <f>IFERROR(VLOOKUP(D6778,APOYO!K:L,2,FALSE),A6778)</f>
        <v>85001</v>
      </c>
      <c r="C6778" s="9" t="s">
        <v>2048</v>
      </c>
      <c r="D6778" t="str">
        <f>IFERROR(VLOOKUP(C6778,APOYO!J:K,2,FALSE),C6778)</f>
        <v>YOPAL</v>
      </c>
      <c r="E6778" s="9">
        <v>2021</v>
      </c>
      <c r="F6778" s="9">
        <v>86077</v>
      </c>
      <c r="G6778" s="8"/>
      <c r="H6778" s="9">
        <v>500</v>
      </c>
      <c r="I6778" s="8"/>
      <c r="J6778" s="8"/>
      <c r="K6778" s="8"/>
    </row>
    <row r="6779" spans="1:11" hidden="1" x14ac:dyDescent="0.25">
      <c r="A6779" t="str">
        <f>_xlfn.XLOOKUP(C6779, 'Códigos DANE Municipios'!$B$2:$B$1123, 'Códigos DANE Municipios'!$A$2:$A$1123, "No encontrado")</f>
        <v>76890</v>
      </c>
      <c r="B6779" t="str">
        <f>IFERROR(VLOOKUP(D6779,APOYO!K:L,2,FALSE),A6779)</f>
        <v>76890</v>
      </c>
      <c r="C6779" s="9" t="s">
        <v>2028</v>
      </c>
      <c r="D6779" t="str">
        <f>IFERROR(VLOOKUP(C6779,APOYO!J:K,2,FALSE),C6779)</f>
        <v>YOTOCO</v>
      </c>
      <c r="E6779" s="9">
        <v>2021</v>
      </c>
      <c r="F6779" s="8"/>
      <c r="G6779" s="8"/>
      <c r="H6779" s="9">
        <v>59</v>
      </c>
      <c r="I6779" s="8"/>
      <c r="J6779" s="8"/>
      <c r="K6779" s="8"/>
    </row>
    <row r="6780" spans="1:11" hidden="1" x14ac:dyDescent="0.25">
      <c r="A6780" t="str">
        <f>_xlfn.XLOOKUP(C6780, 'Códigos DANE Municipios'!$B$2:$B$1123, 'Códigos DANE Municipios'!$A$2:$A$1123, "No encontrado")</f>
        <v>76892</v>
      </c>
      <c r="B6780" t="str">
        <f>IFERROR(VLOOKUP(D6780,APOYO!K:L,2,FALSE),A6780)</f>
        <v>76892</v>
      </c>
      <c r="C6780" s="9" t="s">
        <v>2030</v>
      </c>
      <c r="D6780" t="str">
        <f>IFERROR(VLOOKUP(C6780,APOYO!J:K,2,FALSE),C6780)</f>
        <v>YUMBO</v>
      </c>
      <c r="E6780" s="9">
        <v>2021</v>
      </c>
      <c r="F6780" s="8"/>
      <c r="G6780" s="8"/>
      <c r="H6780" s="9">
        <v>696</v>
      </c>
      <c r="I6780" s="8"/>
      <c r="J6780" s="8"/>
      <c r="K6780" s="8"/>
    </row>
    <row r="6781" spans="1:11" hidden="1" x14ac:dyDescent="0.25">
      <c r="A6781" t="str">
        <f>_xlfn.XLOOKUP(C6781, 'Códigos DANE Municipios'!$B$2:$B$1123, 'Códigos DANE Municipios'!$A$2:$A$1123, "No encontrado")</f>
        <v>68895</v>
      </c>
      <c r="B6781" t="str">
        <f>IFERROR(VLOOKUP(D6781,APOYO!K:L,2,FALSE),A6781)</f>
        <v>68895</v>
      </c>
      <c r="C6781" s="9" t="s">
        <v>1814</v>
      </c>
      <c r="D6781" t="str">
        <f>IFERROR(VLOOKUP(C6781,APOYO!J:K,2,FALSE),C6781)</f>
        <v>ZAPATOCA</v>
      </c>
      <c r="E6781" s="9">
        <v>2021</v>
      </c>
      <c r="F6781" s="8"/>
      <c r="G6781" s="8"/>
      <c r="H6781" s="9">
        <v>31</v>
      </c>
      <c r="I6781" s="8"/>
      <c r="J6781" s="8"/>
      <c r="K6781" s="8"/>
    </row>
    <row r="6782" spans="1:11" hidden="1" x14ac:dyDescent="0.25">
      <c r="A6782" t="str">
        <f>_xlfn.XLOOKUP(C6782, 'Códigos DANE Municipios'!$B$2:$B$1123, 'Códigos DANE Municipios'!$A$2:$A$1123, "No encontrado")</f>
        <v>05895</v>
      </c>
      <c r="B6782" t="str">
        <f>IFERROR(VLOOKUP(D6782,APOYO!K:L,2,FALSE),A6782)</f>
        <v>05895</v>
      </c>
      <c r="C6782" s="9" t="s">
        <v>260</v>
      </c>
      <c r="D6782" t="str">
        <f>IFERROR(VLOOKUP(C6782,APOYO!J:K,2,FALSE),C6782)</f>
        <v>ZARAGOZA</v>
      </c>
      <c r="E6782" s="9">
        <v>2021</v>
      </c>
      <c r="F6782" s="8"/>
      <c r="G6782" s="8"/>
      <c r="H6782" s="9">
        <v>1</v>
      </c>
      <c r="I6782" s="8"/>
      <c r="J6782" s="8"/>
      <c r="K6782" s="8"/>
    </row>
    <row r="6783" spans="1:11" hidden="1" x14ac:dyDescent="0.25">
      <c r="A6783" t="str">
        <f>_xlfn.XLOOKUP(C6783, 'Códigos DANE Municipios'!$B$2:$B$1123, 'Códigos DANE Municipios'!$A$2:$A$1123, "No encontrado")</f>
        <v>76895</v>
      </c>
      <c r="B6783" t="str">
        <f>IFERROR(VLOOKUP(D6783,APOYO!K:L,2,FALSE),A6783)</f>
        <v>76895</v>
      </c>
      <c r="C6783" s="9" t="s">
        <v>2032</v>
      </c>
      <c r="D6783" t="str">
        <f>IFERROR(VLOOKUP(C6783,APOYO!J:K,2,FALSE),C6783)</f>
        <v>ZARZAL</v>
      </c>
      <c r="E6783" s="9">
        <v>2021</v>
      </c>
      <c r="F6783" s="8"/>
      <c r="G6783" s="8"/>
      <c r="H6783" s="9">
        <v>218</v>
      </c>
      <c r="I6783" s="8"/>
      <c r="J6783" s="8"/>
      <c r="K6783" s="8"/>
    </row>
    <row r="6784" spans="1:11" hidden="1" x14ac:dyDescent="0.25">
      <c r="A6784" t="str">
        <f>_xlfn.XLOOKUP(C6784, 'Códigos DANE Municipios'!$B$2:$B$1123, 'Códigos DANE Municipios'!$A$2:$A$1123, "No encontrado")</f>
        <v>15897</v>
      </c>
      <c r="B6784" t="str">
        <f>IFERROR(VLOOKUP(D6784,APOYO!K:L,2,FALSE),A6784)</f>
        <v>15897</v>
      </c>
      <c r="C6784" s="9" t="s">
        <v>642</v>
      </c>
      <c r="D6784" t="str">
        <f>IFERROR(VLOOKUP(C6784,APOYO!J:K,2,FALSE),C6784)</f>
        <v>ZETAQUIRA</v>
      </c>
      <c r="E6784" s="9">
        <v>2021</v>
      </c>
      <c r="F6784" s="8"/>
      <c r="G6784" s="8"/>
      <c r="H6784" s="8"/>
      <c r="I6784" s="8"/>
      <c r="J6784" s="8"/>
      <c r="K6784" s="8"/>
    </row>
    <row r="6785" spans="1:11" hidden="1" x14ac:dyDescent="0.25">
      <c r="A6785" t="str">
        <f>_xlfn.XLOOKUP(C6785, 'Códigos DANE Municipios'!$B$2:$B$1123, 'Códigos DANE Municipios'!$A$2:$A$1123, "No encontrado")</f>
        <v>25898</v>
      </c>
      <c r="B6785" t="str">
        <f>IFERROR(VLOOKUP(D6785,APOYO!K:L,2,FALSE),A6785)</f>
        <v>25898</v>
      </c>
      <c r="C6785" s="9" t="s">
        <v>1138</v>
      </c>
      <c r="D6785" t="str">
        <f>IFERROR(VLOOKUP(C6785,APOYO!J:K,2,FALSE),C6785)</f>
        <v>ZIPACÓN</v>
      </c>
      <c r="E6785" s="9">
        <v>2021</v>
      </c>
      <c r="F6785" s="8"/>
      <c r="G6785" s="8"/>
      <c r="H6785" s="9">
        <v>33</v>
      </c>
      <c r="I6785" s="8"/>
      <c r="J6785" s="8"/>
      <c r="K6785" s="8"/>
    </row>
    <row r="6786" spans="1:11" hidden="1" x14ac:dyDescent="0.25">
      <c r="A6786" t="str">
        <f>_xlfn.XLOOKUP(C6786, 'Códigos DANE Municipios'!$B$2:$B$1123, 'Códigos DANE Municipios'!$A$2:$A$1123, "No encontrado")</f>
        <v>25899</v>
      </c>
      <c r="B6786" t="str">
        <f>IFERROR(VLOOKUP(D6786,APOYO!K:L,2,FALSE),A6786)</f>
        <v>25899</v>
      </c>
      <c r="C6786" s="9" t="s">
        <v>1140</v>
      </c>
      <c r="D6786" t="str">
        <f>IFERROR(VLOOKUP(C6786,APOYO!J:K,2,FALSE),C6786)</f>
        <v>ZIPAQUIRÁ</v>
      </c>
      <c r="E6786" s="9">
        <v>2021</v>
      </c>
      <c r="F6786" s="8"/>
      <c r="G6786" s="8"/>
      <c r="H6786" s="9">
        <v>690</v>
      </c>
      <c r="I6786" s="8"/>
      <c r="J6786" s="9" t="s">
        <v>2500</v>
      </c>
      <c r="K6786" s="9" t="s">
        <v>2500</v>
      </c>
    </row>
    <row r="6787" spans="1:11" hidden="1" x14ac:dyDescent="0.25">
      <c r="A6787" t="str">
        <f>_xlfn.XLOOKUP(C6787, 'Códigos DANE Municipios'!$B$2:$B$1123, 'Códigos DANE Municipios'!$A$2:$A$1123, "No encontrado")</f>
        <v>47980</v>
      </c>
      <c r="B6787" t="str">
        <f>IFERROR(VLOOKUP(D6787,APOYO!K:L,2,FALSE),A6787)</f>
        <v>47980</v>
      </c>
      <c r="C6787" s="9" t="s">
        <v>1356</v>
      </c>
      <c r="D6787" t="str">
        <f>IFERROR(VLOOKUP(C6787,APOYO!J:K,2,FALSE),C6787)</f>
        <v>ZONA BANANERA</v>
      </c>
      <c r="E6787" s="9">
        <v>2021</v>
      </c>
      <c r="F6787" s="8"/>
      <c r="G6787" s="8"/>
      <c r="H6787" s="9">
        <v>5</v>
      </c>
      <c r="I6787" s="8"/>
      <c r="J6787" s="8"/>
      <c r="K6787" s="8"/>
    </row>
  </sheetData>
  <autoFilter ref="A1:L6787" xr:uid="{00000000-0001-0000-0000-000000000000}">
    <filterColumn colId="4">
      <filters>
        <filter val="202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S1633"/>
  <sheetViews>
    <sheetView workbookViewId="0">
      <selection activeCell="A3" sqref="A3"/>
    </sheetView>
  </sheetViews>
  <sheetFormatPr baseColWidth="10" defaultColWidth="9.140625" defaultRowHeight="15" x14ac:dyDescent="0.25"/>
  <cols>
    <col min="1" max="2" width="38.28515625" customWidth="1"/>
    <col min="6" max="6" width="26.42578125" customWidth="1"/>
    <col min="10" max="10" width="26.85546875" bestFit="1" customWidth="1"/>
    <col min="11" max="11" width="23.28515625" bestFit="1" customWidth="1"/>
    <col min="12" max="13" width="20.85546875" customWidth="1"/>
  </cols>
  <sheetData>
    <row r="1" spans="1:19" ht="30" x14ac:dyDescent="0.25">
      <c r="A1" s="11" t="s">
        <v>2523</v>
      </c>
      <c r="B1" s="11" t="s">
        <v>2524</v>
      </c>
      <c r="E1" s="6" t="s">
        <v>2522</v>
      </c>
      <c r="F1" t="s">
        <v>1</v>
      </c>
      <c r="J1" s="11" t="s">
        <v>2523</v>
      </c>
      <c r="K1" s="11" t="s">
        <v>2524</v>
      </c>
      <c r="L1" s="11" t="s">
        <v>2536</v>
      </c>
      <c r="M1" s="11" t="s">
        <v>2532</v>
      </c>
      <c r="N1" t="s">
        <v>2533</v>
      </c>
      <c r="O1" t="s">
        <v>1</v>
      </c>
    </row>
    <row r="2" spans="1:19" x14ac:dyDescent="0.25">
      <c r="A2" s="12" t="s">
        <v>2204</v>
      </c>
      <c r="B2" s="12" t="s">
        <v>58</v>
      </c>
      <c r="E2" s="10" t="s">
        <v>2171</v>
      </c>
      <c r="F2" t="str">
        <f>_xlfn.XLOOKUP(E2, $A:$A, $B:$B, E2)</f>
        <v>ABREGO</v>
      </c>
      <c r="H2" t="e" cm="1" vm="1">
        <f t="array" aca="1" ref="H2" ca="1">IFERROR(VLOOKUP(APOYO!J:J=Hoja1!C:C,K:L,2,FALSE),"")</f>
        <v>#VALUE!</v>
      </c>
      <c r="J2" t="s">
        <v>2436</v>
      </c>
      <c r="K2" s="14" t="s">
        <v>1716</v>
      </c>
      <c r="L2" s="12" t="str">
        <f>IFERROR(VLOOKUP(K2,'Códigos DANE Municipios'!$B:$C,2,FALSE),"No encontrado")</f>
        <v>68298</v>
      </c>
      <c r="M2" s="4" t="s">
        <v>1715</v>
      </c>
      <c r="N2" t="str">
        <f>IF(COUNTIF('Códigos DANE Municipios'!$A:$A, M2) &gt; 0, "Encontrado", "Faltante")</f>
        <v>Encontrado</v>
      </c>
      <c r="O2" t="str">
        <f>IF(N2="Encontrado",VLOOKUP(TRIM(M2),'Códigos DANE Municipios'!$A$1:$B$1123,2,FALSE),"No")</f>
        <v>GÁMBITA</v>
      </c>
      <c r="R2">
        <v>2013</v>
      </c>
      <c r="S2">
        <f>+COUNTIF(Hoja1!$E$23:$E$6787,R2)</f>
        <v>651</v>
      </c>
    </row>
    <row r="3" spans="1:19" x14ac:dyDescent="0.25">
      <c r="A3" s="12" t="s">
        <v>2205</v>
      </c>
      <c r="B3" s="12" t="s">
        <v>60</v>
      </c>
      <c r="E3" s="10" t="s">
        <v>2183</v>
      </c>
      <c r="F3" t="str">
        <f t="shared" ref="F3:F66" si="0">_xlfn.XLOOKUP(E3, $A:$A, $B:$B, E3)</f>
        <v>ANTIOQUIA</v>
      </c>
      <c r="J3" t="s">
        <v>2437</v>
      </c>
      <c r="K3" s="14" t="s">
        <v>988</v>
      </c>
      <c r="L3" s="12" t="str">
        <f>IFERROR(VLOOKUP(K3,'Códigos DANE Municipios'!$B:$C,2,FALSE),"No encontrado")</f>
        <v>25317</v>
      </c>
      <c r="M3" s="4" t="s">
        <v>987</v>
      </c>
      <c r="N3" t="str">
        <f>IF(COUNTIF('Códigos DANE Municipios'!$A:$A, M3) &gt; 0, "Encontrado", "Faltante")</f>
        <v>Encontrado</v>
      </c>
      <c r="O3" t="str">
        <f>IF(N3="Encontrado",VLOOKUP(TRIM(M3),'Códigos DANE Municipios'!$A$1:$B$1123,2,FALSE),"No")</f>
        <v>GUACHETÁ</v>
      </c>
      <c r="R3">
        <v>2014</v>
      </c>
      <c r="S3">
        <f>+COUNTIF(Hoja1!$E$23:$E$6787,R3)</f>
        <v>754</v>
      </c>
    </row>
    <row r="4" spans="1:19" x14ac:dyDescent="0.25">
      <c r="A4" s="12" t="s">
        <v>2525</v>
      </c>
      <c r="B4" s="12" t="s">
        <v>2206</v>
      </c>
      <c r="E4" t="s">
        <v>2507</v>
      </c>
      <c r="F4" t="str">
        <f t="shared" si="0"/>
        <v>CUBARÁ</v>
      </c>
      <c r="J4" t="s">
        <v>2438</v>
      </c>
      <c r="K4" s="14" t="s">
        <v>994</v>
      </c>
      <c r="L4" s="12" t="str">
        <f>IFERROR(VLOOKUP(K4,'Códigos DANE Municipios'!$B:$C,2,FALSE),"No encontrado")</f>
        <v>25324</v>
      </c>
      <c r="M4" s="4" t="s">
        <v>993</v>
      </c>
      <c r="N4" t="str">
        <f>IF(COUNTIF('Códigos DANE Municipios'!$A:$A, M4) &gt; 0, "Encontrado", "Faltante")</f>
        <v>Encontrado</v>
      </c>
      <c r="O4" t="str">
        <f>IF(N4="Encontrado",VLOOKUP(TRIM(M4),'Códigos DANE Municipios'!$A$1:$B$1123,2,FALSE),"No")</f>
        <v>GUATAQUÍ</v>
      </c>
      <c r="R4">
        <v>2015</v>
      </c>
      <c r="S4">
        <f>+COUNTIF(Hoja1!$E$23:$E$6787,R4)</f>
        <v>733</v>
      </c>
    </row>
    <row r="5" spans="1:19" x14ac:dyDescent="0.25">
      <c r="A5" s="12" t="s">
        <v>2207</v>
      </c>
      <c r="B5" s="12" t="s">
        <v>1539</v>
      </c>
      <c r="E5" t="s">
        <v>2241</v>
      </c>
      <c r="F5" t="str">
        <f t="shared" si="0"/>
        <v>SAN LUIS DE CUBARRAL</v>
      </c>
      <c r="J5" t="s">
        <v>2439</v>
      </c>
      <c r="K5" s="14" t="s">
        <v>1006</v>
      </c>
      <c r="L5" s="12" t="str">
        <f>IFERROR(VLOOKUP(K5,'Códigos DANE Municipios'!$B:$C,2,FALSE),"No encontrado")</f>
        <v>25372</v>
      </c>
      <c r="M5" s="4" t="s">
        <v>1005</v>
      </c>
      <c r="N5" t="str">
        <f>IF(COUNTIF('Códigos DANE Municipios'!$A:$A, M5) &gt; 0, "Encontrado", "Faltante")</f>
        <v>Encontrado</v>
      </c>
      <c r="O5" t="str">
        <f>IF(N5="Encontrado",VLOOKUP(TRIM(M5),'Códigos DANE Municipios'!$A$1:$B$1123,2,FALSE),"No")</f>
        <v>JUNÍN</v>
      </c>
      <c r="R5">
        <v>2016</v>
      </c>
      <c r="S5">
        <f>+COUNTIF(Hoja1!$E$23:$E$6787,R5)</f>
        <v>733</v>
      </c>
    </row>
    <row r="6" spans="1:19" x14ac:dyDescent="0.25">
      <c r="A6" s="12" t="s">
        <v>2208</v>
      </c>
      <c r="B6" s="12" t="s">
        <v>740</v>
      </c>
      <c r="E6" t="s">
        <v>2242</v>
      </c>
      <c r="F6" t="str">
        <f t="shared" si="0"/>
        <v>CUCUNUBÁ</v>
      </c>
      <c r="J6" t="s">
        <v>2440</v>
      </c>
      <c r="K6" s="14" t="s">
        <v>1737</v>
      </c>
      <c r="L6" s="12" t="str">
        <f>IFERROR(VLOOKUP(K6,'Códigos DANE Municipios'!$B:$C,2,FALSE),"No encontrado")</f>
        <v>68385</v>
      </c>
      <c r="M6" s="4" t="s">
        <v>1736</v>
      </c>
      <c r="N6" t="str">
        <f>IF(COUNTIF('Códigos DANE Municipios'!$A:$A, M6) &gt; 0, "Encontrado", "Faltante")</f>
        <v>Encontrado</v>
      </c>
      <c r="O6" t="str">
        <f>IF(N6="Encontrado",VLOOKUP(TRIM(M6),'Códigos DANE Municipios'!$A$1:$B$1123,2,FALSE),"No")</f>
        <v>LANDÁZURI</v>
      </c>
      <c r="R6">
        <v>2017</v>
      </c>
      <c r="S6">
        <f>+COUNTIF(Hoja1!$E$23:$E$6787,R6)</f>
        <v>733</v>
      </c>
    </row>
    <row r="7" spans="1:19" x14ac:dyDescent="0.25">
      <c r="A7" s="12" t="s">
        <v>2209</v>
      </c>
      <c r="B7" s="12" t="s">
        <v>936</v>
      </c>
      <c r="E7" t="s">
        <v>2243</v>
      </c>
      <c r="F7" t="str">
        <f t="shared" si="0"/>
        <v>CÚCUTA</v>
      </c>
      <c r="J7" t="s">
        <v>2291</v>
      </c>
      <c r="K7" s="14" t="s">
        <v>1740</v>
      </c>
      <c r="L7" s="12" t="str">
        <f>IFERROR(VLOOKUP(K7,'Códigos DANE Municipios'!$B:$C,2,FALSE),"No encontrado")</f>
        <v>68406</v>
      </c>
      <c r="M7" s="4" t="s">
        <v>1739</v>
      </c>
      <c r="N7" t="str">
        <f>IF(COUNTIF('Códigos DANE Municipios'!$A:$A, M7) &gt; 0, "Encontrado", "Faltante")</f>
        <v>Encontrado</v>
      </c>
      <c r="O7" t="str">
        <f>IF(N7="Encontrado",VLOOKUP(TRIM(M7),'Códigos DANE Municipios'!$A$1:$B$1123,2,FALSE),"No")</f>
        <v>LEBRIJA</v>
      </c>
      <c r="R7">
        <v>2018</v>
      </c>
      <c r="S7">
        <f>+COUNTIF(Hoja1!$E$23:$E$6787,R7)</f>
        <v>733</v>
      </c>
    </row>
    <row r="8" spans="1:19" x14ac:dyDescent="0.25">
      <c r="A8" s="12" t="s">
        <v>2210</v>
      </c>
      <c r="B8" s="12" t="s">
        <v>1609</v>
      </c>
      <c r="E8" t="s">
        <v>2244</v>
      </c>
      <c r="F8" t="str">
        <f t="shared" si="0"/>
        <v>CUITIVA</v>
      </c>
      <c r="J8" t="s">
        <v>2441</v>
      </c>
      <c r="K8" s="14" t="s">
        <v>1390</v>
      </c>
      <c r="L8" s="12" t="str">
        <f>IFERROR(VLOOKUP(K8,'Códigos DANE Municipios'!$B:$C,2,FALSE),"No encontrado")</f>
        <v>50400</v>
      </c>
      <c r="M8" s="12" t="str">
        <f>IFERROR(VLOOKUP(K8,'Códigos DANE Municipios'!$B:$C,2,FALSE),"No encontrado")</f>
        <v>50400</v>
      </c>
      <c r="N8" t="str">
        <f>IF(COUNTIF('Códigos DANE Municipios'!$A:$A, M8) &gt; 0, "Encontrado", "Faltante")</f>
        <v>Encontrado</v>
      </c>
      <c r="O8" t="str">
        <f>IF(N8="Encontrado",VLOOKUP(TRIM(M8),'Códigos DANE Municipios'!$A$1:$B$1123,2,FALSE),"No")</f>
        <v>LEJANÍAS</v>
      </c>
      <c r="R8">
        <v>2019</v>
      </c>
      <c r="S8">
        <f>+COUNTIF(Hoja1!$E$23:$E$6787,R8)</f>
        <v>791</v>
      </c>
    </row>
    <row r="9" spans="1:19" x14ac:dyDescent="0.25">
      <c r="A9" s="12" t="s">
        <v>2211</v>
      </c>
      <c r="B9" s="12" t="s">
        <v>938</v>
      </c>
      <c r="E9" t="s">
        <v>2245</v>
      </c>
      <c r="F9" t="str">
        <f t="shared" si="0"/>
        <v>CURITÍ</v>
      </c>
      <c r="J9" t="s">
        <v>2442</v>
      </c>
      <c r="K9" s="14" t="s">
        <v>1174</v>
      </c>
      <c r="L9" s="12" t="str">
        <f>IFERROR(VLOOKUP(K9,'Códigos DANE Municipios'!$B:$C,2,FALSE),"No encontrado")</f>
        <v>27413</v>
      </c>
      <c r="M9" s="12">
        <v>27413</v>
      </c>
      <c r="N9" t="str">
        <f>IF(COUNTIF('Códigos DANE Municipios'!$A:$A, M9) &gt; 0, "Encontrado", "Faltante")</f>
        <v>Encontrado</v>
      </c>
      <c r="O9" t="str">
        <f>IF(N9="Encontrado",VLOOKUP(TRIM(M9),'Códigos DANE Municipios'!$A$1:$B$1123,2,FALSE),"No")</f>
        <v>LLORÓ</v>
      </c>
      <c r="R9">
        <v>2020</v>
      </c>
      <c r="S9">
        <f>+COUNTIF(Hoja1!$E$23:$E$6787,R9)</f>
        <v>819</v>
      </c>
    </row>
    <row r="10" spans="1:19" x14ac:dyDescent="0.25">
      <c r="A10" s="12" t="s">
        <v>2212</v>
      </c>
      <c r="B10" s="12" t="s">
        <v>940</v>
      </c>
      <c r="E10" t="s">
        <v>2246</v>
      </c>
      <c r="F10" t="str">
        <f t="shared" si="0"/>
        <v>CURUMANÍ</v>
      </c>
      <c r="J10" t="s">
        <v>2443</v>
      </c>
      <c r="K10" s="14" t="s">
        <v>1477</v>
      </c>
      <c r="L10" s="12" t="str">
        <f>IFERROR(VLOOKUP(K10,'Códigos DANE Municipios'!$B:$C,2,FALSE),"No encontrado")</f>
        <v>52418</v>
      </c>
      <c r="M10" s="12">
        <v>52418</v>
      </c>
      <c r="N10" t="str">
        <f>IF(COUNTIF('Códigos DANE Municipios'!$A:$A, M10) &gt; 0, "Encontrado", "Faltante")</f>
        <v>Encontrado</v>
      </c>
      <c r="O10" t="str">
        <f>IF(N10="Encontrado",VLOOKUP(TRIM(M10),'Códigos DANE Municipios'!$A$1:$B$1123,2,FALSE),"No")</f>
        <v>LOS ANDES</v>
      </c>
      <c r="R10">
        <v>2021</v>
      </c>
      <c r="S10">
        <f>+COUNTIF(Hoja1!$E$23:$E$6787,R10)</f>
        <v>809</v>
      </c>
    </row>
    <row r="11" spans="1:19" x14ac:dyDescent="0.25">
      <c r="A11" s="12" t="s">
        <v>2213</v>
      </c>
      <c r="B11" s="12" t="s">
        <v>70</v>
      </c>
      <c r="E11" t="s">
        <v>2247</v>
      </c>
      <c r="F11" t="str">
        <f t="shared" si="0"/>
        <v>DISTRACCIÓN</v>
      </c>
      <c r="J11" t="s">
        <v>2444</v>
      </c>
      <c r="K11" s="14" t="s">
        <v>1178</v>
      </c>
      <c r="L11" s="12" t="str">
        <f>IFERROR(VLOOKUP(K11,'Códigos DANE Municipios'!$B:$C,2,FALSE),"No encontrado")</f>
        <v>27430</v>
      </c>
      <c r="M11" s="12">
        <v>27430</v>
      </c>
      <c r="N11" t="str">
        <f>IF(COUNTIF('Códigos DANE Municipios'!$A:$A, M11) &gt; 0, "Encontrado", "Faltante")</f>
        <v>Encontrado</v>
      </c>
      <c r="O11" t="str">
        <f>IF(N11="Encontrado",VLOOKUP(TRIM(M11),'Códigos DANE Municipios'!$A$1:$B$1123,2,FALSE),"No")</f>
        <v>MEDIO BAUDÓ</v>
      </c>
    </row>
    <row r="12" spans="1:19" x14ac:dyDescent="0.25">
      <c r="A12" s="12" t="s">
        <v>2214</v>
      </c>
      <c r="B12" s="12" t="s">
        <v>1881</v>
      </c>
      <c r="E12" t="s">
        <v>2248</v>
      </c>
      <c r="F12" t="str">
        <f t="shared" si="0"/>
        <v>DONMATÍAS</v>
      </c>
      <c r="J12" t="s">
        <v>2445</v>
      </c>
      <c r="K12" s="14" t="s">
        <v>1236</v>
      </c>
      <c r="L12" s="12" t="str">
        <f>IFERROR(VLOOKUP(K12,'Códigos DANE Municipios'!$B:$C,2,FALSE),"No encontrado")</f>
        <v>41483</v>
      </c>
      <c r="M12" s="4" t="s">
        <v>1235</v>
      </c>
      <c r="N12" t="str">
        <f>IF(COUNTIF('Códigos DANE Municipios'!$A:$A, M12) &gt; 0, "Encontrado", "Faltante")</f>
        <v>Encontrado</v>
      </c>
      <c r="O12" t="str">
        <f>IF(N12="Encontrado",VLOOKUP(TRIM(M12),'Códigos DANE Municipios'!$A$1:$B$1123,2,FALSE),"No")</f>
        <v>NÁTAGA</v>
      </c>
    </row>
    <row r="13" spans="1:19" x14ac:dyDescent="0.25">
      <c r="A13" s="12" t="s">
        <v>2215</v>
      </c>
      <c r="B13" s="12" t="s">
        <v>76</v>
      </c>
      <c r="E13" t="s">
        <v>2249</v>
      </c>
      <c r="F13" t="str">
        <f t="shared" si="0"/>
        <v>DOSQUEBRADAS</v>
      </c>
      <c r="J13" t="s">
        <v>2447</v>
      </c>
      <c r="K13" s="14" t="s">
        <v>2046</v>
      </c>
      <c r="L13" s="12" t="str">
        <f>IFERROR(VLOOKUP(K13,'Códigos DANE Municipios'!$B:$C,2,FALSE),"No encontrado")</f>
        <v>81794</v>
      </c>
      <c r="M13" s="12">
        <v>52585</v>
      </c>
      <c r="N13" t="str">
        <f>IF(COUNTIF('Códigos DANE Municipios'!$A:$A, M13) &gt; 0, "Encontrado", "Faltante")</f>
        <v>Encontrado</v>
      </c>
      <c r="O13" t="str">
        <f>IF(N13="Encontrado",VLOOKUP(TRIM(M13),'Códigos DANE Municipios'!$A$1:$B$1123,2,FALSE),"No")</f>
        <v>PUPIALES</v>
      </c>
    </row>
    <row r="14" spans="1:19" x14ac:dyDescent="0.25">
      <c r="A14" s="12" t="s">
        <v>2216</v>
      </c>
      <c r="B14" s="12" t="s">
        <v>309</v>
      </c>
      <c r="E14" t="s">
        <v>2250</v>
      </c>
      <c r="F14" t="str">
        <f t="shared" si="0"/>
        <v>EBÉJICO</v>
      </c>
      <c r="J14" t="s">
        <v>2448</v>
      </c>
      <c r="K14" s="14" t="s">
        <v>554</v>
      </c>
      <c r="L14" s="12" t="str">
        <f>IFERROR(VLOOKUP(K14,'Códigos DANE Municipios'!$B:$C,2,FALSE),"No encontrado")</f>
        <v>15632</v>
      </c>
      <c r="M14" s="12">
        <v>15693</v>
      </c>
      <c r="N14" t="str">
        <f>IF(COUNTIF('Códigos DANE Municipios'!$A:$A, M14) &gt; 0, "Encontrado", "Faltante")</f>
        <v>Encontrado</v>
      </c>
      <c r="O14" t="str">
        <f>IF(N14="Encontrado",VLOOKUP(TRIM(M14),'Códigos DANE Municipios'!$A$1:$B$1123,2,FALSE),"No")</f>
        <v>SANTA ROSA DE VITERBO</v>
      </c>
    </row>
    <row r="15" spans="1:19" x14ac:dyDescent="0.25">
      <c r="A15" s="12" t="s">
        <v>2217</v>
      </c>
      <c r="B15" s="12" t="s">
        <v>704</v>
      </c>
      <c r="E15" t="s">
        <v>2251</v>
      </c>
      <c r="F15" t="str">
        <f t="shared" si="0"/>
        <v>EL CARMEN DE BOLÍVAR</v>
      </c>
      <c r="J15" t="s">
        <v>2449</v>
      </c>
      <c r="K15" t="s">
        <v>688</v>
      </c>
      <c r="L15" s="4" t="s">
        <v>2535</v>
      </c>
      <c r="M15" s="12">
        <v>18610</v>
      </c>
      <c r="N15" t="str">
        <f>IF(COUNTIF('Códigos DANE Municipios'!$A:$A, M15) &gt; 0, "Encontrado", "Faltante")</f>
        <v>Encontrado</v>
      </c>
      <c r="O15" t="str">
        <f>IF(N15="Encontrado",VLOOKUP(TRIM(M15),'Códigos DANE Municipios'!$A$1:$B$1123,2,FALSE),"No")</f>
        <v>SAN JOSÉ DEL FRAGUA</v>
      </c>
    </row>
    <row r="16" spans="1:19" x14ac:dyDescent="0.25">
      <c r="A16" s="12" t="s">
        <v>2218</v>
      </c>
      <c r="B16" s="12" t="s">
        <v>2153</v>
      </c>
      <c r="E16" t="s">
        <v>2252</v>
      </c>
      <c r="F16" t="str">
        <f t="shared" si="0"/>
        <v>EL PAUJIL</v>
      </c>
      <c r="J16" t="s">
        <v>2514</v>
      </c>
      <c r="K16" s="12" t="s">
        <v>720</v>
      </c>
      <c r="L16" s="12" t="str">
        <f>IFERROR(VLOOKUP(K16,'Códigos DANE Municipios'!$B:$C,2,FALSE),"No encontrado")</f>
        <v>18610</v>
      </c>
      <c r="M16" s="12">
        <v>41359</v>
      </c>
      <c r="N16" t="str">
        <f>IF(COUNTIF('Códigos DANE Municipios'!$A:$A, M16) &gt; 0, "Encontrado", "Faltante")</f>
        <v>Encontrado</v>
      </c>
      <c r="O16" t="str">
        <f>IF(N16="Encontrado",VLOOKUP(TRIM(M16),'Códigos DANE Municipios'!$A$1:$B$1123,2,FALSE),"No")</f>
        <v>ISNOS</v>
      </c>
    </row>
    <row r="17" spans="1:15" x14ac:dyDescent="0.25">
      <c r="A17" s="12" t="s">
        <v>2219</v>
      </c>
      <c r="B17" s="12" t="s">
        <v>1676</v>
      </c>
      <c r="E17" t="s">
        <v>2253</v>
      </c>
      <c r="F17" t="str">
        <f t="shared" si="0"/>
        <v>EL PEÑÓN</v>
      </c>
      <c r="J17" t="s">
        <v>2478</v>
      </c>
      <c r="K17" s="5" t="s">
        <v>1230</v>
      </c>
      <c r="L17" s="12" t="str">
        <f>IFERROR(VLOOKUP(K17,'Códigos DANE Municipios'!$B:$C,2,FALSE),"No encontrado")</f>
        <v>41359</v>
      </c>
      <c r="M17" s="12">
        <v>68679</v>
      </c>
      <c r="N17" t="str">
        <f>IF(COUNTIF('Códigos DANE Municipios'!$A:$A, M17) &gt; 0, "Encontrado", "Faltante")</f>
        <v>Encontrado</v>
      </c>
      <c r="O17" t="str">
        <f>IF(N17="Encontrado",VLOOKUP(TRIM(M17),'Códigos DANE Municipios'!$A$1:$B$1123,2,FALSE),"No")</f>
        <v>SAN GIL</v>
      </c>
    </row>
    <row r="18" spans="1:15" x14ac:dyDescent="0.25">
      <c r="A18" s="12" t="s">
        <v>2220</v>
      </c>
      <c r="B18" s="12" t="s">
        <v>865</v>
      </c>
      <c r="E18" t="s">
        <v>2254</v>
      </c>
      <c r="F18" t="str">
        <f t="shared" si="0"/>
        <v>EL PLAYÓN</v>
      </c>
      <c r="J18" t="s">
        <v>2479</v>
      </c>
      <c r="K18" s="12" t="s">
        <v>562</v>
      </c>
      <c r="L18" s="12" t="str">
        <f>IFERROR(VLOOKUP(K18,'Códigos DANE Municipios'!$B:$C,2,FALSE),"No encontrado")</f>
        <v>15664</v>
      </c>
      <c r="M18" s="12">
        <v>5667</v>
      </c>
      <c r="N18" t="str">
        <f>IF(COUNTIF('Códigos DANE Municipios'!$A:$A, M18) &gt; 0, "Encontrado", "Faltante")</f>
        <v>Encontrado</v>
      </c>
      <c r="O18" t="e">
        <f>IF(N18="Encontrado",VLOOKUP(TRIM(M18),'Códigos DANE Municipios'!$A$1:$B$1123,2,FALSE),"No")</f>
        <v>#N/A</v>
      </c>
    </row>
    <row r="19" spans="1:15" x14ac:dyDescent="0.25">
      <c r="A19" s="12" t="s">
        <v>2221</v>
      </c>
      <c r="B19" s="12" t="s">
        <v>1439</v>
      </c>
      <c r="E19" t="s">
        <v>2255</v>
      </c>
      <c r="F19" t="str">
        <f t="shared" si="0"/>
        <v>ELÍAS</v>
      </c>
      <c r="J19" t="s">
        <v>2515</v>
      </c>
      <c r="K19" t="s">
        <v>2534</v>
      </c>
      <c r="L19" s="12" t="str">
        <f>IFERROR(VLOOKUP(K19,'Códigos DANE Municipios'!$B:$C,2,FALSE),"NA")</f>
        <v>NA</v>
      </c>
      <c r="M19" s="4" t="s">
        <v>1790</v>
      </c>
      <c r="N19" t="str">
        <f>IF(COUNTIF('Códigos DANE Municipios'!$A:$A, M19) &gt; 0, "Encontrado", "Faltante")</f>
        <v>Encontrado</v>
      </c>
      <c r="O19" t="str">
        <f>IF(N19="Encontrado",VLOOKUP(TRIM(M19),'Códigos DANE Municipios'!$A$1:$B$1123,2,FALSE),"No")</f>
        <v>SAN VICENTE DE CHUCURÍ</v>
      </c>
    </row>
    <row r="20" spans="1:15" x14ac:dyDescent="0.25">
      <c r="A20" s="12" t="s">
        <v>2222</v>
      </c>
      <c r="B20" s="12" t="s">
        <v>944</v>
      </c>
      <c r="E20" t="s">
        <v>2256</v>
      </c>
      <c r="F20" t="str">
        <f t="shared" si="0"/>
        <v>ENTRERRÍOS</v>
      </c>
      <c r="J20" t="s">
        <v>2450</v>
      </c>
      <c r="K20" s="12" t="s">
        <v>204</v>
      </c>
      <c r="L20" s="12" t="str">
        <f>IFERROR(VLOOKUP(K20,'Códigos DANE Municipios'!$B:$C,2,FALSE),"No encontrado")</f>
        <v>05665</v>
      </c>
      <c r="M20" s="12">
        <v>18753</v>
      </c>
      <c r="N20" t="str">
        <f>IF(COUNTIF('Códigos DANE Municipios'!$A:$A, M20) &gt; 0, "Encontrado", "Faltante")</f>
        <v>Encontrado</v>
      </c>
      <c r="O20" t="str">
        <f>IF(N20="Encontrado",VLOOKUP(TRIM(M20),'Códigos DANE Municipios'!$A$1:$B$1123,2,FALSE),"No")</f>
        <v>SAN VICENTE DEL CAGUÁN</v>
      </c>
    </row>
    <row r="21" spans="1:15" ht="30" x14ac:dyDescent="0.25">
      <c r="A21" s="12" t="s">
        <v>2223</v>
      </c>
      <c r="B21" s="12" t="s">
        <v>1680</v>
      </c>
      <c r="E21" t="s">
        <v>2257</v>
      </c>
      <c r="F21" t="str">
        <f t="shared" si="0"/>
        <v>FACATATIVÁ</v>
      </c>
      <c r="J21" t="s">
        <v>2451</v>
      </c>
      <c r="K21" s="12" t="s">
        <v>1791</v>
      </c>
      <c r="L21" s="12" t="str">
        <f>IFERROR(VLOOKUP(K21,'Códigos DANE Municipios'!$B:$C,2,FALSE),"No encontrado")</f>
        <v>68689</v>
      </c>
      <c r="M21" s="12">
        <v>15759</v>
      </c>
      <c r="N21" t="str">
        <f>IF(COUNTIF('Códigos DANE Municipios'!$A:$A, M21) &gt; 0, "Encontrado", "Faltante")</f>
        <v>Encontrado</v>
      </c>
      <c r="O21" t="str">
        <f>IF(N21="Encontrado",VLOOKUP(TRIM(M21),'Códigos DANE Municipios'!$A$1:$B$1123,2,FALSE),"No")</f>
        <v>SOGAMOSO</v>
      </c>
    </row>
    <row r="22" spans="1:15" ht="30" x14ac:dyDescent="0.25">
      <c r="A22" s="12" t="s">
        <v>2224</v>
      </c>
      <c r="B22" s="12" t="s">
        <v>946</v>
      </c>
      <c r="E22" t="s">
        <v>2258</v>
      </c>
      <c r="F22" t="str">
        <f t="shared" si="0"/>
        <v>FLORIÁN</v>
      </c>
      <c r="J22" t="s">
        <v>2452</v>
      </c>
      <c r="K22" s="12" t="s">
        <v>722</v>
      </c>
      <c r="L22" s="12" t="str">
        <f>IFERROR(VLOOKUP(K22,'Códigos DANE Municipios'!$B:$C,2,FALSE),"No encontrado")</f>
        <v>18753</v>
      </c>
      <c r="M22" s="12">
        <v>15764</v>
      </c>
      <c r="N22" t="str">
        <f>IF(COUNTIF('Códigos DANE Municipios'!$A:$A, M22) &gt; 0, "Encontrado", "Faltante")</f>
        <v>Encontrado</v>
      </c>
      <c r="O22" t="str">
        <f>IF(N22="Encontrado",VLOOKUP(TRIM(M22),'Códigos DANE Municipios'!$A$1:$B$1123,2,FALSE),"No")</f>
        <v>SORACÁ</v>
      </c>
    </row>
    <row r="23" spans="1:15" x14ac:dyDescent="0.25">
      <c r="A23" s="12" t="s">
        <v>2225</v>
      </c>
      <c r="B23" s="12" t="s">
        <v>1543</v>
      </c>
      <c r="E23" t="s">
        <v>2259</v>
      </c>
      <c r="F23" t="str">
        <f t="shared" si="0"/>
        <v>FUNDACIÓN</v>
      </c>
      <c r="J23" t="s">
        <v>2453</v>
      </c>
      <c r="K23" s="12" t="s">
        <v>576</v>
      </c>
      <c r="L23" s="12" t="str">
        <f>IFERROR(VLOOKUP(K23,'Códigos DANE Municipios'!$B:$C,2,FALSE),"No encontrado")</f>
        <v>15693</v>
      </c>
      <c r="M23" s="4" t="s">
        <v>384</v>
      </c>
      <c r="N23" t="str">
        <f>IF(COUNTIF('Códigos DANE Municipios'!$A:$A, M23) &gt; 0, "Encontrado", "Faltante")</f>
        <v>Encontrado</v>
      </c>
      <c r="O23" t="str">
        <f>IF(N23="Encontrado",VLOOKUP(TRIM(M23),'Códigos DANE Municipios'!$A$1:$B$1123,2,FALSE),"No")</f>
        <v>SIMITÍ</v>
      </c>
    </row>
    <row r="24" spans="1:15" x14ac:dyDescent="0.25">
      <c r="A24" s="12" t="s">
        <v>2226</v>
      </c>
      <c r="B24" s="12" t="s">
        <v>654</v>
      </c>
      <c r="E24" t="s">
        <v>2260</v>
      </c>
      <c r="F24" t="str">
        <f t="shared" si="0"/>
        <v>FUSAGASUGÁ</v>
      </c>
      <c r="J24" t="s">
        <v>2485</v>
      </c>
      <c r="K24" s="12" t="s">
        <v>578</v>
      </c>
      <c r="L24" s="12" t="str">
        <f>IFERROR(VLOOKUP(K24,'Códigos DANE Municipios'!$B:$C,2,FALSE),"No encontrado")</f>
        <v>15696</v>
      </c>
      <c r="M24" s="12">
        <v>15762</v>
      </c>
      <c r="N24" t="str">
        <f>IF(COUNTIF('Códigos DANE Municipios'!$A:$A, M24) &gt; 0, "Encontrado", "Faltante")</f>
        <v>Encontrado</v>
      </c>
      <c r="O24" t="str">
        <f>IF(N24="Encontrado",VLOOKUP(TRIM(M24),'Códigos DANE Municipios'!$A$1:$B$1123,2,FALSE),"No")</f>
        <v>SORA</v>
      </c>
    </row>
    <row r="25" spans="1:15" x14ac:dyDescent="0.25">
      <c r="A25" s="12" t="s">
        <v>2227</v>
      </c>
      <c r="B25" s="12" t="s">
        <v>869</v>
      </c>
      <c r="E25" t="s">
        <v>2261</v>
      </c>
      <c r="F25" t="str">
        <f t="shared" si="0"/>
        <v>GACHANCIPÁ</v>
      </c>
      <c r="J25" t="s">
        <v>2516</v>
      </c>
      <c r="K25" s="12" t="s">
        <v>385</v>
      </c>
      <c r="L25" s="12" t="str">
        <f>IFERROR(VLOOKUP(K25,'Códigos DANE Municipios'!$B:$C,2,FALSE),"No encontrado")</f>
        <v>13744</v>
      </c>
      <c r="M25" s="12">
        <v>15774</v>
      </c>
      <c r="N25" t="str">
        <f>IF(COUNTIF('Códigos DANE Municipios'!$A:$A, M25) &gt; 0, "Encontrado", "Faltante")</f>
        <v>Encontrado</v>
      </c>
      <c r="O25" t="str">
        <f>IF(N25="Encontrado",VLOOKUP(TRIM(M25),'Códigos DANE Municipios'!$A$1:$B$1123,2,FALSE),"No")</f>
        <v>SUSACÓN</v>
      </c>
    </row>
    <row r="26" spans="1:15" x14ac:dyDescent="0.25">
      <c r="A26" s="12" t="s">
        <v>2228</v>
      </c>
      <c r="B26" s="12" t="s">
        <v>431</v>
      </c>
      <c r="E26" t="s">
        <v>2262</v>
      </c>
      <c r="F26" t="str">
        <f t="shared" si="0"/>
        <v>GACHANTIVÁ</v>
      </c>
      <c r="J26" t="s">
        <v>2486</v>
      </c>
      <c r="K26" s="12" t="s">
        <v>586</v>
      </c>
      <c r="L26" s="12" t="str">
        <f>IFERROR(VLOOKUP(K26,'Códigos DANE Municipios'!$B:$C,2,FALSE),"No encontrado")</f>
        <v>15753</v>
      </c>
      <c r="M26" s="12">
        <v>19821</v>
      </c>
      <c r="N26" t="str">
        <f>IF(COUNTIF('Códigos DANE Municipios'!$A:$A, M26) &gt; 0, "Encontrado", "Faltante")</f>
        <v>Encontrado</v>
      </c>
      <c r="O26" t="str">
        <f>IF(N26="Encontrado",VLOOKUP(TRIM(M26),'Códigos DANE Municipios'!$A$1:$B$1123,2,FALSE),"No")</f>
        <v>TORIBÍO</v>
      </c>
    </row>
    <row r="27" spans="1:15" x14ac:dyDescent="0.25">
      <c r="A27" s="12" t="s">
        <v>2229</v>
      </c>
      <c r="B27" s="12" t="s">
        <v>822</v>
      </c>
      <c r="E27" t="s">
        <v>2263</v>
      </c>
      <c r="F27" t="str">
        <f t="shared" si="0"/>
        <v>GALÁN</v>
      </c>
      <c r="J27" t="s">
        <v>2517</v>
      </c>
      <c r="K27" s="12" t="s">
        <v>600</v>
      </c>
      <c r="L27" s="12" t="str">
        <f>IFERROR(VLOOKUP(K27,'Códigos DANE Municipios'!$B:$C,2,FALSE),"No encontrado")</f>
        <v>15764</v>
      </c>
      <c r="M27" s="12">
        <v>13780</v>
      </c>
      <c r="N27" t="str">
        <f>IF(COUNTIF('Códigos DANE Municipios'!$A:$A, M27) &gt; 0, "Encontrado", "Faltante")</f>
        <v>Encontrado</v>
      </c>
      <c r="O27" t="str">
        <f>IF(N27="Encontrado",VLOOKUP(TRIM(M27),'Códigos DANE Municipios'!$A$1:$B$1123,2,FALSE),"No")</f>
        <v>TALAIGUA NUEVO</v>
      </c>
    </row>
    <row r="28" spans="1:15" x14ac:dyDescent="0.25">
      <c r="A28" s="12" t="s">
        <v>2230</v>
      </c>
      <c r="B28" s="12" t="s">
        <v>1545</v>
      </c>
      <c r="E28" t="s">
        <v>2264</v>
      </c>
      <c r="F28" t="str">
        <f t="shared" si="0"/>
        <v>GÁLAGO</v>
      </c>
      <c r="J28" t="s">
        <v>2487</v>
      </c>
      <c r="K28" s="12" t="s">
        <v>794</v>
      </c>
      <c r="L28" s="12" t="str">
        <f>IFERROR(VLOOKUP(K28,'Códigos DANE Municipios'!$B:$C,2,FALSE),"No encontrado")</f>
        <v>19780</v>
      </c>
      <c r="M28" s="12">
        <v>23807</v>
      </c>
      <c r="N28" t="str">
        <f>IF(COUNTIF('Códigos DANE Municipios'!$A:$A, M28) &gt; 0, "Encontrado", "Faltante")</f>
        <v>Encontrado</v>
      </c>
      <c r="O28" t="str">
        <f>IF(N28="Encontrado",VLOOKUP(TRIM(M28),'Códigos DANE Municipios'!$A$1:$B$1123,2,FALSE),"No")</f>
        <v>TIERRALTA</v>
      </c>
    </row>
    <row r="29" spans="1:15" x14ac:dyDescent="0.25">
      <c r="A29" s="12" t="s">
        <v>2232</v>
      </c>
      <c r="B29" s="12" t="s">
        <v>952</v>
      </c>
      <c r="E29" t="s">
        <v>2265</v>
      </c>
      <c r="F29" t="str">
        <f t="shared" si="0"/>
        <v>GARZÓN</v>
      </c>
      <c r="J29" t="s">
        <v>2518</v>
      </c>
      <c r="K29" s="12" t="s">
        <v>389</v>
      </c>
      <c r="L29" s="12" t="str">
        <f>IFERROR(VLOOKUP(K29,'Códigos DANE Municipios'!$B:$C,2,FALSE),"No encontrado")</f>
        <v>13780</v>
      </c>
      <c r="M29" s="12">
        <v>27800</v>
      </c>
      <c r="N29" t="str">
        <f>IF(COUNTIF('Códigos DANE Municipios'!$A:$A, M29) &gt; 0, "Encontrado", "Faltante")</f>
        <v>Encontrado</v>
      </c>
      <c r="O29" t="str">
        <f>IF(N29="Encontrado",VLOOKUP(TRIM(M29),'Códigos DANE Municipios'!$A$1:$B$1123,2,FALSE),"No")</f>
        <v>UNGUÍA</v>
      </c>
    </row>
    <row r="30" spans="1:15" x14ac:dyDescent="0.25">
      <c r="A30" s="12" t="s">
        <v>2233</v>
      </c>
      <c r="B30" s="12" t="s">
        <v>1312</v>
      </c>
      <c r="E30" t="s">
        <v>2266</v>
      </c>
      <c r="F30" t="str">
        <f t="shared" si="0"/>
        <v>GÉNOVA</v>
      </c>
      <c r="J30" t="s">
        <v>2496</v>
      </c>
      <c r="K30" s="12" t="s">
        <v>912</v>
      </c>
      <c r="L30" s="12" t="str">
        <f>IFERROR(VLOOKUP(K30,'Códigos DANE Municipios'!$B:$C,2,FALSE),"No encontrado")</f>
        <v>23815</v>
      </c>
      <c r="M30" s="12">
        <v>5885</v>
      </c>
      <c r="N30" t="str">
        <f>IF(COUNTIF('Códigos DANE Municipios'!$A:$A, M30) &gt; 0, "Encontrado", "Faltante")</f>
        <v>Encontrado</v>
      </c>
      <c r="O30" t="e">
        <f>IF(N30="Encontrado",VLOOKUP(TRIM(M30),'Códigos DANE Municipios'!$A$1:$B$1123,2,FALSE),"No")</f>
        <v>#N/A</v>
      </c>
    </row>
    <row r="31" spans="1:15" x14ac:dyDescent="0.25">
      <c r="A31" s="12" t="s">
        <v>2234</v>
      </c>
      <c r="B31" s="12" t="s">
        <v>871</v>
      </c>
      <c r="E31" t="s">
        <v>2267</v>
      </c>
      <c r="F31" t="str">
        <f t="shared" si="0"/>
        <v>GIRÓN</v>
      </c>
      <c r="J31" t="s">
        <v>2519</v>
      </c>
      <c r="K31" s="12" t="s">
        <v>1199</v>
      </c>
      <c r="L31" s="12" t="str">
        <f>IFERROR(VLOOKUP(K31,'Códigos DANE Municipios'!$B:$C,2,FALSE),"No encontrado")</f>
        <v>27810</v>
      </c>
      <c r="M31" s="12">
        <v>99001</v>
      </c>
      <c r="N31" t="str">
        <f>IF(COUNTIF('Códigos DANE Municipios'!$A:$A, M31) &gt; 0, "Encontrado", "Faltante")</f>
        <v>Encontrado</v>
      </c>
      <c r="O31" t="str">
        <f>IF(N31="Encontrado",VLOOKUP(TRIM(M31),'Códigos DANE Municipios'!$A$1:$B$1123,2,FALSE),"No")</f>
        <v>PUERTO CARREÑO</v>
      </c>
    </row>
    <row r="32" spans="1:15" x14ac:dyDescent="0.25">
      <c r="A32" s="12" t="s">
        <v>2235</v>
      </c>
      <c r="B32" s="12" t="s">
        <v>2235</v>
      </c>
      <c r="E32" t="s">
        <v>2268</v>
      </c>
      <c r="F32" t="str">
        <f t="shared" si="0"/>
        <v>GÓMEZ PLATA</v>
      </c>
      <c r="J32" t="s">
        <v>2501</v>
      </c>
      <c r="K32" s="12" t="s">
        <v>252</v>
      </c>
      <c r="L32" s="12" t="str">
        <f>IFERROR(VLOOKUP(K32,'Códigos DANE Municipios'!$B:$C,2,FALSE),"No encontrado")</f>
        <v>05885</v>
      </c>
      <c r="M32" s="12">
        <v>5002</v>
      </c>
      <c r="N32" t="str">
        <f>IF(COUNTIF('Códigos DANE Municipios'!$A:$A, M32) &gt; 0, "Encontrado", "Faltante")</f>
        <v>Encontrado</v>
      </c>
      <c r="O32" t="e">
        <f>IF(N32="Encontrado",VLOOKUP(TRIM(M32),'Códigos DANE Municipios'!$A$1:$B$1123,2,FALSE),"No")</f>
        <v>#N/A</v>
      </c>
    </row>
    <row r="33" spans="1:15" x14ac:dyDescent="0.25">
      <c r="A33" s="12" t="s">
        <v>2236</v>
      </c>
      <c r="B33" s="12" t="s">
        <v>1426</v>
      </c>
      <c r="E33" t="s">
        <v>2269</v>
      </c>
      <c r="F33" t="str">
        <f t="shared" si="0"/>
        <v>GRANADA</v>
      </c>
      <c r="J33" t="s">
        <v>2170</v>
      </c>
      <c r="K33" s="12" t="s">
        <v>2167</v>
      </c>
      <c r="L33" s="12" t="str">
        <f>IFERROR(VLOOKUP(K33,'Códigos DANE Municipios'!$B:$C,2,FALSE),"No encontrado")</f>
        <v>99624</v>
      </c>
      <c r="M33" s="12">
        <v>50006</v>
      </c>
      <c r="N33" t="str">
        <f>IF(COUNTIF('Códigos DANE Municipios'!$A:$A, M33) &gt; 0, "Encontrado", "Faltante")</f>
        <v>Encontrado</v>
      </c>
      <c r="O33" t="str">
        <f>IF(N33="Encontrado",VLOOKUP(TRIM(M33),'Códigos DANE Municipios'!$A$1:$B$1123,2,FALSE),"No")</f>
        <v>ACACÍAS</v>
      </c>
    </row>
    <row r="34" spans="1:15" x14ac:dyDescent="0.25">
      <c r="A34" s="12" t="s">
        <v>2237</v>
      </c>
      <c r="B34" s="12" t="s">
        <v>88</v>
      </c>
      <c r="E34" t="s">
        <v>2270</v>
      </c>
      <c r="F34" t="str">
        <f t="shared" si="0"/>
        <v>GRANADA</v>
      </c>
      <c r="J34" t="s">
        <v>2172</v>
      </c>
      <c r="K34" s="12" t="s">
        <v>16</v>
      </c>
      <c r="L34" s="12" t="str">
        <f>IFERROR(VLOOKUP(K34,'Códigos DANE Municipios'!$B:$C,2,FALSE),"No encontrado")</f>
        <v>05004</v>
      </c>
      <c r="M34" s="12">
        <v>27006</v>
      </c>
      <c r="N34" t="str">
        <f>IF(COUNTIF('Códigos DANE Municipios'!$A:$A, M34) &gt; 0, "Encontrado", "Faltante")</f>
        <v>Encontrado</v>
      </c>
      <c r="O34" t="str">
        <f>IF(N34="Encontrado",VLOOKUP(TRIM(M34),'Códigos DANE Municipios'!$A$1:$B$1123,2,FALSE),"No")</f>
        <v>ACANDÍ</v>
      </c>
    </row>
    <row r="35" spans="1:15" x14ac:dyDescent="0.25">
      <c r="A35" s="12" t="s">
        <v>2238</v>
      </c>
      <c r="B35" s="12" t="s">
        <v>1428</v>
      </c>
      <c r="E35" t="s">
        <v>2271</v>
      </c>
      <c r="F35" t="str">
        <f t="shared" si="0"/>
        <v>GRANADA</v>
      </c>
      <c r="J35" t="s">
        <v>2173</v>
      </c>
      <c r="K35" s="12" t="s">
        <v>1360</v>
      </c>
      <c r="L35" s="12" t="str">
        <f>IFERROR(VLOOKUP(K35,'Códigos DANE Municipios'!$B:$C,2,FALSE),"No encontrado")</f>
        <v>50006</v>
      </c>
      <c r="M35" s="4" t="s">
        <v>310</v>
      </c>
      <c r="N35" t="str">
        <f>IF(COUNTIF('Códigos DANE Municipios'!$A:$A, M35) &gt; 0, "Encontrado", "Faltante")</f>
        <v>Encontrado</v>
      </c>
      <c r="O35" t="str">
        <f>IF(N35="Encontrado",VLOOKUP(TRIM(M35),'Códigos DANE Municipios'!$A$1:$B$1123,2,FALSE),"No")</f>
        <v>ACHÍ</v>
      </c>
    </row>
    <row r="36" spans="1:15" x14ac:dyDescent="0.25">
      <c r="A36" s="12" t="s">
        <v>2239</v>
      </c>
      <c r="B36" s="12" t="s">
        <v>329</v>
      </c>
      <c r="E36" t="s">
        <v>2272</v>
      </c>
      <c r="F36" t="str">
        <f t="shared" si="0"/>
        <v>GUACARÍ</v>
      </c>
      <c r="J36" t="s">
        <v>2174</v>
      </c>
      <c r="K36" s="12" t="s">
        <v>1144</v>
      </c>
      <c r="L36" s="12" t="str">
        <f>IFERROR(VLOOKUP(K36,'Códigos DANE Municipios'!$B:$C,2,FALSE),"No encontrado")</f>
        <v>27006</v>
      </c>
      <c r="M36" s="4" t="s">
        <v>811</v>
      </c>
      <c r="N36" t="str">
        <f>IF(COUNTIF('Códigos DANE Municipios'!$A:$A, M36) &gt; 0, "Encontrado", "Faltante")</f>
        <v>Encontrado</v>
      </c>
      <c r="O36" t="str">
        <f>IF(N36="Encontrado",VLOOKUP(TRIM(M36),'Códigos DANE Municipios'!$A$1:$B$1123,2,FALSE),"No")</f>
        <v>AGUSTÍN CODAZZI</v>
      </c>
    </row>
    <row r="37" spans="1:15" x14ac:dyDescent="0.25">
      <c r="A37" s="12" t="s">
        <v>2507</v>
      </c>
      <c r="B37" s="12" t="s">
        <v>451</v>
      </c>
      <c r="E37" t="s">
        <v>2273</v>
      </c>
      <c r="F37" t="str">
        <f t="shared" si="0"/>
        <v>GUAPÍ</v>
      </c>
      <c r="J37" t="s">
        <v>2175</v>
      </c>
      <c r="K37" s="12" t="s">
        <v>311</v>
      </c>
      <c r="L37" s="12" t="str">
        <f>IFERROR(VLOOKUP(K37,'Códigos DANE Municipios'!$B:$C,2,FALSE),"No encontrado")</f>
        <v>13006</v>
      </c>
      <c r="M37" s="12">
        <v>25019</v>
      </c>
      <c r="N37" t="str">
        <f>IF(COUNTIF('Códigos DANE Municipios'!$A:$A, M37) &gt; 0, "Encontrado", "Faltante")</f>
        <v>Encontrado</v>
      </c>
      <c r="O37" t="str">
        <f>IF(N37="Encontrado",VLOOKUP(TRIM(M37),'Códigos DANE Municipios'!$A$1:$B$1123,2,FALSE),"No")</f>
        <v>ALBÁN</v>
      </c>
    </row>
    <row r="38" spans="1:15" x14ac:dyDescent="0.25">
      <c r="A38" s="12" t="s">
        <v>2241</v>
      </c>
      <c r="B38" s="5" t="s">
        <v>1368</v>
      </c>
      <c r="E38" t="s">
        <v>2274</v>
      </c>
      <c r="F38" t="str">
        <f t="shared" si="0"/>
        <v>GUATAPÉ</v>
      </c>
      <c r="J38" t="s">
        <v>2176</v>
      </c>
      <c r="K38" s="12" t="s">
        <v>812</v>
      </c>
      <c r="L38" s="12" t="str">
        <f>IFERROR(VLOOKUP(K38,'Códigos DANE Municipios'!$B:$C,2,FALSE),"No encontrado")</f>
        <v>20013</v>
      </c>
      <c r="M38" s="12">
        <v>76036</v>
      </c>
      <c r="N38" t="str">
        <f>IF(COUNTIF('Códigos DANE Municipios'!$A:$A, M38) &gt; 0, "Encontrado", "Faltante")</f>
        <v>Encontrado</v>
      </c>
      <c r="O38" t="str">
        <f>IF(N38="Encontrado",VLOOKUP(TRIM(M38),'Códigos DANE Municipios'!$A$1:$B$1123,2,FALSE),"No")</f>
        <v>ANDALUCÍA</v>
      </c>
    </row>
    <row r="39" spans="1:15" x14ac:dyDescent="0.25">
      <c r="A39" s="12" t="s">
        <v>2242</v>
      </c>
      <c r="B39" s="12" t="s">
        <v>958</v>
      </c>
      <c r="E39" t="s">
        <v>2275</v>
      </c>
      <c r="F39" t="str">
        <f t="shared" si="0"/>
        <v>GUÁTICA</v>
      </c>
      <c r="J39" t="s">
        <v>2177</v>
      </c>
      <c r="K39" s="12" t="s">
        <v>918</v>
      </c>
      <c r="L39" s="12" t="str">
        <f>IFERROR(VLOOKUP(K39,'Códigos DANE Municipios'!$B:$C,2,FALSE),"No encontrado")</f>
        <v>25019</v>
      </c>
      <c r="M39" s="12">
        <v>5021</v>
      </c>
      <c r="N39" t="str">
        <f>IF(COUNTIF('Códigos DANE Municipios'!$A:$A, M39) &gt; 0, "Encontrado", "Faltante")</f>
        <v>Encontrado</v>
      </c>
      <c r="O39" t="e">
        <f>IF(N39="Encontrado",VLOOKUP(TRIM(M39),'Códigos DANE Municipios'!$A$1:$B$1123,2,FALSE),"No")</f>
        <v>#N/A</v>
      </c>
    </row>
    <row r="40" spans="1:15" x14ac:dyDescent="0.25">
      <c r="A40" s="12" t="s">
        <v>2243</v>
      </c>
      <c r="B40" s="12" t="s">
        <v>1529</v>
      </c>
      <c r="E40" t="s">
        <v>2276</v>
      </c>
      <c r="F40" t="str">
        <f t="shared" si="0"/>
        <v>GUAYATÁ</v>
      </c>
      <c r="J40" t="s">
        <v>2178</v>
      </c>
      <c r="K40" s="12" t="s">
        <v>1959</v>
      </c>
      <c r="L40" s="12" t="str">
        <f>IFERROR(VLOOKUP(K40,'Códigos DANE Municipios'!$B:$C,2,FALSE),"No encontrado")</f>
        <v>76020</v>
      </c>
      <c r="M40" s="12">
        <v>5030</v>
      </c>
      <c r="N40" t="str">
        <f>IF(COUNTIF('Códigos DANE Municipios'!$A:$A, M40) &gt; 0, "Encontrado", "Faltante")</f>
        <v>Encontrado</v>
      </c>
      <c r="O40" t="e">
        <f>IF(N40="Encontrado",VLOOKUP(TRIM(M40),'Códigos DANE Municipios'!$A$1:$B$1123,2,FALSE),"No")</f>
        <v>#N/A</v>
      </c>
    </row>
    <row r="41" spans="1:15" x14ac:dyDescent="0.25">
      <c r="A41" s="12" t="s">
        <v>2244</v>
      </c>
      <c r="B41" s="12" t="s">
        <v>2244</v>
      </c>
      <c r="E41" t="s">
        <v>2277</v>
      </c>
      <c r="F41" t="str">
        <f t="shared" si="0"/>
        <v>GÜEPSA</v>
      </c>
      <c r="J41" t="s">
        <v>2179</v>
      </c>
      <c r="K41" s="12" t="s">
        <v>18</v>
      </c>
      <c r="L41" s="12" t="str">
        <f>IFERROR(VLOOKUP(K41,'Códigos DANE Municipios'!$B:$C,2,FALSE),"No encontrado")</f>
        <v>05021</v>
      </c>
      <c r="M41" s="12">
        <v>76041</v>
      </c>
      <c r="N41" t="str">
        <f>IF(COUNTIF('Códigos DANE Municipios'!$A:$A, M41) &gt; 0, "Encontrado", "Faltante")</f>
        <v>Encontrado</v>
      </c>
      <c r="O41" t="str">
        <f>IF(N41="Encontrado",VLOOKUP(TRIM(M41),'Códigos DANE Municipios'!$A$1:$B$1123,2,FALSE),"No")</f>
        <v>ANSERMANUEVO</v>
      </c>
    </row>
    <row r="42" spans="1:15" x14ac:dyDescent="0.25">
      <c r="A42" s="12" t="s">
        <v>2245</v>
      </c>
      <c r="B42" s="12" t="s">
        <v>1697</v>
      </c>
      <c r="E42" t="s">
        <v>2278</v>
      </c>
      <c r="F42" t="str">
        <f t="shared" si="0"/>
        <v>GÜICÁN DE LA SIERRA</v>
      </c>
      <c r="J42" t="s">
        <v>2180</v>
      </c>
      <c r="K42" s="12" t="s">
        <v>20</v>
      </c>
      <c r="L42" s="12" t="str">
        <f>IFERROR(VLOOKUP(K42,'Códigos DANE Municipios'!$B:$C,2,FALSE),"No encontrado")</f>
        <v>05030</v>
      </c>
      <c r="M42" s="12">
        <v>5040</v>
      </c>
      <c r="N42" t="str">
        <f>IF(COUNTIF('Códigos DANE Municipios'!$A:$A, M42) &gt; 0, "Encontrado", "Faltante")</f>
        <v>Encontrado</v>
      </c>
      <c r="O42" t="e">
        <f>IF(N42="Encontrado",VLOOKUP(TRIM(M42),'Códigos DANE Municipios'!$A$1:$B$1123,2,FALSE),"No")</f>
        <v>#N/A</v>
      </c>
    </row>
    <row r="43" spans="1:15" x14ac:dyDescent="0.25">
      <c r="A43" s="12" t="s">
        <v>2246</v>
      </c>
      <c r="B43" s="12" t="s">
        <v>824</v>
      </c>
      <c r="E43" t="s">
        <v>2279</v>
      </c>
      <c r="F43" t="str">
        <f t="shared" si="0"/>
        <v>IBAGUÉ</v>
      </c>
      <c r="J43" t="s">
        <v>2181</v>
      </c>
      <c r="K43" s="12" t="s">
        <v>1961</v>
      </c>
      <c r="L43" s="12" t="str">
        <f>IFERROR(VLOOKUP(K43,'Códigos DANE Municipios'!$B:$C,2,FALSE),"No encontrado")</f>
        <v>76036</v>
      </c>
      <c r="M43" s="12">
        <v>5045</v>
      </c>
      <c r="N43" t="str">
        <f>IF(COUNTIF('Códigos DANE Municipios'!$A:$A, M43) &gt; 0, "Encontrado", "Faltante")</f>
        <v>Encontrado</v>
      </c>
      <c r="O43" t="e">
        <f>IF(N43="Encontrado",VLOOKUP(TRIM(M43),'Códigos DANE Municipios'!$A$1:$B$1123,2,FALSE),"No")</f>
        <v>#N/A</v>
      </c>
    </row>
    <row r="44" spans="1:15" x14ac:dyDescent="0.25">
      <c r="A44" s="12" t="s">
        <v>2247</v>
      </c>
      <c r="B44" s="12" t="s">
        <v>1279</v>
      </c>
      <c r="E44" t="s">
        <v>2280</v>
      </c>
      <c r="F44" t="str">
        <f t="shared" si="0"/>
        <v>ICUIRA</v>
      </c>
      <c r="J44" t="s">
        <v>2182</v>
      </c>
      <c r="K44" s="12" t="s">
        <v>30</v>
      </c>
      <c r="L44" s="12" t="str">
        <f>IFERROR(VLOOKUP(K44,'Códigos DANE Municipios'!$B:$C,2,FALSE),"No encontrado")</f>
        <v>05040</v>
      </c>
      <c r="M44" s="12">
        <v>66045</v>
      </c>
      <c r="N44" t="str">
        <f>IF(COUNTIF('Códigos DANE Municipios'!$A:$A, M44) &gt; 0, "Encontrado", "Faltante")</f>
        <v>Encontrado</v>
      </c>
      <c r="O44" t="str">
        <f>IF(N44="Encontrado",VLOOKUP(TRIM(M44),'Códigos DANE Municipios'!$A$1:$B$1123,2,FALSE),"No")</f>
        <v>APÍA</v>
      </c>
    </row>
    <row r="45" spans="1:15" x14ac:dyDescent="0.25">
      <c r="A45" s="12" t="s">
        <v>2248</v>
      </c>
      <c r="B45" s="12" t="s">
        <v>96</v>
      </c>
      <c r="E45" t="s">
        <v>2281</v>
      </c>
      <c r="F45" t="str">
        <f t="shared" si="0"/>
        <v>INZÁ</v>
      </c>
      <c r="J45" t="s">
        <v>2184</v>
      </c>
      <c r="K45" s="12" t="s">
        <v>36</v>
      </c>
      <c r="L45" s="12" t="str">
        <f>IFERROR(VLOOKUP(K45,'Códigos DANE Municipios'!$B:$C,2,FALSE),"No encontrado")</f>
        <v>05045</v>
      </c>
      <c r="M45" s="4" t="s">
        <v>923</v>
      </c>
      <c r="N45" t="str">
        <f>IF(COUNTIF('Códigos DANE Municipios'!$A:$A, M45) &gt; 0, "Encontrado", "Faltante")</f>
        <v>Encontrado</v>
      </c>
      <c r="O45" t="str">
        <f>IF(N45="Encontrado",VLOOKUP(TRIM(M45),'Códigos DANE Municipios'!$A$1:$B$1123,2,FALSE),"No")</f>
        <v>ARBELÁEZ</v>
      </c>
    </row>
    <row r="46" spans="1:15" x14ac:dyDescent="0.25">
      <c r="A46" s="12" t="s">
        <v>2249</v>
      </c>
      <c r="B46" s="12" t="s">
        <v>1635</v>
      </c>
      <c r="E46" t="s">
        <v>2282</v>
      </c>
      <c r="F46" t="str">
        <f t="shared" si="0"/>
        <v>ITAGÜÍ</v>
      </c>
      <c r="J46" t="s">
        <v>2185</v>
      </c>
      <c r="K46" s="12" t="s">
        <v>1630</v>
      </c>
      <c r="L46" s="12" t="str">
        <f>IFERROR(VLOOKUP(K46,'Códigos DANE Municipios'!$B:$C,2,FALSE),"No encontrado")</f>
        <v>66045</v>
      </c>
      <c r="M46" s="12">
        <v>47030</v>
      </c>
      <c r="N46" t="str">
        <f>IF(COUNTIF('Códigos DANE Municipios'!$A:$A, M46) &gt; 0, "Encontrado", "Faltante")</f>
        <v>Encontrado</v>
      </c>
      <c r="O46" t="str">
        <f>IF(N46="Encontrado",VLOOKUP(TRIM(M46),'Códigos DANE Municipios'!$A$1:$B$1123,2,FALSE),"No")</f>
        <v>ALGARROBO</v>
      </c>
    </row>
    <row r="47" spans="1:15" x14ac:dyDescent="0.25">
      <c r="A47" s="12" t="s">
        <v>2250</v>
      </c>
      <c r="B47" s="12" t="s">
        <v>98</v>
      </c>
      <c r="E47" t="s">
        <v>2283</v>
      </c>
      <c r="F47" t="str">
        <f t="shared" si="0"/>
        <v>JAMUNDÍ</v>
      </c>
      <c r="J47" t="s">
        <v>2426</v>
      </c>
      <c r="K47" s="12" t="s">
        <v>924</v>
      </c>
      <c r="L47" s="12" t="str">
        <f>IFERROR(VLOOKUP(K47,'Códigos DANE Municipios'!$B:$C,2,FALSE),"No encontrado")</f>
        <v>25053</v>
      </c>
      <c r="M47" s="12">
        <v>13052</v>
      </c>
      <c r="N47" t="str">
        <f>IF(COUNTIF('Códigos DANE Municipios'!$A:$A, M47) &gt; 0, "Encontrado", "Faltante")</f>
        <v>Encontrado</v>
      </c>
      <c r="O47" t="str">
        <f>IF(N47="Encontrado",VLOOKUP(TRIM(M47),'Códigos DANE Municipios'!$A$1:$B$1123,2,FALSE),"No")</f>
        <v>ARJONA</v>
      </c>
    </row>
    <row r="48" spans="1:15" x14ac:dyDescent="0.25">
      <c r="A48" s="12" t="s">
        <v>2251</v>
      </c>
      <c r="B48" s="12" t="s">
        <v>333</v>
      </c>
      <c r="E48" t="s">
        <v>2284</v>
      </c>
      <c r="F48" t="str">
        <f t="shared" si="0"/>
        <v>JARDÍN</v>
      </c>
      <c r="J48" t="s">
        <v>2186</v>
      </c>
      <c r="K48" s="12" t="s">
        <v>1306</v>
      </c>
      <c r="L48" s="12" t="str">
        <f>IFERROR(VLOOKUP(K48,'Códigos DANE Municipios'!$B:$C,2,FALSE),"No encontrado")</f>
        <v>47058</v>
      </c>
      <c r="M48" s="4" t="s">
        <v>1874</v>
      </c>
      <c r="N48" t="str">
        <f>IF(COUNTIF('Códigos DANE Municipios'!$A:$A, M48) &gt; 0, "Encontrado", "Faltante")</f>
        <v>Encontrado</v>
      </c>
      <c r="O48" t="str">
        <f>IF(N48="Encontrado",VLOOKUP(TRIM(M48),'Códigos DANE Municipios'!$A$1:$B$1123,2,FALSE),"No")</f>
        <v>ARMERO GUAYABAL</v>
      </c>
    </row>
    <row r="49" spans="1:15" x14ac:dyDescent="0.25">
      <c r="A49" s="12" t="s">
        <v>2252</v>
      </c>
      <c r="B49" s="12" t="s">
        <v>2252</v>
      </c>
      <c r="E49" t="s">
        <v>2285</v>
      </c>
      <c r="F49" t="str">
        <f t="shared" si="0"/>
        <v>JERICÓ</v>
      </c>
      <c r="J49" t="s">
        <v>2187</v>
      </c>
      <c r="K49" s="12" t="s">
        <v>317</v>
      </c>
      <c r="L49" s="12" t="str">
        <f>IFERROR(VLOOKUP(K49,'Códigos DANE Municipios'!$B:$C,2,FALSE),"No encontrado")</f>
        <v>13052</v>
      </c>
      <c r="M49" s="12">
        <v>27075</v>
      </c>
      <c r="N49" t="str">
        <f>IF(COUNTIF('Códigos DANE Municipios'!$A:$A, M49) &gt; 0, "Encontrado", "Faltante")</f>
        <v>Encontrado</v>
      </c>
      <c r="O49" t="str">
        <f>IF(N49="Encontrado",VLOOKUP(TRIM(M49),'Códigos DANE Municipios'!$A$1:$B$1123,2,FALSE),"No")</f>
        <v>BAHÍA SOLANO</v>
      </c>
    </row>
    <row r="50" spans="1:15" x14ac:dyDescent="0.25">
      <c r="A50" s="12" t="s">
        <v>2253</v>
      </c>
      <c r="B50" s="12" t="s">
        <v>337</v>
      </c>
      <c r="E50" t="s">
        <v>2286</v>
      </c>
      <c r="F50" t="str">
        <f t="shared" si="0"/>
        <v>JURADÓ</v>
      </c>
      <c r="J50" t="s">
        <v>2188</v>
      </c>
      <c r="K50" s="12" t="s">
        <v>1875</v>
      </c>
      <c r="L50" s="12" t="str">
        <f>IFERROR(VLOOKUP(K50,'Códigos DANE Municipios'!$B:$C,2,FALSE),"No encontrado")</f>
        <v>73055</v>
      </c>
      <c r="M50" s="12">
        <v>27077</v>
      </c>
      <c r="N50" t="str">
        <f>IF(COUNTIF('Códigos DANE Municipios'!$A:$A, M50) &gt; 0, "Encontrado", "Faltante")</f>
        <v>Encontrado</v>
      </c>
      <c r="O50" t="str">
        <f>IF(N50="Encontrado",VLOOKUP(TRIM(M50),'Códigos DANE Municipios'!$A$1:$B$1123,2,FALSE),"No")</f>
        <v>BAJO BAUDÓ</v>
      </c>
    </row>
    <row r="51" spans="1:15" x14ac:dyDescent="0.25">
      <c r="A51" s="12" t="s">
        <v>2254</v>
      </c>
      <c r="B51" s="12" t="s">
        <v>1704</v>
      </c>
      <c r="E51" t="s">
        <v>2287</v>
      </c>
      <c r="F51" t="str">
        <f t="shared" si="0"/>
        <v>LA CHORRERA</v>
      </c>
      <c r="J51" t="s">
        <v>2190</v>
      </c>
      <c r="K51" s="12" t="s">
        <v>1150</v>
      </c>
      <c r="L51" s="12" t="str">
        <f>IFERROR(VLOOKUP(K51,'Códigos DANE Municipios'!$B:$C,2,FALSE),"No encontrado")</f>
        <v>27073</v>
      </c>
      <c r="M51" s="12">
        <v>27099</v>
      </c>
      <c r="N51" t="str">
        <f>IF(COUNTIF('Códigos DANE Municipios'!$A:$A, M51) &gt; 0, "Encontrado", "Faltante")</f>
        <v>Encontrado</v>
      </c>
      <c r="O51" t="str">
        <f>IF(N51="Encontrado",VLOOKUP(TRIM(M51),'Códigos DANE Municipios'!$A$1:$B$1123,2,FALSE),"No")</f>
        <v>BOJAYÁ</v>
      </c>
    </row>
    <row r="52" spans="1:15" x14ac:dyDescent="0.25">
      <c r="A52" s="12" t="s">
        <v>2255</v>
      </c>
      <c r="B52" s="12" t="s">
        <v>1219</v>
      </c>
      <c r="E52" t="s">
        <v>2288</v>
      </c>
      <c r="F52" t="str">
        <f t="shared" si="0"/>
        <v>LA JAGUA DE IBIRICO</v>
      </c>
      <c r="J52" t="s">
        <v>2191</v>
      </c>
      <c r="K52" s="12" t="s">
        <v>1152</v>
      </c>
      <c r="L52" s="12" t="str">
        <f>IFERROR(VLOOKUP(K52,'Códigos DANE Municipios'!$B:$C,2,FALSE),"No encontrado")</f>
        <v>27075</v>
      </c>
      <c r="M52" s="12">
        <v>50124</v>
      </c>
      <c r="N52" t="str">
        <f>IF(COUNTIF('Códigos DANE Municipios'!$A:$A, M52) &gt; 0, "Encontrado", "Faltante")</f>
        <v>Encontrado</v>
      </c>
      <c r="O52" t="str">
        <f>IF(N52="Encontrado",VLOOKUP(TRIM(M52),'Códigos DANE Municipios'!$A$1:$B$1123,2,FALSE),"No")</f>
        <v>CABUYARO</v>
      </c>
    </row>
    <row r="53" spans="1:15" x14ac:dyDescent="0.25">
      <c r="A53" s="12" t="s">
        <v>2256</v>
      </c>
      <c r="B53" s="12" t="s">
        <v>102</v>
      </c>
      <c r="E53" t="s">
        <v>2289</v>
      </c>
      <c r="F53" t="str">
        <f t="shared" si="0"/>
        <v>LA UNIÓN</v>
      </c>
      <c r="J53" t="s">
        <v>2192</v>
      </c>
      <c r="K53" s="12" t="s">
        <v>1154</v>
      </c>
      <c r="L53" s="12" t="str">
        <f>IFERROR(VLOOKUP(K53,'Códigos DANE Municipios'!$B:$C,2,FALSE),"No encontrado")</f>
        <v>27077</v>
      </c>
      <c r="M53" s="12">
        <v>17088</v>
      </c>
      <c r="N53" t="str">
        <f>IF(COUNTIF('Códigos DANE Municipios'!$A:$A, M53) &gt; 0, "Encontrado", "Faltante")</f>
        <v>Encontrado</v>
      </c>
      <c r="O53" t="str">
        <f>IF(N53="Encontrado",VLOOKUP(TRIM(M53),'Códigos DANE Municipios'!$A$1:$B$1123,2,FALSE),"No")</f>
        <v>BELALCÁZAR</v>
      </c>
    </row>
    <row r="54" spans="1:15" x14ac:dyDescent="0.25">
      <c r="A54" s="12" t="s">
        <v>2257</v>
      </c>
      <c r="B54" s="12" t="s">
        <v>965</v>
      </c>
      <c r="E54" t="s">
        <v>2290</v>
      </c>
      <c r="F54" t="str">
        <f t="shared" si="0"/>
        <v>LA URIBE</v>
      </c>
      <c r="J54" t="s">
        <v>2193</v>
      </c>
      <c r="K54" s="12" t="s">
        <v>1362</v>
      </c>
      <c r="L54" s="12" t="str">
        <f>IFERROR(VLOOKUP(K54,'Códigos DANE Municipios'!$B:$C,2,FALSE),"No encontrado")</f>
        <v>50110</v>
      </c>
      <c r="M54" s="12">
        <v>15087</v>
      </c>
      <c r="N54" t="str">
        <f>IF(COUNTIF('Códigos DANE Municipios'!$A:$A, M54) &gt; 0, "Encontrado", "Faltante")</f>
        <v>Encontrado</v>
      </c>
      <c r="O54" t="str">
        <f>IF(N54="Encontrado",VLOOKUP(TRIM(M54),'Códigos DANE Municipios'!$A$1:$B$1123,2,FALSE),"No")</f>
        <v>BELÉN</v>
      </c>
    </row>
    <row r="55" spans="1:15" x14ac:dyDescent="0.25">
      <c r="A55" s="12" t="s">
        <v>2258</v>
      </c>
      <c r="B55" s="12" t="s">
        <v>1710</v>
      </c>
      <c r="E55" t="s">
        <v>2292</v>
      </c>
      <c r="F55" t="str">
        <f t="shared" si="0"/>
        <v>LÉRIDA</v>
      </c>
      <c r="J55" t="s">
        <v>2195</v>
      </c>
      <c r="K55" s="12" t="s">
        <v>652</v>
      </c>
      <c r="L55" s="12" t="str">
        <f>IFERROR(VLOOKUP(K55,'Códigos DANE Municipios'!$B:$C,2,FALSE),"No encontrado")</f>
        <v>17088</v>
      </c>
      <c r="M55" s="4" t="s">
        <v>1632</v>
      </c>
      <c r="N55" t="str">
        <f>IF(COUNTIF('Códigos DANE Municipios'!$A:$A, M55) &gt; 0, "Encontrado", "Faltante")</f>
        <v>Encontrado</v>
      </c>
      <c r="O55" t="str">
        <f>IF(N55="Encontrado",VLOOKUP(TRIM(M55),'Códigos DANE Municipios'!$A$1:$B$1123,2,FALSE),"No")</f>
        <v>BELÉN DE UMBRÍA</v>
      </c>
    </row>
    <row r="56" spans="1:15" x14ac:dyDescent="0.25">
      <c r="A56" s="12" t="s">
        <v>2259</v>
      </c>
      <c r="B56" s="12" t="s">
        <v>1321</v>
      </c>
      <c r="E56" t="s">
        <v>2293</v>
      </c>
      <c r="F56" t="str">
        <f t="shared" si="0"/>
        <v>LÍBANO</v>
      </c>
      <c r="J56" t="s">
        <v>2196</v>
      </c>
      <c r="K56" s="12" t="s">
        <v>409</v>
      </c>
      <c r="L56" s="12" t="str">
        <f>IFERROR(VLOOKUP(K56,'Códigos DANE Municipios'!$B:$C,2,FALSE),"No encontrado")</f>
        <v>15087</v>
      </c>
      <c r="M56" s="12">
        <v>25095</v>
      </c>
      <c r="N56" t="str">
        <f>IF(COUNTIF('Códigos DANE Municipios'!$A:$A, M56) &gt; 0, "Encontrado", "Faltante")</f>
        <v>Encontrado</v>
      </c>
      <c r="O56" t="str">
        <f>IF(N56="Encontrado",VLOOKUP(TRIM(M56),'Códigos DANE Municipios'!$A$1:$B$1123,2,FALSE),"No")</f>
        <v>BITUIMA</v>
      </c>
    </row>
    <row r="57" spans="1:15" x14ac:dyDescent="0.25">
      <c r="A57" s="12" t="s">
        <v>2260</v>
      </c>
      <c r="B57" s="12" t="s">
        <v>975</v>
      </c>
      <c r="E57" t="s">
        <v>2294</v>
      </c>
      <c r="F57" t="str">
        <f t="shared" si="0"/>
        <v>MACHETÁ</v>
      </c>
      <c r="J57" t="s">
        <v>2197</v>
      </c>
      <c r="K57" s="12" t="s">
        <v>1633</v>
      </c>
      <c r="L57" s="12" t="str">
        <f>IFERROR(VLOOKUP(K57,'Códigos DANE Municipios'!$B:$C,2,FALSE),"No encontrado")</f>
        <v>66088</v>
      </c>
      <c r="M57" s="12">
        <v>11001</v>
      </c>
      <c r="N57" t="str">
        <f>IF(COUNTIF('Códigos DANE Municipios'!$A:$A, M57) &gt; 0, "Encontrado", "Faltante")</f>
        <v>Encontrado</v>
      </c>
      <c r="O57" t="str">
        <f>IF(N57="Encontrado",VLOOKUP(TRIM(M57),'Códigos DANE Municipios'!$A$1:$B$1123,2,FALSE),"No")</f>
        <v>BOGOTÁ, D.C.</v>
      </c>
    </row>
    <row r="58" spans="1:15" x14ac:dyDescent="0.25">
      <c r="A58" s="12" t="s">
        <v>2261</v>
      </c>
      <c r="B58" s="12" t="s">
        <v>979</v>
      </c>
      <c r="E58" t="s">
        <v>2295</v>
      </c>
      <c r="F58" t="str">
        <f t="shared" si="0"/>
        <v>MAGANGUÉ</v>
      </c>
      <c r="J58" t="s">
        <v>2198</v>
      </c>
      <c r="K58" s="12" t="s">
        <v>926</v>
      </c>
      <c r="L58" s="12" t="str">
        <f>IFERROR(VLOOKUP(K58,'Códigos DANE Municipios'!$B:$C,2,FALSE),"No encontrado")</f>
        <v>25086</v>
      </c>
      <c r="M58" s="12">
        <v>25099</v>
      </c>
      <c r="N58" t="str">
        <f>IF(COUNTIF('Códigos DANE Municipios'!$A:$A, M58) &gt; 0, "Encontrado", "Faltante")</f>
        <v>Encontrado</v>
      </c>
      <c r="O58" t="str">
        <f>IF(N58="Encontrado",VLOOKUP(TRIM(M58),'Códigos DANE Municipios'!$A$1:$B$1123,2,FALSE),"No")</f>
        <v>BOJACÁ</v>
      </c>
    </row>
    <row r="59" spans="1:15" x14ac:dyDescent="0.25">
      <c r="A59" s="12" t="s">
        <v>2262</v>
      </c>
      <c r="B59" s="12" t="s">
        <v>471</v>
      </c>
      <c r="E59" t="s">
        <v>2296</v>
      </c>
      <c r="F59" t="str">
        <f t="shared" si="0"/>
        <v>MÁLAGA</v>
      </c>
      <c r="J59" t="s">
        <v>2199</v>
      </c>
      <c r="K59" s="12" t="s">
        <v>307</v>
      </c>
      <c r="L59" s="12" t="str">
        <f>IFERROR(VLOOKUP(K59,'Códigos DANE Municipios'!$B:$C,2,FALSE),"No encontrado")</f>
        <v>11001</v>
      </c>
      <c r="M59" s="12">
        <v>68101</v>
      </c>
      <c r="N59" t="str">
        <f>IF(COUNTIF('Códigos DANE Municipios'!$A:$A, M59) &gt; 0, "Encontrado", "Faltante")</f>
        <v>Encontrado</v>
      </c>
      <c r="O59" t="str">
        <f>IF(N59="Encontrado",VLOOKUP(TRIM(M59),'Códigos DANE Municipios'!$A$1:$B$1123,2,FALSE),"No")</f>
        <v>BOLÍVAR</v>
      </c>
    </row>
    <row r="60" spans="1:15" x14ac:dyDescent="0.25">
      <c r="A60" s="12" t="s">
        <v>2263</v>
      </c>
      <c r="B60" s="12" t="s">
        <v>1714</v>
      </c>
      <c r="E60" t="s">
        <v>2297</v>
      </c>
      <c r="F60" t="str">
        <f t="shared" si="0"/>
        <v>MANAURE BALCÓN DEL CESAR</v>
      </c>
      <c r="J60" t="s">
        <v>2200</v>
      </c>
      <c r="K60" s="12" t="s">
        <v>930</v>
      </c>
      <c r="L60" s="12" t="str">
        <f>IFERROR(VLOOKUP(K60,'Códigos DANE Municipios'!$B:$C,2,FALSE),"No encontrado")</f>
        <v>25099</v>
      </c>
      <c r="M60" s="12">
        <v>15104</v>
      </c>
      <c r="N60" t="str">
        <f>IF(COUNTIF('Códigos DANE Municipios'!$A:$A, M60) &gt; 0, "Encontrado", "Faltante")</f>
        <v>Encontrado</v>
      </c>
      <c r="O60" t="str">
        <f>IF(N60="Encontrado",VLOOKUP(TRIM(M60),'Códigos DANE Municipios'!$A$1:$B$1123,2,FALSE),"No")</f>
        <v>BOYACÁ</v>
      </c>
    </row>
    <row r="61" spans="1:15" x14ac:dyDescent="0.25">
      <c r="A61" s="12" t="s">
        <v>2264</v>
      </c>
      <c r="B61" s="12" t="s">
        <v>2526</v>
      </c>
      <c r="E61" t="s">
        <v>2298</v>
      </c>
      <c r="F61" t="str">
        <f t="shared" si="0"/>
        <v>MANÍ</v>
      </c>
      <c r="J61" t="s">
        <v>2201</v>
      </c>
      <c r="K61" s="12" t="s">
        <v>736</v>
      </c>
      <c r="L61" s="12" t="str">
        <f>IFERROR(VLOOKUP(K61,'Códigos DANE Municipios'!$B:$C,2,FALSE),"No encontrado")</f>
        <v>19100</v>
      </c>
      <c r="M61" s="12">
        <v>5113</v>
      </c>
      <c r="N61" t="str">
        <f>IF(COUNTIF('Códigos DANE Municipios'!$A:$A, M61) &gt; 0, "Encontrado", "Faltante")</f>
        <v>Encontrado</v>
      </c>
      <c r="O61" t="e">
        <f>IF(N61="Encontrado",VLOOKUP(TRIM(M61),'Códigos DANE Municipios'!$A$1:$B$1123,2,FALSE),"No")</f>
        <v>#N/A</v>
      </c>
    </row>
    <row r="62" spans="1:15" x14ac:dyDescent="0.25">
      <c r="A62" s="12" t="s">
        <v>2265</v>
      </c>
      <c r="B62" s="12" t="s">
        <v>1221</v>
      </c>
      <c r="E62" t="s">
        <v>2299</v>
      </c>
      <c r="F62" t="str">
        <f t="shared" si="0"/>
        <v>MAPIRIPÁN</v>
      </c>
      <c r="J62" t="s">
        <v>2202</v>
      </c>
      <c r="K62" s="12" t="s">
        <v>417</v>
      </c>
      <c r="L62" s="12" t="str">
        <f>IFERROR(VLOOKUP(K62,'Códigos DANE Municipios'!$B:$C,2,FALSE),"No encontrado")</f>
        <v>15104</v>
      </c>
      <c r="M62" s="12">
        <v>76111</v>
      </c>
      <c r="N62" t="str">
        <f>IF(COUNTIF('Códigos DANE Municipios'!$A:$A, M62) &gt; 0, "Encontrado", "Faltante")</f>
        <v>Encontrado</v>
      </c>
      <c r="O62" t="str">
        <f>IF(N62="Encontrado",VLOOKUP(TRIM(M62),'Códigos DANE Municipios'!$A$1:$B$1123,2,FALSE),"No")</f>
        <v>GUADALAJARA DE BUGA</v>
      </c>
    </row>
    <row r="63" spans="1:15" x14ac:dyDescent="0.25">
      <c r="A63" s="12" t="s">
        <v>2266</v>
      </c>
      <c r="B63" s="12" t="s">
        <v>1616</v>
      </c>
      <c r="E63" t="s">
        <v>2300</v>
      </c>
      <c r="F63" t="str">
        <f t="shared" si="0"/>
        <v>MARIQUITA</v>
      </c>
      <c r="J63" t="s">
        <v>2427</v>
      </c>
      <c r="K63" s="12" t="s">
        <v>56</v>
      </c>
      <c r="L63" s="12" t="str">
        <f>IFERROR(VLOOKUP(K63,'Códigos DANE Municipios'!$B:$C,2,FALSE),"No encontrado")</f>
        <v>05107</v>
      </c>
      <c r="M63" s="12">
        <v>54109</v>
      </c>
      <c r="N63" t="str">
        <f>IF(COUNTIF('Códigos DANE Municipios'!$A:$A, M63) &gt; 0, "Encontrado", "Faltante")</f>
        <v>Encontrado</v>
      </c>
      <c r="O63" t="str">
        <f>IF(N63="Encontrado",VLOOKUP(TRIM(M63),'Códigos DANE Municipios'!$A$1:$B$1123,2,FALSE),"No")</f>
        <v>BUCARASICA</v>
      </c>
    </row>
    <row r="64" spans="1:15" x14ac:dyDescent="0.25">
      <c r="A64" s="12" t="s">
        <v>2267</v>
      </c>
      <c r="B64" s="12" t="s">
        <v>1718</v>
      </c>
      <c r="E64" t="s">
        <v>2301</v>
      </c>
      <c r="F64" t="str">
        <f t="shared" si="0"/>
        <v>MEDELLÍN</v>
      </c>
      <c r="J64" t="s">
        <v>2203</v>
      </c>
      <c r="K64" s="12" t="s">
        <v>1969</v>
      </c>
      <c r="L64" s="12" t="str">
        <f>IFERROR(VLOOKUP(K64,'Códigos DANE Municipios'!$B:$C,2,FALSE),"No encontrado")</f>
        <v>76111</v>
      </c>
      <c r="M64" s="12">
        <v>25168</v>
      </c>
      <c r="N64" t="str">
        <f>IF(COUNTIF('Códigos DANE Municipios'!$A:$A, M64) &gt; 0, "Encontrado", "Faltante")</f>
        <v>Encontrado</v>
      </c>
      <c r="O64" t="str">
        <f>IF(N64="Encontrado",VLOOKUP(TRIM(M64),'Códigos DANE Municipios'!$A$1:$B$1123,2,FALSE),"No")</f>
        <v>CHAGUANÍ</v>
      </c>
    </row>
    <row r="65" spans="1:15" x14ac:dyDescent="0.25">
      <c r="A65" s="12" t="s">
        <v>2268</v>
      </c>
      <c r="B65" s="12" t="s">
        <v>114</v>
      </c>
      <c r="E65" t="s">
        <v>2302</v>
      </c>
      <c r="F65" t="str">
        <f t="shared" si="0"/>
        <v>MISTRATÓ</v>
      </c>
      <c r="J65" t="s">
        <v>2206</v>
      </c>
      <c r="K65" s="12" t="s">
        <v>1541</v>
      </c>
      <c r="L65" s="12" t="str">
        <f>IFERROR(VLOOKUP(K65,'Códigos DANE Municipios'!$B:$C,2,FALSE),"No encontrado")</f>
        <v>54128</v>
      </c>
      <c r="M65" s="12">
        <v>13244</v>
      </c>
      <c r="N65" t="str">
        <f>IF(COUNTIF('Códigos DANE Municipios'!$A:$A, M65) &gt; 0, "Encontrado", "Faltante")</f>
        <v>Encontrado</v>
      </c>
      <c r="O65" t="str">
        <f>IF(N65="Encontrado",VLOOKUP(TRIM(M65),'Códigos DANE Municipios'!$A$1:$B$1123,2,FALSE),"No")</f>
        <v>EL CARMEN DE BOLÍVAR</v>
      </c>
    </row>
    <row r="66" spans="1:15" x14ac:dyDescent="0.25">
      <c r="A66" s="12" t="s">
        <v>2269</v>
      </c>
      <c r="B66" s="12" t="s">
        <v>116</v>
      </c>
      <c r="E66" t="s">
        <v>2303</v>
      </c>
      <c r="F66" t="str">
        <f t="shared" si="0"/>
        <v>MITÚ</v>
      </c>
      <c r="J66" t="s">
        <v>2231</v>
      </c>
      <c r="K66" s="12" t="s">
        <v>950</v>
      </c>
      <c r="L66" s="12" t="str">
        <f>IFERROR(VLOOKUP(K66,'Códigos DANE Municipios'!$B:$C,2,FALSE),"No encontrado")</f>
        <v>25181</v>
      </c>
      <c r="M66" s="12">
        <v>15572</v>
      </c>
      <c r="N66" t="str">
        <f>IF(COUNTIF('Códigos DANE Municipios'!$A:$A, M66) &gt; 0, "Encontrado", "Faltante")</f>
        <v>Encontrado</v>
      </c>
      <c r="O66" t="str">
        <f>IF(N66="Encontrado",VLOOKUP(TRIM(M66),'Códigos DANE Municipios'!$A$1:$B$1123,2,FALSE),"No")</f>
        <v>PUERTO BOYACÁ</v>
      </c>
    </row>
    <row r="67" spans="1:15" x14ac:dyDescent="0.25">
      <c r="A67" s="12" t="s">
        <v>2270</v>
      </c>
      <c r="B67" s="12" t="s">
        <v>116</v>
      </c>
      <c r="E67" t="s">
        <v>2304</v>
      </c>
      <c r="F67" t="str">
        <f t="shared" ref="F67:F130" si="1">_xlfn.XLOOKUP(E67, $A:$A, $B:$B, E67)</f>
        <v>MOMPÓS</v>
      </c>
      <c r="J67" t="s">
        <v>2432</v>
      </c>
      <c r="K67" s="12" t="s">
        <v>333</v>
      </c>
      <c r="L67" s="12" t="str">
        <f>IFERROR(VLOOKUP(K67,'Códigos DANE Municipios'!$B:$C,2,FALSE),"No encontrado")</f>
        <v>13244</v>
      </c>
      <c r="M67" s="12">
        <v>15690</v>
      </c>
      <c r="N67" t="str">
        <f>IF(COUNTIF('Códigos DANE Municipios'!$A:$A, M67) &gt; 0, "Encontrado", "Faltante")</f>
        <v>Encontrado</v>
      </c>
      <c r="O67" t="str">
        <f>IF(N67="Encontrado",VLOOKUP(TRIM(M67),'Códigos DANE Municipios'!$A$1:$B$1123,2,FALSE),"No")</f>
        <v>SANTA MARÍA</v>
      </c>
    </row>
    <row r="68" spans="1:15" x14ac:dyDescent="0.25">
      <c r="A68" s="12" t="s">
        <v>2271</v>
      </c>
      <c r="B68" s="12" t="s">
        <v>116</v>
      </c>
      <c r="E68" t="s">
        <v>2305</v>
      </c>
      <c r="F68" t="str">
        <f t="shared" si="1"/>
        <v>MONIQUIRÁ</v>
      </c>
      <c r="J68" t="s">
        <v>2324</v>
      </c>
      <c r="K68" s="12" t="s">
        <v>544</v>
      </c>
      <c r="L68" s="12" t="str">
        <f>IFERROR(VLOOKUP(K68,'Códigos DANE Municipios'!$B:$C,2,FALSE),"No encontrado")</f>
        <v>15572</v>
      </c>
      <c r="M68" s="12">
        <v>73043</v>
      </c>
      <c r="N68" t="str">
        <f>IF(COUNTIF('Códigos DANE Municipios'!$A:$A, M68) &gt; 0, "Encontrado", "Faltante")</f>
        <v>Encontrado</v>
      </c>
      <c r="O68" t="str">
        <f>IF(N68="Encontrado",VLOOKUP(TRIM(M68),'Códigos DANE Municipios'!$A$1:$B$1123,2,FALSE),"No")</f>
        <v>ANZOÁTEGUI</v>
      </c>
    </row>
    <row r="69" spans="1:15" x14ac:dyDescent="0.25">
      <c r="A69" s="12" t="s">
        <v>2272</v>
      </c>
      <c r="B69" s="12" t="s">
        <v>1994</v>
      </c>
      <c r="E69" t="s">
        <v>2306</v>
      </c>
      <c r="F69" t="str">
        <f t="shared" si="1"/>
        <v>MOÑITOS</v>
      </c>
      <c r="J69" t="s">
        <v>2342</v>
      </c>
      <c r="K69" s="12" t="s">
        <v>556</v>
      </c>
      <c r="L69" s="12" t="str">
        <f>IFERROR(VLOOKUP(K69,'Códigos DANE Municipios'!$B:$C,2,FALSE),"No encontrado")</f>
        <v>15638</v>
      </c>
      <c r="M69" s="12">
        <v>13160</v>
      </c>
      <c r="N69" t="str">
        <f>IF(COUNTIF('Códigos DANE Municipios'!$A:$A, M69) &gt; 0, "Encontrado", "Faltante")</f>
        <v>Encontrado</v>
      </c>
      <c r="O69" t="str">
        <f>IF(N69="Encontrado",VLOOKUP(TRIM(M69),'Códigos DANE Municipios'!$A$1:$B$1123,2,FALSE),"No")</f>
        <v>CANTAGALLO</v>
      </c>
    </row>
    <row r="70" spans="1:15" x14ac:dyDescent="0.25">
      <c r="A70" s="12" t="s">
        <v>2273</v>
      </c>
      <c r="B70" s="12" t="s">
        <v>753</v>
      </c>
      <c r="E70" t="s">
        <v>2307</v>
      </c>
      <c r="F70" t="str">
        <f t="shared" si="1"/>
        <v>MONTELÍBANO</v>
      </c>
      <c r="J70" t="s">
        <v>2454</v>
      </c>
      <c r="K70" s="12" t="s">
        <v>1873</v>
      </c>
      <c r="L70" s="12" t="str">
        <f>IFERROR(VLOOKUP(K70,'Códigos DANE Municipios'!$B:$C,2,FALSE),"No encontrado")</f>
        <v>73043</v>
      </c>
      <c r="M70" s="12">
        <v>85162</v>
      </c>
      <c r="N70" t="str">
        <f>IF(COUNTIF('Códigos DANE Municipios'!$A:$A, M70) &gt; 0, "Encontrado", "Faltante")</f>
        <v>Encontrado</v>
      </c>
      <c r="O70" t="str">
        <f>IF(N70="Encontrado",VLOOKUP(TRIM(M70),'Códigos DANE Municipios'!$A$1:$B$1123,2,FALSE),"No")</f>
        <v>MONTERREY</v>
      </c>
    </row>
    <row r="71" spans="1:15" x14ac:dyDescent="0.25">
      <c r="A71" s="12" t="s">
        <v>2274</v>
      </c>
      <c r="B71" s="12" t="s">
        <v>122</v>
      </c>
      <c r="E71" t="s">
        <v>2308</v>
      </c>
      <c r="F71" t="str">
        <f t="shared" si="1"/>
        <v>MONTERÍA</v>
      </c>
      <c r="J71" t="s">
        <v>2457</v>
      </c>
      <c r="K71" t="s">
        <v>2457</v>
      </c>
      <c r="L71">
        <v>68111</v>
      </c>
      <c r="M71" s="12">
        <v>15185</v>
      </c>
      <c r="N71" t="str">
        <f>IF(COUNTIF('Códigos DANE Municipios'!$A:$A, M71) &gt; 0, "Encontrado", "Faltante")</f>
        <v>Encontrado</v>
      </c>
      <c r="O71" t="str">
        <f>IF(N71="Encontrado",VLOOKUP(TRIM(M71),'Códigos DANE Municipios'!$A$1:$B$1123,2,FALSE),"No")</f>
        <v>CHITARAQUE</v>
      </c>
    </row>
    <row r="72" spans="1:15" x14ac:dyDescent="0.25">
      <c r="A72" s="12" t="s">
        <v>2275</v>
      </c>
      <c r="B72" s="12" t="s">
        <v>1637</v>
      </c>
      <c r="E72" t="s">
        <v>2309</v>
      </c>
      <c r="F72" t="str">
        <f t="shared" si="1"/>
        <v>MUTATÁ</v>
      </c>
      <c r="J72" t="s">
        <v>2502</v>
      </c>
      <c r="K72" s="12" t="s">
        <v>1827</v>
      </c>
      <c r="L72" s="12" t="str">
        <f>IFERROR(VLOOKUP(K72,'Códigos DANE Municipios'!$B:$C,2,FALSE),"No encontrado")</f>
        <v>70230</v>
      </c>
      <c r="M72" s="12">
        <v>15189</v>
      </c>
      <c r="N72" t="str">
        <f>IF(COUNTIF('Códigos DANE Municipios'!$A:$A, M72) &gt; 0, "Encontrado", "Faltante")</f>
        <v>Encontrado</v>
      </c>
      <c r="O72" t="str">
        <f>IF(N72="Encontrado",VLOOKUP(TRIM(M72),'Códigos DANE Municipios'!$A$1:$B$1123,2,FALSE),"No")</f>
        <v>CIÉNEGA</v>
      </c>
    </row>
    <row r="73" spans="1:15" x14ac:dyDescent="0.25">
      <c r="A73" s="12" t="s">
        <v>2276</v>
      </c>
      <c r="B73" s="12" t="s">
        <v>481</v>
      </c>
      <c r="E73" t="s">
        <v>2310</v>
      </c>
      <c r="F73" t="str">
        <f t="shared" si="1"/>
        <v>NECOCLÍ</v>
      </c>
      <c r="J73" t="s">
        <v>2458</v>
      </c>
      <c r="K73" s="12" t="s">
        <v>2052</v>
      </c>
      <c r="L73" s="12" t="str">
        <f>IFERROR(VLOOKUP(K73,'Códigos DANE Municipios'!$B:$C,2,FALSE),"No encontrado")</f>
        <v>85015</v>
      </c>
      <c r="M73" s="12">
        <v>25286</v>
      </c>
      <c r="N73" t="str">
        <f>IF(COUNTIF('Códigos DANE Municipios'!$A:$A, M73) &gt; 0, "Encontrado", "Faltante")</f>
        <v>Encontrado</v>
      </c>
      <c r="O73" t="str">
        <f>IF(N73="Encontrado",VLOOKUP(TRIM(M73),'Códigos DANE Municipios'!$A$1:$B$1123,2,FALSE),"No")</f>
        <v>FUNZA</v>
      </c>
    </row>
    <row r="74" spans="1:15" x14ac:dyDescent="0.25">
      <c r="A74" s="12" t="s">
        <v>2277</v>
      </c>
      <c r="B74" s="12" t="s">
        <v>1727</v>
      </c>
      <c r="E74" t="s">
        <v>2311</v>
      </c>
      <c r="F74" t="str">
        <f t="shared" si="1"/>
        <v>NEMOCÓN</v>
      </c>
      <c r="J74" t="s">
        <v>2503</v>
      </c>
      <c r="K74" s="5" t="s">
        <v>1814</v>
      </c>
      <c r="L74" s="12" t="str">
        <f>IFERROR(VLOOKUP(K74,'Códigos DANE Municipios'!$B:$C,2,FALSE),"No encontrado")</f>
        <v>68895</v>
      </c>
      <c r="M74" s="12">
        <v>18410</v>
      </c>
      <c r="N74" t="str">
        <f>IF(COUNTIF('Códigos DANE Municipios'!$A:$A, M74) &gt; 0, "Encontrado", "Faltante")</f>
        <v>Encontrado</v>
      </c>
      <c r="O74" t="str">
        <f>IF(N74="Encontrado",VLOOKUP(TRIM(M74),'Códigos DANE Municipios'!$A$1:$B$1123,2,FALSE),"No")</f>
        <v>LA MONTAÑITA</v>
      </c>
    </row>
    <row r="75" spans="1:15" x14ac:dyDescent="0.25">
      <c r="A75" s="12" t="s">
        <v>2278</v>
      </c>
      <c r="B75" s="12" t="s">
        <v>2527</v>
      </c>
      <c r="E75" t="s">
        <v>2313</v>
      </c>
      <c r="F75" t="str">
        <f t="shared" si="1"/>
        <v>NUQUÍ</v>
      </c>
      <c r="J75" t="s">
        <v>2504</v>
      </c>
      <c r="K75" s="12" t="s">
        <v>439</v>
      </c>
      <c r="L75" s="12" t="str">
        <f>IFERROR(VLOOKUP(K75,'Códigos DANE Municipios'!$B:$C,2,FALSE),"No encontrado")</f>
        <v>15187</v>
      </c>
      <c r="M75" s="12">
        <v>15442</v>
      </c>
      <c r="N75" t="str">
        <f>IF(COUNTIF('Códigos DANE Municipios'!$A:$A, M75) &gt; 0, "Encontrado", "Faltante")</f>
        <v>Encontrado</v>
      </c>
      <c r="O75" t="str">
        <f>IF(N75="Encontrado",VLOOKUP(TRIM(M75),'Códigos DANE Municipios'!$A$1:$B$1123,2,FALSE),"No")</f>
        <v>MARIPÍ</v>
      </c>
    </row>
    <row r="76" spans="1:15" x14ac:dyDescent="0.25">
      <c r="A76" s="12" t="s">
        <v>2279</v>
      </c>
      <c r="B76" s="12" t="s">
        <v>1865</v>
      </c>
      <c r="E76" t="s">
        <v>2314</v>
      </c>
      <c r="F76" t="str">
        <f t="shared" si="1"/>
        <v>OROCUE</v>
      </c>
      <c r="J76" t="s">
        <v>2463</v>
      </c>
      <c r="K76" s="12" t="s">
        <v>977</v>
      </c>
      <c r="L76" s="12" t="str">
        <f>IFERROR(VLOOKUP(K76,'Códigos DANE Municipios'!$B:$C,2,FALSE),"No encontrado")</f>
        <v>25293</v>
      </c>
      <c r="M76" s="12">
        <v>15455</v>
      </c>
      <c r="N76" t="str">
        <f>IF(COUNTIF('Códigos DANE Municipios'!$A:$A, M76) &gt; 0, "Encontrado", "Faltante")</f>
        <v>Encontrado</v>
      </c>
      <c r="O76" t="str">
        <f>IF(N76="Encontrado",VLOOKUP(TRIM(M76),'Códigos DANE Municipios'!$A$1:$B$1123,2,FALSE),"No")</f>
        <v>MIRAFLORES</v>
      </c>
    </row>
    <row r="77" spans="1:15" x14ac:dyDescent="0.25">
      <c r="A77" s="12" t="s">
        <v>2280</v>
      </c>
      <c r="B77" s="12" t="s">
        <v>2280</v>
      </c>
      <c r="E77" t="s">
        <v>2315</v>
      </c>
      <c r="F77" t="str">
        <f t="shared" si="1"/>
        <v>PÁCORA</v>
      </c>
      <c r="J77" t="s">
        <v>2505</v>
      </c>
      <c r="K77" s="12" t="s">
        <v>712</v>
      </c>
      <c r="L77" s="12" t="str">
        <f>IFERROR(VLOOKUP(K77,'Códigos DANE Municipios'!$B:$C,2,FALSE),"No encontrado")</f>
        <v>18410</v>
      </c>
      <c r="M77" s="12">
        <v>15491</v>
      </c>
      <c r="N77" t="str">
        <f>IF(COUNTIF('Códigos DANE Municipios'!$A:$A, M77) &gt; 0, "Encontrado", "Faltante")</f>
        <v>Encontrado</v>
      </c>
      <c r="O77" t="str">
        <f>IF(N77="Encontrado",VLOOKUP(TRIM(M77),'Códigos DANE Municipios'!$A$1:$B$1123,2,FALSE),"No")</f>
        <v>NOBSA</v>
      </c>
    </row>
    <row r="78" spans="1:15" x14ac:dyDescent="0.25">
      <c r="A78" s="12" t="s">
        <v>2281</v>
      </c>
      <c r="B78" s="12" t="s">
        <v>755</v>
      </c>
      <c r="E78" t="s">
        <v>2316</v>
      </c>
      <c r="F78" t="str">
        <f t="shared" si="1"/>
        <v>PATÍA</v>
      </c>
      <c r="J78" t="s">
        <v>2506</v>
      </c>
      <c r="K78" s="12" t="s">
        <v>502</v>
      </c>
      <c r="L78" s="12" t="str">
        <f>IFERROR(VLOOKUP(K78,'Códigos DANE Municipios'!$B:$C,2,FALSE),"No encontrado")</f>
        <v>15442</v>
      </c>
      <c r="M78" s="12">
        <v>54051</v>
      </c>
      <c r="N78" t="str">
        <f>IF(COUNTIF('Códigos DANE Municipios'!$A:$A, M78) &gt; 0, "Encontrado", "Faltante")</f>
        <v>Encontrado</v>
      </c>
      <c r="O78" t="str">
        <f>IF(N78="Encontrado",VLOOKUP(TRIM(M78),'Códigos DANE Municipios'!$A$1:$B$1123,2,FALSE),"No")</f>
        <v>ARBOLEDAS</v>
      </c>
    </row>
    <row r="79" spans="1:15" x14ac:dyDescent="0.25">
      <c r="A79" s="12" t="s">
        <v>2282</v>
      </c>
      <c r="B79" s="12" t="s">
        <v>128</v>
      </c>
      <c r="E79" t="s">
        <v>2317</v>
      </c>
      <c r="F79" t="str">
        <f t="shared" si="1"/>
        <v>PAZ DE RÍO</v>
      </c>
      <c r="J79" t="s">
        <v>2469</v>
      </c>
      <c r="K79" s="12" t="s">
        <v>508</v>
      </c>
      <c r="L79" s="12" t="str">
        <f>IFERROR(VLOOKUP(K79,'Códigos DANE Municipios'!$B:$C,2,FALSE),"No encontrado")</f>
        <v>15466</v>
      </c>
      <c r="M79" s="4" t="s">
        <v>701</v>
      </c>
      <c r="N79" t="str">
        <f>IF(COUNTIF('Códigos DANE Municipios'!$A:$A, M79) &gt; 0, "Encontrado", "Faltante")</f>
        <v>Encontrado</v>
      </c>
      <c r="O79" t="str">
        <f>IF(N79="Encontrado",VLOOKUP(TRIM(M79),'Códigos DANE Municipios'!$A$1:$B$1123,2,FALSE),"No")</f>
        <v>BELÉN DE LOS ANDAQUÍES</v>
      </c>
    </row>
    <row r="80" spans="1:15" x14ac:dyDescent="0.25">
      <c r="A80" s="12" t="s">
        <v>2283</v>
      </c>
      <c r="B80" s="12" t="s">
        <v>1996</v>
      </c>
      <c r="E80" t="s">
        <v>2318</v>
      </c>
      <c r="F80" t="str">
        <f t="shared" si="1"/>
        <v>PIENDAMÓ</v>
      </c>
      <c r="J80" t="s">
        <v>2470</v>
      </c>
      <c r="K80" s="12" t="s">
        <v>520</v>
      </c>
      <c r="L80" s="12" t="str">
        <f>IFERROR(VLOOKUP(K80,'Códigos DANE Municipios'!$B:$C,2,FALSE),"No encontrado")</f>
        <v>15500</v>
      </c>
      <c r="M80" s="12">
        <v>73148</v>
      </c>
      <c r="N80" t="str">
        <f>IF(COUNTIF('Códigos DANE Municipios'!$A:$A, M80) &gt; 0, "Encontrado", "Faltante")</f>
        <v>Encontrado</v>
      </c>
      <c r="O80" t="str">
        <f>IF(N80="Encontrado",VLOOKUP(TRIM(M80),'Códigos DANE Municipios'!$A$1:$B$1123,2,FALSE),"No")</f>
        <v>CARMEN DE APICALÁ</v>
      </c>
    </row>
    <row r="81" spans="1:15" x14ac:dyDescent="0.25">
      <c r="A81" s="12" t="s">
        <v>2284</v>
      </c>
      <c r="B81" s="12" t="s">
        <v>132</v>
      </c>
      <c r="E81" t="s">
        <v>2319</v>
      </c>
      <c r="F81" t="str">
        <f t="shared" si="1"/>
        <v>PIOJO</v>
      </c>
      <c r="J81" t="s">
        <v>2455</v>
      </c>
      <c r="K81" s="12" t="s">
        <v>1533</v>
      </c>
      <c r="L81" s="12" t="str">
        <f>IFERROR(VLOOKUP(K81,'Códigos DANE Municipios'!$B:$C,2,FALSE),"No encontrado")</f>
        <v>54051</v>
      </c>
      <c r="M81" s="12">
        <v>15176</v>
      </c>
      <c r="N81" t="str">
        <f>IF(COUNTIF('Códigos DANE Municipios'!$A:$A, M81) &gt; 0, "Encontrado", "Faltante")</f>
        <v>Encontrado</v>
      </c>
      <c r="O81" t="str">
        <f>IF(N81="Encontrado",VLOOKUP(TRIM(M81),'Códigos DANE Municipios'!$A$1:$B$1123,2,FALSE),"No")</f>
        <v>CHIQUINQUIRÁ</v>
      </c>
    </row>
    <row r="82" spans="1:15" ht="30" x14ac:dyDescent="0.25">
      <c r="A82" s="12" t="s">
        <v>2285</v>
      </c>
      <c r="B82" s="12" t="s">
        <v>134</v>
      </c>
      <c r="E82" t="s">
        <v>2320</v>
      </c>
      <c r="F82" t="str">
        <f t="shared" si="1"/>
        <v>POPAYÁN</v>
      </c>
      <c r="J82" t="s">
        <v>2456</v>
      </c>
      <c r="K82" s="12" t="s">
        <v>702</v>
      </c>
      <c r="L82" s="12" t="str">
        <f>IFERROR(VLOOKUP(K82,'Códigos DANE Municipios'!$B:$C,2,FALSE),"No encontrado")</f>
        <v>18094</v>
      </c>
      <c r="M82" s="12">
        <v>68179</v>
      </c>
      <c r="N82" t="str">
        <f>IF(COUNTIF('Códigos DANE Municipios'!$A:$A, M82) &gt; 0, "Encontrado", "Faltante")</f>
        <v>Encontrado</v>
      </c>
      <c r="O82" t="str">
        <f>IF(N82="Encontrado",VLOOKUP(TRIM(M82),'Códigos DANE Municipios'!$A$1:$B$1123,2,FALSE),"No")</f>
        <v>CHIPATÁ</v>
      </c>
    </row>
    <row r="83" spans="1:15" x14ac:dyDescent="0.25">
      <c r="A83" s="12" t="s">
        <v>2286</v>
      </c>
      <c r="B83" s="12" t="s">
        <v>1172</v>
      </c>
      <c r="E83" t="s">
        <v>2321</v>
      </c>
      <c r="F83" t="str">
        <f t="shared" si="1"/>
        <v>PTO NAREL(LAMAG</v>
      </c>
      <c r="J83" t="s">
        <v>2520</v>
      </c>
      <c r="K83" s="12" t="s">
        <v>1881</v>
      </c>
      <c r="L83" s="12" t="str">
        <f>IFERROR(VLOOKUP(K83,'Códigos DANE Municipios'!$B:$C,2,FALSE),"No encontrado")</f>
        <v>73148</v>
      </c>
      <c r="M83" s="12">
        <v>5212</v>
      </c>
      <c r="N83" t="str">
        <f>IF(COUNTIF('Códigos DANE Municipios'!$A:$A, M83) &gt; 0, "Encontrado", "Faltante")</f>
        <v>Encontrado</v>
      </c>
      <c r="O83" t="e">
        <f>IF(N83="Encontrado",VLOOKUP(TRIM(M83),'Códigos DANE Municipios'!$A$1:$B$1123,2,FALSE),"No")</f>
        <v>#N/A</v>
      </c>
    </row>
    <row r="84" spans="1:15" x14ac:dyDescent="0.25">
      <c r="A84" s="12" t="s">
        <v>2287</v>
      </c>
      <c r="B84" s="12" t="s">
        <v>2112</v>
      </c>
      <c r="E84" t="s">
        <v>2322</v>
      </c>
      <c r="F84" t="str">
        <f t="shared" si="1"/>
        <v>PUERTO ASÍS</v>
      </c>
      <c r="J84" t="s">
        <v>2459</v>
      </c>
      <c r="K84" s="12" t="s">
        <v>429</v>
      </c>
      <c r="L84" s="12" t="str">
        <f>IFERROR(VLOOKUP(K84,'Códigos DANE Municipios'!$B:$C,2,FALSE),"No encontrado")</f>
        <v>15172</v>
      </c>
      <c r="M84" s="4" t="s">
        <v>997</v>
      </c>
      <c r="N84" t="str">
        <f>IF(COUNTIF('Códigos DANE Municipios'!$A:$A, M84) &gt; 0, "Encontrado", "Faltante")</f>
        <v>Encontrado</v>
      </c>
      <c r="O84" t="str">
        <f>IF(N84="Encontrado",VLOOKUP(TRIM(M84),'Códigos DANE Municipios'!$A$1:$B$1123,2,FALSE),"No")</f>
        <v>GUAYABAL DE SÍQUIMA</v>
      </c>
    </row>
    <row r="85" spans="1:15" x14ac:dyDescent="0.25">
      <c r="A85" s="12" t="s">
        <v>2288</v>
      </c>
      <c r="B85" s="12" t="s">
        <v>836</v>
      </c>
      <c r="E85" t="s">
        <v>2323</v>
      </c>
      <c r="F85" t="str">
        <f t="shared" si="1"/>
        <v>PUERTO BERRÍO</v>
      </c>
      <c r="J85" t="s">
        <v>2460</v>
      </c>
      <c r="K85" s="12" t="s">
        <v>1686</v>
      </c>
      <c r="L85" s="12" t="str">
        <f>IFERROR(VLOOKUP(K85,'Códigos DANE Municipios'!$B:$C,2,FALSE),"No encontrado")</f>
        <v>68179</v>
      </c>
      <c r="M85" s="12">
        <v>52352</v>
      </c>
      <c r="N85" t="str">
        <f>IF(COUNTIF('Códigos DANE Municipios'!$A:$A, M85) &gt; 0, "Encontrado", "Faltante")</f>
        <v>Encontrado</v>
      </c>
      <c r="O85" t="str">
        <f>IF(N85="Encontrado",VLOOKUP(TRIM(M85),'Códigos DANE Municipios'!$A$1:$B$1123,2,FALSE),"No")</f>
        <v>ILES</v>
      </c>
    </row>
    <row r="86" spans="1:15" x14ac:dyDescent="0.25">
      <c r="A86" s="12" t="s">
        <v>2289</v>
      </c>
      <c r="B86" s="12" t="s">
        <v>142</v>
      </c>
      <c r="E86" t="s">
        <v>2325</v>
      </c>
      <c r="F86" t="str">
        <f t="shared" si="1"/>
        <v>PUERTO CONCORDIA</v>
      </c>
      <c r="J86" t="s">
        <v>2461</v>
      </c>
      <c r="K86" s="5" t="s">
        <v>437</v>
      </c>
      <c r="L86" s="12" t="str">
        <f>IFERROR(VLOOKUP(K86,'Códigos DANE Municipios'!$B:$C,2,FALSE),"No encontrado")</f>
        <v>15185</v>
      </c>
      <c r="M86" s="12">
        <v>15380</v>
      </c>
      <c r="N86" t="str">
        <f>IF(COUNTIF('Códigos DANE Municipios'!$A:$A, M86) &gt; 0, "Encontrado", "Faltante")</f>
        <v>Encontrado</v>
      </c>
      <c r="O86" t="str">
        <f>IF(N86="Encontrado",VLOOKUP(TRIM(M86),'Códigos DANE Municipios'!$A$1:$B$1123,2,FALSE),"No")</f>
        <v>LA CAPILLA</v>
      </c>
    </row>
    <row r="87" spans="1:15" x14ac:dyDescent="0.25">
      <c r="A87" s="12" t="s">
        <v>2290</v>
      </c>
      <c r="B87" s="12" t="s">
        <v>2290</v>
      </c>
      <c r="E87" t="s">
        <v>2326</v>
      </c>
      <c r="F87" t="str">
        <f t="shared" si="1"/>
        <v>PUERTO GAITÁN</v>
      </c>
      <c r="J87" t="s">
        <v>2462</v>
      </c>
      <c r="K87" s="5" t="s">
        <v>94</v>
      </c>
      <c r="L87" s="12" t="str">
        <f>IFERROR(VLOOKUP(K87,'Códigos DANE Municipios'!$B:$C,2,FALSE),"No encontrado")</f>
        <v>05234</v>
      </c>
      <c r="M87" s="12">
        <v>20443</v>
      </c>
      <c r="N87" t="str">
        <f>IF(COUNTIF('Códigos DANE Municipios'!$A:$A, M87) &gt; 0, "Encontrado", "Faltante")</f>
        <v>Encontrado</v>
      </c>
      <c r="O87" t="str">
        <f>IF(N87="Encontrado",VLOOKUP(TRIM(M87),'Códigos DANE Municipios'!$A$1:$B$1123,2,FALSE),"No")</f>
        <v>MANAURE BALCÓN DEL CESAR</v>
      </c>
    </row>
    <row r="88" spans="1:15" x14ac:dyDescent="0.25">
      <c r="A88" s="12" t="s">
        <v>2292</v>
      </c>
      <c r="B88" s="12" t="s">
        <v>1911</v>
      </c>
      <c r="E88" t="s">
        <v>2327</v>
      </c>
      <c r="F88" t="str">
        <f t="shared" si="1"/>
        <v>INÍRIDA</v>
      </c>
      <c r="J88" t="s">
        <v>2464</v>
      </c>
      <c r="K88" s="12" t="s">
        <v>998</v>
      </c>
      <c r="L88" s="12" t="str">
        <f>IFERROR(VLOOKUP(K88,'Códigos DANE Municipios'!$B:$C,2,FALSE),"No encontrado")</f>
        <v>25328</v>
      </c>
      <c r="M88" s="12">
        <v>19513</v>
      </c>
      <c r="N88" t="str">
        <f>IF(COUNTIF('Códigos DANE Municipios'!$A:$A, M88) &gt; 0, "Encontrado", "Faltante")</f>
        <v>Encontrado</v>
      </c>
      <c r="O88" t="str">
        <f>IF(N88="Encontrado",VLOOKUP(TRIM(M88),'Códigos DANE Municipios'!$A$1:$B$1123,2,FALSE),"No")</f>
        <v>PADILLA</v>
      </c>
    </row>
    <row r="89" spans="1:15" x14ac:dyDescent="0.25">
      <c r="A89" s="12" t="s">
        <v>2293</v>
      </c>
      <c r="B89" s="12" t="s">
        <v>1913</v>
      </c>
      <c r="E89" t="s">
        <v>2328</v>
      </c>
      <c r="F89" t="str">
        <f t="shared" si="1"/>
        <v>PUERTO LEGUÍZAMO</v>
      </c>
      <c r="J89" t="s">
        <v>2465</v>
      </c>
      <c r="K89" s="5" t="s">
        <v>1460</v>
      </c>
      <c r="L89" s="12" t="str">
        <f>IFERROR(VLOOKUP(K89,'Códigos DANE Municipios'!$B:$C,2,FALSE),"No encontrado")</f>
        <v>52354</v>
      </c>
      <c r="M89" s="12">
        <v>68533</v>
      </c>
      <c r="N89" t="str">
        <f>IF(COUNTIF('Códigos DANE Municipios'!$A:$A, M89) &gt; 0, "Encontrado", "Faltante")</f>
        <v>Encontrado</v>
      </c>
      <c r="O89" t="str">
        <f>IF(N89="Encontrado",VLOOKUP(TRIM(M89),'Códigos DANE Municipios'!$A$1:$B$1123,2,FALSE),"No")</f>
        <v>PÁRAMO</v>
      </c>
    </row>
    <row r="90" spans="1:15" x14ac:dyDescent="0.25">
      <c r="A90" s="12" t="s">
        <v>2294</v>
      </c>
      <c r="B90" s="12" t="s">
        <v>1019</v>
      </c>
      <c r="E90" t="s">
        <v>2329</v>
      </c>
      <c r="F90" t="str">
        <f t="shared" si="1"/>
        <v>PUERTO LIBERTADOR</v>
      </c>
      <c r="J90" t="s">
        <v>2466</v>
      </c>
      <c r="K90" s="12" t="s">
        <v>492</v>
      </c>
      <c r="L90" s="12" t="str">
        <f>IFERROR(VLOOKUP(K90,'Códigos DANE Municipios'!$B:$C,2,FALSE),"No encontrado")</f>
        <v>15380</v>
      </c>
      <c r="M90" s="12">
        <v>23670</v>
      </c>
      <c r="N90" t="str">
        <f>IF(COUNTIF('Códigos DANE Municipios'!$A:$A, M90) &gt; 0, "Encontrado", "Faltante")</f>
        <v>Encontrado</v>
      </c>
      <c r="O90" t="str">
        <f>IF(N90="Encontrado",VLOOKUP(TRIM(M90),'Códigos DANE Municipios'!$A$1:$B$1123,2,FALSE),"No")</f>
        <v>SAN ANDRÉS DE SOTAVENTO</v>
      </c>
    </row>
    <row r="91" spans="1:15" x14ac:dyDescent="0.25">
      <c r="A91" s="12" t="s">
        <v>2295</v>
      </c>
      <c r="B91" s="12" t="s">
        <v>341</v>
      </c>
      <c r="E91" t="s">
        <v>2330</v>
      </c>
      <c r="F91" t="str">
        <f t="shared" si="1"/>
        <v>PUERTO LÓPEZ</v>
      </c>
      <c r="J91" t="s">
        <v>2467</v>
      </c>
      <c r="K91" t="s">
        <v>712</v>
      </c>
      <c r="L91" s="12" t="str">
        <f>IFERROR(VLOOKUP(K91,'Códigos DANE Municipios'!$B:$C,2,FALSE),"No encontrado")</f>
        <v>18410</v>
      </c>
      <c r="M91" s="12">
        <v>25645</v>
      </c>
      <c r="N91" t="str">
        <f>IF(COUNTIF('Códigos DANE Municipios'!$A:$A, M91) &gt; 0, "Encontrado", "Faltante")</f>
        <v>Encontrado</v>
      </c>
      <c r="O91" t="str">
        <f>IF(N91="Encontrado",VLOOKUP(TRIM(M91),'Códigos DANE Municipios'!$A$1:$B$1123,2,FALSE),"No")</f>
        <v>SAN ANTONIO DEL TEQUENDAMA</v>
      </c>
    </row>
    <row r="92" spans="1:15" ht="30" x14ac:dyDescent="0.25">
      <c r="A92" s="12" t="s">
        <v>2296</v>
      </c>
      <c r="B92" s="12" t="s">
        <v>1746</v>
      </c>
      <c r="E92" t="s">
        <v>2331</v>
      </c>
      <c r="F92" t="str">
        <f t="shared" si="1"/>
        <v>PURACÉ</v>
      </c>
      <c r="J92" t="s">
        <v>2468</v>
      </c>
      <c r="K92" s="12" t="s">
        <v>838</v>
      </c>
      <c r="L92" s="12" t="str">
        <f>IFERROR(VLOOKUP(K92,'Códigos DANE Municipios'!$B:$C,2,FALSE),"No encontrado")</f>
        <v>20443</v>
      </c>
      <c r="M92" s="12">
        <v>23682</v>
      </c>
      <c r="N92" t="str">
        <f>IF(COUNTIF('Códigos DANE Municipios'!$A:$A, M92) &gt; 0, "Encontrado", "Faltante")</f>
        <v>Encontrado</v>
      </c>
      <c r="O92" t="str">
        <f>IF(N92="Encontrado",VLOOKUP(TRIM(M92),'Códigos DANE Municipios'!$A$1:$B$1123,2,FALSE),"No")</f>
        <v>SAN JOSÉ DE URÉ</v>
      </c>
    </row>
    <row r="93" spans="1:15" x14ac:dyDescent="0.25">
      <c r="A93" s="12" t="s">
        <v>2297</v>
      </c>
      <c r="B93" s="12" t="s">
        <v>838</v>
      </c>
      <c r="E93" t="s">
        <v>2332</v>
      </c>
      <c r="F93" t="str">
        <f t="shared" si="1"/>
        <v>PURIFICACIÓN</v>
      </c>
      <c r="J93" t="s">
        <v>2471</v>
      </c>
      <c r="K93" s="12" t="s">
        <v>526</v>
      </c>
      <c r="L93" s="12" t="str">
        <f>IFERROR(VLOOKUP(K93,'Códigos DANE Municipios'!$B:$C,2,FALSE),"No encontrado")</f>
        <v>15514</v>
      </c>
      <c r="M93" s="12">
        <v>50683</v>
      </c>
      <c r="N93" t="str">
        <f>IF(COUNTIF('Códigos DANE Municipios'!$A:$A, M93) &gt; 0, "Encontrado", "Faltante")</f>
        <v>Encontrado</v>
      </c>
      <c r="O93" t="str">
        <f>IF(N93="Encontrado",VLOOKUP(TRIM(M93),'Códigos DANE Municipios'!$A$1:$B$1123,2,FALSE),"No")</f>
        <v>SAN JUAN DE ARAMA</v>
      </c>
    </row>
    <row r="94" spans="1:15" x14ac:dyDescent="0.25">
      <c r="A94" s="12" t="s">
        <v>2298</v>
      </c>
      <c r="B94" s="12" t="s">
        <v>2058</v>
      </c>
      <c r="E94" t="s">
        <v>2333</v>
      </c>
      <c r="F94" t="str">
        <f t="shared" si="1"/>
        <v>QUIBDÓ</v>
      </c>
      <c r="J94" t="s">
        <v>2472</v>
      </c>
      <c r="K94" s="12" t="s">
        <v>1764</v>
      </c>
      <c r="L94" s="12" t="str">
        <f>IFERROR(VLOOKUP(K94,'Códigos DANE Municipios'!$B:$C,2,FALSE),"No encontrado")</f>
        <v>68533</v>
      </c>
      <c r="M94" s="12">
        <v>95001</v>
      </c>
      <c r="N94" t="str">
        <f>IF(COUNTIF('Códigos DANE Municipios'!$A:$A, M94) &gt; 0, "Encontrado", "Faltante")</f>
        <v>Encontrado</v>
      </c>
      <c r="O94" t="str">
        <f>IF(N94="Encontrado",VLOOKUP(TRIM(M94),'Códigos DANE Municipios'!$A$1:$B$1123,2,FALSE),"No")</f>
        <v>SAN JOSÉ DEL GUAVIARE</v>
      </c>
    </row>
    <row r="95" spans="1:15" ht="30" x14ac:dyDescent="0.25">
      <c r="A95" s="12" t="s">
        <v>2299</v>
      </c>
      <c r="B95" s="12" t="s">
        <v>1382</v>
      </c>
      <c r="E95" t="s">
        <v>2335</v>
      </c>
      <c r="F95" t="str">
        <f t="shared" si="1"/>
        <v>QUÍPAMA</v>
      </c>
      <c r="J95" t="s">
        <v>2473</v>
      </c>
      <c r="K95" s="12" t="s">
        <v>899</v>
      </c>
      <c r="L95" s="12" t="str">
        <f>IFERROR(VLOOKUP(K95,'Códigos DANE Municipios'!$B:$C,2,FALSE),"No encontrado")</f>
        <v>23670</v>
      </c>
      <c r="M95" s="4" t="s">
        <v>195</v>
      </c>
      <c r="N95" t="str">
        <f>IF(COUNTIF('Códigos DANE Municipios'!$A:$A, M95) &gt; 0, "Encontrado", "Faltante")</f>
        <v>Encontrado</v>
      </c>
      <c r="O95" t="str">
        <f>IF(N95="Encontrado",VLOOKUP(TRIM(M95),'Códigos DANE Municipios'!$A$1:$B$1123,2,FALSE),"No")</f>
        <v>SAN JOSÉ DE LA MONTAÑA</v>
      </c>
    </row>
    <row r="96" spans="1:15" x14ac:dyDescent="0.25">
      <c r="A96" s="12" t="s">
        <v>2300</v>
      </c>
      <c r="B96" s="12" t="s">
        <v>2300</v>
      </c>
      <c r="E96" t="s">
        <v>2336</v>
      </c>
      <c r="F96" t="str">
        <f t="shared" si="1"/>
        <v>RAMIRIQUÍ</v>
      </c>
      <c r="J96" t="s">
        <v>2474</v>
      </c>
      <c r="K96" s="12" t="s">
        <v>2474</v>
      </c>
      <c r="L96" s="12" t="str">
        <f>IFERROR(VLOOKUP(K96,'Códigos DANE Municipios'!$B:$C,2,FALSE),"NA")</f>
        <v>NA</v>
      </c>
      <c r="M96" s="4" t="s">
        <v>905</v>
      </c>
      <c r="N96" t="str">
        <f>IF(COUNTIF('Códigos DANE Municipios'!$A:$A, M96) &gt; 0, "Encontrado", "Faltante")</f>
        <v>Encontrado</v>
      </c>
      <c r="O96" t="str">
        <f>IF(N96="Encontrado",VLOOKUP(TRIM(M96),'Códigos DANE Municipios'!$A$1:$B$1123,2,FALSE),"No")</f>
        <v>SAN JOSÉ DE URÉ</v>
      </c>
    </row>
    <row r="97" spans="1:15" ht="30" x14ac:dyDescent="0.25">
      <c r="A97" s="12" t="s">
        <v>2301</v>
      </c>
      <c r="B97" s="12" t="s">
        <v>12</v>
      </c>
      <c r="E97" t="s">
        <v>2337</v>
      </c>
      <c r="F97" t="str">
        <f t="shared" si="1"/>
        <v>RÁQUIRA</v>
      </c>
      <c r="J97" t="s">
        <v>2475</v>
      </c>
      <c r="K97" s="12" t="s">
        <v>903</v>
      </c>
      <c r="L97" s="12" t="str">
        <f>IFERROR(VLOOKUP(K97,'Códigos DANE Municipios'!$B:$C,2,FALSE),"No encontrado")</f>
        <v>23675</v>
      </c>
      <c r="M97" s="12">
        <v>15681</v>
      </c>
      <c r="N97" t="str">
        <f>IF(COUNTIF('Códigos DANE Municipios'!$A:$A, M97) &gt; 0, "Encontrado", "Faltante")</f>
        <v>Encontrado</v>
      </c>
      <c r="O97" t="str">
        <f>IF(N97="Encontrado",VLOOKUP(TRIM(M97),'Códigos DANE Municipios'!$A$1:$B$1123,2,FALSE),"No")</f>
        <v>SAN PABLO DE BORBUR</v>
      </c>
    </row>
    <row r="98" spans="1:15" x14ac:dyDescent="0.25">
      <c r="A98" s="12" t="s">
        <v>2302</v>
      </c>
      <c r="B98" s="12" t="s">
        <v>1645</v>
      </c>
      <c r="E98" t="s">
        <v>2338</v>
      </c>
      <c r="F98" t="str">
        <f t="shared" si="1"/>
        <v>RÍO DE ORO</v>
      </c>
      <c r="J98" t="s">
        <v>2476</v>
      </c>
      <c r="K98" s="5" t="s">
        <v>1403</v>
      </c>
      <c r="L98" s="12" t="str">
        <f>IFERROR(VLOOKUP(K98,'Códigos DANE Municipios'!$B:$C,2,FALSE),"No encontrado")</f>
        <v>50680</v>
      </c>
      <c r="M98" s="12">
        <v>25817</v>
      </c>
      <c r="N98" t="str">
        <f>IF(COUNTIF('Códigos DANE Municipios'!$A:$A, M98) &gt; 0, "Encontrado", "Faltante")</f>
        <v>Encontrado</v>
      </c>
      <c r="O98" t="str">
        <f>IF(N98="Encontrado",VLOOKUP(TRIM(M98),'Códigos DANE Municipios'!$A$1:$B$1123,2,FALSE),"No")</f>
        <v>TOCANCIPÁ</v>
      </c>
    </row>
    <row r="99" spans="1:15" x14ac:dyDescent="0.25">
      <c r="A99" s="12" t="s">
        <v>2303</v>
      </c>
      <c r="B99" s="12" t="s">
        <v>2151</v>
      </c>
      <c r="E99" t="s">
        <v>2339</v>
      </c>
      <c r="F99" t="str">
        <f t="shared" si="1"/>
        <v>RIOFRÍO</v>
      </c>
      <c r="J99" t="s">
        <v>2477</v>
      </c>
      <c r="K99" s="12" t="s">
        <v>720</v>
      </c>
      <c r="L99" s="12" t="str">
        <f>IFERROR(VLOOKUP(K99,'Códigos DANE Municipios'!$B:$C,2,FALSE),"No encontrado")</f>
        <v>18610</v>
      </c>
      <c r="M99" s="4" t="s">
        <v>1091</v>
      </c>
      <c r="N99" t="str">
        <f>IF(COUNTIF('Códigos DANE Municipios'!$A:$A, M99) &gt; 0, "Encontrado", "Faltante")</f>
        <v>Encontrado</v>
      </c>
      <c r="O99" t="str">
        <f>IF(N99="Encontrado",VLOOKUP(TRIM(M99),'Códigos DANE Municipios'!$A$1:$B$1123,2,FALSE),"No")</f>
        <v>SUSA</v>
      </c>
    </row>
    <row r="100" spans="1:15" x14ac:dyDescent="0.25">
      <c r="A100" s="12" t="s">
        <v>2304</v>
      </c>
      <c r="B100" s="12" t="s">
        <v>351</v>
      </c>
      <c r="E100" t="s">
        <v>2340</v>
      </c>
      <c r="F100" t="str">
        <f t="shared" si="1"/>
        <v>LA PAZ</v>
      </c>
      <c r="J100" t="s">
        <v>2480</v>
      </c>
      <c r="K100" s="5" t="s">
        <v>2145</v>
      </c>
      <c r="L100" s="12" t="str">
        <f>IFERROR(VLOOKUP(K100,'Códigos DANE Municipios'!$B:$C,2,FALSE),"No encontrado")</f>
        <v>95001</v>
      </c>
      <c r="M100" s="12">
        <v>68780</v>
      </c>
      <c r="N100" t="str">
        <f>IF(COUNTIF('Códigos DANE Municipios'!$A:$A, M100) &gt; 0, "Encontrado", "Faltante")</f>
        <v>Encontrado</v>
      </c>
      <c r="O100" t="str">
        <f>IF(N100="Encontrado",VLOOKUP(TRIM(M100),'Códigos DANE Municipios'!$A$1:$B$1123,2,FALSE),"No")</f>
        <v>SURATÁ</v>
      </c>
    </row>
    <row r="101" spans="1:15" x14ac:dyDescent="0.25">
      <c r="A101" s="12" t="s">
        <v>2305</v>
      </c>
      <c r="B101" s="12" t="s">
        <v>510</v>
      </c>
      <c r="E101" t="s">
        <v>2341</v>
      </c>
      <c r="F101" t="str">
        <f t="shared" si="1"/>
        <v>ROLDANILLO</v>
      </c>
      <c r="J101" s="5" t="s">
        <v>196</v>
      </c>
      <c r="K101" s="5" t="s">
        <v>196</v>
      </c>
      <c r="L101" s="12" t="str">
        <f>IFERROR(VLOOKUP(K101,'Códigos DANE Municipios'!$B:$C,2,FALSE),"No encontrado")</f>
        <v>05658</v>
      </c>
      <c r="M101" s="12">
        <v>27787</v>
      </c>
      <c r="N101" t="str">
        <f>IF(COUNTIF('Códigos DANE Municipios'!$A:$A, M101) &gt; 0, "Encontrado", "Faltante")</f>
        <v>Encontrado</v>
      </c>
      <c r="O101" t="str">
        <f>IF(N101="Encontrado",VLOOKUP(TRIM(M101),'Códigos DANE Municipios'!$A$1:$B$1123,2,FALSE),"No")</f>
        <v>TADÓ</v>
      </c>
    </row>
    <row r="102" spans="1:15" x14ac:dyDescent="0.25">
      <c r="A102" s="12" t="s">
        <v>2306</v>
      </c>
      <c r="B102" s="12" t="s">
        <v>885</v>
      </c>
      <c r="E102" t="s">
        <v>2508</v>
      </c>
      <c r="F102" t="str">
        <f t="shared" si="1"/>
        <v>SÁCHICA</v>
      </c>
      <c r="J102" s="5" t="s">
        <v>198</v>
      </c>
      <c r="K102" s="5" t="s">
        <v>198</v>
      </c>
      <c r="L102" s="12" t="str">
        <f>IFERROR(VLOOKUP(K102,'Códigos DANE Municipios'!$B:$C,2,FALSE),"No encontrado")</f>
        <v>05659</v>
      </c>
      <c r="M102" s="12">
        <v>5789</v>
      </c>
      <c r="N102" t="str">
        <f>IF(COUNTIF('Códigos DANE Municipios'!$A:$A, M102) &gt; 0, "Encontrado", "Faltante")</f>
        <v>Encontrado</v>
      </c>
      <c r="O102" t="e">
        <f>IF(N102="Encontrado",VLOOKUP(TRIM(M102),'Códigos DANE Municipios'!$A$1:$B$1123,2,FALSE),"No")</f>
        <v>#N/A</v>
      </c>
    </row>
    <row r="103" spans="1:15" x14ac:dyDescent="0.25">
      <c r="A103" s="12" t="s">
        <v>2307</v>
      </c>
      <c r="B103" s="12" t="s">
        <v>883</v>
      </c>
      <c r="E103" t="s">
        <v>2343</v>
      </c>
      <c r="F103" t="str">
        <f t="shared" si="1"/>
        <v>SAHAGÚN</v>
      </c>
      <c r="J103" t="s">
        <v>2483</v>
      </c>
      <c r="K103" s="12" t="s">
        <v>570</v>
      </c>
      <c r="L103" s="12" t="str">
        <f>IFERROR(VLOOKUP(K103,'Códigos DANE Municipios'!$B:$C,2,FALSE),"No encontrado")</f>
        <v>15681</v>
      </c>
      <c r="M103" s="12">
        <v>5790</v>
      </c>
      <c r="N103" t="str">
        <f>IF(COUNTIF('Códigos DANE Municipios'!$A:$A, M103) &gt; 0, "Encontrado", "Faltante")</f>
        <v>Encontrado</v>
      </c>
      <c r="O103" t="e">
        <f>IF(N103="Encontrado",VLOOKUP(TRIM(M103),'Códigos DANE Municipios'!$A$1:$B$1123,2,FALSE),"No")</f>
        <v>#N/A</v>
      </c>
    </row>
    <row r="104" spans="1:15" ht="30" x14ac:dyDescent="0.25">
      <c r="A104" s="12" t="s">
        <v>2308</v>
      </c>
      <c r="B104" s="12" t="s">
        <v>858</v>
      </c>
      <c r="E104" t="s">
        <v>2344</v>
      </c>
      <c r="F104" t="str">
        <f t="shared" si="1"/>
        <v>SÁMACA</v>
      </c>
      <c r="J104" t="s">
        <v>2484</v>
      </c>
      <c r="K104" s="12" t="s">
        <v>1791</v>
      </c>
      <c r="L104" s="12" t="str">
        <f>IFERROR(VLOOKUP(K104,'Códigos DANE Municipios'!$B:$C,2,FALSE),"No encontrado")</f>
        <v>68689</v>
      </c>
      <c r="M104" s="12">
        <v>5792</v>
      </c>
      <c r="N104" t="str">
        <f>IF(COUNTIF('Códigos DANE Municipios'!$A:$A, M104) &gt; 0, "Encontrado", "Faltante")</f>
        <v>Encontrado</v>
      </c>
      <c r="O104" t="e">
        <f>IF(N104="Encontrado",VLOOKUP(TRIM(M104),'Códigos DANE Municipios'!$A$1:$B$1123,2,FALSE),"No")</f>
        <v>#N/A</v>
      </c>
    </row>
    <row r="105" spans="1:15" x14ac:dyDescent="0.25">
      <c r="A105" s="12" t="s">
        <v>2309</v>
      </c>
      <c r="B105" s="12" t="s">
        <v>154</v>
      </c>
      <c r="E105" t="s">
        <v>2345</v>
      </c>
      <c r="F105" t="str">
        <f t="shared" si="1"/>
        <v>SAMANÁ</v>
      </c>
      <c r="J105" t="s">
        <v>2488</v>
      </c>
      <c r="K105" s="12" t="s">
        <v>1090</v>
      </c>
      <c r="L105" s="12" t="str">
        <f>IFERROR(VLOOKUP(K105,'Códigos DANE Municipios'!$B:$C,2,FALSE),"No encontrado")</f>
        <v>25777</v>
      </c>
      <c r="M105" s="12">
        <v>15822</v>
      </c>
      <c r="N105" t="str">
        <f>IF(COUNTIF('Códigos DANE Municipios'!$A:$A, M105) &gt; 0, "Encontrado", "Faltante")</f>
        <v>Encontrado</v>
      </c>
      <c r="O105" t="str">
        <f>IF(N105="Encontrado",VLOOKUP(TRIM(M105),'Códigos DANE Municipios'!$A$1:$B$1123,2,FALSE),"No")</f>
        <v>TOTA</v>
      </c>
    </row>
    <row r="106" spans="1:15" x14ac:dyDescent="0.25">
      <c r="A106" s="12" t="s">
        <v>2310</v>
      </c>
      <c r="B106" s="12" t="s">
        <v>158</v>
      </c>
      <c r="E106" t="s">
        <v>2346</v>
      </c>
      <c r="F106" t="str">
        <f t="shared" si="1"/>
        <v>SAMPUÉS</v>
      </c>
      <c r="J106" t="s">
        <v>2490</v>
      </c>
      <c r="K106" s="12" t="s">
        <v>1092</v>
      </c>
      <c r="L106" s="12" t="str">
        <f>IFERROR(VLOOKUP(K106,'Códigos DANE Municipios'!$B:$C,2,FALSE),"No encontrado")</f>
        <v>25779</v>
      </c>
      <c r="M106" s="12">
        <v>86885</v>
      </c>
      <c r="N106" t="str">
        <f>IF(COUNTIF('Códigos DANE Municipios'!$A:$A, M106) &gt; 0, "Encontrado", "Faltante")</f>
        <v>Encontrado</v>
      </c>
      <c r="O106" t="str">
        <f>IF(N106="Encontrado",VLOOKUP(TRIM(M106),'Códigos DANE Municipios'!$A$1:$B$1123,2,FALSE),"No")</f>
        <v>VILLAGARZÓN</v>
      </c>
    </row>
    <row r="107" spans="1:15" x14ac:dyDescent="0.25">
      <c r="A107" s="12" t="s">
        <v>2311</v>
      </c>
      <c r="B107" s="12" t="s">
        <v>1030</v>
      </c>
      <c r="E107" t="s">
        <v>2347</v>
      </c>
      <c r="F107" t="str">
        <f t="shared" si="1"/>
        <v>SAN AGUSTÍN</v>
      </c>
      <c r="J107" t="s">
        <v>2489</v>
      </c>
      <c r="K107" s="12" t="s">
        <v>1803</v>
      </c>
      <c r="L107" s="12" t="str">
        <f>IFERROR(VLOOKUP(K107,'Códigos DANE Municipios'!$B:$C,2,FALSE),"No encontrado")</f>
        <v>68780</v>
      </c>
      <c r="M107" s="12">
        <v>5856</v>
      </c>
      <c r="N107" t="str">
        <f>IF(COUNTIF('Códigos DANE Municipios'!$A:$A, M107) &gt; 0, "Encontrado", "Faltante")</f>
        <v>Encontrado</v>
      </c>
      <c r="O107" t="e">
        <f>IF(N107="Encontrado",VLOOKUP(TRIM(M107),'Códigos DANE Municipios'!$A$1:$B$1123,2,FALSE),"No")</f>
        <v>#N/A</v>
      </c>
    </row>
    <row r="108" spans="1:15" x14ac:dyDescent="0.25">
      <c r="A108" s="12" t="s">
        <v>2312</v>
      </c>
      <c r="B108" s="12" t="s">
        <v>2062</v>
      </c>
      <c r="E108" t="s">
        <v>2348</v>
      </c>
      <c r="F108" t="str">
        <f t="shared" si="1"/>
        <v>SAN ANDRÉS</v>
      </c>
      <c r="J108" t="s">
        <v>2491</v>
      </c>
      <c r="K108" s="12" t="s">
        <v>1195</v>
      </c>
      <c r="L108" s="12" t="str">
        <f>IFERROR(VLOOKUP(K108,'Códigos DANE Municipios'!$B:$C,2,FALSE),"No encontrado")</f>
        <v>27787</v>
      </c>
      <c r="M108" s="12">
        <v>5858</v>
      </c>
      <c r="N108" t="str">
        <f>IF(COUNTIF('Códigos DANE Municipios'!$A:$A, M108) &gt; 0, "Encontrado", "Faltante")</f>
        <v>Encontrado</v>
      </c>
      <c r="O108" t="e">
        <f>IF(N108="Encontrado",VLOOKUP(TRIM(M108),'Códigos DANE Municipios'!$A$1:$B$1123,2,FALSE),"No")</f>
        <v>#N/A</v>
      </c>
    </row>
    <row r="109" spans="1:15" x14ac:dyDescent="0.25">
      <c r="A109" s="12" t="s">
        <v>2313</v>
      </c>
      <c r="B109" s="12" t="s">
        <v>1184</v>
      </c>
      <c r="E109" t="s">
        <v>2349</v>
      </c>
      <c r="F109" t="str">
        <f t="shared" si="1"/>
        <v>SAN ANDRÉS DE SOTAVENTO</v>
      </c>
      <c r="J109" t="s">
        <v>2492</v>
      </c>
      <c r="K109" s="12" t="s">
        <v>226</v>
      </c>
      <c r="L109" s="12" t="str">
        <f>IFERROR(VLOOKUP(K109,'Códigos DANE Municipios'!$B:$C,2,FALSE),"No encontrado")</f>
        <v>05789</v>
      </c>
    </row>
    <row r="110" spans="1:15" x14ac:dyDescent="0.25">
      <c r="A110" s="12" t="s">
        <v>2314</v>
      </c>
      <c r="B110" s="12" t="s">
        <v>2314</v>
      </c>
      <c r="E110" t="s">
        <v>2350</v>
      </c>
      <c r="F110" t="str">
        <f t="shared" si="1"/>
        <v>SAN BERNARDO</v>
      </c>
      <c r="J110" t="s">
        <v>2493</v>
      </c>
      <c r="K110" s="12" t="s">
        <v>228</v>
      </c>
      <c r="L110" s="12" t="str">
        <f>IFERROR(VLOOKUP(K110,'Códigos DANE Municipios'!$B:$C,2,FALSE),"No encontrado")</f>
        <v>05790</v>
      </c>
    </row>
    <row r="111" spans="1:15" x14ac:dyDescent="0.25">
      <c r="A111" s="12" t="s">
        <v>2315</v>
      </c>
      <c r="B111" s="12" t="s">
        <v>674</v>
      </c>
      <c r="E111" t="s">
        <v>2351</v>
      </c>
      <c r="F111" t="str">
        <f t="shared" si="1"/>
        <v>SAN CARLOS</v>
      </c>
      <c r="J111" t="s">
        <v>2494</v>
      </c>
      <c r="K111" s="12" t="s">
        <v>230</v>
      </c>
      <c r="L111" s="12" t="str">
        <f>IFERROR(VLOOKUP(K111,'Códigos DANE Municipios'!$B:$C,2,FALSE),"No encontrado")</f>
        <v>05792</v>
      </c>
    </row>
    <row r="112" spans="1:15" x14ac:dyDescent="0.25">
      <c r="A112" s="12" t="s">
        <v>2316</v>
      </c>
      <c r="B112" s="12" t="s">
        <v>773</v>
      </c>
      <c r="E112" t="s">
        <v>2352</v>
      </c>
      <c r="F112" t="str">
        <f t="shared" si="1"/>
        <v>SAN JERÓNIMO</v>
      </c>
      <c r="J112" t="s">
        <v>2495</v>
      </c>
      <c r="K112" s="12" t="s">
        <v>622</v>
      </c>
      <c r="L112" s="12" t="str">
        <f>IFERROR(VLOOKUP(K112,'Códigos DANE Municipios'!$B:$C,2,FALSE),"No encontrado")</f>
        <v>15816</v>
      </c>
    </row>
    <row r="113" spans="1:12" x14ac:dyDescent="0.25">
      <c r="A113" s="12" t="s">
        <v>2317</v>
      </c>
      <c r="B113" s="12" t="s">
        <v>538</v>
      </c>
      <c r="E113" t="s">
        <v>2353</v>
      </c>
      <c r="F113" t="str">
        <f t="shared" si="1"/>
        <v>SAN JOSÉ DEL GUAVIARE</v>
      </c>
      <c r="J113" t="s">
        <v>2497</v>
      </c>
      <c r="K113" s="12" t="s">
        <v>2102</v>
      </c>
      <c r="L113" s="12" t="str">
        <f>IFERROR(VLOOKUP(K113,'Códigos DANE Municipios'!$B:$C,2,FALSE),"No encontrado")</f>
        <v>86865</v>
      </c>
    </row>
    <row r="114" spans="1:12" x14ac:dyDescent="0.25">
      <c r="A114" s="12" t="s">
        <v>2318</v>
      </c>
      <c r="B114" s="12" t="s">
        <v>777</v>
      </c>
      <c r="E114" t="s">
        <v>2354</v>
      </c>
      <c r="F114" t="str">
        <f t="shared" si="1"/>
        <v>SAN JOSÉ DE URÉ</v>
      </c>
      <c r="J114" t="s">
        <v>2498</v>
      </c>
      <c r="K114" s="12" t="s">
        <v>244</v>
      </c>
      <c r="L114" s="12" t="str">
        <f>IFERROR(VLOOKUP(K114,'Códigos DANE Municipios'!$B:$C,2,FALSE),"No encontrado")</f>
        <v>05856</v>
      </c>
    </row>
    <row r="115" spans="1:12" x14ac:dyDescent="0.25">
      <c r="A115" s="12" t="s">
        <v>2319</v>
      </c>
      <c r="B115" s="12" t="s">
        <v>2319</v>
      </c>
      <c r="E115" t="s">
        <v>2355</v>
      </c>
      <c r="F115" t="str">
        <f t="shared" si="1"/>
        <v>SAN JUAN DEL CESAR</v>
      </c>
      <c r="J115" t="s">
        <v>2499</v>
      </c>
      <c r="K115" s="12" t="s">
        <v>246</v>
      </c>
      <c r="L115" s="12" t="str">
        <f>IFERROR(VLOOKUP(K115,'Códigos DANE Municipios'!$B:$C,2,FALSE),"No encontrado")</f>
        <v>05858</v>
      </c>
    </row>
    <row r="116" spans="1:12" x14ac:dyDescent="0.25">
      <c r="A116" s="12" t="s">
        <v>2320</v>
      </c>
      <c r="B116" s="12" t="s">
        <v>729</v>
      </c>
      <c r="E116" t="s">
        <v>2356</v>
      </c>
      <c r="F116" t="str">
        <f t="shared" si="1"/>
        <v>SAN JUAN NEPOMUCENO</v>
      </c>
    </row>
    <row r="117" spans="1:12" x14ac:dyDescent="0.25">
      <c r="A117" s="12" t="s">
        <v>2528</v>
      </c>
      <c r="B117" s="12" t="s">
        <v>172</v>
      </c>
      <c r="E117" t="s">
        <v>2357</v>
      </c>
      <c r="F117" t="str">
        <f t="shared" si="1"/>
        <v>SAN LUIS DE GACENO</v>
      </c>
    </row>
    <row r="118" spans="1:12" x14ac:dyDescent="0.25">
      <c r="A118" s="12" t="s">
        <v>2322</v>
      </c>
      <c r="B118" s="12" t="s">
        <v>2089</v>
      </c>
      <c r="E118" t="s">
        <v>2358</v>
      </c>
      <c r="F118" t="str">
        <f t="shared" si="1"/>
        <v>SAN LUIS DE PALENQUE</v>
      </c>
    </row>
    <row r="119" spans="1:12" x14ac:dyDescent="0.25">
      <c r="A119" s="12" t="s">
        <v>2323</v>
      </c>
      <c r="B119" s="12" t="s">
        <v>170</v>
      </c>
      <c r="E119" t="s">
        <v>2359</v>
      </c>
      <c r="F119" t="str">
        <f t="shared" si="1"/>
        <v>SAN MARTÍN</v>
      </c>
    </row>
    <row r="120" spans="1:12" x14ac:dyDescent="0.25">
      <c r="A120" s="12" t="s">
        <v>2325</v>
      </c>
      <c r="B120" s="12" t="s">
        <v>1392</v>
      </c>
      <c r="E120" t="s">
        <v>2360</v>
      </c>
      <c r="F120" t="str">
        <f t="shared" si="1"/>
        <v>SAN PEDRO DE URABÁ</v>
      </c>
    </row>
    <row r="121" spans="1:12" x14ac:dyDescent="0.25">
      <c r="A121" s="12" t="s">
        <v>2326</v>
      </c>
      <c r="B121" s="12" t="s">
        <v>1394</v>
      </c>
      <c r="E121" t="s">
        <v>2361</v>
      </c>
      <c r="F121" t="str">
        <f t="shared" si="1"/>
        <v>SAN SEBASTIÁN</v>
      </c>
    </row>
    <row r="122" spans="1:12" x14ac:dyDescent="0.25">
      <c r="A122" s="12" t="s">
        <v>2327</v>
      </c>
      <c r="B122" s="12" t="s">
        <v>2128</v>
      </c>
      <c r="E122" t="s">
        <v>2362</v>
      </c>
      <c r="F122" t="str">
        <f t="shared" si="1"/>
        <v>SAN SEBASTIÁN DE BUENAVISTA</v>
      </c>
    </row>
    <row r="123" spans="1:12" x14ac:dyDescent="0.25">
      <c r="A123" s="12" t="s">
        <v>2328</v>
      </c>
      <c r="B123" s="12" t="s">
        <v>2095</v>
      </c>
      <c r="E123" t="s">
        <v>2363</v>
      </c>
      <c r="F123" t="str">
        <f t="shared" si="1"/>
        <v>SAN VICENTE</v>
      </c>
    </row>
    <row r="124" spans="1:12" x14ac:dyDescent="0.25">
      <c r="A124" s="12" t="s">
        <v>2329</v>
      </c>
      <c r="B124" s="12" t="s">
        <v>893</v>
      </c>
      <c r="E124" t="s">
        <v>2364</v>
      </c>
      <c r="F124" t="str">
        <f t="shared" si="1"/>
        <v>SAN VICENTE DE CHUCURÍ</v>
      </c>
    </row>
    <row r="125" spans="1:12" x14ac:dyDescent="0.25">
      <c r="A125" s="12" t="s">
        <v>2330</v>
      </c>
      <c r="B125" s="12" t="s">
        <v>1396</v>
      </c>
      <c r="E125" t="s">
        <v>2365</v>
      </c>
      <c r="F125" t="str">
        <f t="shared" si="1"/>
        <v>SAN VICENTE DEL CAGUÁN</v>
      </c>
    </row>
    <row r="126" spans="1:12" x14ac:dyDescent="0.25">
      <c r="A126" s="12" t="s">
        <v>2331</v>
      </c>
      <c r="B126" s="12" t="s">
        <v>781</v>
      </c>
      <c r="E126" t="s">
        <v>2366</v>
      </c>
      <c r="F126" t="str">
        <f t="shared" si="1"/>
        <v>SANDONÁ</v>
      </c>
    </row>
    <row r="127" spans="1:12" x14ac:dyDescent="0.25">
      <c r="A127" s="12" t="s">
        <v>2332</v>
      </c>
      <c r="B127" s="12" t="s">
        <v>1933</v>
      </c>
      <c r="E127" t="s">
        <v>2367</v>
      </c>
      <c r="F127" t="str">
        <f t="shared" si="1"/>
        <v>SANTA BÁRBARA</v>
      </c>
    </row>
    <row r="128" spans="1:12" x14ac:dyDescent="0.25">
      <c r="A128" s="12" t="s">
        <v>2333</v>
      </c>
      <c r="B128" s="12" t="s">
        <v>1142</v>
      </c>
      <c r="E128" t="s">
        <v>2368</v>
      </c>
      <c r="F128" t="str">
        <f t="shared" si="1"/>
        <v>SANTA MARÍA</v>
      </c>
    </row>
    <row r="129" spans="1:6" x14ac:dyDescent="0.25">
      <c r="A129" s="12" t="s">
        <v>2334</v>
      </c>
      <c r="B129" s="12" t="s">
        <v>1649</v>
      </c>
      <c r="E129" t="s">
        <v>2369</v>
      </c>
      <c r="F129" t="str">
        <f t="shared" si="1"/>
        <v>SANTA ROSA DE CABAL</v>
      </c>
    </row>
    <row r="130" spans="1:6" x14ac:dyDescent="0.25">
      <c r="A130" s="12" t="s">
        <v>2335</v>
      </c>
      <c r="B130" s="12" t="s">
        <v>546</v>
      </c>
      <c r="E130" t="s">
        <v>2370</v>
      </c>
      <c r="F130" t="str">
        <f t="shared" si="1"/>
        <v>SANTA ROSA DE VITERBO</v>
      </c>
    </row>
    <row r="131" spans="1:6" x14ac:dyDescent="0.25">
      <c r="A131" s="12" t="s">
        <v>2336</v>
      </c>
      <c r="B131" s="12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25">
      <c r="A132" s="12" t="s">
        <v>2337</v>
      </c>
      <c r="B132" s="12" t="s">
        <v>550</v>
      </c>
      <c r="E132" t="s">
        <v>2372</v>
      </c>
      <c r="F132" t="str">
        <f t="shared" si="2"/>
        <v>SANTANDER DE QUILICHAO</v>
      </c>
    </row>
    <row r="133" spans="1:6" x14ac:dyDescent="0.25">
      <c r="A133" s="12" t="s">
        <v>2338</v>
      </c>
      <c r="B133" s="12" t="s">
        <v>846</v>
      </c>
      <c r="E133" t="s">
        <v>2373</v>
      </c>
      <c r="F133" t="str">
        <f t="shared" si="2"/>
        <v>SANTO TOMÁS</v>
      </c>
    </row>
    <row r="134" spans="1:6" x14ac:dyDescent="0.25">
      <c r="A134" s="12" t="s">
        <v>2339</v>
      </c>
      <c r="B134" s="12" t="s">
        <v>2009</v>
      </c>
      <c r="E134" t="s">
        <v>2374</v>
      </c>
      <c r="F134" t="str">
        <f t="shared" si="2"/>
        <v>SESQUILÉ</v>
      </c>
    </row>
    <row r="135" spans="1:6" x14ac:dyDescent="0.25">
      <c r="A135" s="12" t="s">
        <v>2340</v>
      </c>
      <c r="B135" s="12" t="s">
        <v>848</v>
      </c>
      <c r="E135" t="s">
        <v>2375</v>
      </c>
      <c r="F135" t="str">
        <f t="shared" si="2"/>
        <v>SIBATÉ</v>
      </c>
    </row>
    <row r="136" spans="1:6" x14ac:dyDescent="0.25">
      <c r="A136" s="12" t="s">
        <v>2341</v>
      </c>
      <c r="B136" s="12" t="s">
        <v>2011</v>
      </c>
      <c r="E136" t="s">
        <v>2376</v>
      </c>
      <c r="F136" t="str">
        <f t="shared" si="2"/>
        <v>SINCÉ</v>
      </c>
    </row>
    <row r="137" spans="1:6" x14ac:dyDescent="0.25">
      <c r="A137" s="12" t="s">
        <v>2508</v>
      </c>
      <c r="B137" s="12" t="s">
        <v>556</v>
      </c>
      <c r="E137" t="s">
        <v>2377</v>
      </c>
      <c r="F137" t="str">
        <f t="shared" si="2"/>
        <v>SONSÓN</v>
      </c>
    </row>
    <row r="138" spans="1:6" x14ac:dyDescent="0.25">
      <c r="A138" s="12" t="s">
        <v>2343</v>
      </c>
      <c r="B138" s="12" t="s">
        <v>897</v>
      </c>
      <c r="E138" t="s">
        <v>2378</v>
      </c>
      <c r="F138" t="str">
        <f t="shared" si="2"/>
        <v>SOPETRÁN</v>
      </c>
    </row>
    <row r="139" spans="1:6" x14ac:dyDescent="0.25">
      <c r="A139" s="12" t="s">
        <v>2344</v>
      </c>
      <c r="B139" s="12" t="s">
        <v>2529</v>
      </c>
      <c r="E139" t="s">
        <v>2379</v>
      </c>
      <c r="F139" t="str">
        <f t="shared" si="2"/>
        <v>SOPÓ</v>
      </c>
    </row>
    <row r="140" spans="1:6" x14ac:dyDescent="0.25">
      <c r="A140" s="12" t="s">
        <v>2345</v>
      </c>
      <c r="B140" s="12" t="s">
        <v>686</v>
      </c>
      <c r="E140" t="s">
        <v>2380</v>
      </c>
      <c r="F140" t="str">
        <f t="shared" si="2"/>
        <v>SOTAQUIRÁ</v>
      </c>
    </row>
    <row r="141" spans="1:6" x14ac:dyDescent="0.25">
      <c r="A141" s="12" t="s">
        <v>2346</v>
      </c>
      <c r="B141" s="12" t="s">
        <v>1846</v>
      </c>
      <c r="E141" t="s">
        <v>2381</v>
      </c>
      <c r="F141" t="str">
        <f t="shared" si="2"/>
        <v>SANTA ROSA DE OSOS</v>
      </c>
    </row>
    <row r="142" spans="1:6" x14ac:dyDescent="0.25">
      <c r="A142" s="12" t="s">
        <v>2347</v>
      </c>
      <c r="B142" s="12" t="s">
        <v>1253</v>
      </c>
      <c r="E142" t="s">
        <v>2382</v>
      </c>
      <c r="F142" t="str">
        <f t="shared" si="2"/>
        <v>SUPÍA</v>
      </c>
    </row>
    <row r="143" spans="1:6" x14ac:dyDescent="0.25">
      <c r="A143" s="12" t="s">
        <v>2348</v>
      </c>
      <c r="B143" s="12" t="s">
        <v>1779</v>
      </c>
      <c r="E143" t="s">
        <v>2383</v>
      </c>
      <c r="F143" t="str">
        <f t="shared" si="2"/>
        <v>SUTAMARCHÁN</v>
      </c>
    </row>
    <row r="144" spans="1:6" x14ac:dyDescent="0.25">
      <c r="A144" s="12" t="s">
        <v>2349</v>
      </c>
      <c r="B144" s="12" t="s">
        <v>899</v>
      </c>
      <c r="E144" t="s">
        <v>2384</v>
      </c>
      <c r="F144" t="str">
        <f t="shared" si="2"/>
        <v>TÁMARA</v>
      </c>
    </row>
    <row r="145" spans="1:6" x14ac:dyDescent="0.25">
      <c r="A145" s="12" t="s">
        <v>2350</v>
      </c>
      <c r="B145" s="12" t="s">
        <v>1065</v>
      </c>
      <c r="E145" t="s">
        <v>2385</v>
      </c>
      <c r="F145" t="str">
        <f t="shared" si="2"/>
        <v>TIBANÁ</v>
      </c>
    </row>
    <row r="146" spans="1:6" x14ac:dyDescent="0.25">
      <c r="A146" s="12" t="s">
        <v>2351</v>
      </c>
      <c r="B146" s="12" t="s">
        <v>190</v>
      </c>
      <c r="E146" t="s">
        <v>2386</v>
      </c>
      <c r="F146" t="str">
        <f t="shared" si="2"/>
        <v>TIBÚ</v>
      </c>
    </row>
    <row r="147" spans="1:6" x14ac:dyDescent="0.25">
      <c r="A147" s="12" t="s">
        <v>2352</v>
      </c>
      <c r="B147" s="12" t="s">
        <v>194</v>
      </c>
      <c r="E147" t="s">
        <v>2387</v>
      </c>
      <c r="F147" t="str">
        <f t="shared" si="2"/>
        <v>TIMANÁ</v>
      </c>
    </row>
    <row r="148" spans="1:6" x14ac:dyDescent="0.25">
      <c r="A148" s="12" t="s">
        <v>2353</v>
      </c>
      <c r="B148" s="12" t="s">
        <v>2145</v>
      </c>
      <c r="E148" t="s">
        <v>2388</v>
      </c>
      <c r="F148" t="str">
        <f t="shared" si="2"/>
        <v>TIMBÍO</v>
      </c>
    </row>
    <row r="149" spans="1:6" x14ac:dyDescent="0.25">
      <c r="A149" s="12" t="s">
        <v>2354</v>
      </c>
      <c r="B149" s="12" t="s">
        <v>906</v>
      </c>
      <c r="E149" t="s">
        <v>2389</v>
      </c>
      <c r="F149" t="str">
        <f t="shared" si="2"/>
        <v>TIMBIQUÍ</v>
      </c>
    </row>
    <row r="150" spans="1:6" x14ac:dyDescent="0.25">
      <c r="A150" s="12" t="s">
        <v>2355</v>
      </c>
      <c r="B150" s="12" t="s">
        <v>1293</v>
      </c>
      <c r="E150" t="s">
        <v>2390</v>
      </c>
      <c r="F150" t="str">
        <f t="shared" si="2"/>
        <v>TINJACÁ</v>
      </c>
    </row>
    <row r="151" spans="1:6" x14ac:dyDescent="0.25">
      <c r="A151" s="12" t="s">
        <v>2356</v>
      </c>
      <c r="B151" s="12" t="s">
        <v>373</v>
      </c>
      <c r="E151" t="s">
        <v>2391</v>
      </c>
      <c r="F151" t="str">
        <f t="shared" si="2"/>
        <v>TITIRIBÍ</v>
      </c>
    </row>
    <row r="152" spans="1:6" x14ac:dyDescent="0.25">
      <c r="A152" s="12" t="s">
        <v>2357</v>
      </c>
      <c r="B152" s="12" t="s">
        <v>564</v>
      </c>
      <c r="E152" t="s">
        <v>2392</v>
      </c>
      <c r="F152" t="str">
        <f t="shared" si="2"/>
        <v>TOCANCIPÁ</v>
      </c>
    </row>
    <row r="153" spans="1:6" x14ac:dyDescent="0.25">
      <c r="A153" s="12" t="s">
        <v>2358</v>
      </c>
      <c r="B153" s="12" t="s">
        <v>2075</v>
      </c>
      <c r="E153" t="s">
        <v>2393</v>
      </c>
      <c r="F153" t="str">
        <f t="shared" si="2"/>
        <v>SANTIAGO DE TOLÚ</v>
      </c>
    </row>
    <row r="154" spans="1:6" x14ac:dyDescent="0.25">
      <c r="A154" s="12" t="s">
        <v>2359</v>
      </c>
      <c r="B154" s="12" t="s">
        <v>854</v>
      </c>
      <c r="E154" t="s">
        <v>2394</v>
      </c>
      <c r="F154" t="str">
        <f t="shared" si="2"/>
        <v>TOLUVIEJO</v>
      </c>
    </row>
    <row r="155" spans="1:6" x14ac:dyDescent="0.25">
      <c r="A155" s="12" t="s">
        <v>2360</v>
      </c>
      <c r="B155" s="12" t="s">
        <v>204</v>
      </c>
      <c r="E155" t="s">
        <v>2395</v>
      </c>
      <c r="F155" t="str">
        <f t="shared" si="2"/>
        <v>TOTORÓ</v>
      </c>
    </row>
    <row r="156" spans="1:6" x14ac:dyDescent="0.25">
      <c r="A156" s="12" t="s">
        <v>2361</v>
      </c>
      <c r="B156" s="12" t="s">
        <v>785</v>
      </c>
      <c r="E156" t="s">
        <v>2396</v>
      </c>
      <c r="F156" t="str">
        <f t="shared" si="2"/>
        <v>TUBARÁ</v>
      </c>
    </row>
    <row r="157" spans="1:6" x14ac:dyDescent="0.25">
      <c r="A157" s="12" t="s">
        <v>2362</v>
      </c>
      <c r="B157" s="12" t="s">
        <v>1342</v>
      </c>
      <c r="E157" t="s">
        <v>2397</v>
      </c>
      <c r="F157" t="str">
        <f t="shared" si="2"/>
        <v>TULUÁ</v>
      </c>
    </row>
    <row r="158" spans="1:6" x14ac:dyDescent="0.25">
      <c r="A158" s="12" t="s">
        <v>2363</v>
      </c>
      <c r="B158" s="12" t="s">
        <v>2363</v>
      </c>
      <c r="E158" t="s">
        <v>2398</v>
      </c>
      <c r="F158" t="str">
        <f t="shared" si="2"/>
        <v>TUMACO</v>
      </c>
    </row>
    <row r="159" spans="1:6" x14ac:dyDescent="0.25">
      <c r="A159" s="12" t="s">
        <v>2364</v>
      </c>
      <c r="B159" s="12" t="s">
        <v>1791</v>
      </c>
      <c r="E159" t="s">
        <v>2399</v>
      </c>
      <c r="F159" t="str">
        <f t="shared" si="2"/>
        <v>TÚQUERRES</v>
      </c>
    </row>
    <row r="160" spans="1:6" x14ac:dyDescent="0.25">
      <c r="A160" s="12" t="s">
        <v>2365</v>
      </c>
      <c r="B160" s="12" t="s">
        <v>722</v>
      </c>
      <c r="E160" t="s">
        <v>2400</v>
      </c>
      <c r="F160" t="str">
        <f t="shared" si="2"/>
        <v>TURBANÁ</v>
      </c>
    </row>
    <row r="161" spans="1:6" x14ac:dyDescent="0.25">
      <c r="A161" s="12" t="s">
        <v>2366</v>
      </c>
      <c r="B161" s="12" t="s">
        <v>1506</v>
      </c>
      <c r="E161" t="s">
        <v>2401</v>
      </c>
      <c r="F161" t="str">
        <f t="shared" si="2"/>
        <v>TURMEQUÉ</v>
      </c>
    </row>
    <row r="162" spans="1:6" x14ac:dyDescent="0.25">
      <c r="A162" s="12" t="s">
        <v>2367</v>
      </c>
      <c r="B162" s="12" t="s">
        <v>212</v>
      </c>
      <c r="E162" t="s">
        <v>2402</v>
      </c>
      <c r="F162" t="str">
        <f t="shared" si="2"/>
        <v>UBALÁ</v>
      </c>
    </row>
    <row r="163" spans="1:6" x14ac:dyDescent="0.25">
      <c r="A163" s="12" t="s">
        <v>2368</v>
      </c>
      <c r="B163" s="12" t="s">
        <v>574</v>
      </c>
      <c r="E163" t="s">
        <v>2403</v>
      </c>
      <c r="F163" t="str">
        <f t="shared" si="2"/>
        <v>UBATÉ</v>
      </c>
    </row>
    <row r="164" spans="1:6" x14ac:dyDescent="0.25">
      <c r="A164" s="12" t="s">
        <v>2369</v>
      </c>
      <c r="B164" s="12" t="s">
        <v>1651</v>
      </c>
      <c r="E164" t="s">
        <v>2404</v>
      </c>
      <c r="F164" t="str">
        <f t="shared" si="2"/>
        <v>ÚMBITA</v>
      </c>
    </row>
    <row r="165" spans="1:6" x14ac:dyDescent="0.25">
      <c r="A165" s="12" t="s">
        <v>2370</v>
      </c>
      <c r="B165" s="12" t="s">
        <v>576</v>
      </c>
      <c r="E165" t="s">
        <v>2405</v>
      </c>
      <c r="F165" t="str">
        <f t="shared" si="2"/>
        <v>UNGUÍA</v>
      </c>
    </row>
    <row r="166" spans="1:6" x14ac:dyDescent="0.25">
      <c r="A166" s="12" t="s">
        <v>2371</v>
      </c>
      <c r="B166" s="12" t="s">
        <v>383</v>
      </c>
      <c r="E166" t="s">
        <v>2406</v>
      </c>
      <c r="F166" t="str">
        <f t="shared" si="2"/>
        <v>USIACURÍ</v>
      </c>
    </row>
    <row r="167" spans="1:6" x14ac:dyDescent="0.25">
      <c r="A167" s="12" t="s">
        <v>2372</v>
      </c>
      <c r="B167" s="12" t="s">
        <v>787</v>
      </c>
      <c r="E167" t="s">
        <v>2407</v>
      </c>
      <c r="F167" t="str">
        <f t="shared" si="2"/>
        <v>ÚTICA</v>
      </c>
    </row>
    <row r="168" spans="1:6" x14ac:dyDescent="0.25">
      <c r="A168" s="12" t="s">
        <v>2373</v>
      </c>
      <c r="B168" s="12" t="s">
        <v>297</v>
      </c>
      <c r="E168" t="s">
        <v>2408</v>
      </c>
      <c r="F168" t="str">
        <f t="shared" si="2"/>
        <v>VALLE DE SAN JOSÉ</v>
      </c>
    </row>
    <row r="169" spans="1:6" x14ac:dyDescent="0.25">
      <c r="A169" s="12" t="s">
        <v>2374</v>
      </c>
      <c r="B169" s="12" t="s">
        <v>1074</v>
      </c>
      <c r="E169" t="s">
        <v>2409</v>
      </c>
      <c r="F169" t="str">
        <f t="shared" si="2"/>
        <v>VÉLEZ</v>
      </c>
    </row>
    <row r="170" spans="1:6" x14ac:dyDescent="0.25">
      <c r="A170" s="12" t="s">
        <v>2375</v>
      </c>
      <c r="B170" s="12" t="s">
        <v>1076</v>
      </c>
      <c r="E170" t="s">
        <v>2410</v>
      </c>
      <c r="F170" t="str">
        <f t="shared" si="2"/>
        <v>VIANÍ</v>
      </c>
    </row>
    <row r="171" spans="1:6" x14ac:dyDescent="0.25">
      <c r="A171" s="12" t="s">
        <v>2376</v>
      </c>
      <c r="B171" s="12" t="s">
        <v>2530</v>
      </c>
      <c r="E171" t="s">
        <v>2411</v>
      </c>
      <c r="F171" t="str">
        <f t="shared" si="2"/>
        <v>VILLA DEL ROSARIO</v>
      </c>
    </row>
    <row r="172" spans="1:6" x14ac:dyDescent="0.25">
      <c r="A172" s="12" t="s">
        <v>2377</v>
      </c>
      <c r="B172" s="12" t="s">
        <v>222</v>
      </c>
      <c r="E172" t="s">
        <v>2412</v>
      </c>
      <c r="F172" t="str">
        <f t="shared" si="2"/>
        <v>VILLAGARZÓN</v>
      </c>
    </row>
    <row r="173" spans="1:6" x14ac:dyDescent="0.25">
      <c r="A173" s="12" t="s">
        <v>2378</v>
      </c>
      <c r="B173" s="12" t="s">
        <v>224</v>
      </c>
      <c r="E173" t="s">
        <v>2413</v>
      </c>
      <c r="F173" t="str">
        <f t="shared" si="2"/>
        <v>VILLAMARÍA</v>
      </c>
    </row>
    <row r="174" spans="1:6" x14ac:dyDescent="0.25">
      <c r="A174" s="12" t="s">
        <v>2379</v>
      </c>
      <c r="B174" s="12" t="s">
        <v>1084</v>
      </c>
      <c r="E174" t="s">
        <v>2414</v>
      </c>
      <c r="F174" t="str">
        <f t="shared" si="2"/>
        <v>VILLAPINZÓN</v>
      </c>
    </row>
    <row r="175" spans="1:6" x14ac:dyDescent="0.25">
      <c r="A175" s="12" t="s">
        <v>2380</v>
      </c>
      <c r="B175" s="12" t="s">
        <v>598</v>
      </c>
      <c r="E175" t="s">
        <v>2415</v>
      </c>
      <c r="F175" t="str">
        <f t="shared" si="2"/>
        <v>VIOTÁ</v>
      </c>
    </row>
    <row r="176" spans="1:6" x14ac:dyDescent="0.25">
      <c r="A176" s="12" t="s">
        <v>2381</v>
      </c>
      <c r="B176" s="12" t="s">
        <v>214</v>
      </c>
      <c r="E176" t="s">
        <v>2416</v>
      </c>
      <c r="F176" t="str">
        <f t="shared" si="2"/>
        <v>VIRACACHÁ</v>
      </c>
    </row>
    <row r="177" spans="1:6" x14ac:dyDescent="0.25">
      <c r="A177" s="12" t="s">
        <v>2382</v>
      </c>
      <c r="B177" s="12" t="s">
        <v>690</v>
      </c>
      <c r="E177" t="s">
        <v>2417</v>
      </c>
      <c r="F177" t="str">
        <f t="shared" si="2"/>
        <v>VISTA HERMOSA</v>
      </c>
    </row>
    <row r="178" spans="1:6" x14ac:dyDescent="0.25">
      <c r="A178" s="12" t="s">
        <v>2383</v>
      </c>
      <c r="B178" s="12" t="s">
        <v>604</v>
      </c>
      <c r="E178" t="s">
        <v>2418</v>
      </c>
      <c r="F178" t="str">
        <f t="shared" si="2"/>
        <v>YAGUARÁ</v>
      </c>
    </row>
    <row r="179" spans="1:6" x14ac:dyDescent="0.25">
      <c r="A179" s="12" t="s">
        <v>2384</v>
      </c>
      <c r="B179" s="12" t="s">
        <v>2077</v>
      </c>
      <c r="E179" t="s">
        <v>2419</v>
      </c>
      <c r="F179" t="str">
        <f t="shared" si="2"/>
        <v>YOLOMBÓ</v>
      </c>
    </row>
    <row r="180" spans="1:6" x14ac:dyDescent="0.25">
      <c r="A180" s="12" t="s">
        <v>2385</v>
      </c>
      <c r="B180" s="12" t="s">
        <v>612</v>
      </c>
      <c r="E180" t="s">
        <v>2420</v>
      </c>
      <c r="F180" t="str">
        <f t="shared" si="2"/>
        <v>YONDÓ</v>
      </c>
    </row>
    <row r="181" spans="1:6" x14ac:dyDescent="0.25">
      <c r="A181" s="12" t="s">
        <v>2386</v>
      </c>
      <c r="B181" s="12" t="s">
        <v>1600</v>
      </c>
      <c r="E181" t="s">
        <v>2421</v>
      </c>
      <c r="F181" t="str">
        <f t="shared" si="2"/>
        <v>ZIPACÓN</v>
      </c>
    </row>
    <row r="182" spans="1:6" x14ac:dyDescent="0.25">
      <c r="A182" s="12" t="s">
        <v>2387</v>
      </c>
      <c r="B182" s="12" t="s">
        <v>1266</v>
      </c>
      <c r="E182" t="s">
        <v>2422</v>
      </c>
      <c r="F182" t="str">
        <f t="shared" si="2"/>
        <v>ZIPAQUIRÁ</v>
      </c>
    </row>
    <row r="183" spans="1:6" x14ac:dyDescent="0.25">
      <c r="A183" s="12" t="s">
        <v>2388</v>
      </c>
      <c r="B183" s="12" t="s">
        <v>798</v>
      </c>
      <c r="E183" t="s">
        <v>2171</v>
      </c>
      <c r="F183" t="str">
        <f t="shared" si="2"/>
        <v>ABREGO</v>
      </c>
    </row>
    <row r="184" spans="1:6" x14ac:dyDescent="0.25">
      <c r="A184" s="12" t="s">
        <v>2389</v>
      </c>
      <c r="B184" s="12" t="s">
        <v>800</v>
      </c>
      <c r="E184" t="s">
        <v>2423</v>
      </c>
      <c r="F184" t="str">
        <f t="shared" si="2"/>
        <v>ANGELOPOLIS</v>
      </c>
    </row>
    <row r="185" spans="1:6" x14ac:dyDescent="0.25">
      <c r="A185" s="12" t="s">
        <v>2390</v>
      </c>
      <c r="B185" s="12" t="s">
        <v>616</v>
      </c>
      <c r="E185" t="s">
        <v>2183</v>
      </c>
      <c r="F185" t="str">
        <f t="shared" si="2"/>
        <v>ANTIOQUIA</v>
      </c>
    </row>
    <row r="186" spans="1:6" x14ac:dyDescent="0.25">
      <c r="A186" s="12" t="s">
        <v>2391</v>
      </c>
      <c r="B186" s="12" t="s">
        <v>232</v>
      </c>
      <c r="E186" t="s">
        <v>2424</v>
      </c>
      <c r="F186" t="str">
        <f t="shared" si="2"/>
        <v>ANZA</v>
      </c>
    </row>
    <row r="187" spans="1:6" x14ac:dyDescent="0.25">
      <c r="A187" s="12" t="s">
        <v>2392</v>
      </c>
      <c r="B187" s="12" t="s">
        <v>1110</v>
      </c>
      <c r="E187" t="s">
        <v>2425</v>
      </c>
      <c r="F187" t="str">
        <f t="shared" si="2"/>
        <v>ARANQUITA</v>
      </c>
    </row>
    <row r="188" spans="1:6" x14ac:dyDescent="0.25">
      <c r="A188" s="12" t="s">
        <v>2393</v>
      </c>
      <c r="B188" s="12" t="s">
        <v>1861</v>
      </c>
      <c r="E188" t="s">
        <v>2194</v>
      </c>
      <c r="F188" t="str">
        <f t="shared" si="2"/>
        <v>BARRANCABERBJA</v>
      </c>
    </row>
    <row r="189" spans="1:6" x14ac:dyDescent="0.25">
      <c r="A189" s="12" t="s">
        <v>2394</v>
      </c>
      <c r="B189" s="12" t="s">
        <v>2394</v>
      </c>
      <c r="E189" t="s">
        <v>2513</v>
      </c>
      <c r="F189" t="str">
        <f t="shared" si="2"/>
        <v>BRICEÑO ANTIOQUÍA</v>
      </c>
    </row>
    <row r="190" spans="1:6" x14ac:dyDescent="0.25">
      <c r="A190" s="12" t="s">
        <v>2395</v>
      </c>
      <c r="B190" s="12" t="s">
        <v>804</v>
      </c>
      <c r="E190" t="s">
        <v>2428</v>
      </c>
      <c r="F190" t="str">
        <f t="shared" si="2"/>
        <v>CALIMA (DARIEN)</v>
      </c>
    </row>
    <row r="191" spans="1:6" x14ac:dyDescent="0.25">
      <c r="A191" s="12" t="s">
        <v>2396</v>
      </c>
      <c r="B191" s="12" t="s">
        <v>303</v>
      </c>
      <c r="E191" t="s">
        <v>2521</v>
      </c>
      <c r="F191" t="str">
        <f t="shared" si="2"/>
        <v>EL CARMEN DE VIBORALRAL</v>
      </c>
    </row>
    <row r="192" spans="1:6" x14ac:dyDescent="0.25">
      <c r="A192" s="12" t="s">
        <v>2397</v>
      </c>
      <c r="B192" s="12" t="s">
        <v>2020</v>
      </c>
      <c r="E192" t="s">
        <v>2429</v>
      </c>
      <c r="F192" t="str">
        <f t="shared" si="2"/>
        <v>CHIGORODO</v>
      </c>
    </row>
    <row r="193" spans="1:6" x14ac:dyDescent="0.25">
      <c r="A193" s="12" t="s">
        <v>2398</v>
      </c>
      <c r="B193" s="12" t="s">
        <v>2398</v>
      </c>
      <c r="E193" t="s">
        <v>2430</v>
      </c>
      <c r="F193" t="str">
        <f t="shared" si="2"/>
        <v>COMBITA</v>
      </c>
    </row>
    <row r="194" spans="1:6" x14ac:dyDescent="0.25">
      <c r="A194" s="12" t="s">
        <v>2399</v>
      </c>
      <c r="B194" s="12" t="s">
        <v>1525</v>
      </c>
      <c r="E194" t="s">
        <v>2431</v>
      </c>
      <c r="F194" t="str">
        <f t="shared" si="2"/>
        <v>CONTRATACION</v>
      </c>
    </row>
    <row r="195" spans="1:6" x14ac:dyDescent="0.25">
      <c r="A195" s="12" t="s">
        <v>2400</v>
      </c>
      <c r="B195" s="12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25">
      <c r="A196" s="12" t="s">
        <v>2401</v>
      </c>
      <c r="B196" s="12" t="s">
        <v>630</v>
      </c>
      <c r="E196" t="s">
        <v>2241</v>
      </c>
      <c r="F196" t="str">
        <f t="shared" si="3"/>
        <v>SAN LUIS DE CUBARRAL</v>
      </c>
    </row>
    <row r="197" spans="1:6" x14ac:dyDescent="0.25">
      <c r="A197" s="12" t="s">
        <v>2402</v>
      </c>
      <c r="B197" s="12" t="s">
        <v>1114</v>
      </c>
      <c r="E197" t="s">
        <v>2242</v>
      </c>
      <c r="F197" t="str">
        <f t="shared" si="3"/>
        <v>CUCUNUBÁ</v>
      </c>
    </row>
    <row r="198" spans="1:6" x14ac:dyDescent="0.25">
      <c r="A198" s="12" t="s">
        <v>2403</v>
      </c>
      <c r="B198" s="12" t="s">
        <v>2531</v>
      </c>
      <c r="E198" t="s">
        <v>2243</v>
      </c>
      <c r="F198" t="str">
        <f t="shared" si="3"/>
        <v>CÚCUTA</v>
      </c>
    </row>
    <row r="199" spans="1:6" x14ac:dyDescent="0.25">
      <c r="A199" s="12" t="s">
        <v>2404</v>
      </c>
      <c r="B199" s="12" t="s">
        <v>636</v>
      </c>
      <c r="E199" t="s">
        <v>2244</v>
      </c>
      <c r="F199" t="str">
        <f t="shared" si="3"/>
        <v>CUITIVA</v>
      </c>
    </row>
    <row r="200" spans="1:6" x14ac:dyDescent="0.25">
      <c r="A200" s="12" t="s">
        <v>2405</v>
      </c>
      <c r="B200" s="12" t="s">
        <v>1197</v>
      </c>
      <c r="E200" t="s">
        <v>2245</v>
      </c>
      <c r="F200" t="str">
        <f t="shared" si="3"/>
        <v>CURITÍ</v>
      </c>
    </row>
    <row r="201" spans="1:6" x14ac:dyDescent="0.25">
      <c r="A201" s="12" t="s">
        <v>2406</v>
      </c>
      <c r="B201" s="12" t="s">
        <v>305</v>
      </c>
      <c r="E201" t="s">
        <v>2246</v>
      </c>
      <c r="F201" t="str">
        <f t="shared" si="3"/>
        <v>CURUMANÍ</v>
      </c>
    </row>
    <row r="202" spans="1:6" x14ac:dyDescent="0.25">
      <c r="A202" s="12" t="s">
        <v>2407</v>
      </c>
      <c r="B202" s="12" t="s">
        <v>1122</v>
      </c>
      <c r="E202" t="s">
        <v>2247</v>
      </c>
      <c r="F202" t="str">
        <f t="shared" si="3"/>
        <v>DISTRACCIÓN</v>
      </c>
    </row>
    <row r="203" spans="1:6" x14ac:dyDescent="0.25">
      <c r="A203" s="12" t="s">
        <v>2408</v>
      </c>
      <c r="B203" s="12" t="s">
        <v>1807</v>
      </c>
      <c r="E203" t="s">
        <v>2248</v>
      </c>
      <c r="F203" t="str">
        <f t="shared" si="3"/>
        <v>DONMATÍAS</v>
      </c>
    </row>
    <row r="204" spans="1:6" x14ac:dyDescent="0.25">
      <c r="A204" s="12" t="s">
        <v>2409</v>
      </c>
      <c r="B204" s="12" t="s">
        <v>1809</v>
      </c>
      <c r="E204" t="s">
        <v>2249</v>
      </c>
      <c r="F204" t="str">
        <f t="shared" si="3"/>
        <v>DOSQUEBRADAS</v>
      </c>
    </row>
    <row r="205" spans="1:6" x14ac:dyDescent="0.25">
      <c r="A205" s="12" t="s">
        <v>2410</v>
      </c>
      <c r="B205" s="12" t="s">
        <v>1126</v>
      </c>
      <c r="E205" t="s">
        <v>2250</v>
      </c>
      <c r="F205" t="str">
        <f t="shared" si="3"/>
        <v>EBÉJICO</v>
      </c>
    </row>
    <row r="206" spans="1:6" x14ac:dyDescent="0.25">
      <c r="A206" s="12" t="s">
        <v>2411</v>
      </c>
      <c r="B206" s="12" t="s">
        <v>1605</v>
      </c>
      <c r="E206" t="s">
        <v>2252</v>
      </c>
      <c r="F206" t="str">
        <f t="shared" si="3"/>
        <v>EL PAUJIL</v>
      </c>
    </row>
    <row r="207" spans="1:6" x14ac:dyDescent="0.25">
      <c r="A207" s="12" t="s">
        <v>2412</v>
      </c>
      <c r="B207" s="12" t="s">
        <v>2104</v>
      </c>
      <c r="E207" t="s">
        <v>2253</v>
      </c>
      <c r="F207" t="str">
        <f t="shared" si="3"/>
        <v>EL PEÑÓN</v>
      </c>
    </row>
    <row r="208" spans="1:6" x14ac:dyDescent="0.25">
      <c r="A208" s="12" t="s">
        <v>2413</v>
      </c>
      <c r="B208" s="12" t="s">
        <v>694</v>
      </c>
      <c r="E208" t="s">
        <v>2254</v>
      </c>
      <c r="F208" t="str">
        <f t="shared" si="3"/>
        <v>EL PLAYÓN</v>
      </c>
    </row>
    <row r="209" spans="1:6" x14ac:dyDescent="0.25">
      <c r="A209" s="12" t="s">
        <v>2414</v>
      </c>
      <c r="B209" s="12" t="s">
        <v>1130</v>
      </c>
      <c r="E209" t="s">
        <v>2255</v>
      </c>
      <c r="F209" t="str">
        <f t="shared" si="3"/>
        <v>ELÍAS</v>
      </c>
    </row>
    <row r="210" spans="1:6" x14ac:dyDescent="0.25">
      <c r="A210" s="12" t="s">
        <v>2415</v>
      </c>
      <c r="B210" s="12" t="s">
        <v>1134</v>
      </c>
      <c r="E210" t="s">
        <v>2256</v>
      </c>
      <c r="F210" t="str">
        <f t="shared" si="3"/>
        <v>ENTRERRÍOS</v>
      </c>
    </row>
    <row r="211" spans="1:6" x14ac:dyDescent="0.25">
      <c r="A211" s="12" t="s">
        <v>2416</v>
      </c>
      <c r="B211" s="12" t="s">
        <v>640</v>
      </c>
      <c r="E211" t="s">
        <v>2257</v>
      </c>
      <c r="F211" t="str">
        <f t="shared" si="3"/>
        <v>FACATATIVÁ</v>
      </c>
    </row>
    <row r="212" spans="1:6" x14ac:dyDescent="0.25">
      <c r="A212" s="12" t="s">
        <v>2417</v>
      </c>
      <c r="B212" s="12" t="s">
        <v>2417</v>
      </c>
      <c r="E212" t="s">
        <v>2258</v>
      </c>
      <c r="F212" t="str">
        <f t="shared" si="3"/>
        <v>FLORIÁN</v>
      </c>
    </row>
    <row r="213" spans="1:6" x14ac:dyDescent="0.25">
      <c r="A213" s="12" t="s">
        <v>2418</v>
      </c>
      <c r="B213" s="12" t="s">
        <v>1270</v>
      </c>
      <c r="E213" t="s">
        <v>2433</v>
      </c>
      <c r="F213" t="str">
        <f t="shared" si="3"/>
        <v>FOMEQUE</v>
      </c>
    </row>
    <row r="214" spans="1:6" x14ac:dyDescent="0.25">
      <c r="A214" s="12" t="s">
        <v>2419</v>
      </c>
      <c r="B214" s="12" t="s">
        <v>256</v>
      </c>
      <c r="E214" t="s">
        <v>2259</v>
      </c>
      <c r="F214" t="str">
        <f t="shared" si="3"/>
        <v>FUNDACIÓN</v>
      </c>
    </row>
    <row r="215" spans="1:6" x14ac:dyDescent="0.25">
      <c r="A215" s="12" t="s">
        <v>2420</v>
      </c>
      <c r="B215" s="12" t="s">
        <v>258</v>
      </c>
      <c r="E215" t="s">
        <v>2434</v>
      </c>
      <c r="F215" t="str">
        <f t="shared" si="3"/>
        <v>FUQUENE</v>
      </c>
    </row>
    <row r="216" spans="1:6" x14ac:dyDescent="0.25">
      <c r="A216" s="12" t="s">
        <v>2421</v>
      </c>
      <c r="B216" s="12" t="s">
        <v>1138</v>
      </c>
      <c r="E216" t="s">
        <v>2260</v>
      </c>
      <c r="F216" t="str">
        <f t="shared" si="3"/>
        <v>FUSAGASUGÁ</v>
      </c>
    </row>
    <row r="217" spans="1:6" x14ac:dyDescent="0.25">
      <c r="A217" s="12" t="s">
        <v>2422</v>
      </c>
      <c r="B217" s="12" t="s">
        <v>1140</v>
      </c>
      <c r="E217" t="s">
        <v>2261</v>
      </c>
      <c r="F217" t="str">
        <f t="shared" si="3"/>
        <v>GACHANCIPÁ</v>
      </c>
    </row>
    <row r="218" spans="1:6" x14ac:dyDescent="0.25">
      <c r="E218" t="s">
        <v>2435</v>
      </c>
      <c r="F218" t="str">
        <f t="shared" si="3"/>
        <v>GACHETA</v>
      </c>
    </row>
    <row r="219" spans="1:6" x14ac:dyDescent="0.25">
      <c r="E219" t="s">
        <v>2436</v>
      </c>
      <c r="F219" t="str">
        <f t="shared" si="3"/>
        <v>GAMBITA</v>
      </c>
    </row>
    <row r="220" spans="1:6" x14ac:dyDescent="0.25">
      <c r="E220" t="s">
        <v>2262</v>
      </c>
      <c r="F220" t="str">
        <f t="shared" si="3"/>
        <v>GACHANTIVÁ</v>
      </c>
    </row>
    <row r="221" spans="1:6" x14ac:dyDescent="0.25">
      <c r="E221" t="s">
        <v>2263</v>
      </c>
      <c r="F221" t="str">
        <f t="shared" si="3"/>
        <v>GALÁN</v>
      </c>
    </row>
    <row r="222" spans="1:6" x14ac:dyDescent="0.25">
      <c r="E222" t="s">
        <v>2264</v>
      </c>
      <c r="F222" t="str">
        <f t="shared" si="3"/>
        <v>GÁLAGO</v>
      </c>
    </row>
    <row r="223" spans="1:6" x14ac:dyDescent="0.25">
      <c r="E223" t="s">
        <v>2265</v>
      </c>
      <c r="F223" t="str">
        <f t="shared" si="3"/>
        <v>GARZÓN</v>
      </c>
    </row>
    <row r="224" spans="1:6" x14ac:dyDescent="0.25">
      <c r="E224" t="s">
        <v>2266</v>
      </c>
      <c r="F224" t="str">
        <f t="shared" si="3"/>
        <v>GÉNOVA</v>
      </c>
    </row>
    <row r="225" spans="5:6" x14ac:dyDescent="0.25">
      <c r="E225" t="s">
        <v>2267</v>
      </c>
      <c r="F225" t="str">
        <f t="shared" si="3"/>
        <v>GIRÓN</v>
      </c>
    </row>
    <row r="226" spans="5:6" x14ac:dyDescent="0.25">
      <c r="E226" t="s">
        <v>2268</v>
      </c>
      <c r="F226" t="str">
        <f t="shared" si="3"/>
        <v>GÓMEZ PLATA</v>
      </c>
    </row>
    <row r="227" spans="5:6" x14ac:dyDescent="0.25">
      <c r="E227" t="s">
        <v>2269</v>
      </c>
      <c r="F227" t="str">
        <f t="shared" si="3"/>
        <v>GRANADA</v>
      </c>
    </row>
    <row r="228" spans="5:6" x14ac:dyDescent="0.25">
      <c r="E228" t="s">
        <v>2270</v>
      </c>
      <c r="F228" t="str">
        <f t="shared" si="3"/>
        <v>GRANADA</v>
      </c>
    </row>
    <row r="229" spans="5:6" x14ac:dyDescent="0.25">
      <c r="E229" t="s">
        <v>2271</v>
      </c>
      <c r="F229" t="str">
        <f t="shared" si="3"/>
        <v>GRANADA</v>
      </c>
    </row>
    <row r="230" spans="5:6" x14ac:dyDescent="0.25">
      <c r="E230" t="s">
        <v>2272</v>
      </c>
      <c r="F230" t="str">
        <f t="shared" si="3"/>
        <v>GUACARÍ</v>
      </c>
    </row>
    <row r="231" spans="5:6" x14ac:dyDescent="0.25">
      <c r="E231" t="s">
        <v>2437</v>
      </c>
      <c r="F231" t="str">
        <f t="shared" si="3"/>
        <v>GUACHETA</v>
      </c>
    </row>
    <row r="232" spans="5:6" x14ac:dyDescent="0.25">
      <c r="E232" t="s">
        <v>2273</v>
      </c>
      <c r="F232" t="str">
        <f t="shared" si="3"/>
        <v>GUAPÍ</v>
      </c>
    </row>
    <row r="233" spans="5:6" x14ac:dyDescent="0.25">
      <c r="E233" t="s">
        <v>2274</v>
      </c>
      <c r="F233" t="str">
        <f t="shared" si="3"/>
        <v>GUATAPÉ</v>
      </c>
    </row>
    <row r="234" spans="5:6" x14ac:dyDescent="0.25">
      <c r="E234" t="s">
        <v>2438</v>
      </c>
      <c r="F234" t="str">
        <f t="shared" si="3"/>
        <v>GUATAQUI</v>
      </c>
    </row>
    <row r="235" spans="5:6" x14ac:dyDescent="0.25">
      <c r="E235" t="s">
        <v>2275</v>
      </c>
      <c r="F235" t="str">
        <f t="shared" si="3"/>
        <v>GUÁTICA</v>
      </c>
    </row>
    <row r="236" spans="5:6" x14ac:dyDescent="0.25">
      <c r="E236" t="s">
        <v>2276</v>
      </c>
      <c r="F236" t="str">
        <f t="shared" si="3"/>
        <v>GUAYATÁ</v>
      </c>
    </row>
    <row r="237" spans="5:6" x14ac:dyDescent="0.25">
      <c r="E237" t="s">
        <v>2277</v>
      </c>
      <c r="F237" t="str">
        <f t="shared" si="3"/>
        <v>GÜEPSA</v>
      </c>
    </row>
    <row r="238" spans="5:6" x14ac:dyDescent="0.25">
      <c r="E238" t="s">
        <v>2278</v>
      </c>
      <c r="F238" t="str">
        <f t="shared" si="3"/>
        <v>GÜICÁN DE LA SIERRA</v>
      </c>
    </row>
    <row r="239" spans="5:6" x14ac:dyDescent="0.25">
      <c r="E239" t="s">
        <v>2279</v>
      </c>
      <c r="F239" t="str">
        <f t="shared" si="3"/>
        <v>IBAGUÉ</v>
      </c>
    </row>
    <row r="240" spans="5:6" x14ac:dyDescent="0.25">
      <c r="E240" t="s">
        <v>2280</v>
      </c>
      <c r="F240" t="str">
        <f t="shared" si="3"/>
        <v>ICUIRA</v>
      </c>
    </row>
    <row r="241" spans="5:6" x14ac:dyDescent="0.25">
      <c r="E241" t="s">
        <v>2281</v>
      </c>
      <c r="F241" t="str">
        <f t="shared" si="3"/>
        <v>INZÁ</v>
      </c>
    </row>
    <row r="242" spans="5:6" x14ac:dyDescent="0.25">
      <c r="E242" t="s">
        <v>2282</v>
      </c>
      <c r="F242" t="str">
        <f t="shared" si="3"/>
        <v>ITAGÜÍ</v>
      </c>
    </row>
    <row r="243" spans="5:6" x14ac:dyDescent="0.25">
      <c r="E243" t="s">
        <v>2283</v>
      </c>
      <c r="F243" t="str">
        <f t="shared" si="3"/>
        <v>JAMUNDÍ</v>
      </c>
    </row>
    <row r="244" spans="5:6" x14ac:dyDescent="0.25">
      <c r="E244" t="s">
        <v>2284</v>
      </c>
      <c r="F244" t="str">
        <f t="shared" si="3"/>
        <v>JARDÍN</v>
      </c>
    </row>
    <row r="245" spans="5:6" x14ac:dyDescent="0.25">
      <c r="E245" t="s">
        <v>2285</v>
      </c>
      <c r="F245" t="str">
        <f t="shared" si="3"/>
        <v>JERICÓ</v>
      </c>
    </row>
    <row r="246" spans="5:6" x14ac:dyDescent="0.25">
      <c r="E246" t="s">
        <v>2439</v>
      </c>
      <c r="F246" t="str">
        <f t="shared" si="3"/>
        <v>JUNIN</v>
      </c>
    </row>
    <row r="247" spans="5:6" x14ac:dyDescent="0.25">
      <c r="E247" t="s">
        <v>2286</v>
      </c>
      <c r="F247" t="str">
        <f t="shared" si="3"/>
        <v>JURADÓ</v>
      </c>
    </row>
    <row r="248" spans="5:6" x14ac:dyDescent="0.25">
      <c r="E248" t="s">
        <v>2287</v>
      </c>
      <c r="F248" t="str">
        <f t="shared" si="3"/>
        <v>LA CHORRERA</v>
      </c>
    </row>
    <row r="249" spans="5:6" x14ac:dyDescent="0.25">
      <c r="E249" t="s">
        <v>2289</v>
      </c>
      <c r="F249" t="str">
        <f t="shared" si="3"/>
        <v>LA UNIÓN</v>
      </c>
    </row>
    <row r="250" spans="5:6" x14ac:dyDescent="0.25">
      <c r="E250" t="s">
        <v>2290</v>
      </c>
      <c r="F250" t="str">
        <f t="shared" si="3"/>
        <v>LA URIBE</v>
      </c>
    </row>
    <row r="251" spans="5:6" x14ac:dyDescent="0.25">
      <c r="E251" t="s">
        <v>2440</v>
      </c>
      <c r="F251" t="str">
        <f t="shared" si="3"/>
        <v>LANDAZURI</v>
      </c>
    </row>
    <row r="252" spans="5:6" x14ac:dyDescent="0.25">
      <c r="E252" t="s">
        <v>2291</v>
      </c>
      <c r="F252" t="str">
        <f t="shared" si="3"/>
        <v>LABRIJA</v>
      </c>
    </row>
    <row r="253" spans="5:6" x14ac:dyDescent="0.25">
      <c r="E253" t="s">
        <v>2441</v>
      </c>
      <c r="F253" t="str">
        <f t="shared" si="3"/>
        <v>LEJANIAS</v>
      </c>
    </row>
    <row r="254" spans="5:6" x14ac:dyDescent="0.25">
      <c r="E254" t="s">
        <v>2292</v>
      </c>
      <c r="F254" t="str">
        <f t="shared" si="3"/>
        <v>LÉRIDA</v>
      </c>
    </row>
    <row r="255" spans="5:6" x14ac:dyDescent="0.25">
      <c r="E255" t="s">
        <v>2293</v>
      </c>
      <c r="F255" t="str">
        <f t="shared" si="3"/>
        <v>LÍBANO</v>
      </c>
    </row>
    <row r="256" spans="5:6" x14ac:dyDescent="0.25">
      <c r="E256" t="s">
        <v>2442</v>
      </c>
      <c r="F256" t="str">
        <f t="shared" si="3"/>
        <v>LLORO</v>
      </c>
    </row>
    <row r="257" spans="5:6" x14ac:dyDescent="0.25">
      <c r="E257" t="s">
        <v>2443</v>
      </c>
      <c r="F257" t="str">
        <f t="shared" si="3"/>
        <v>LOS ANDES (SOTO MA</v>
      </c>
    </row>
    <row r="258" spans="5:6" x14ac:dyDescent="0.25">
      <c r="E258" t="s">
        <v>2294</v>
      </c>
      <c r="F258" t="str">
        <f t="shared" si="3"/>
        <v>MACHETÁ</v>
      </c>
    </row>
    <row r="259" spans="5:6" x14ac:dyDescent="0.25">
      <c r="E259" t="s">
        <v>2295</v>
      </c>
      <c r="F259" t="str">
        <f t="shared" ref="F259:F322" si="4">_xlfn.XLOOKUP(E259, $A:$A, $B:$B, E259)</f>
        <v>MAGANGUÉ</v>
      </c>
    </row>
    <row r="260" spans="5:6" x14ac:dyDescent="0.25">
      <c r="E260" t="s">
        <v>2296</v>
      </c>
      <c r="F260" t="str">
        <f t="shared" si="4"/>
        <v>MÁLAGA</v>
      </c>
    </row>
    <row r="261" spans="5:6" x14ac:dyDescent="0.25">
      <c r="E261" t="s">
        <v>2297</v>
      </c>
      <c r="F261" t="str">
        <f t="shared" si="4"/>
        <v>MANAURE BALCÓN DEL CESAR</v>
      </c>
    </row>
    <row r="262" spans="5:6" x14ac:dyDescent="0.25">
      <c r="E262" t="s">
        <v>2298</v>
      </c>
      <c r="F262" t="str">
        <f t="shared" si="4"/>
        <v>MANÍ</v>
      </c>
    </row>
    <row r="263" spans="5:6" x14ac:dyDescent="0.25">
      <c r="E263" t="s">
        <v>2299</v>
      </c>
      <c r="F263" t="str">
        <f t="shared" si="4"/>
        <v>MAPIRIPÁN</v>
      </c>
    </row>
    <row r="264" spans="5:6" x14ac:dyDescent="0.25">
      <c r="E264" t="s">
        <v>2300</v>
      </c>
      <c r="F264" t="str">
        <f t="shared" si="4"/>
        <v>MARIQUITA</v>
      </c>
    </row>
    <row r="265" spans="5:6" x14ac:dyDescent="0.25">
      <c r="E265" t="s">
        <v>2301</v>
      </c>
      <c r="F265" t="str">
        <f t="shared" si="4"/>
        <v>MEDELLÍN</v>
      </c>
    </row>
    <row r="266" spans="5:6" x14ac:dyDescent="0.25">
      <c r="E266" t="s">
        <v>2444</v>
      </c>
      <c r="F266" t="str">
        <f t="shared" si="4"/>
        <v>MEDIO BAUDO</v>
      </c>
    </row>
    <row r="267" spans="5:6" x14ac:dyDescent="0.25">
      <c r="E267" t="s">
        <v>2302</v>
      </c>
      <c r="F267" t="str">
        <f t="shared" si="4"/>
        <v>MISTRATÓ</v>
      </c>
    </row>
    <row r="268" spans="5:6" x14ac:dyDescent="0.25">
      <c r="E268" t="s">
        <v>2303</v>
      </c>
      <c r="F268" t="str">
        <f t="shared" si="4"/>
        <v>MITÚ</v>
      </c>
    </row>
    <row r="269" spans="5:6" x14ac:dyDescent="0.25">
      <c r="E269" t="s">
        <v>2304</v>
      </c>
      <c r="F269" t="str">
        <f t="shared" si="4"/>
        <v>MOMPÓS</v>
      </c>
    </row>
    <row r="270" spans="5:6" x14ac:dyDescent="0.25">
      <c r="E270" t="s">
        <v>2305</v>
      </c>
      <c r="F270" t="str">
        <f t="shared" si="4"/>
        <v>MONIQUIRÁ</v>
      </c>
    </row>
    <row r="271" spans="5:6" x14ac:dyDescent="0.25">
      <c r="E271" t="s">
        <v>2306</v>
      </c>
      <c r="F271" t="str">
        <f t="shared" si="4"/>
        <v>MOÑITOS</v>
      </c>
    </row>
    <row r="272" spans="5:6" x14ac:dyDescent="0.25">
      <c r="E272" t="s">
        <v>2307</v>
      </c>
      <c r="F272" t="str">
        <f t="shared" si="4"/>
        <v>MONTELÍBANO</v>
      </c>
    </row>
    <row r="273" spans="5:6" x14ac:dyDescent="0.25">
      <c r="E273" t="s">
        <v>2308</v>
      </c>
      <c r="F273" t="str">
        <f t="shared" si="4"/>
        <v>MONTERÍA</v>
      </c>
    </row>
    <row r="274" spans="5:6" x14ac:dyDescent="0.25">
      <c r="E274" t="s">
        <v>2309</v>
      </c>
      <c r="F274" t="str">
        <f t="shared" si="4"/>
        <v>MUTATÁ</v>
      </c>
    </row>
    <row r="275" spans="5:6" x14ac:dyDescent="0.25">
      <c r="E275" t="s">
        <v>2445</v>
      </c>
      <c r="F275" t="str">
        <f t="shared" si="4"/>
        <v>NATAGA</v>
      </c>
    </row>
    <row r="276" spans="5:6" x14ac:dyDescent="0.25">
      <c r="E276" t="s">
        <v>2310</v>
      </c>
      <c r="F276" t="str">
        <f t="shared" si="4"/>
        <v>NECOCLÍ</v>
      </c>
    </row>
    <row r="277" spans="5:6" x14ac:dyDescent="0.25">
      <c r="E277" t="s">
        <v>2311</v>
      </c>
      <c r="F277" t="str">
        <f t="shared" si="4"/>
        <v>NEMOCÓN</v>
      </c>
    </row>
    <row r="278" spans="5:6" x14ac:dyDescent="0.25">
      <c r="E278" t="s">
        <v>2313</v>
      </c>
      <c r="F278" t="str">
        <f t="shared" si="4"/>
        <v>NUQUÍ</v>
      </c>
    </row>
    <row r="279" spans="5:6" x14ac:dyDescent="0.25">
      <c r="E279" t="s">
        <v>2314</v>
      </c>
      <c r="F279" t="str">
        <f t="shared" si="4"/>
        <v>OROCUE</v>
      </c>
    </row>
    <row r="280" spans="5:6" x14ac:dyDescent="0.25">
      <c r="E280" t="s">
        <v>2315</v>
      </c>
      <c r="F280" t="str">
        <f t="shared" si="4"/>
        <v>PÁCORA</v>
      </c>
    </row>
    <row r="281" spans="5:6" x14ac:dyDescent="0.25">
      <c r="E281" t="s">
        <v>2446</v>
      </c>
      <c r="F281" t="str">
        <f t="shared" si="4"/>
        <v>PATÍA</v>
      </c>
    </row>
    <row r="282" spans="5:6" x14ac:dyDescent="0.25">
      <c r="E282" t="s">
        <v>2317</v>
      </c>
      <c r="F282" t="str">
        <f t="shared" si="4"/>
        <v>PAZ DE RÍO</v>
      </c>
    </row>
    <row r="283" spans="5:6" x14ac:dyDescent="0.25">
      <c r="E283" t="s">
        <v>2318</v>
      </c>
      <c r="F283" t="str">
        <f t="shared" si="4"/>
        <v>PIENDAMÓ</v>
      </c>
    </row>
    <row r="284" spans="5:6" x14ac:dyDescent="0.25">
      <c r="E284" t="s">
        <v>2319</v>
      </c>
      <c r="F284" t="str">
        <f t="shared" si="4"/>
        <v>PIOJO</v>
      </c>
    </row>
    <row r="285" spans="5:6" x14ac:dyDescent="0.25">
      <c r="E285" t="s">
        <v>2320</v>
      </c>
      <c r="F285" t="str">
        <f t="shared" si="4"/>
        <v>POPAYÁN</v>
      </c>
    </row>
    <row r="286" spans="5:6" x14ac:dyDescent="0.25">
      <c r="E286" t="s">
        <v>2321</v>
      </c>
      <c r="F286" t="str">
        <f t="shared" si="4"/>
        <v>PTO NAREL(LAMAG</v>
      </c>
    </row>
    <row r="287" spans="5:6" x14ac:dyDescent="0.25">
      <c r="E287" t="s">
        <v>2322</v>
      </c>
      <c r="F287" t="str">
        <f t="shared" si="4"/>
        <v>PUERTO ASÍS</v>
      </c>
    </row>
    <row r="288" spans="5:6" x14ac:dyDescent="0.25">
      <c r="E288" t="s">
        <v>2323</v>
      </c>
      <c r="F288" t="str">
        <f t="shared" si="4"/>
        <v>PUERTO BERRÍO</v>
      </c>
    </row>
    <row r="289" spans="5:6" x14ac:dyDescent="0.25">
      <c r="E289" t="s">
        <v>2325</v>
      </c>
      <c r="F289" t="str">
        <f t="shared" si="4"/>
        <v>PUERTO CONCORDIA</v>
      </c>
    </row>
    <row r="290" spans="5:6" x14ac:dyDescent="0.25">
      <c r="E290" t="s">
        <v>2326</v>
      </c>
      <c r="F290" t="str">
        <f t="shared" si="4"/>
        <v>PUERTO GAITÁN</v>
      </c>
    </row>
    <row r="291" spans="5:6" x14ac:dyDescent="0.25">
      <c r="E291" t="s">
        <v>2327</v>
      </c>
      <c r="F291" t="str">
        <f t="shared" si="4"/>
        <v>INÍRIDA</v>
      </c>
    </row>
    <row r="292" spans="5:6" x14ac:dyDescent="0.25">
      <c r="E292" t="s">
        <v>2328</v>
      </c>
      <c r="F292" t="str">
        <f t="shared" si="4"/>
        <v>PUERTO LEGUÍZAMO</v>
      </c>
    </row>
    <row r="293" spans="5:6" x14ac:dyDescent="0.25">
      <c r="E293" t="s">
        <v>2329</v>
      </c>
      <c r="F293" t="str">
        <f t="shared" si="4"/>
        <v>PUERTO LIBERTADOR</v>
      </c>
    </row>
    <row r="294" spans="5:6" x14ac:dyDescent="0.25">
      <c r="E294" t="s">
        <v>2330</v>
      </c>
      <c r="F294" t="str">
        <f t="shared" si="4"/>
        <v>PUERTO LÓPEZ</v>
      </c>
    </row>
    <row r="295" spans="5:6" x14ac:dyDescent="0.25">
      <c r="E295" t="s">
        <v>2331</v>
      </c>
      <c r="F295" t="str">
        <f t="shared" si="4"/>
        <v>PURACÉ</v>
      </c>
    </row>
    <row r="296" spans="5:6" x14ac:dyDescent="0.25">
      <c r="E296" t="s">
        <v>2332</v>
      </c>
      <c r="F296" t="str">
        <f t="shared" si="4"/>
        <v>PURIFICACIÓN</v>
      </c>
    </row>
    <row r="297" spans="5:6" x14ac:dyDescent="0.25">
      <c r="E297" t="s">
        <v>2333</v>
      </c>
      <c r="F297" t="str">
        <f t="shared" si="4"/>
        <v>QUIBDÓ</v>
      </c>
    </row>
    <row r="298" spans="5:6" x14ac:dyDescent="0.25">
      <c r="E298" t="s">
        <v>2335</v>
      </c>
      <c r="F298" t="str">
        <f t="shared" si="4"/>
        <v>QUÍPAMA</v>
      </c>
    </row>
    <row r="299" spans="5:6" x14ac:dyDescent="0.25">
      <c r="E299" t="s">
        <v>2447</v>
      </c>
      <c r="F299" t="str">
        <f t="shared" si="4"/>
        <v>RAFAEL REYES</v>
      </c>
    </row>
    <row r="300" spans="5:6" x14ac:dyDescent="0.25">
      <c r="E300" t="s">
        <v>2336</v>
      </c>
      <c r="F300" t="str">
        <f t="shared" si="4"/>
        <v>RAMIRIQUÍ</v>
      </c>
    </row>
    <row r="301" spans="5:6" x14ac:dyDescent="0.25">
      <c r="E301" t="s">
        <v>2337</v>
      </c>
      <c r="F301" t="str">
        <f t="shared" si="4"/>
        <v>RÁQUIRA</v>
      </c>
    </row>
    <row r="302" spans="5:6" x14ac:dyDescent="0.25">
      <c r="E302" t="s">
        <v>2338</v>
      </c>
      <c r="F302" t="str">
        <f t="shared" si="4"/>
        <v>RÍO DE ORO</v>
      </c>
    </row>
    <row r="303" spans="5:6" x14ac:dyDescent="0.25">
      <c r="E303" t="s">
        <v>2339</v>
      </c>
      <c r="F303" t="str">
        <f t="shared" si="4"/>
        <v>RIOFRÍO</v>
      </c>
    </row>
    <row r="304" spans="5:6" x14ac:dyDescent="0.25">
      <c r="E304" t="s">
        <v>2340</v>
      </c>
      <c r="F304" t="str">
        <f t="shared" si="4"/>
        <v>LA PAZ</v>
      </c>
    </row>
    <row r="305" spans="5:6" x14ac:dyDescent="0.25">
      <c r="E305" t="s">
        <v>2341</v>
      </c>
      <c r="F305" t="str">
        <f t="shared" si="4"/>
        <v>ROLDANILLO</v>
      </c>
    </row>
    <row r="306" spans="5:6" x14ac:dyDescent="0.25">
      <c r="E306" t="s">
        <v>2448</v>
      </c>
      <c r="F306" t="str">
        <f t="shared" si="4"/>
        <v>SABOYA</v>
      </c>
    </row>
    <row r="307" spans="5:6" x14ac:dyDescent="0.25">
      <c r="E307" t="s">
        <v>2508</v>
      </c>
      <c r="F307" t="str">
        <f t="shared" si="4"/>
        <v>SÁCHICA</v>
      </c>
    </row>
    <row r="308" spans="5:6" x14ac:dyDescent="0.25">
      <c r="E308" t="s">
        <v>2343</v>
      </c>
      <c r="F308" t="str">
        <f t="shared" si="4"/>
        <v>SAHAGÚN</v>
      </c>
    </row>
    <row r="309" spans="5:6" x14ac:dyDescent="0.25">
      <c r="E309" t="s">
        <v>2344</v>
      </c>
      <c r="F309" t="str">
        <f t="shared" si="4"/>
        <v>SÁMACA</v>
      </c>
    </row>
    <row r="310" spans="5:6" x14ac:dyDescent="0.25">
      <c r="E310" t="s">
        <v>2345</v>
      </c>
      <c r="F310" t="str">
        <f t="shared" si="4"/>
        <v>SAMANÁ</v>
      </c>
    </row>
    <row r="311" spans="5:6" x14ac:dyDescent="0.25">
      <c r="E311" t="s">
        <v>2346</v>
      </c>
      <c r="F311" t="str">
        <f t="shared" si="4"/>
        <v>SAMPUÉS</v>
      </c>
    </row>
    <row r="312" spans="5:6" x14ac:dyDescent="0.25">
      <c r="E312" t="s">
        <v>2347</v>
      </c>
      <c r="F312" t="str">
        <f t="shared" si="4"/>
        <v>SAN AGUSTÍN</v>
      </c>
    </row>
    <row r="313" spans="5:6" x14ac:dyDescent="0.25">
      <c r="E313" t="s">
        <v>2348</v>
      </c>
      <c r="F313" t="str">
        <f t="shared" si="4"/>
        <v>SAN ANDRÉS</v>
      </c>
    </row>
    <row r="314" spans="5:6" x14ac:dyDescent="0.25">
      <c r="E314" t="s">
        <v>2349</v>
      </c>
      <c r="F314" t="str">
        <f t="shared" si="4"/>
        <v>SAN ANDRÉS DE SOTAVENTO</v>
      </c>
    </row>
    <row r="315" spans="5:6" x14ac:dyDescent="0.25">
      <c r="E315" t="s">
        <v>2350</v>
      </c>
      <c r="F315" t="str">
        <f t="shared" si="4"/>
        <v>SAN BERNARDO</v>
      </c>
    </row>
    <row r="316" spans="5:6" x14ac:dyDescent="0.25">
      <c r="E316" t="s">
        <v>2351</v>
      </c>
      <c r="F316" t="str">
        <f t="shared" si="4"/>
        <v>SAN CARLOS</v>
      </c>
    </row>
    <row r="317" spans="5:6" x14ac:dyDescent="0.25">
      <c r="E317" t="s">
        <v>2352</v>
      </c>
      <c r="F317" t="str">
        <f t="shared" si="4"/>
        <v>SAN JERÓNIMO</v>
      </c>
    </row>
    <row r="318" spans="5:6" x14ac:dyDescent="0.25">
      <c r="E318" t="s">
        <v>2449</v>
      </c>
      <c r="F318" t="str">
        <f t="shared" si="4"/>
        <v>SAN JOSE</v>
      </c>
    </row>
    <row r="319" spans="5:6" x14ac:dyDescent="0.25">
      <c r="E319" t="s">
        <v>2514</v>
      </c>
      <c r="F319" t="str">
        <f t="shared" si="4"/>
        <v>SAN JOSE DE FRA</v>
      </c>
    </row>
    <row r="320" spans="5:6" x14ac:dyDescent="0.25">
      <c r="E320" t="s">
        <v>2478</v>
      </c>
      <c r="F320" t="str">
        <f t="shared" si="4"/>
        <v>SAN JOSE DE ISNOS</v>
      </c>
    </row>
    <row r="321" spans="5:6" x14ac:dyDescent="0.25">
      <c r="E321" t="s">
        <v>2479</v>
      </c>
      <c r="F321" t="str">
        <f t="shared" si="4"/>
        <v>SAN JOSE DE PARE</v>
      </c>
    </row>
    <row r="322" spans="5:6" x14ac:dyDescent="0.25">
      <c r="E322" t="s">
        <v>2353</v>
      </c>
      <c r="F322" t="str">
        <f t="shared" si="4"/>
        <v>SAN JOSÉ DEL GUAVIARE</v>
      </c>
    </row>
    <row r="323" spans="5:6" x14ac:dyDescent="0.25">
      <c r="E323" t="s">
        <v>2515</v>
      </c>
      <c r="F323" t="str">
        <f t="shared" ref="F323:F386" si="5">_xlfn.XLOOKUP(E323, $A:$A, $B:$B, E323)</f>
        <v>SAN JOSE DE RIO</v>
      </c>
    </row>
    <row r="324" spans="5:6" x14ac:dyDescent="0.25">
      <c r="E324" t="s">
        <v>2354</v>
      </c>
      <c r="F324" t="str">
        <f t="shared" si="5"/>
        <v>SAN JOSÉ DE URÉ</v>
      </c>
    </row>
    <row r="325" spans="5:6" x14ac:dyDescent="0.25">
      <c r="E325" t="s">
        <v>2355</v>
      </c>
      <c r="F325" t="str">
        <f t="shared" si="5"/>
        <v>SAN JUAN DEL CESAR</v>
      </c>
    </row>
    <row r="326" spans="5:6" x14ac:dyDescent="0.25">
      <c r="E326" t="s">
        <v>2356</v>
      </c>
      <c r="F326" t="str">
        <f t="shared" si="5"/>
        <v>SAN JUAN NEPOMUCENO</v>
      </c>
    </row>
    <row r="327" spans="5:6" x14ac:dyDescent="0.25">
      <c r="E327" t="s">
        <v>2357</v>
      </c>
      <c r="F327" t="str">
        <f t="shared" si="5"/>
        <v>SAN LUIS DE GACENO</v>
      </c>
    </row>
    <row r="328" spans="5:6" x14ac:dyDescent="0.25">
      <c r="E328" t="s">
        <v>2358</v>
      </c>
      <c r="F328" t="str">
        <f t="shared" si="5"/>
        <v>SAN LUIS DE PALENQUE</v>
      </c>
    </row>
    <row r="329" spans="5:6" x14ac:dyDescent="0.25">
      <c r="E329" t="s">
        <v>2359</v>
      </c>
      <c r="F329" t="str">
        <f t="shared" si="5"/>
        <v>SAN MARTÍN</v>
      </c>
    </row>
    <row r="330" spans="5:6" x14ac:dyDescent="0.25">
      <c r="E330" t="s">
        <v>2450</v>
      </c>
      <c r="F330" t="str">
        <f t="shared" si="5"/>
        <v>SAN PEDRO DE URABA</v>
      </c>
    </row>
    <row r="331" spans="5:6" x14ac:dyDescent="0.25">
      <c r="E331" t="s">
        <v>2361</v>
      </c>
      <c r="F331" t="str">
        <f t="shared" si="5"/>
        <v>SAN SEBASTIÁN</v>
      </c>
    </row>
    <row r="332" spans="5:6" x14ac:dyDescent="0.25">
      <c r="E332" t="s">
        <v>2362</v>
      </c>
      <c r="F332" t="str">
        <f t="shared" si="5"/>
        <v>SAN SEBASTIÁN DE BUENAVISTA</v>
      </c>
    </row>
    <row r="333" spans="5:6" x14ac:dyDescent="0.25">
      <c r="E333" t="s">
        <v>2363</v>
      </c>
      <c r="F333" t="str">
        <f t="shared" si="5"/>
        <v>SAN VICENTE</v>
      </c>
    </row>
    <row r="334" spans="5:6" x14ac:dyDescent="0.25">
      <c r="E334" t="s">
        <v>2451</v>
      </c>
      <c r="F334" t="str">
        <f t="shared" si="5"/>
        <v>SAN VICENTE DE CHUC</v>
      </c>
    </row>
    <row r="335" spans="5:6" x14ac:dyDescent="0.25">
      <c r="E335" t="s">
        <v>2452</v>
      </c>
      <c r="F335" t="str">
        <f t="shared" si="5"/>
        <v>SAN VICENTE DEL CAG</v>
      </c>
    </row>
    <row r="336" spans="5:6" x14ac:dyDescent="0.25">
      <c r="E336" t="s">
        <v>2366</v>
      </c>
      <c r="F336" t="str">
        <f t="shared" si="5"/>
        <v>SANDONÁ</v>
      </c>
    </row>
    <row r="337" spans="5:6" x14ac:dyDescent="0.25">
      <c r="E337" t="s">
        <v>2367</v>
      </c>
      <c r="F337" t="str">
        <f t="shared" si="5"/>
        <v>SANTA BÁRBARA</v>
      </c>
    </row>
    <row r="338" spans="5:6" x14ac:dyDescent="0.25">
      <c r="E338" t="s">
        <v>2368</v>
      </c>
      <c r="F338" t="str">
        <f t="shared" si="5"/>
        <v>SANTA MARÍA</v>
      </c>
    </row>
    <row r="339" spans="5:6" x14ac:dyDescent="0.25">
      <c r="E339" t="s">
        <v>2453</v>
      </c>
      <c r="F339" t="str">
        <f t="shared" si="5"/>
        <v>SANTA ROSA DE VITER</v>
      </c>
    </row>
    <row r="340" spans="5:6" x14ac:dyDescent="0.25">
      <c r="E340" t="s">
        <v>2485</v>
      </c>
      <c r="F340" t="str">
        <f t="shared" si="5"/>
        <v>SANTA SOFIA</v>
      </c>
    </row>
    <row r="341" spans="5:6" x14ac:dyDescent="0.25">
      <c r="E341" t="s">
        <v>2372</v>
      </c>
      <c r="F341" t="str">
        <f t="shared" si="5"/>
        <v>SANTANDER DE QUILICHAO</v>
      </c>
    </row>
    <row r="342" spans="5:6" x14ac:dyDescent="0.25">
      <c r="E342" t="s">
        <v>2373</v>
      </c>
      <c r="F342" t="str">
        <f t="shared" si="5"/>
        <v>SANTO TOMÁS</v>
      </c>
    </row>
    <row r="343" spans="5:6" x14ac:dyDescent="0.25">
      <c r="E343" t="s">
        <v>2374</v>
      </c>
      <c r="F343" t="str">
        <f t="shared" si="5"/>
        <v>SESQUILÉ</v>
      </c>
    </row>
    <row r="344" spans="5:6" x14ac:dyDescent="0.25">
      <c r="E344" t="s">
        <v>2375</v>
      </c>
      <c r="F344" t="str">
        <f t="shared" si="5"/>
        <v>SIBATÉ</v>
      </c>
    </row>
    <row r="345" spans="5:6" x14ac:dyDescent="0.25">
      <c r="E345" t="s">
        <v>2516</v>
      </c>
      <c r="F345" t="str">
        <f t="shared" si="5"/>
        <v>SIMITI</v>
      </c>
    </row>
    <row r="346" spans="5:6" x14ac:dyDescent="0.25">
      <c r="E346" t="s">
        <v>2376</v>
      </c>
      <c r="F346" t="str">
        <f t="shared" si="5"/>
        <v>SINCÉ</v>
      </c>
    </row>
    <row r="347" spans="5:6" x14ac:dyDescent="0.25">
      <c r="E347" t="s">
        <v>2486</v>
      </c>
      <c r="F347" t="str">
        <f t="shared" si="5"/>
        <v>SOATA</v>
      </c>
    </row>
    <row r="348" spans="5:6" x14ac:dyDescent="0.25">
      <c r="E348" t="s">
        <v>2377</v>
      </c>
      <c r="F348" t="str">
        <f t="shared" si="5"/>
        <v>SONSÓN</v>
      </c>
    </row>
    <row r="349" spans="5:6" x14ac:dyDescent="0.25">
      <c r="E349" t="s">
        <v>2378</v>
      </c>
      <c r="F349" t="str">
        <f t="shared" si="5"/>
        <v>SOPETRÁN</v>
      </c>
    </row>
    <row r="350" spans="5:6" x14ac:dyDescent="0.25">
      <c r="E350" t="s">
        <v>2379</v>
      </c>
      <c r="F350" t="str">
        <f t="shared" si="5"/>
        <v>SOPÓ</v>
      </c>
    </row>
    <row r="351" spans="5:6" x14ac:dyDescent="0.25">
      <c r="E351" t="s">
        <v>2517</v>
      </c>
      <c r="F351" t="str">
        <f t="shared" si="5"/>
        <v>SORACA</v>
      </c>
    </row>
    <row r="352" spans="5:6" x14ac:dyDescent="0.25">
      <c r="E352" t="s">
        <v>2380</v>
      </c>
      <c r="F352" t="str">
        <f t="shared" si="5"/>
        <v>SOTAQUIRÁ</v>
      </c>
    </row>
    <row r="353" spans="5:6" x14ac:dyDescent="0.25">
      <c r="E353" t="s">
        <v>2381</v>
      </c>
      <c r="F353" t="str">
        <f t="shared" si="5"/>
        <v>SANTA ROSA DE OSOS</v>
      </c>
    </row>
    <row r="354" spans="5:6" x14ac:dyDescent="0.25">
      <c r="E354" t="s">
        <v>2487</v>
      </c>
      <c r="F354" t="str">
        <f t="shared" si="5"/>
        <v>SUAREZ</v>
      </c>
    </row>
    <row r="355" spans="5:6" x14ac:dyDescent="0.25">
      <c r="E355" t="s">
        <v>2382</v>
      </c>
      <c r="F355" t="str">
        <f t="shared" si="5"/>
        <v>SUPÍA</v>
      </c>
    </row>
    <row r="356" spans="5:6" x14ac:dyDescent="0.25">
      <c r="E356" t="s">
        <v>2383</v>
      </c>
      <c r="F356" t="str">
        <f t="shared" si="5"/>
        <v>SUTAMARCHÁN</v>
      </c>
    </row>
    <row r="357" spans="5:6" x14ac:dyDescent="0.25">
      <c r="E357" t="s">
        <v>2518</v>
      </c>
      <c r="F357" t="str">
        <f t="shared" si="5"/>
        <v>TALAIGGUANUEVO</v>
      </c>
    </row>
    <row r="358" spans="5:6" x14ac:dyDescent="0.25">
      <c r="E358" t="s">
        <v>2384</v>
      </c>
      <c r="F358" t="str">
        <f t="shared" si="5"/>
        <v>TÁMARA</v>
      </c>
    </row>
    <row r="359" spans="5:6" x14ac:dyDescent="0.25">
      <c r="E359" t="s">
        <v>2385</v>
      </c>
      <c r="F359" t="str">
        <f t="shared" si="5"/>
        <v>TIBANÁ</v>
      </c>
    </row>
    <row r="360" spans="5:6" x14ac:dyDescent="0.25">
      <c r="E360" t="s">
        <v>2386</v>
      </c>
      <c r="F360" t="str">
        <f t="shared" si="5"/>
        <v>TIBÚ</v>
      </c>
    </row>
    <row r="361" spans="5:6" x14ac:dyDescent="0.25">
      <c r="E361" t="s">
        <v>2387</v>
      </c>
      <c r="F361" t="str">
        <f t="shared" si="5"/>
        <v>TIMANÁ</v>
      </c>
    </row>
    <row r="362" spans="5:6" x14ac:dyDescent="0.25">
      <c r="E362" t="s">
        <v>2388</v>
      </c>
      <c r="F362" t="str">
        <f t="shared" si="5"/>
        <v>TIMBÍO</v>
      </c>
    </row>
    <row r="363" spans="5:6" x14ac:dyDescent="0.25">
      <c r="E363" t="s">
        <v>2389</v>
      </c>
      <c r="F363" t="str">
        <f t="shared" si="5"/>
        <v>TIMBIQUÍ</v>
      </c>
    </row>
    <row r="364" spans="5:6" x14ac:dyDescent="0.25">
      <c r="E364" t="s">
        <v>2390</v>
      </c>
      <c r="F364" t="str">
        <f t="shared" si="5"/>
        <v>TINJACÁ</v>
      </c>
    </row>
    <row r="365" spans="5:6" x14ac:dyDescent="0.25">
      <c r="E365" t="s">
        <v>2391</v>
      </c>
      <c r="F365" t="str">
        <f t="shared" si="5"/>
        <v>TITIRIBÍ</v>
      </c>
    </row>
    <row r="366" spans="5:6" x14ac:dyDescent="0.25">
      <c r="E366" t="s">
        <v>2392</v>
      </c>
      <c r="F366" t="str">
        <f t="shared" si="5"/>
        <v>TOCANCIPÁ</v>
      </c>
    </row>
    <row r="367" spans="5:6" x14ac:dyDescent="0.25">
      <c r="E367" t="s">
        <v>2393</v>
      </c>
      <c r="F367" t="str">
        <f t="shared" si="5"/>
        <v>SANTIAGO DE TOLÚ</v>
      </c>
    </row>
    <row r="368" spans="5:6" x14ac:dyDescent="0.25">
      <c r="E368" t="s">
        <v>2394</v>
      </c>
      <c r="F368" t="str">
        <f t="shared" si="5"/>
        <v>TOLUVIEJO</v>
      </c>
    </row>
    <row r="369" spans="5:6" x14ac:dyDescent="0.25">
      <c r="E369" t="s">
        <v>2395</v>
      </c>
      <c r="F369" t="str">
        <f t="shared" si="5"/>
        <v>TOTORÓ</v>
      </c>
    </row>
    <row r="370" spans="5:6" x14ac:dyDescent="0.25">
      <c r="E370" t="s">
        <v>2396</v>
      </c>
      <c r="F370" t="str">
        <f t="shared" si="5"/>
        <v>TUBARÁ</v>
      </c>
    </row>
    <row r="371" spans="5:6" x14ac:dyDescent="0.25">
      <c r="E371" t="s">
        <v>2496</v>
      </c>
      <c r="F371" t="str">
        <f t="shared" si="5"/>
        <v>TUCHIN</v>
      </c>
    </row>
    <row r="372" spans="5:6" x14ac:dyDescent="0.25">
      <c r="E372" t="s">
        <v>2397</v>
      </c>
      <c r="F372" t="str">
        <f t="shared" si="5"/>
        <v>TULUÁ</v>
      </c>
    </row>
    <row r="373" spans="5:6" x14ac:dyDescent="0.25">
      <c r="E373" t="s">
        <v>2398</v>
      </c>
      <c r="F373" t="str">
        <f t="shared" si="5"/>
        <v>TUMACO</v>
      </c>
    </row>
    <row r="374" spans="5:6" x14ac:dyDescent="0.25">
      <c r="E374" t="s">
        <v>2399</v>
      </c>
      <c r="F374" t="str">
        <f t="shared" si="5"/>
        <v>TÚQUERRES</v>
      </c>
    </row>
    <row r="375" spans="5:6" x14ac:dyDescent="0.25">
      <c r="E375" t="s">
        <v>2400</v>
      </c>
      <c r="F375" t="str">
        <f t="shared" si="5"/>
        <v>TURBANÁ</v>
      </c>
    </row>
    <row r="376" spans="5:6" x14ac:dyDescent="0.25">
      <c r="E376" t="s">
        <v>2401</v>
      </c>
      <c r="F376" t="str">
        <f t="shared" si="5"/>
        <v>TURMEQUÉ</v>
      </c>
    </row>
    <row r="377" spans="5:6" x14ac:dyDescent="0.25">
      <c r="E377" t="s">
        <v>2402</v>
      </c>
      <c r="F377" t="str">
        <f t="shared" si="5"/>
        <v>UBALÁ</v>
      </c>
    </row>
    <row r="378" spans="5:6" x14ac:dyDescent="0.25">
      <c r="E378" t="s">
        <v>2403</v>
      </c>
      <c r="F378" t="str">
        <f t="shared" si="5"/>
        <v>UBATÉ</v>
      </c>
    </row>
    <row r="379" spans="5:6" x14ac:dyDescent="0.25">
      <c r="E379" t="s">
        <v>2404</v>
      </c>
      <c r="F379" t="str">
        <f t="shared" si="5"/>
        <v>ÚMBITA</v>
      </c>
    </row>
    <row r="380" spans="5:6" x14ac:dyDescent="0.25">
      <c r="E380" t="s">
        <v>2405</v>
      </c>
      <c r="F380" t="str">
        <f t="shared" si="5"/>
        <v>UNGUÍA</v>
      </c>
    </row>
    <row r="381" spans="5:6" x14ac:dyDescent="0.25">
      <c r="E381" t="s">
        <v>2519</v>
      </c>
      <c r="F381" t="str">
        <f t="shared" si="5"/>
        <v>UNION PANAMERICANA</v>
      </c>
    </row>
    <row r="382" spans="5:6" x14ac:dyDescent="0.25">
      <c r="E382" t="s">
        <v>2406</v>
      </c>
      <c r="F382" t="str">
        <f t="shared" si="5"/>
        <v>USIACURÍ</v>
      </c>
    </row>
    <row r="383" spans="5:6" x14ac:dyDescent="0.25">
      <c r="E383" t="s">
        <v>2407</v>
      </c>
      <c r="F383" t="str">
        <f t="shared" si="5"/>
        <v>ÚTICA</v>
      </c>
    </row>
    <row r="384" spans="5:6" x14ac:dyDescent="0.25">
      <c r="E384" t="s">
        <v>2408</v>
      </c>
      <c r="F384" t="str">
        <f t="shared" si="5"/>
        <v>VALLE DE SAN JOSÉ</v>
      </c>
    </row>
    <row r="385" spans="5:6" x14ac:dyDescent="0.25">
      <c r="E385" t="s">
        <v>2409</v>
      </c>
      <c r="F385" t="str">
        <f t="shared" si="5"/>
        <v>VÉLEZ</v>
      </c>
    </row>
    <row r="386" spans="5:6" x14ac:dyDescent="0.25">
      <c r="E386" t="s">
        <v>2410</v>
      </c>
      <c r="F386" t="str">
        <f t="shared" si="5"/>
        <v>VIANÍ</v>
      </c>
    </row>
    <row r="387" spans="5:6" x14ac:dyDescent="0.25">
      <c r="E387" t="s">
        <v>2411</v>
      </c>
      <c r="F387" t="str">
        <f t="shared" ref="F387:F450" si="6">_xlfn.XLOOKUP(E387, $A:$A, $B:$B, E387)</f>
        <v>VILLA DEL ROSARIO</v>
      </c>
    </row>
    <row r="388" spans="5:6" x14ac:dyDescent="0.25">
      <c r="E388" t="s">
        <v>2412</v>
      </c>
      <c r="F388" t="str">
        <f t="shared" si="6"/>
        <v>VILLAGARZÓN</v>
      </c>
    </row>
    <row r="389" spans="5:6" x14ac:dyDescent="0.25">
      <c r="E389" t="s">
        <v>2413</v>
      </c>
      <c r="F389" t="str">
        <f t="shared" si="6"/>
        <v>VILLAMARÍA</v>
      </c>
    </row>
    <row r="390" spans="5:6" x14ac:dyDescent="0.25">
      <c r="E390" t="s">
        <v>2414</v>
      </c>
      <c r="F390" t="str">
        <f t="shared" si="6"/>
        <v>VILLAPINZÓN</v>
      </c>
    </row>
    <row r="391" spans="5:6" x14ac:dyDescent="0.25">
      <c r="E391" t="s">
        <v>2415</v>
      </c>
      <c r="F391" t="str">
        <f t="shared" si="6"/>
        <v>VIOTÁ</v>
      </c>
    </row>
    <row r="392" spans="5:6" x14ac:dyDescent="0.25">
      <c r="E392" t="s">
        <v>2416</v>
      </c>
      <c r="F392" t="str">
        <f t="shared" si="6"/>
        <v>VIRACACHÁ</v>
      </c>
    </row>
    <row r="393" spans="5:6" x14ac:dyDescent="0.25">
      <c r="E393" t="s">
        <v>2417</v>
      </c>
      <c r="F393" t="str">
        <f t="shared" si="6"/>
        <v>VISTA HERMOSA</v>
      </c>
    </row>
    <row r="394" spans="5:6" x14ac:dyDescent="0.25">
      <c r="E394" t="s">
        <v>2418</v>
      </c>
      <c r="F394" t="str">
        <f t="shared" si="6"/>
        <v>YAGUARÁ</v>
      </c>
    </row>
    <row r="395" spans="5:6" x14ac:dyDescent="0.25">
      <c r="E395" t="s">
        <v>2501</v>
      </c>
      <c r="F395" t="str">
        <f t="shared" si="6"/>
        <v>YALI</v>
      </c>
    </row>
    <row r="396" spans="5:6" x14ac:dyDescent="0.25">
      <c r="E396" t="s">
        <v>2419</v>
      </c>
      <c r="F396" t="str">
        <f t="shared" si="6"/>
        <v>YOLOMBÓ</v>
      </c>
    </row>
    <row r="397" spans="5:6" x14ac:dyDescent="0.25">
      <c r="E397" t="s">
        <v>2420</v>
      </c>
      <c r="F397" t="str">
        <f t="shared" si="6"/>
        <v>YONDÓ</v>
      </c>
    </row>
    <row r="398" spans="5:6" x14ac:dyDescent="0.25">
      <c r="E398" t="s">
        <v>2421</v>
      </c>
      <c r="F398" t="str">
        <f t="shared" si="6"/>
        <v>ZIPACÓN</v>
      </c>
    </row>
    <row r="399" spans="5:6" x14ac:dyDescent="0.25">
      <c r="E399" t="s">
        <v>2422</v>
      </c>
      <c r="F399" t="str">
        <f t="shared" si="6"/>
        <v>ZIPAQUIRÁ</v>
      </c>
    </row>
    <row r="400" spans="5:6" x14ac:dyDescent="0.25">
      <c r="E400" t="s">
        <v>2170</v>
      </c>
      <c r="F400" t="str">
        <f t="shared" si="6"/>
        <v>SANTA ROSALIA</v>
      </c>
    </row>
    <row r="401" spans="5:6" x14ac:dyDescent="0.25">
      <c r="E401" t="s">
        <v>2171</v>
      </c>
      <c r="F401" t="str">
        <f t="shared" si="6"/>
        <v>ABREGO</v>
      </c>
    </row>
    <row r="402" spans="5:6" x14ac:dyDescent="0.25">
      <c r="E402" t="s">
        <v>2172</v>
      </c>
      <c r="F402" t="str">
        <f t="shared" si="6"/>
        <v>ABRIAQUI</v>
      </c>
    </row>
    <row r="403" spans="5:6" x14ac:dyDescent="0.25">
      <c r="E403" t="s">
        <v>2173</v>
      </c>
      <c r="F403" t="str">
        <f t="shared" si="6"/>
        <v>ACACIAS</v>
      </c>
    </row>
    <row r="404" spans="5:6" x14ac:dyDescent="0.25">
      <c r="E404" t="s">
        <v>2174</v>
      </c>
      <c r="F404" t="str">
        <f t="shared" si="6"/>
        <v>ACANDI</v>
      </c>
    </row>
    <row r="405" spans="5:6" x14ac:dyDescent="0.25">
      <c r="E405" t="s">
        <v>2175</v>
      </c>
      <c r="F405" t="str">
        <f t="shared" si="6"/>
        <v>ACHI</v>
      </c>
    </row>
    <row r="406" spans="5:6" x14ac:dyDescent="0.25">
      <c r="E406" t="s">
        <v>2176</v>
      </c>
      <c r="F406" t="str">
        <f t="shared" si="6"/>
        <v>AGUSTIN CODAZZI</v>
      </c>
    </row>
    <row r="407" spans="5:6" x14ac:dyDescent="0.25">
      <c r="E407" t="s">
        <v>2177</v>
      </c>
      <c r="F407" t="str">
        <f t="shared" si="6"/>
        <v>ALBAN</v>
      </c>
    </row>
    <row r="408" spans="5:6" x14ac:dyDescent="0.25">
      <c r="E408" t="s">
        <v>2178</v>
      </c>
      <c r="F408" t="str">
        <f t="shared" si="6"/>
        <v>ALCALA</v>
      </c>
    </row>
    <row r="409" spans="5:6" x14ac:dyDescent="0.25">
      <c r="E409" t="s">
        <v>2179</v>
      </c>
      <c r="F409" t="str">
        <f t="shared" si="6"/>
        <v>ALEJANDRIA</v>
      </c>
    </row>
    <row r="410" spans="5:6" x14ac:dyDescent="0.25">
      <c r="E410" t="s">
        <v>2180</v>
      </c>
      <c r="F410" t="str">
        <f t="shared" si="6"/>
        <v>AMAGA</v>
      </c>
    </row>
    <row r="411" spans="5:6" x14ac:dyDescent="0.25">
      <c r="E411" t="s">
        <v>2181</v>
      </c>
      <c r="F411" t="str">
        <f t="shared" si="6"/>
        <v>ANDALUCIA</v>
      </c>
    </row>
    <row r="412" spans="5:6" x14ac:dyDescent="0.25">
      <c r="E412" t="s">
        <v>2423</v>
      </c>
      <c r="F412" t="str">
        <f t="shared" si="6"/>
        <v>ANGELOPOLIS</v>
      </c>
    </row>
    <row r="413" spans="5:6" x14ac:dyDescent="0.25">
      <c r="E413" t="s">
        <v>2182</v>
      </c>
      <c r="F413" t="str">
        <f t="shared" si="6"/>
        <v>ANORI</v>
      </c>
    </row>
    <row r="414" spans="5:6" x14ac:dyDescent="0.25">
      <c r="E414" t="s">
        <v>2183</v>
      </c>
      <c r="F414" t="str">
        <f t="shared" si="6"/>
        <v>ANTIOQUIA</v>
      </c>
    </row>
    <row r="415" spans="5:6" x14ac:dyDescent="0.25">
      <c r="E415" t="s">
        <v>2424</v>
      </c>
      <c r="F415" t="str">
        <f t="shared" si="6"/>
        <v>ANZA</v>
      </c>
    </row>
    <row r="416" spans="5:6" x14ac:dyDescent="0.25">
      <c r="E416" t="s">
        <v>2184</v>
      </c>
      <c r="F416" t="str">
        <f t="shared" si="6"/>
        <v>APARTADO</v>
      </c>
    </row>
    <row r="417" spans="5:6" x14ac:dyDescent="0.25">
      <c r="E417" t="s">
        <v>2185</v>
      </c>
      <c r="F417" t="str">
        <f t="shared" si="6"/>
        <v>APIA</v>
      </c>
    </row>
    <row r="418" spans="5:6" x14ac:dyDescent="0.25">
      <c r="E418" t="s">
        <v>2425</v>
      </c>
      <c r="F418" t="str">
        <f t="shared" si="6"/>
        <v>ARANQUITA</v>
      </c>
    </row>
    <row r="419" spans="5:6" x14ac:dyDescent="0.25">
      <c r="E419" t="s">
        <v>2426</v>
      </c>
      <c r="F419" t="str">
        <f t="shared" si="6"/>
        <v>ARBELAEZ</v>
      </c>
    </row>
    <row r="420" spans="5:6" x14ac:dyDescent="0.25">
      <c r="E420" t="s">
        <v>2186</v>
      </c>
      <c r="F420" t="str">
        <f t="shared" si="6"/>
        <v>ARIGUANI</v>
      </c>
    </row>
    <row r="421" spans="5:6" x14ac:dyDescent="0.25">
      <c r="E421" t="s">
        <v>2187</v>
      </c>
      <c r="F421" t="str">
        <f t="shared" si="6"/>
        <v>ARJOMA</v>
      </c>
    </row>
    <row r="422" spans="5:6" x14ac:dyDescent="0.25">
      <c r="E422" t="s">
        <v>2188</v>
      </c>
      <c r="F422" t="str">
        <f t="shared" si="6"/>
        <v>ARMERO</v>
      </c>
    </row>
    <row r="423" spans="5:6" x14ac:dyDescent="0.25">
      <c r="E423" t="s">
        <v>2190</v>
      </c>
      <c r="F423" t="str">
        <f t="shared" si="6"/>
        <v>BAGADO</v>
      </c>
    </row>
    <row r="424" spans="5:6" x14ac:dyDescent="0.25">
      <c r="E424" t="s">
        <v>2191</v>
      </c>
      <c r="F424" t="str">
        <f t="shared" si="6"/>
        <v>BAHIA SOLANO</v>
      </c>
    </row>
    <row r="425" spans="5:6" x14ac:dyDescent="0.25">
      <c r="E425" t="s">
        <v>2192</v>
      </c>
      <c r="F425" t="str">
        <f t="shared" si="6"/>
        <v>BAJO BAUDO</v>
      </c>
    </row>
    <row r="426" spans="5:6" x14ac:dyDescent="0.25">
      <c r="E426" t="s">
        <v>2193</v>
      </c>
      <c r="F426" t="str">
        <f t="shared" si="6"/>
        <v>BARRANCA DE UPIA</v>
      </c>
    </row>
    <row r="427" spans="5:6" x14ac:dyDescent="0.25">
      <c r="E427" t="s">
        <v>2194</v>
      </c>
      <c r="F427" t="str">
        <f t="shared" si="6"/>
        <v>BARRANCABERBJA</v>
      </c>
    </row>
    <row r="428" spans="5:6" x14ac:dyDescent="0.25">
      <c r="E428" t="s">
        <v>2195</v>
      </c>
      <c r="F428" t="str">
        <f t="shared" si="6"/>
        <v>BELALCAZAR</v>
      </c>
    </row>
    <row r="429" spans="5:6" x14ac:dyDescent="0.25">
      <c r="E429" t="s">
        <v>2196</v>
      </c>
      <c r="F429" t="str">
        <f t="shared" si="6"/>
        <v>BELEN</v>
      </c>
    </row>
    <row r="430" spans="5:6" x14ac:dyDescent="0.25">
      <c r="E430" t="s">
        <v>2197</v>
      </c>
      <c r="F430" t="str">
        <f t="shared" si="6"/>
        <v>BELEN DE UMBRIA</v>
      </c>
    </row>
    <row r="431" spans="5:6" x14ac:dyDescent="0.25">
      <c r="E431" t="s">
        <v>2198</v>
      </c>
      <c r="F431" t="str">
        <f t="shared" si="6"/>
        <v>BELTRAN</v>
      </c>
    </row>
    <row r="432" spans="5:6" x14ac:dyDescent="0.25">
      <c r="E432" t="s">
        <v>2199</v>
      </c>
      <c r="F432" t="str">
        <f t="shared" si="6"/>
        <v>BOGOTA D.C</v>
      </c>
    </row>
    <row r="433" spans="5:6" x14ac:dyDescent="0.25">
      <c r="E433" t="s">
        <v>2200</v>
      </c>
      <c r="F433" t="str">
        <f t="shared" si="6"/>
        <v>BOJACA</v>
      </c>
    </row>
    <row r="434" spans="5:6" x14ac:dyDescent="0.25">
      <c r="E434" t="s">
        <v>2201</v>
      </c>
      <c r="F434" t="str">
        <f t="shared" si="6"/>
        <v>BOLIVAR</v>
      </c>
    </row>
    <row r="435" spans="5:6" x14ac:dyDescent="0.25">
      <c r="E435" t="s">
        <v>2202</v>
      </c>
      <c r="F435" t="str">
        <f t="shared" si="6"/>
        <v>BOYACA</v>
      </c>
    </row>
    <row r="436" spans="5:6" x14ac:dyDescent="0.25">
      <c r="E436" t="s">
        <v>2427</v>
      </c>
      <c r="F436" t="str">
        <f t="shared" si="6"/>
        <v>BRICENO</v>
      </c>
    </row>
    <row r="437" spans="5:6" x14ac:dyDescent="0.25">
      <c r="E437" t="s">
        <v>2203</v>
      </c>
      <c r="F437" t="str">
        <f t="shared" si="6"/>
        <v>BUGA</v>
      </c>
    </row>
    <row r="438" spans="5:6" x14ac:dyDescent="0.25">
      <c r="E438" t="s">
        <v>2204</v>
      </c>
      <c r="F438" t="str">
        <f t="shared" si="6"/>
        <v>BURITICÁ</v>
      </c>
    </row>
    <row r="439" spans="5:6" x14ac:dyDescent="0.25">
      <c r="E439" t="s">
        <v>2205</v>
      </c>
      <c r="F439" t="str">
        <f t="shared" si="6"/>
        <v>CÁCERES</v>
      </c>
    </row>
    <row r="440" spans="5:6" x14ac:dyDescent="0.25">
      <c r="E440" t="s">
        <v>2206</v>
      </c>
      <c r="F440" t="str">
        <f t="shared" si="6"/>
        <v>CACHIRA</v>
      </c>
    </row>
    <row r="441" spans="5:6" x14ac:dyDescent="0.25">
      <c r="E441" t="s">
        <v>2207</v>
      </c>
      <c r="F441" t="str">
        <f t="shared" si="6"/>
        <v>CÁCOTA</v>
      </c>
    </row>
    <row r="442" spans="5:6" x14ac:dyDescent="0.25">
      <c r="E442" t="s">
        <v>2208</v>
      </c>
      <c r="F442" t="str">
        <f t="shared" si="6"/>
        <v>CAJIBÍO</v>
      </c>
    </row>
    <row r="443" spans="5:6" x14ac:dyDescent="0.25">
      <c r="E443" t="s">
        <v>2209</v>
      </c>
      <c r="F443" t="str">
        <f t="shared" si="6"/>
        <v>CAJICÁ</v>
      </c>
    </row>
    <row r="444" spans="5:6" x14ac:dyDescent="0.25">
      <c r="E444" t="s">
        <v>2210</v>
      </c>
      <c r="F444" t="str">
        <f t="shared" si="6"/>
        <v>CALARCÁ</v>
      </c>
    </row>
    <row r="445" spans="5:6" x14ac:dyDescent="0.25">
      <c r="E445" t="s">
        <v>2428</v>
      </c>
      <c r="F445" t="str">
        <f t="shared" si="6"/>
        <v>CALIMA (DARIEN)</v>
      </c>
    </row>
    <row r="446" spans="5:6" x14ac:dyDescent="0.25">
      <c r="E446" t="s">
        <v>2521</v>
      </c>
      <c r="F446" t="str">
        <f t="shared" si="6"/>
        <v>EL CARMEN DE VIBORALRAL</v>
      </c>
    </row>
    <row r="447" spans="5:6" x14ac:dyDescent="0.25">
      <c r="E447" t="s">
        <v>2429</v>
      </c>
      <c r="F447" t="str">
        <f t="shared" si="6"/>
        <v>CHIGORODO</v>
      </c>
    </row>
    <row r="448" spans="5:6" x14ac:dyDescent="0.25">
      <c r="E448" t="s">
        <v>2231</v>
      </c>
      <c r="F448" t="str">
        <f t="shared" si="6"/>
        <v>CHOACHI</v>
      </c>
    </row>
    <row r="449" spans="5:6" x14ac:dyDescent="0.25">
      <c r="E449" t="s">
        <v>2430</v>
      </c>
      <c r="F449" t="str">
        <f t="shared" si="6"/>
        <v>COMBITA</v>
      </c>
    </row>
    <row r="450" spans="5:6" x14ac:dyDescent="0.25">
      <c r="E450" t="s">
        <v>2431</v>
      </c>
      <c r="F450" t="str">
        <f t="shared" si="6"/>
        <v>CONTRATACION</v>
      </c>
    </row>
    <row r="451" spans="5:6" x14ac:dyDescent="0.25">
      <c r="E451" t="s">
        <v>2240</v>
      </c>
      <c r="F451" t="str">
        <f t="shared" ref="F451:F514" si="7">_xlfn.XLOOKUP(E451, $A:$A, $B:$B, E451)</f>
        <v>CURABA</v>
      </c>
    </row>
    <row r="452" spans="5:6" x14ac:dyDescent="0.25">
      <c r="E452" t="s">
        <v>2241</v>
      </c>
      <c r="F452" t="str">
        <f t="shared" si="7"/>
        <v>SAN LUIS DE CUBARRAL</v>
      </c>
    </row>
    <row r="453" spans="5:6" x14ac:dyDescent="0.25">
      <c r="E453" t="s">
        <v>2242</v>
      </c>
      <c r="F453" t="str">
        <f t="shared" si="7"/>
        <v>CUCUNUBÁ</v>
      </c>
    </row>
    <row r="454" spans="5:6" x14ac:dyDescent="0.25">
      <c r="E454" t="s">
        <v>2243</v>
      </c>
      <c r="F454" t="str">
        <f t="shared" si="7"/>
        <v>CÚCUTA</v>
      </c>
    </row>
    <row r="455" spans="5:6" x14ac:dyDescent="0.25">
      <c r="E455" t="s">
        <v>2244</v>
      </c>
      <c r="F455" t="str">
        <f t="shared" si="7"/>
        <v>CUITIVA</v>
      </c>
    </row>
    <row r="456" spans="5:6" x14ac:dyDescent="0.25">
      <c r="E456" t="s">
        <v>2245</v>
      </c>
      <c r="F456" t="str">
        <f t="shared" si="7"/>
        <v>CURITÍ</v>
      </c>
    </row>
    <row r="457" spans="5:6" x14ac:dyDescent="0.25">
      <c r="E457" t="s">
        <v>2246</v>
      </c>
      <c r="F457" t="str">
        <f t="shared" si="7"/>
        <v>CURUMANÍ</v>
      </c>
    </row>
    <row r="458" spans="5:6" x14ac:dyDescent="0.25">
      <c r="E458" t="s">
        <v>2247</v>
      </c>
      <c r="F458" t="str">
        <f t="shared" si="7"/>
        <v>DISTRACCIÓN</v>
      </c>
    </row>
    <row r="459" spans="5:6" x14ac:dyDescent="0.25">
      <c r="E459" t="s">
        <v>2248</v>
      </c>
      <c r="F459" t="str">
        <f t="shared" si="7"/>
        <v>DONMATÍAS</v>
      </c>
    </row>
    <row r="460" spans="5:6" x14ac:dyDescent="0.25">
      <c r="E460" t="s">
        <v>2249</v>
      </c>
      <c r="F460" t="str">
        <f t="shared" si="7"/>
        <v>DOSQUEBRADAS</v>
      </c>
    </row>
    <row r="461" spans="5:6" x14ac:dyDescent="0.25">
      <c r="E461" t="s">
        <v>2250</v>
      </c>
      <c r="F461" t="str">
        <f t="shared" si="7"/>
        <v>EBÉJICO</v>
      </c>
    </row>
    <row r="462" spans="5:6" x14ac:dyDescent="0.25">
      <c r="E462" t="s">
        <v>2432</v>
      </c>
      <c r="F462" t="str">
        <f t="shared" si="7"/>
        <v>EL CARMEN DE BOLIVAR</v>
      </c>
    </row>
    <row r="463" spans="5:6" x14ac:dyDescent="0.25">
      <c r="E463" t="s">
        <v>2252</v>
      </c>
      <c r="F463" t="str">
        <f t="shared" si="7"/>
        <v>EL PAUJIL</v>
      </c>
    </row>
    <row r="464" spans="5:6" x14ac:dyDescent="0.25">
      <c r="E464" t="s">
        <v>2253</v>
      </c>
      <c r="F464" t="str">
        <f t="shared" si="7"/>
        <v>EL PEÑÓN</v>
      </c>
    </row>
    <row r="465" spans="5:6" x14ac:dyDescent="0.25">
      <c r="E465" t="s">
        <v>2254</v>
      </c>
      <c r="F465" t="str">
        <f t="shared" si="7"/>
        <v>EL PLAYÓN</v>
      </c>
    </row>
    <row r="466" spans="5:6" x14ac:dyDescent="0.25">
      <c r="E466" t="s">
        <v>2255</v>
      </c>
      <c r="F466" t="str">
        <f t="shared" si="7"/>
        <v>ELÍAS</v>
      </c>
    </row>
    <row r="467" spans="5:6" x14ac:dyDescent="0.25">
      <c r="E467" t="s">
        <v>2256</v>
      </c>
      <c r="F467" t="str">
        <f t="shared" si="7"/>
        <v>ENTRERRÍOS</v>
      </c>
    </row>
    <row r="468" spans="5:6" x14ac:dyDescent="0.25">
      <c r="E468" t="s">
        <v>2257</v>
      </c>
      <c r="F468" t="str">
        <f t="shared" si="7"/>
        <v>FACATATIVÁ</v>
      </c>
    </row>
    <row r="469" spans="5:6" x14ac:dyDescent="0.25">
      <c r="E469" t="s">
        <v>2258</v>
      </c>
      <c r="F469" t="str">
        <f t="shared" si="7"/>
        <v>FLORIÁN</v>
      </c>
    </row>
    <row r="470" spans="5:6" x14ac:dyDescent="0.25">
      <c r="E470" t="s">
        <v>2433</v>
      </c>
      <c r="F470" t="str">
        <f t="shared" si="7"/>
        <v>FOMEQUE</v>
      </c>
    </row>
    <row r="471" spans="5:6" x14ac:dyDescent="0.25">
      <c r="E471" t="s">
        <v>2259</v>
      </c>
      <c r="F471" t="str">
        <f t="shared" si="7"/>
        <v>FUNDACIÓN</v>
      </c>
    </row>
    <row r="472" spans="5:6" x14ac:dyDescent="0.25">
      <c r="E472" t="s">
        <v>2434</v>
      </c>
      <c r="F472" t="str">
        <f t="shared" si="7"/>
        <v>FUQUENE</v>
      </c>
    </row>
    <row r="473" spans="5:6" x14ac:dyDescent="0.25">
      <c r="E473" t="s">
        <v>2260</v>
      </c>
      <c r="F473" t="str">
        <f t="shared" si="7"/>
        <v>FUSAGASUGÁ</v>
      </c>
    </row>
    <row r="474" spans="5:6" x14ac:dyDescent="0.25">
      <c r="E474" t="s">
        <v>2261</v>
      </c>
      <c r="F474" t="str">
        <f t="shared" si="7"/>
        <v>GACHANCIPÁ</v>
      </c>
    </row>
    <row r="475" spans="5:6" x14ac:dyDescent="0.25">
      <c r="E475" t="s">
        <v>2435</v>
      </c>
      <c r="F475" t="str">
        <f t="shared" si="7"/>
        <v>GACHETA</v>
      </c>
    </row>
    <row r="476" spans="5:6" x14ac:dyDescent="0.25">
      <c r="E476" t="s">
        <v>2436</v>
      </c>
      <c r="F476" t="str">
        <f t="shared" si="7"/>
        <v>GAMBITA</v>
      </c>
    </row>
    <row r="477" spans="5:6" x14ac:dyDescent="0.25">
      <c r="E477" t="s">
        <v>2262</v>
      </c>
      <c r="F477" t="str">
        <f t="shared" si="7"/>
        <v>GACHANTIVÁ</v>
      </c>
    </row>
    <row r="478" spans="5:6" x14ac:dyDescent="0.25">
      <c r="E478" t="s">
        <v>2263</v>
      </c>
      <c r="F478" t="str">
        <f t="shared" si="7"/>
        <v>GALÁN</v>
      </c>
    </row>
    <row r="479" spans="5:6" x14ac:dyDescent="0.25">
      <c r="E479" t="s">
        <v>2264</v>
      </c>
      <c r="F479" t="str">
        <f t="shared" si="7"/>
        <v>GÁLAGO</v>
      </c>
    </row>
    <row r="480" spans="5:6" x14ac:dyDescent="0.25">
      <c r="E480" t="s">
        <v>2265</v>
      </c>
      <c r="F480" t="str">
        <f t="shared" si="7"/>
        <v>GARZÓN</v>
      </c>
    </row>
    <row r="481" spans="5:6" x14ac:dyDescent="0.25">
      <c r="E481" t="s">
        <v>2266</v>
      </c>
      <c r="F481" t="str">
        <f t="shared" si="7"/>
        <v>GÉNOVA</v>
      </c>
    </row>
    <row r="482" spans="5:6" x14ac:dyDescent="0.25">
      <c r="E482" t="s">
        <v>2267</v>
      </c>
      <c r="F482" t="str">
        <f t="shared" si="7"/>
        <v>GIRÓN</v>
      </c>
    </row>
    <row r="483" spans="5:6" x14ac:dyDescent="0.25">
      <c r="E483" t="s">
        <v>2268</v>
      </c>
      <c r="F483" t="str">
        <f t="shared" si="7"/>
        <v>GÓMEZ PLATA</v>
      </c>
    </row>
    <row r="484" spans="5:6" x14ac:dyDescent="0.25">
      <c r="E484" t="s">
        <v>2269</v>
      </c>
      <c r="F484" t="str">
        <f t="shared" si="7"/>
        <v>GRANADA</v>
      </c>
    </row>
    <row r="485" spans="5:6" x14ac:dyDescent="0.25">
      <c r="E485" t="s">
        <v>2270</v>
      </c>
      <c r="F485" t="str">
        <f t="shared" si="7"/>
        <v>GRANADA</v>
      </c>
    </row>
    <row r="486" spans="5:6" x14ac:dyDescent="0.25">
      <c r="E486" t="s">
        <v>2271</v>
      </c>
      <c r="F486" t="str">
        <f t="shared" si="7"/>
        <v>GRANADA</v>
      </c>
    </row>
    <row r="487" spans="5:6" x14ac:dyDescent="0.25">
      <c r="E487" t="s">
        <v>2272</v>
      </c>
      <c r="F487" t="str">
        <f t="shared" si="7"/>
        <v>GUACARÍ</v>
      </c>
    </row>
    <row r="488" spans="5:6" x14ac:dyDescent="0.25">
      <c r="E488" t="s">
        <v>2437</v>
      </c>
      <c r="F488" t="str">
        <f t="shared" si="7"/>
        <v>GUACHETA</v>
      </c>
    </row>
    <row r="489" spans="5:6" x14ac:dyDescent="0.25">
      <c r="E489" t="s">
        <v>2273</v>
      </c>
      <c r="F489" t="str">
        <f t="shared" si="7"/>
        <v>GUAPÍ</v>
      </c>
    </row>
    <row r="490" spans="5:6" x14ac:dyDescent="0.25">
      <c r="E490" t="s">
        <v>2274</v>
      </c>
      <c r="F490" t="str">
        <f t="shared" si="7"/>
        <v>GUATAPÉ</v>
      </c>
    </row>
    <row r="491" spans="5:6" x14ac:dyDescent="0.25">
      <c r="E491" t="s">
        <v>2438</v>
      </c>
      <c r="F491" t="str">
        <f t="shared" si="7"/>
        <v>GUATAQUI</v>
      </c>
    </row>
    <row r="492" spans="5:6" x14ac:dyDescent="0.25">
      <c r="E492" t="s">
        <v>2275</v>
      </c>
      <c r="F492" t="str">
        <f t="shared" si="7"/>
        <v>GUÁTICA</v>
      </c>
    </row>
    <row r="493" spans="5:6" x14ac:dyDescent="0.25">
      <c r="E493" t="s">
        <v>2276</v>
      </c>
      <c r="F493" t="str">
        <f t="shared" si="7"/>
        <v>GUAYATÁ</v>
      </c>
    </row>
    <row r="494" spans="5:6" x14ac:dyDescent="0.25">
      <c r="E494" t="s">
        <v>2277</v>
      </c>
      <c r="F494" t="str">
        <f t="shared" si="7"/>
        <v>GÜEPSA</v>
      </c>
    </row>
    <row r="495" spans="5:6" x14ac:dyDescent="0.25">
      <c r="E495" t="s">
        <v>2278</v>
      </c>
      <c r="F495" t="str">
        <f t="shared" si="7"/>
        <v>GÜICÁN DE LA SIERRA</v>
      </c>
    </row>
    <row r="496" spans="5:6" x14ac:dyDescent="0.25">
      <c r="E496" t="s">
        <v>2279</v>
      </c>
      <c r="F496" t="str">
        <f t="shared" si="7"/>
        <v>IBAGUÉ</v>
      </c>
    </row>
    <row r="497" spans="5:6" x14ac:dyDescent="0.25">
      <c r="E497" t="s">
        <v>2280</v>
      </c>
      <c r="F497" t="str">
        <f t="shared" si="7"/>
        <v>ICUIRA</v>
      </c>
    </row>
    <row r="498" spans="5:6" x14ac:dyDescent="0.25">
      <c r="E498" t="s">
        <v>2281</v>
      </c>
      <c r="F498" t="str">
        <f t="shared" si="7"/>
        <v>INZÁ</v>
      </c>
    </row>
    <row r="499" spans="5:6" x14ac:dyDescent="0.25">
      <c r="E499" t="s">
        <v>2282</v>
      </c>
      <c r="F499" t="str">
        <f t="shared" si="7"/>
        <v>ITAGÜÍ</v>
      </c>
    </row>
    <row r="500" spans="5:6" x14ac:dyDescent="0.25">
      <c r="E500" t="s">
        <v>2283</v>
      </c>
      <c r="F500" t="str">
        <f t="shared" si="7"/>
        <v>JAMUNDÍ</v>
      </c>
    </row>
    <row r="501" spans="5:6" x14ac:dyDescent="0.25">
      <c r="E501" t="s">
        <v>2284</v>
      </c>
      <c r="F501" t="str">
        <f t="shared" si="7"/>
        <v>JARDÍN</v>
      </c>
    </row>
    <row r="502" spans="5:6" x14ac:dyDescent="0.25">
      <c r="E502" t="s">
        <v>2285</v>
      </c>
      <c r="F502" t="str">
        <f t="shared" si="7"/>
        <v>JERICÓ</v>
      </c>
    </row>
    <row r="503" spans="5:6" x14ac:dyDescent="0.25">
      <c r="E503" t="s">
        <v>2439</v>
      </c>
      <c r="F503" t="str">
        <f t="shared" si="7"/>
        <v>JUNIN</v>
      </c>
    </row>
    <row r="504" spans="5:6" x14ac:dyDescent="0.25">
      <c r="E504" t="s">
        <v>2286</v>
      </c>
      <c r="F504" t="str">
        <f t="shared" si="7"/>
        <v>JURADÓ</v>
      </c>
    </row>
    <row r="505" spans="5:6" x14ac:dyDescent="0.25">
      <c r="E505" t="s">
        <v>2287</v>
      </c>
      <c r="F505" t="str">
        <f t="shared" si="7"/>
        <v>LA CHORRERA</v>
      </c>
    </row>
    <row r="506" spans="5:6" x14ac:dyDescent="0.25">
      <c r="E506" t="s">
        <v>2289</v>
      </c>
      <c r="F506" t="str">
        <f t="shared" si="7"/>
        <v>LA UNIÓN</v>
      </c>
    </row>
    <row r="507" spans="5:6" x14ac:dyDescent="0.25">
      <c r="E507" t="s">
        <v>2290</v>
      </c>
      <c r="F507" t="str">
        <f t="shared" si="7"/>
        <v>LA URIBE</v>
      </c>
    </row>
    <row r="508" spans="5:6" x14ac:dyDescent="0.25">
      <c r="E508" t="s">
        <v>2440</v>
      </c>
      <c r="F508" t="str">
        <f t="shared" si="7"/>
        <v>LANDAZURI</v>
      </c>
    </row>
    <row r="509" spans="5:6" x14ac:dyDescent="0.25">
      <c r="E509" t="s">
        <v>2291</v>
      </c>
      <c r="F509" t="str">
        <f t="shared" si="7"/>
        <v>LABRIJA</v>
      </c>
    </row>
    <row r="510" spans="5:6" x14ac:dyDescent="0.25">
      <c r="E510" t="s">
        <v>2441</v>
      </c>
      <c r="F510" t="str">
        <f t="shared" si="7"/>
        <v>LEJANIAS</v>
      </c>
    </row>
    <row r="511" spans="5:6" x14ac:dyDescent="0.25">
      <c r="E511" t="s">
        <v>2292</v>
      </c>
      <c r="F511" t="str">
        <f t="shared" si="7"/>
        <v>LÉRIDA</v>
      </c>
    </row>
    <row r="512" spans="5:6" x14ac:dyDescent="0.25">
      <c r="E512" t="s">
        <v>2293</v>
      </c>
      <c r="F512" t="str">
        <f t="shared" si="7"/>
        <v>LÍBANO</v>
      </c>
    </row>
    <row r="513" spans="5:6" x14ac:dyDescent="0.25">
      <c r="E513" t="s">
        <v>2442</v>
      </c>
      <c r="F513" t="str">
        <f t="shared" si="7"/>
        <v>LLORO</v>
      </c>
    </row>
    <row r="514" spans="5:6" x14ac:dyDescent="0.25">
      <c r="E514" t="s">
        <v>2443</v>
      </c>
      <c r="F514" t="str">
        <f t="shared" si="7"/>
        <v>LOS ANDES (SOTO MA</v>
      </c>
    </row>
    <row r="515" spans="5:6" x14ac:dyDescent="0.25">
      <c r="E515" t="s">
        <v>2294</v>
      </c>
      <c r="F515" t="str">
        <f t="shared" ref="F515:F578" si="8">_xlfn.XLOOKUP(E515, $A:$A, $B:$B, E515)</f>
        <v>MACHETÁ</v>
      </c>
    </row>
    <row r="516" spans="5:6" x14ac:dyDescent="0.25">
      <c r="E516" t="s">
        <v>2295</v>
      </c>
      <c r="F516" t="str">
        <f t="shared" si="8"/>
        <v>MAGANGUÉ</v>
      </c>
    </row>
    <row r="517" spans="5:6" x14ac:dyDescent="0.25">
      <c r="E517" t="s">
        <v>2296</v>
      </c>
      <c r="F517" t="str">
        <f t="shared" si="8"/>
        <v>MÁLAGA</v>
      </c>
    </row>
    <row r="518" spans="5:6" x14ac:dyDescent="0.25">
      <c r="E518" t="s">
        <v>2297</v>
      </c>
      <c r="F518" t="str">
        <f t="shared" si="8"/>
        <v>MANAURE BALCÓN DEL CESAR</v>
      </c>
    </row>
    <row r="519" spans="5:6" x14ac:dyDescent="0.25">
      <c r="E519" t="s">
        <v>2298</v>
      </c>
      <c r="F519" t="str">
        <f t="shared" si="8"/>
        <v>MANÍ</v>
      </c>
    </row>
    <row r="520" spans="5:6" x14ac:dyDescent="0.25">
      <c r="E520" t="s">
        <v>2299</v>
      </c>
      <c r="F520" t="str">
        <f t="shared" si="8"/>
        <v>MAPIRIPÁN</v>
      </c>
    </row>
    <row r="521" spans="5:6" x14ac:dyDescent="0.25">
      <c r="E521" t="s">
        <v>2300</v>
      </c>
      <c r="F521" t="str">
        <f t="shared" si="8"/>
        <v>MARIQUITA</v>
      </c>
    </row>
    <row r="522" spans="5:6" x14ac:dyDescent="0.25">
      <c r="E522" t="s">
        <v>2301</v>
      </c>
      <c r="F522" t="str">
        <f t="shared" si="8"/>
        <v>MEDELLÍN</v>
      </c>
    </row>
    <row r="523" spans="5:6" x14ac:dyDescent="0.25">
      <c r="E523" t="s">
        <v>2444</v>
      </c>
      <c r="F523" t="str">
        <f t="shared" si="8"/>
        <v>MEDIO BAUDO</v>
      </c>
    </row>
    <row r="524" spans="5:6" x14ac:dyDescent="0.25">
      <c r="E524" t="s">
        <v>2302</v>
      </c>
      <c r="F524" t="str">
        <f t="shared" si="8"/>
        <v>MISTRATÓ</v>
      </c>
    </row>
    <row r="525" spans="5:6" x14ac:dyDescent="0.25">
      <c r="E525" t="s">
        <v>2303</v>
      </c>
      <c r="F525" t="str">
        <f t="shared" si="8"/>
        <v>MITÚ</v>
      </c>
    </row>
    <row r="526" spans="5:6" x14ac:dyDescent="0.25">
      <c r="E526" t="s">
        <v>2304</v>
      </c>
      <c r="F526" t="str">
        <f t="shared" si="8"/>
        <v>MOMPÓS</v>
      </c>
    </row>
    <row r="527" spans="5:6" x14ac:dyDescent="0.25">
      <c r="E527" t="s">
        <v>2305</v>
      </c>
      <c r="F527" t="str">
        <f t="shared" si="8"/>
        <v>MONIQUIRÁ</v>
      </c>
    </row>
    <row r="528" spans="5:6" x14ac:dyDescent="0.25">
      <c r="E528" t="s">
        <v>2306</v>
      </c>
      <c r="F528" t="str">
        <f t="shared" si="8"/>
        <v>MOÑITOS</v>
      </c>
    </row>
    <row r="529" spans="5:6" x14ac:dyDescent="0.25">
      <c r="E529" t="s">
        <v>2307</v>
      </c>
      <c r="F529" t="str">
        <f t="shared" si="8"/>
        <v>MONTELÍBANO</v>
      </c>
    </row>
    <row r="530" spans="5:6" x14ac:dyDescent="0.25">
      <c r="E530" t="s">
        <v>2308</v>
      </c>
      <c r="F530" t="str">
        <f t="shared" si="8"/>
        <v>MONTERÍA</v>
      </c>
    </row>
    <row r="531" spans="5:6" x14ac:dyDescent="0.25">
      <c r="E531" t="s">
        <v>2309</v>
      </c>
      <c r="F531" t="str">
        <f t="shared" si="8"/>
        <v>MUTATÁ</v>
      </c>
    </row>
    <row r="532" spans="5:6" x14ac:dyDescent="0.25">
      <c r="E532" t="s">
        <v>2445</v>
      </c>
      <c r="F532" t="str">
        <f t="shared" si="8"/>
        <v>NATAGA</v>
      </c>
    </row>
    <row r="533" spans="5:6" x14ac:dyDescent="0.25">
      <c r="E533" t="s">
        <v>2310</v>
      </c>
      <c r="F533" t="str">
        <f t="shared" si="8"/>
        <v>NECOCLÍ</v>
      </c>
    </row>
    <row r="534" spans="5:6" x14ac:dyDescent="0.25">
      <c r="E534" t="s">
        <v>2311</v>
      </c>
      <c r="F534" t="str">
        <f t="shared" si="8"/>
        <v>NEMOCÓN</v>
      </c>
    </row>
    <row r="535" spans="5:6" x14ac:dyDescent="0.25">
      <c r="E535" t="s">
        <v>2313</v>
      </c>
      <c r="F535" t="str">
        <f t="shared" si="8"/>
        <v>NUQUÍ</v>
      </c>
    </row>
    <row r="536" spans="5:6" x14ac:dyDescent="0.25">
      <c r="E536" t="s">
        <v>2314</v>
      </c>
      <c r="F536" t="str">
        <f t="shared" si="8"/>
        <v>OROCUE</v>
      </c>
    </row>
    <row r="537" spans="5:6" x14ac:dyDescent="0.25">
      <c r="E537" t="s">
        <v>2315</v>
      </c>
      <c r="F537" t="str">
        <f t="shared" si="8"/>
        <v>PÁCORA</v>
      </c>
    </row>
    <row r="538" spans="5:6" x14ac:dyDescent="0.25">
      <c r="E538" t="s">
        <v>2446</v>
      </c>
      <c r="F538" t="str">
        <f t="shared" si="8"/>
        <v>PATÍA</v>
      </c>
    </row>
    <row r="539" spans="5:6" x14ac:dyDescent="0.25">
      <c r="E539" t="s">
        <v>2317</v>
      </c>
      <c r="F539" t="str">
        <f t="shared" si="8"/>
        <v>PAZ DE RÍO</v>
      </c>
    </row>
    <row r="540" spans="5:6" x14ac:dyDescent="0.25">
      <c r="E540" t="s">
        <v>2318</v>
      </c>
      <c r="F540" t="str">
        <f t="shared" si="8"/>
        <v>PIENDAMÓ</v>
      </c>
    </row>
    <row r="541" spans="5:6" x14ac:dyDescent="0.25">
      <c r="E541" t="s">
        <v>2319</v>
      </c>
      <c r="F541" t="str">
        <f t="shared" si="8"/>
        <v>PIOJO</v>
      </c>
    </row>
    <row r="542" spans="5:6" x14ac:dyDescent="0.25">
      <c r="E542" t="s">
        <v>2320</v>
      </c>
      <c r="F542" t="str">
        <f t="shared" si="8"/>
        <v>POPAYÁN</v>
      </c>
    </row>
    <row r="543" spans="5:6" x14ac:dyDescent="0.25">
      <c r="E543" t="s">
        <v>2321</v>
      </c>
      <c r="F543" t="str">
        <f t="shared" si="8"/>
        <v>PTO NAREL(LAMAG</v>
      </c>
    </row>
    <row r="544" spans="5:6" x14ac:dyDescent="0.25">
      <c r="E544" t="s">
        <v>2322</v>
      </c>
      <c r="F544" t="str">
        <f t="shared" si="8"/>
        <v>PUERTO ASÍS</v>
      </c>
    </row>
    <row r="545" spans="5:6" x14ac:dyDescent="0.25">
      <c r="E545" t="s">
        <v>2323</v>
      </c>
      <c r="F545" t="str">
        <f t="shared" si="8"/>
        <v>PUERTO BERRÍO</v>
      </c>
    </row>
    <row r="546" spans="5:6" x14ac:dyDescent="0.25">
      <c r="E546" t="s">
        <v>2324</v>
      </c>
      <c r="F546" t="str">
        <f t="shared" si="8"/>
        <v>PUERTO BOYACA</v>
      </c>
    </row>
    <row r="547" spans="5:6" x14ac:dyDescent="0.25">
      <c r="E547" t="s">
        <v>2325</v>
      </c>
      <c r="F547" t="str">
        <f t="shared" si="8"/>
        <v>PUERTO CONCORDIA</v>
      </c>
    </row>
    <row r="548" spans="5:6" x14ac:dyDescent="0.25">
      <c r="E548" t="s">
        <v>2326</v>
      </c>
      <c r="F548" t="str">
        <f t="shared" si="8"/>
        <v>PUERTO GAITÁN</v>
      </c>
    </row>
    <row r="549" spans="5:6" x14ac:dyDescent="0.25">
      <c r="E549" t="s">
        <v>2327</v>
      </c>
      <c r="F549" t="str">
        <f t="shared" si="8"/>
        <v>INÍRIDA</v>
      </c>
    </row>
    <row r="550" spans="5:6" x14ac:dyDescent="0.25">
      <c r="E550" t="s">
        <v>2328</v>
      </c>
      <c r="F550" t="str">
        <f t="shared" si="8"/>
        <v>PUERTO LEGUÍZAMO</v>
      </c>
    </row>
    <row r="551" spans="5:6" x14ac:dyDescent="0.25">
      <c r="E551" t="s">
        <v>2329</v>
      </c>
      <c r="F551" t="str">
        <f t="shared" si="8"/>
        <v>PUERTO LIBERTADOR</v>
      </c>
    </row>
    <row r="552" spans="5:6" x14ac:dyDescent="0.25">
      <c r="E552" t="s">
        <v>2330</v>
      </c>
      <c r="F552" t="str">
        <f t="shared" si="8"/>
        <v>PUERTO LÓPEZ</v>
      </c>
    </row>
    <row r="553" spans="5:6" x14ac:dyDescent="0.25">
      <c r="E553" t="s">
        <v>2331</v>
      </c>
      <c r="F553" t="str">
        <f t="shared" si="8"/>
        <v>PURACÉ</v>
      </c>
    </row>
    <row r="554" spans="5:6" x14ac:dyDescent="0.25">
      <c r="E554" t="s">
        <v>2332</v>
      </c>
      <c r="F554" t="str">
        <f t="shared" si="8"/>
        <v>PURIFICACIÓN</v>
      </c>
    </row>
    <row r="555" spans="5:6" x14ac:dyDescent="0.25">
      <c r="E555" t="s">
        <v>2333</v>
      </c>
      <c r="F555" t="str">
        <f t="shared" si="8"/>
        <v>QUIBDÓ</v>
      </c>
    </row>
    <row r="556" spans="5:6" x14ac:dyDescent="0.25">
      <c r="E556" t="s">
        <v>2335</v>
      </c>
      <c r="F556" t="str">
        <f t="shared" si="8"/>
        <v>QUÍPAMA</v>
      </c>
    </row>
    <row r="557" spans="5:6" x14ac:dyDescent="0.25">
      <c r="E557" t="s">
        <v>2447</v>
      </c>
      <c r="F557" t="str">
        <f t="shared" si="8"/>
        <v>RAFAEL REYES</v>
      </c>
    </row>
    <row r="558" spans="5:6" x14ac:dyDescent="0.25">
      <c r="E558" t="s">
        <v>2336</v>
      </c>
      <c r="F558" t="str">
        <f t="shared" si="8"/>
        <v>RAMIRIQUÍ</v>
      </c>
    </row>
    <row r="559" spans="5:6" x14ac:dyDescent="0.25">
      <c r="E559" t="s">
        <v>2337</v>
      </c>
      <c r="F559" t="str">
        <f t="shared" si="8"/>
        <v>RÁQUIRA</v>
      </c>
    </row>
    <row r="560" spans="5:6" x14ac:dyDescent="0.25">
      <c r="E560" t="s">
        <v>2338</v>
      </c>
      <c r="F560" t="str">
        <f t="shared" si="8"/>
        <v>RÍO DE ORO</v>
      </c>
    </row>
    <row r="561" spans="5:6" x14ac:dyDescent="0.25">
      <c r="E561" t="s">
        <v>2339</v>
      </c>
      <c r="F561" t="str">
        <f t="shared" si="8"/>
        <v>RIOFRÍO</v>
      </c>
    </row>
    <row r="562" spans="5:6" x14ac:dyDescent="0.25">
      <c r="E562" t="s">
        <v>2340</v>
      </c>
      <c r="F562" t="str">
        <f t="shared" si="8"/>
        <v>LA PAZ</v>
      </c>
    </row>
    <row r="563" spans="5:6" x14ac:dyDescent="0.25">
      <c r="E563" t="s">
        <v>2341</v>
      </c>
      <c r="F563" t="str">
        <f t="shared" si="8"/>
        <v>ROLDANILLO</v>
      </c>
    </row>
    <row r="564" spans="5:6" x14ac:dyDescent="0.25">
      <c r="E564" t="s">
        <v>2448</v>
      </c>
      <c r="F564" t="str">
        <f t="shared" si="8"/>
        <v>SABOYA</v>
      </c>
    </row>
    <row r="565" spans="5:6" x14ac:dyDescent="0.25">
      <c r="E565" t="s">
        <v>2342</v>
      </c>
      <c r="F565" t="str">
        <f t="shared" si="8"/>
        <v>SACHICA</v>
      </c>
    </row>
    <row r="566" spans="5:6" x14ac:dyDescent="0.25">
      <c r="E566" t="s">
        <v>2343</v>
      </c>
      <c r="F566" t="str">
        <f t="shared" si="8"/>
        <v>SAHAGÚN</v>
      </c>
    </row>
    <row r="567" spans="5:6" x14ac:dyDescent="0.25">
      <c r="E567" t="s">
        <v>2344</v>
      </c>
      <c r="F567" t="str">
        <f t="shared" si="8"/>
        <v>SÁMACA</v>
      </c>
    </row>
    <row r="568" spans="5:6" x14ac:dyDescent="0.25">
      <c r="E568" t="s">
        <v>2345</v>
      </c>
      <c r="F568" t="str">
        <f t="shared" si="8"/>
        <v>SAMANÁ</v>
      </c>
    </row>
    <row r="569" spans="5:6" x14ac:dyDescent="0.25">
      <c r="E569" t="s">
        <v>2346</v>
      </c>
      <c r="F569" t="str">
        <f t="shared" si="8"/>
        <v>SAMPUÉS</v>
      </c>
    </row>
    <row r="570" spans="5:6" x14ac:dyDescent="0.25">
      <c r="E570" t="s">
        <v>2347</v>
      </c>
      <c r="F570" t="str">
        <f t="shared" si="8"/>
        <v>SAN AGUSTÍN</v>
      </c>
    </row>
    <row r="571" spans="5:6" x14ac:dyDescent="0.25">
      <c r="E571" t="s">
        <v>2348</v>
      </c>
      <c r="F571" t="str">
        <f t="shared" si="8"/>
        <v>SAN ANDRÉS</v>
      </c>
    </row>
    <row r="572" spans="5:6" x14ac:dyDescent="0.25">
      <c r="E572" t="s">
        <v>2349</v>
      </c>
      <c r="F572" t="str">
        <f t="shared" si="8"/>
        <v>SAN ANDRÉS DE SOTAVENTO</v>
      </c>
    </row>
    <row r="573" spans="5:6" x14ac:dyDescent="0.25">
      <c r="E573" t="s">
        <v>2350</v>
      </c>
      <c r="F573" t="str">
        <f t="shared" si="8"/>
        <v>SAN BERNARDO</v>
      </c>
    </row>
    <row r="574" spans="5:6" x14ac:dyDescent="0.25">
      <c r="E574" t="s">
        <v>2351</v>
      </c>
      <c r="F574" t="str">
        <f t="shared" si="8"/>
        <v>SAN CARLOS</v>
      </c>
    </row>
    <row r="575" spans="5:6" x14ac:dyDescent="0.25">
      <c r="E575" t="s">
        <v>2352</v>
      </c>
      <c r="F575" t="str">
        <f t="shared" si="8"/>
        <v>SAN JERÓNIMO</v>
      </c>
    </row>
    <row r="576" spans="5:6" x14ac:dyDescent="0.25">
      <c r="E576" t="s">
        <v>2449</v>
      </c>
      <c r="F576" t="str">
        <f t="shared" si="8"/>
        <v>SAN JOSE</v>
      </c>
    </row>
    <row r="577" spans="5:6" x14ac:dyDescent="0.25">
      <c r="E577" t="s">
        <v>2353</v>
      </c>
      <c r="F577" t="str">
        <f t="shared" si="8"/>
        <v>SAN JOSÉ DEL GUAVIARE</v>
      </c>
    </row>
    <row r="578" spans="5:6" x14ac:dyDescent="0.25">
      <c r="E578" t="s">
        <v>2354</v>
      </c>
      <c r="F578" t="str">
        <f t="shared" si="8"/>
        <v>SAN JOSÉ DE URÉ</v>
      </c>
    </row>
    <row r="579" spans="5:6" x14ac:dyDescent="0.2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25">
      <c r="E580" t="s">
        <v>2356</v>
      </c>
      <c r="F580" t="str">
        <f t="shared" si="9"/>
        <v>SAN JUAN NEPOMUCENO</v>
      </c>
    </row>
    <row r="581" spans="5:6" x14ac:dyDescent="0.25">
      <c r="E581" t="s">
        <v>2357</v>
      </c>
      <c r="F581" t="str">
        <f t="shared" si="9"/>
        <v>SAN LUIS DE GACENO</v>
      </c>
    </row>
    <row r="582" spans="5:6" x14ac:dyDescent="0.25">
      <c r="E582" t="s">
        <v>2358</v>
      </c>
      <c r="F582" t="str">
        <f t="shared" si="9"/>
        <v>SAN LUIS DE PALENQUE</v>
      </c>
    </row>
    <row r="583" spans="5:6" x14ac:dyDescent="0.25">
      <c r="E583" t="s">
        <v>2359</v>
      </c>
      <c r="F583" t="str">
        <f t="shared" si="9"/>
        <v>SAN MARTÍN</v>
      </c>
    </row>
    <row r="584" spans="5:6" x14ac:dyDescent="0.25">
      <c r="E584" t="s">
        <v>2450</v>
      </c>
      <c r="F584" t="str">
        <f t="shared" si="9"/>
        <v>SAN PEDRO DE URABA</v>
      </c>
    </row>
    <row r="585" spans="5:6" x14ac:dyDescent="0.25">
      <c r="E585" t="s">
        <v>2361</v>
      </c>
      <c r="F585" t="str">
        <f t="shared" si="9"/>
        <v>SAN SEBASTIÁN</v>
      </c>
    </row>
    <row r="586" spans="5:6" x14ac:dyDescent="0.25">
      <c r="E586" t="s">
        <v>2362</v>
      </c>
      <c r="F586" t="str">
        <f t="shared" si="9"/>
        <v>SAN SEBASTIÁN DE BUENAVISTA</v>
      </c>
    </row>
    <row r="587" spans="5:6" x14ac:dyDescent="0.25">
      <c r="E587" t="s">
        <v>2363</v>
      </c>
      <c r="F587" t="str">
        <f t="shared" si="9"/>
        <v>SAN VICENTE</v>
      </c>
    </row>
    <row r="588" spans="5:6" x14ac:dyDescent="0.25">
      <c r="E588" t="s">
        <v>2451</v>
      </c>
      <c r="F588" t="str">
        <f t="shared" si="9"/>
        <v>SAN VICENTE DE CHUC</v>
      </c>
    </row>
    <row r="589" spans="5:6" x14ac:dyDescent="0.25">
      <c r="E589" t="s">
        <v>2452</v>
      </c>
      <c r="F589" t="str">
        <f t="shared" si="9"/>
        <v>SAN VICENTE DEL CAG</v>
      </c>
    </row>
    <row r="590" spans="5:6" x14ac:dyDescent="0.25">
      <c r="E590" t="s">
        <v>2366</v>
      </c>
      <c r="F590" t="str">
        <f t="shared" si="9"/>
        <v>SANDONÁ</v>
      </c>
    </row>
    <row r="591" spans="5:6" x14ac:dyDescent="0.25">
      <c r="E591" t="s">
        <v>2367</v>
      </c>
      <c r="F591" t="str">
        <f t="shared" si="9"/>
        <v>SANTA BÁRBARA</v>
      </c>
    </row>
    <row r="592" spans="5:6" x14ac:dyDescent="0.25">
      <c r="E592" t="s">
        <v>2368</v>
      </c>
      <c r="F592" t="str">
        <f t="shared" si="9"/>
        <v>SANTA MARÍA</v>
      </c>
    </row>
    <row r="593" spans="5:6" x14ac:dyDescent="0.25">
      <c r="E593" t="s">
        <v>2453</v>
      </c>
      <c r="F593" t="str">
        <f t="shared" si="9"/>
        <v>SANTA ROSA DE VITER</v>
      </c>
    </row>
    <row r="594" spans="5:6" x14ac:dyDescent="0.25">
      <c r="E594" t="s">
        <v>2372</v>
      </c>
      <c r="F594" t="str">
        <f t="shared" si="9"/>
        <v>SANTANDER DE QUILICHAO</v>
      </c>
    </row>
    <row r="595" spans="5:6" x14ac:dyDescent="0.25">
      <c r="E595" t="s">
        <v>2373</v>
      </c>
      <c r="F595" t="str">
        <f t="shared" si="9"/>
        <v>SANTO TOMÁS</v>
      </c>
    </row>
    <row r="596" spans="5:6" x14ac:dyDescent="0.25">
      <c r="E596" t="s">
        <v>2374</v>
      </c>
      <c r="F596" t="str">
        <f t="shared" si="9"/>
        <v>SESQUILÉ</v>
      </c>
    </row>
    <row r="597" spans="5:6" x14ac:dyDescent="0.25">
      <c r="E597" t="s">
        <v>2375</v>
      </c>
      <c r="F597" t="str">
        <f t="shared" si="9"/>
        <v>SIBATÉ</v>
      </c>
    </row>
    <row r="598" spans="5:6" x14ac:dyDescent="0.25">
      <c r="E598" t="s">
        <v>2376</v>
      </c>
      <c r="F598" t="str">
        <f t="shared" si="9"/>
        <v>SINCÉ</v>
      </c>
    </row>
    <row r="599" spans="5:6" x14ac:dyDescent="0.25">
      <c r="E599" t="s">
        <v>2377</v>
      </c>
      <c r="F599" t="str">
        <f t="shared" si="9"/>
        <v>SONSÓN</v>
      </c>
    </row>
    <row r="600" spans="5:6" x14ac:dyDescent="0.25">
      <c r="E600" t="s">
        <v>2378</v>
      </c>
      <c r="F600" t="str">
        <f t="shared" si="9"/>
        <v>SOPETRÁN</v>
      </c>
    </row>
    <row r="601" spans="5:6" x14ac:dyDescent="0.25">
      <c r="E601" t="s">
        <v>2379</v>
      </c>
      <c r="F601" t="str">
        <f t="shared" si="9"/>
        <v>SOPÓ</v>
      </c>
    </row>
    <row r="602" spans="5:6" x14ac:dyDescent="0.25">
      <c r="E602" t="s">
        <v>2380</v>
      </c>
      <c r="F602" t="str">
        <f t="shared" si="9"/>
        <v>SOTAQUIRÁ</v>
      </c>
    </row>
    <row r="603" spans="5:6" x14ac:dyDescent="0.25">
      <c r="E603" t="s">
        <v>2381</v>
      </c>
      <c r="F603" t="str">
        <f t="shared" si="9"/>
        <v>SANTA ROSA DE OSOS</v>
      </c>
    </row>
    <row r="604" spans="5:6" x14ac:dyDescent="0.25">
      <c r="E604" t="s">
        <v>2382</v>
      </c>
      <c r="F604" t="str">
        <f t="shared" si="9"/>
        <v>SUPÍA</v>
      </c>
    </row>
    <row r="605" spans="5:6" x14ac:dyDescent="0.25">
      <c r="E605" t="s">
        <v>2383</v>
      </c>
      <c r="F605" t="str">
        <f t="shared" si="9"/>
        <v>SUTAMARCHÁN</v>
      </c>
    </row>
    <row r="606" spans="5:6" x14ac:dyDescent="0.25">
      <c r="E606" t="s">
        <v>2384</v>
      </c>
      <c r="F606" t="str">
        <f t="shared" si="9"/>
        <v>TÁMARA</v>
      </c>
    </row>
    <row r="607" spans="5:6" x14ac:dyDescent="0.25">
      <c r="E607" t="s">
        <v>2385</v>
      </c>
      <c r="F607" t="str">
        <f t="shared" si="9"/>
        <v>TIBANÁ</v>
      </c>
    </row>
    <row r="608" spans="5:6" x14ac:dyDescent="0.25">
      <c r="E608" t="s">
        <v>2386</v>
      </c>
      <c r="F608" t="str">
        <f t="shared" si="9"/>
        <v>TIBÚ</v>
      </c>
    </row>
    <row r="609" spans="5:6" x14ac:dyDescent="0.25">
      <c r="E609" t="s">
        <v>2387</v>
      </c>
      <c r="F609" t="str">
        <f t="shared" si="9"/>
        <v>TIMANÁ</v>
      </c>
    </row>
    <row r="610" spans="5:6" x14ac:dyDescent="0.25">
      <c r="E610" t="s">
        <v>2388</v>
      </c>
      <c r="F610" t="str">
        <f t="shared" si="9"/>
        <v>TIMBÍO</v>
      </c>
    </row>
    <row r="611" spans="5:6" x14ac:dyDescent="0.25">
      <c r="E611" t="s">
        <v>2389</v>
      </c>
      <c r="F611" t="str">
        <f t="shared" si="9"/>
        <v>TIMBIQUÍ</v>
      </c>
    </row>
    <row r="612" spans="5:6" x14ac:dyDescent="0.25">
      <c r="E612" t="s">
        <v>2390</v>
      </c>
      <c r="F612" t="str">
        <f t="shared" si="9"/>
        <v>TINJACÁ</v>
      </c>
    </row>
    <row r="613" spans="5:6" x14ac:dyDescent="0.25">
      <c r="E613" t="s">
        <v>2391</v>
      </c>
      <c r="F613" t="str">
        <f t="shared" si="9"/>
        <v>TITIRIBÍ</v>
      </c>
    </row>
    <row r="614" spans="5:6" x14ac:dyDescent="0.25">
      <c r="E614" t="s">
        <v>2392</v>
      </c>
      <c r="F614" t="str">
        <f t="shared" si="9"/>
        <v>TOCANCIPÁ</v>
      </c>
    </row>
    <row r="615" spans="5:6" x14ac:dyDescent="0.25">
      <c r="E615" t="s">
        <v>2393</v>
      </c>
      <c r="F615" t="str">
        <f t="shared" si="9"/>
        <v>SANTIAGO DE TOLÚ</v>
      </c>
    </row>
    <row r="616" spans="5:6" x14ac:dyDescent="0.25">
      <c r="E616" t="s">
        <v>2394</v>
      </c>
      <c r="F616" t="str">
        <f t="shared" si="9"/>
        <v>TOLUVIEJO</v>
      </c>
    </row>
    <row r="617" spans="5:6" x14ac:dyDescent="0.25">
      <c r="E617" t="s">
        <v>2395</v>
      </c>
      <c r="F617" t="str">
        <f t="shared" si="9"/>
        <v>TOTORÓ</v>
      </c>
    </row>
    <row r="618" spans="5:6" x14ac:dyDescent="0.25">
      <c r="E618" t="s">
        <v>2396</v>
      </c>
      <c r="F618" t="str">
        <f t="shared" si="9"/>
        <v>TUBARÁ</v>
      </c>
    </row>
    <row r="619" spans="5:6" x14ac:dyDescent="0.25">
      <c r="E619" t="s">
        <v>2397</v>
      </c>
      <c r="F619" t="str">
        <f t="shared" si="9"/>
        <v>TULUÁ</v>
      </c>
    </row>
    <row r="620" spans="5:6" x14ac:dyDescent="0.25">
      <c r="E620" t="s">
        <v>2398</v>
      </c>
      <c r="F620" t="str">
        <f t="shared" si="9"/>
        <v>TUMACO</v>
      </c>
    </row>
    <row r="621" spans="5:6" x14ac:dyDescent="0.25">
      <c r="E621" t="s">
        <v>2399</v>
      </c>
      <c r="F621" t="str">
        <f t="shared" si="9"/>
        <v>TÚQUERRES</v>
      </c>
    </row>
    <row r="622" spans="5:6" x14ac:dyDescent="0.25">
      <c r="E622" t="s">
        <v>2400</v>
      </c>
      <c r="F622" t="str">
        <f t="shared" si="9"/>
        <v>TURBANÁ</v>
      </c>
    </row>
    <row r="623" spans="5:6" x14ac:dyDescent="0.25">
      <c r="E623" t="s">
        <v>2401</v>
      </c>
      <c r="F623" t="str">
        <f t="shared" si="9"/>
        <v>TURMEQUÉ</v>
      </c>
    </row>
    <row r="624" spans="5:6" x14ac:dyDescent="0.25">
      <c r="E624" t="s">
        <v>2402</v>
      </c>
      <c r="F624" t="str">
        <f t="shared" si="9"/>
        <v>UBALÁ</v>
      </c>
    </row>
    <row r="625" spans="5:6" x14ac:dyDescent="0.25">
      <c r="E625" t="s">
        <v>2403</v>
      </c>
      <c r="F625" t="str">
        <f t="shared" si="9"/>
        <v>UBATÉ</v>
      </c>
    </row>
    <row r="626" spans="5:6" x14ac:dyDescent="0.25">
      <c r="E626" t="s">
        <v>2404</v>
      </c>
      <c r="F626" t="str">
        <f t="shared" si="9"/>
        <v>ÚMBITA</v>
      </c>
    </row>
    <row r="627" spans="5:6" x14ac:dyDescent="0.25">
      <c r="E627" t="s">
        <v>2405</v>
      </c>
      <c r="F627" t="str">
        <f t="shared" si="9"/>
        <v>UNGUÍA</v>
      </c>
    </row>
    <row r="628" spans="5:6" x14ac:dyDescent="0.25">
      <c r="E628" t="s">
        <v>2406</v>
      </c>
      <c r="F628" t="str">
        <f t="shared" si="9"/>
        <v>USIACURÍ</v>
      </c>
    </row>
    <row r="629" spans="5:6" x14ac:dyDescent="0.25">
      <c r="E629" t="s">
        <v>2407</v>
      </c>
      <c r="F629" t="str">
        <f t="shared" si="9"/>
        <v>ÚTICA</v>
      </c>
    </row>
    <row r="630" spans="5:6" x14ac:dyDescent="0.25">
      <c r="E630" t="s">
        <v>2408</v>
      </c>
      <c r="F630" t="str">
        <f t="shared" si="9"/>
        <v>VALLE DE SAN JOSÉ</v>
      </c>
    </row>
    <row r="631" spans="5:6" x14ac:dyDescent="0.25">
      <c r="E631" t="s">
        <v>2409</v>
      </c>
      <c r="F631" t="str">
        <f t="shared" si="9"/>
        <v>VÉLEZ</v>
      </c>
    </row>
    <row r="632" spans="5:6" x14ac:dyDescent="0.25">
      <c r="E632" t="s">
        <v>2410</v>
      </c>
      <c r="F632" t="str">
        <f t="shared" si="9"/>
        <v>VIANÍ</v>
      </c>
    </row>
    <row r="633" spans="5:6" x14ac:dyDescent="0.25">
      <c r="E633" t="s">
        <v>2411</v>
      </c>
      <c r="F633" t="str">
        <f t="shared" si="9"/>
        <v>VILLA DEL ROSARIO</v>
      </c>
    </row>
    <row r="634" spans="5:6" x14ac:dyDescent="0.25">
      <c r="E634" t="s">
        <v>2412</v>
      </c>
      <c r="F634" t="str">
        <f t="shared" si="9"/>
        <v>VILLAGARZÓN</v>
      </c>
    </row>
    <row r="635" spans="5:6" x14ac:dyDescent="0.25">
      <c r="E635" t="s">
        <v>2413</v>
      </c>
      <c r="F635" t="str">
        <f t="shared" si="9"/>
        <v>VILLAMARÍA</v>
      </c>
    </row>
    <row r="636" spans="5:6" x14ac:dyDescent="0.25">
      <c r="E636" t="s">
        <v>2414</v>
      </c>
      <c r="F636" t="str">
        <f t="shared" si="9"/>
        <v>VILLAPINZÓN</v>
      </c>
    </row>
    <row r="637" spans="5:6" x14ac:dyDescent="0.25">
      <c r="E637" t="s">
        <v>2415</v>
      </c>
      <c r="F637" t="str">
        <f t="shared" si="9"/>
        <v>VIOTÁ</v>
      </c>
    </row>
    <row r="638" spans="5:6" x14ac:dyDescent="0.25">
      <c r="E638" t="s">
        <v>2416</v>
      </c>
      <c r="F638" t="str">
        <f t="shared" si="9"/>
        <v>VIRACACHÁ</v>
      </c>
    </row>
    <row r="639" spans="5:6" x14ac:dyDescent="0.25">
      <c r="E639" t="s">
        <v>2417</v>
      </c>
      <c r="F639" t="str">
        <f t="shared" si="9"/>
        <v>VISTA HERMOSA</v>
      </c>
    </row>
    <row r="640" spans="5:6" x14ac:dyDescent="0.25">
      <c r="E640" t="s">
        <v>2418</v>
      </c>
      <c r="F640" t="str">
        <f t="shared" si="9"/>
        <v>YAGUARÁ</v>
      </c>
    </row>
    <row r="641" spans="5:6" x14ac:dyDescent="0.25">
      <c r="E641" t="s">
        <v>2419</v>
      </c>
      <c r="F641" t="str">
        <f t="shared" si="9"/>
        <v>YOLOMBÓ</v>
      </c>
    </row>
    <row r="642" spans="5:6" x14ac:dyDescent="0.25">
      <c r="E642" t="s">
        <v>2420</v>
      </c>
      <c r="F642" t="str">
        <f t="shared" si="9"/>
        <v>YONDÓ</v>
      </c>
    </row>
    <row r="643" spans="5:6" x14ac:dyDescent="0.25">
      <c r="E643" t="s">
        <v>2421</v>
      </c>
      <c r="F643" t="str">
        <f t="shared" ref="F643:F706" si="10">_xlfn.XLOOKUP(E643, $A:$A, $B:$B, E643)</f>
        <v>ZIPACÓN</v>
      </c>
    </row>
    <row r="644" spans="5:6" x14ac:dyDescent="0.25">
      <c r="E644" t="s">
        <v>2422</v>
      </c>
      <c r="F644" t="str">
        <f t="shared" si="10"/>
        <v>ZIPAQUIRÁ</v>
      </c>
    </row>
    <row r="645" spans="5:6" x14ac:dyDescent="0.25">
      <c r="E645" t="s">
        <v>2170</v>
      </c>
      <c r="F645" t="str">
        <f t="shared" si="10"/>
        <v>SANTA ROSALIA</v>
      </c>
    </row>
    <row r="646" spans="5:6" x14ac:dyDescent="0.25">
      <c r="E646" t="s">
        <v>2171</v>
      </c>
      <c r="F646" t="str">
        <f t="shared" si="10"/>
        <v>ABREGO</v>
      </c>
    </row>
    <row r="647" spans="5:6" x14ac:dyDescent="0.25">
      <c r="E647" t="s">
        <v>2172</v>
      </c>
      <c r="F647" t="str">
        <f t="shared" si="10"/>
        <v>ABRIAQUI</v>
      </c>
    </row>
    <row r="648" spans="5:6" x14ac:dyDescent="0.25">
      <c r="E648" t="s">
        <v>2173</v>
      </c>
      <c r="F648" t="str">
        <f t="shared" si="10"/>
        <v>ACACIAS</v>
      </c>
    </row>
    <row r="649" spans="5:6" x14ac:dyDescent="0.25">
      <c r="E649" t="s">
        <v>2174</v>
      </c>
      <c r="F649" t="str">
        <f t="shared" si="10"/>
        <v>ACANDI</v>
      </c>
    </row>
    <row r="650" spans="5:6" x14ac:dyDescent="0.25">
      <c r="E650" t="s">
        <v>2175</v>
      </c>
      <c r="F650" t="str">
        <f t="shared" si="10"/>
        <v>ACHI</v>
      </c>
    </row>
    <row r="651" spans="5:6" x14ac:dyDescent="0.25">
      <c r="E651" t="s">
        <v>2176</v>
      </c>
      <c r="F651" t="str">
        <f t="shared" si="10"/>
        <v>AGUSTIN CODAZZI</v>
      </c>
    </row>
    <row r="652" spans="5:6" x14ac:dyDescent="0.25">
      <c r="E652" t="s">
        <v>2177</v>
      </c>
      <c r="F652" t="str">
        <f t="shared" si="10"/>
        <v>ALBAN</v>
      </c>
    </row>
    <row r="653" spans="5:6" x14ac:dyDescent="0.25">
      <c r="E653" t="s">
        <v>2178</v>
      </c>
      <c r="F653" t="str">
        <f t="shared" si="10"/>
        <v>ALCALA</v>
      </c>
    </row>
    <row r="654" spans="5:6" x14ac:dyDescent="0.25">
      <c r="E654" t="s">
        <v>2179</v>
      </c>
      <c r="F654" t="str">
        <f t="shared" si="10"/>
        <v>ALEJANDRIA</v>
      </c>
    </row>
    <row r="655" spans="5:6" x14ac:dyDescent="0.25">
      <c r="E655" t="s">
        <v>2180</v>
      </c>
      <c r="F655" t="str">
        <f t="shared" si="10"/>
        <v>AMAGA</v>
      </c>
    </row>
    <row r="656" spans="5:6" x14ac:dyDescent="0.25">
      <c r="E656" t="s">
        <v>2181</v>
      </c>
      <c r="F656" t="str">
        <f t="shared" si="10"/>
        <v>ANDALUCIA</v>
      </c>
    </row>
    <row r="657" spans="5:6" x14ac:dyDescent="0.25">
      <c r="E657" t="s">
        <v>2423</v>
      </c>
      <c r="F657" t="str">
        <f t="shared" si="10"/>
        <v>ANGELOPOLIS</v>
      </c>
    </row>
    <row r="658" spans="5:6" x14ac:dyDescent="0.25">
      <c r="E658" t="s">
        <v>2182</v>
      </c>
      <c r="F658" t="str">
        <f t="shared" si="10"/>
        <v>ANORI</v>
      </c>
    </row>
    <row r="659" spans="5:6" x14ac:dyDescent="0.25">
      <c r="E659" t="s">
        <v>2183</v>
      </c>
      <c r="F659" t="str">
        <f t="shared" si="10"/>
        <v>ANTIOQUIA</v>
      </c>
    </row>
    <row r="660" spans="5:6" x14ac:dyDescent="0.25">
      <c r="E660" t="s">
        <v>2424</v>
      </c>
      <c r="F660" t="str">
        <f t="shared" si="10"/>
        <v>ANZA</v>
      </c>
    </row>
    <row r="661" spans="5:6" x14ac:dyDescent="0.25">
      <c r="E661" t="s">
        <v>2184</v>
      </c>
      <c r="F661" t="str">
        <f t="shared" si="10"/>
        <v>APARTADO</v>
      </c>
    </row>
    <row r="662" spans="5:6" x14ac:dyDescent="0.25">
      <c r="E662" t="s">
        <v>2185</v>
      </c>
      <c r="F662" t="str">
        <f t="shared" si="10"/>
        <v>APIA</v>
      </c>
    </row>
    <row r="663" spans="5:6" x14ac:dyDescent="0.25">
      <c r="E663" t="s">
        <v>2425</v>
      </c>
      <c r="F663" t="str">
        <f t="shared" si="10"/>
        <v>ARANQUITA</v>
      </c>
    </row>
    <row r="664" spans="5:6" x14ac:dyDescent="0.25">
      <c r="E664" t="s">
        <v>2426</v>
      </c>
      <c r="F664" t="str">
        <f t="shared" si="10"/>
        <v>ARBELAEZ</v>
      </c>
    </row>
    <row r="665" spans="5:6" x14ac:dyDescent="0.25">
      <c r="E665" t="s">
        <v>2186</v>
      </c>
      <c r="F665" t="str">
        <f t="shared" si="10"/>
        <v>ARIGUANI</v>
      </c>
    </row>
    <row r="666" spans="5:6" x14ac:dyDescent="0.25">
      <c r="E666" t="s">
        <v>2187</v>
      </c>
      <c r="F666" t="str">
        <f t="shared" si="10"/>
        <v>ARJOMA</v>
      </c>
    </row>
    <row r="667" spans="5:6" x14ac:dyDescent="0.25">
      <c r="E667" t="s">
        <v>2188</v>
      </c>
      <c r="F667" t="str">
        <f t="shared" si="10"/>
        <v>ARMERO</v>
      </c>
    </row>
    <row r="668" spans="5:6" x14ac:dyDescent="0.25">
      <c r="E668" t="s">
        <v>2190</v>
      </c>
      <c r="F668" t="str">
        <f t="shared" si="10"/>
        <v>BAGADO</v>
      </c>
    </row>
    <row r="669" spans="5:6" x14ac:dyDescent="0.25">
      <c r="E669" t="s">
        <v>2191</v>
      </c>
      <c r="F669" t="str">
        <f t="shared" si="10"/>
        <v>BAHIA SOLANO</v>
      </c>
    </row>
    <row r="670" spans="5:6" x14ac:dyDescent="0.25">
      <c r="E670" t="s">
        <v>2192</v>
      </c>
      <c r="F670" t="str">
        <f t="shared" si="10"/>
        <v>BAJO BAUDO</v>
      </c>
    </row>
    <row r="671" spans="5:6" x14ac:dyDescent="0.25">
      <c r="E671" t="s">
        <v>2193</v>
      </c>
      <c r="F671" t="str">
        <f t="shared" si="10"/>
        <v>BARRANCA DE UPIA</v>
      </c>
    </row>
    <row r="672" spans="5:6" x14ac:dyDescent="0.25">
      <c r="E672" t="s">
        <v>2194</v>
      </c>
      <c r="F672" t="str">
        <f t="shared" si="10"/>
        <v>BARRANCABERBJA</v>
      </c>
    </row>
    <row r="673" spans="5:6" x14ac:dyDescent="0.25">
      <c r="E673" t="s">
        <v>2195</v>
      </c>
      <c r="F673" t="str">
        <f t="shared" si="10"/>
        <v>BELALCAZAR</v>
      </c>
    </row>
    <row r="674" spans="5:6" x14ac:dyDescent="0.25">
      <c r="E674" t="s">
        <v>2196</v>
      </c>
      <c r="F674" t="str">
        <f t="shared" si="10"/>
        <v>BELEN</v>
      </c>
    </row>
    <row r="675" spans="5:6" x14ac:dyDescent="0.25">
      <c r="E675" t="s">
        <v>2197</v>
      </c>
      <c r="F675" t="str">
        <f t="shared" si="10"/>
        <v>BELEN DE UMBRIA</v>
      </c>
    </row>
    <row r="676" spans="5:6" x14ac:dyDescent="0.25">
      <c r="E676" t="s">
        <v>2198</v>
      </c>
      <c r="F676" t="str">
        <f t="shared" si="10"/>
        <v>BELTRAN</v>
      </c>
    </row>
    <row r="677" spans="5:6" x14ac:dyDescent="0.25">
      <c r="E677" t="s">
        <v>2199</v>
      </c>
      <c r="F677" t="str">
        <f t="shared" si="10"/>
        <v>BOGOTA D.C</v>
      </c>
    </row>
    <row r="678" spans="5:6" x14ac:dyDescent="0.25">
      <c r="E678" t="s">
        <v>2200</v>
      </c>
      <c r="F678" t="str">
        <f t="shared" si="10"/>
        <v>BOJACA</v>
      </c>
    </row>
    <row r="679" spans="5:6" x14ac:dyDescent="0.25">
      <c r="E679" t="s">
        <v>2201</v>
      </c>
      <c r="F679" t="str">
        <f t="shared" si="10"/>
        <v>BOLIVAR</v>
      </c>
    </row>
    <row r="680" spans="5:6" x14ac:dyDescent="0.25">
      <c r="E680" t="s">
        <v>2202</v>
      </c>
      <c r="F680" t="str">
        <f t="shared" si="10"/>
        <v>BOYACA</v>
      </c>
    </row>
    <row r="681" spans="5:6" x14ac:dyDescent="0.25">
      <c r="E681" t="s">
        <v>2427</v>
      </c>
      <c r="F681" t="str">
        <f t="shared" si="10"/>
        <v>BRICENO</v>
      </c>
    </row>
    <row r="682" spans="5:6" x14ac:dyDescent="0.25">
      <c r="E682" t="s">
        <v>2203</v>
      </c>
      <c r="F682" t="str">
        <f t="shared" si="10"/>
        <v>BUGA</v>
      </c>
    </row>
    <row r="683" spans="5:6" x14ac:dyDescent="0.25">
      <c r="E683" t="s">
        <v>2204</v>
      </c>
      <c r="F683" t="str">
        <f t="shared" si="10"/>
        <v>BURITICÁ</v>
      </c>
    </row>
    <row r="684" spans="5:6" x14ac:dyDescent="0.25">
      <c r="E684" t="s">
        <v>2205</v>
      </c>
      <c r="F684" t="str">
        <f t="shared" si="10"/>
        <v>CÁCERES</v>
      </c>
    </row>
    <row r="685" spans="5:6" x14ac:dyDescent="0.25">
      <c r="E685" t="s">
        <v>2206</v>
      </c>
      <c r="F685" t="str">
        <f t="shared" si="10"/>
        <v>CACHIRA</v>
      </c>
    </row>
    <row r="686" spans="5:6" x14ac:dyDescent="0.25">
      <c r="E686" t="s">
        <v>2207</v>
      </c>
      <c r="F686" t="str">
        <f t="shared" si="10"/>
        <v>CÁCOTA</v>
      </c>
    </row>
    <row r="687" spans="5:6" x14ac:dyDescent="0.25">
      <c r="E687" t="s">
        <v>2208</v>
      </c>
      <c r="F687" t="str">
        <f t="shared" si="10"/>
        <v>CAJIBÍO</v>
      </c>
    </row>
    <row r="688" spans="5:6" x14ac:dyDescent="0.25">
      <c r="E688" t="s">
        <v>2209</v>
      </c>
      <c r="F688" t="str">
        <f t="shared" si="10"/>
        <v>CAJICÁ</v>
      </c>
    </row>
    <row r="689" spans="5:6" x14ac:dyDescent="0.25">
      <c r="E689" t="s">
        <v>2210</v>
      </c>
      <c r="F689" t="str">
        <f t="shared" si="10"/>
        <v>CALARCÁ</v>
      </c>
    </row>
    <row r="690" spans="5:6" x14ac:dyDescent="0.25">
      <c r="E690" t="s">
        <v>2428</v>
      </c>
      <c r="F690" t="str">
        <f t="shared" si="10"/>
        <v>CALIMA (DARIEN)</v>
      </c>
    </row>
    <row r="691" spans="5:6" x14ac:dyDescent="0.25">
      <c r="E691" t="s">
        <v>2521</v>
      </c>
      <c r="F691" t="str">
        <f t="shared" si="10"/>
        <v>EL CARMEN DE VIBORALRAL</v>
      </c>
    </row>
    <row r="692" spans="5:6" x14ac:dyDescent="0.25">
      <c r="E692" t="s">
        <v>2429</v>
      </c>
      <c r="F692" t="str">
        <f t="shared" si="10"/>
        <v>CHIGORODO</v>
      </c>
    </row>
    <row r="693" spans="5:6" x14ac:dyDescent="0.25">
      <c r="E693" t="s">
        <v>2231</v>
      </c>
      <c r="F693" t="str">
        <f t="shared" si="10"/>
        <v>CHOACHI</v>
      </c>
    </row>
    <row r="694" spans="5:6" x14ac:dyDescent="0.25">
      <c r="E694" t="s">
        <v>2430</v>
      </c>
      <c r="F694" t="str">
        <f t="shared" si="10"/>
        <v>COMBITA</v>
      </c>
    </row>
    <row r="695" spans="5:6" x14ac:dyDescent="0.25">
      <c r="E695" t="s">
        <v>2431</v>
      </c>
      <c r="F695" t="str">
        <f t="shared" si="10"/>
        <v>CONTRATACION</v>
      </c>
    </row>
    <row r="696" spans="5:6" x14ac:dyDescent="0.25">
      <c r="E696" t="s">
        <v>2240</v>
      </c>
      <c r="F696" t="str">
        <f t="shared" si="10"/>
        <v>CURABA</v>
      </c>
    </row>
    <row r="697" spans="5:6" x14ac:dyDescent="0.25">
      <c r="E697" t="s">
        <v>2241</v>
      </c>
      <c r="F697" t="str">
        <f t="shared" si="10"/>
        <v>SAN LUIS DE CUBARRAL</v>
      </c>
    </row>
    <row r="698" spans="5:6" x14ac:dyDescent="0.25">
      <c r="E698" t="s">
        <v>2242</v>
      </c>
      <c r="F698" t="str">
        <f t="shared" si="10"/>
        <v>CUCUNUBÁ</v>
      </c>
    </row>
    <row r="699" spans="5:6" x14ac:dyDescent="0.25">
      <c r="E699" t="s">
        <v>2243</v>
      </c>
      <c r="F699" t="str">
        <f t="shared" si="10"/>
        <v>CÚCUTA</v>
      </c>
    </row>
    <row r="700" spans="5:6" x14ac:dyDescent="0.25">
      <c r="E700" t="s">
        <v>2244</v>
      </c>
      <c r="F700" t="str">
        <f t="shared" si="10"/>
        <v>CUITIVA</v>
      </c>
    </row>
    <row r="701" spans="5:6" x14ac:dyDescent="0.25">
      <c r="E701" t="s">
        <v>2245</v>
      </c>
      <c r="F701" t="str">
        <f t="shared" si="10"/>
        <v>CURITÍ</v>
      </c>
    </row>
    <row r="702" spans="5:6" x14ac:dyDescent="0.25">
      <c r="E702" t="s">
        <v>2246</v>
      </c>
      <c r="F702" t="str">
        <f t="shared" si="10"/>
        <v>CURUMANÍ</v>
      </c>
    </row>
    <row r="703" spans="5:6" x14ac:dyDescent="0.25">
      <c r="E703" t="s">
        <v>2247</v>
      </c>
      <c r="F703" t="str">
        <f t="shared" si="10"/>
        <v>DISTRACCIÓN</v>
      </c>
    </row>
    <row r="704" spans="5:6" x14ac:dyDescent="0.25">
      <c r="E704" t="s">
        <v>2248</v>
      </c>
      <c r="F704" t="str">
        <f t="shared" si="10"/>
        <v>DONMATÍAS</v>
      </c>
    </row>
    <row r="705" spans="5:6" x14ac:dyDescent="0.25">
      <c r="E705" t="s">
        <v>2249</v>
      </c>
      <c r="F705" t="str">
        <f t="shared" si="10"/>
        <v>DOSQUEBRADAS</v>
      </c>
    </row>
    <row r="706" spans="5:6" x14ac:dyDescent="0.25">
      <c r="E706" t="s">
        <v>2250</v>
      </c>
      <c r="F706" t="str">
        <f t="shared" si="10"/>
        <v>EBÉJICO</v>
      </c>
    </row>
    <row r="707" spans="5:6" x14ac:dyDescent="0.2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25">
      <c r="E708" t="s">
        <v>2252</v>
      </c>
      <c r="F708" t="str">
        <f t="shared" si="11"/>
        <v>EL PAUJIL</v>
      </c>
    </row>
    <row r="709" spans="5:6" x14ac:dyDescent="0.25">
      <c r="E709" t="s">
        <v>2253</v>
      </c>
      <c r="F709" t="str">
        <f t="shared" si="11"/>
        <v>EL PEÑÓN</v>
      </c>
    </row>
    <row r="710" spans="5:6" x14ac:dyDescent="0.25">
      <c r="E710" t="s">
        <v>2254</v>
      </c>
      <c r="F710" t="str">
        <f t="shared" si="11"/>
        <v>EL PLAYÓN</v>
      </c>
    </row>
    <row r="711" spans="5:6" x14ac:dyDescent="0.25">
      <c r="E711" t="s">
        <v>2255</v>
      </c>
      <c r="F711" t="str">
        <f t="shared" si="11"/>
        <v>ELÍAS</v>
      </c>
    </row>
    <row r="712" spans="5:6" x14ac:dyDescent="0.25">
      <c r="E712" t="s">
        <v>2256</v>
      </c>
      <c r="F712" t="str">
        <f t="shared" si="11"/>
        <v>ENTRERRÍOS</v>
      </c>
    </row>
    <row r="713" spans="5:6" x14ac:dyDescent="0.25">
      <c r="E713" t="s">
        <v>2257</v>
      </c>
      <c r="F713" t="str">
        <f t="shared" si="11"/>
        <v>FACATATIVÁ</v>
      </c>
    </row>
    <row r="714" spans="5:6" x14ac:dyDescent="0.25">
      <c r="E714" t="s">
        <v>2258</v>
      </c>
      <c r="F714" t="str">
        <f t="shared" si="11"/>
        <v>FLORIÁN</v>
      </c>
    </row>
    <row r="715" spans="5:6" x14ac:dyDescent="0.25">
      <c r="E715" t="s">
        <v>2433</v>
      </c>
      <c r="F715" t="str">
        <f t="shared" si="11"/>
        <v>FOMEQUE</v>
      </c>
    </row>
    <row r="716" spans="5:6" x14ac:dyDescent="0.25">
      <c r="E716" t="s">
        <v>2259</v>
      </c>
      <c r="F716" t="str">
        <f t="shared" si="11"/>
        <v>FUNDACIÓN</v>
      </c>
    </row>
    <row r="717" spans="5:6" x14ac:dyDescent="0.25">
      <c r="E717" t="s">
        <v>2434</v>
      </c>
      <c r="F717" t="str">
        <f t="shared" si="11"/>
        <v>FUQUENE</v>
      </c>
    </row>
    <row r="718" spans="5:6" x14ac:dyDescent="0.25">
      <c r="E718" t="s">
        <v>2260</v>
      </c>
      <c r="F718" t="str">
        <f t="shared" si="11"/>
        <v>FUSAGASUGÁ</v>
      </c>
    </row>
    <row r="719" spans="5:6" x14ac:dyDescent="0.25">
      <c r="E719" t="s">
        <v>2261</v>
      </c>
      <c r="F719" t="str">
        <f t="shared" si="11"/>
        <v>GACHANCIPÁ</v>
      </c>
    </row>
    <row r="720" spans="5:6" x14ac:dyDescent="0.25">
      <c r="E720" t="s">
        <v>2435</v>
      </c>
      <c r="F720" t="str">
        <f t="shared" si="11"/>
        <v>GACHETA</v>
      </c>
    </row>
    <row r="721" spans="5:6" x14ac:dyDescent="0.25">
      <c r="E721" t="s">
        <v>2436</v>
      </c>
      <c r="F721" t="str">
        <f t="shared" si="11"/>
        <v>GAMBITA</v>
      </c>
    </row>
    <row r="722" spans="5:6" x14ac:dyDescent="0.25">
      <c r="E722" t="s">
        <v>2262</v>
      </c>
      <c r="F722" t="str">
        <f t="shared" si="11"/>
        <v>GACHANTIVÁ</v>
      </c>
    </row>
    <row r="723" spans="5:6" x14ac:dyDescent="0.25">
      <c r="E723" t="s">
        <v>2263</v>
      </c>
      <c r="F723" t="str">
        <f t="shared" si="11"/>
        <v>GALÁN</v>
      </c>
    </row>
    <row r="724" spans="5:6" x14ac:dyDescent="0.25">
      <c r="E724" t="s">
        <v>2264</v>
      </c>
      <c r="F724" t="str">
        <f t="shared" si="11"/>
        <v>GÁLAGO</v>
      </c>
    </row>
    <row r="725" spans="5:6" x14ac:dyDescent="0.25">
      <c r="E725" t="s">
        <v>2265</v>
      </c>
      <c r="F725" t="str">
        <f t="shared" si="11"/>
        <v>GARZÓN</v>
      </c>
    </row>
    <row r="726" spans="5:6" x14ac:dyDescent="0.25">
      <c r="E726" t="s">
        <v>2266</v>
      </c>
      <c r="F726" t="str">
        <f t="shared" si="11"/>
        <v>GÉNOVA</v>
      </c>
    </row>
    <row r="727" spans="5:6" x14ac:dyDescent="0.25">
      <c r="E727" t="s">
        <v>2267</v>
      </c>
      <c r="F727" t="str">
        <f t="shared" si="11"/>
        <v>GIRÓN</v>
      </c>
    </row>
    <row r="728" spans="5:6" x14ac:dyDescent="0.25">
      <c r="E728" t="s">
        <v>2268</v>
      </c>
      <c r="F728" t="str">
        <f t="shared" si="11"/>
        <v>GÓMEZ PLATA</v>
      </c>
    </row>
    <row r="729" spans="5:6" x14ac:dyDescent="0.25">
      <c r="E729" t="s">
        <v>2269</v>
      </c>
      <c r="F729" t="str">
        <f t="shared" si="11"/>
        <v>GRANADA</v>
      </c>
    </row>
    <row r="730" spans="5:6" x14ac:dyDescent="0.25">
      <c r="E730" t="s">
        <v>2270</v>
      </c>
      <c r="F730" t="str">
        <f t="shared" si="11"/>
        <v>GRANADA</v>
      </c>
    </row>
    <row r="731" spans="5:6" x14ac:dyDescent="0.25">
      <c r="E731" t="s">
        <v>2271</v>
      </c>
      <c r="F731" t="str">
        <f t="shared" si="11"/>
        <v>GRANADA</v>
      </c>
    </row>
    <row r="732" spans="5:6" x14ac:dyDescent="0.25">
      <c r="E732" t="s">
        <v>2272</v>
      </c>
      <c r="F732" t="str">
        <f t="shared" si="11"/>
        <v>GUACARÍ</v>
      </c>
    </row>
    <row r="733" spans="5:6" x14ac:dyDescent="0.25">
      <c r="E733" t="s">
        <v>2437</v>
      </c>
      <c r="F733" t="str">
        <f t="shared" si="11"/>
        <v>GUACHETA</v>
      </c>
    </row>
    <row r="734" spans="5:6" x14ac:dyDescent="0.25">
      <c r="E734" t="s">
        <v>2273</v>
      </c>
      <c r="F734" t="str">
        <f t="shared" si="11"/>
        <v>GUAPÍ</v>
      </c>
    </row>
    <row r="735" spans="5:6" x14ac:dyDescent="0.25">
      <c r="E735" t="s">
        <v>2274</v>
      </c>
      <c r="F735" t="str">
        <f t="shared" si="11"/>
        <v>GUATAPÉ</v>
      </c>
    </row>
    <row r="736" spans="5:6" x14ac:dyDescent="0.25">
      <c r="E736" t="s">
        <v>2438</v>
      </c>
      <c r="F736" t="str">
        <f t="shared" si="11"/>
        <v>GUATAQUI</v>
      </c>
    </row>
    <row r="737" spans="5:6" x14ac:dyDescent="0.25">
      <c r="E737" t="s">
        <v>2275</v>
      </c>
      <c r="F737" t="str">
        <f t="shared" si="11"/>
        <v>GUÁTICA</v>
      </c>
    </row>
    <row r="738" spans="5:6" x14ac:dyDescent="0.25">
      <c r="E738" t="s">
        <v>2276</v>
      </c>
      <c r="F738" t="str">
        <f t="shared" si="11"/>
        <v>GUAYATÁ</v>
      </c>
    </row>
    <row r="739" spans="5:6" x14ac:dyDescent="0.25">
      <c r="E739" t="s">
        <v>2277</v>
      </c>
      <c r="F739" t="str">
        <f t="shared" si="11"/>
        <v>GÜEPSA</v>
      </c>
    </row>
    <row r="740" spans="5:6" x14ac:dyDescent="0.25">
      <c r="E740" t="s">
        <v>2278</v>
      </c>
      <c r="F740" t="str">
        <f t="shared" si="11"/>
        <v>GÜICÁN DE LA SIERRA</v>
      </c>
    </row>
    <row r="741" spans="5:6" x14ac:dyDescent="0.25">
      <c r="E741" t="s">
        <v>2279</v>
      </c>
      <c r="F741" t="str">
        <f t="shared" si="11"/>
        <v>IBAGUÉ</v>
      </c>
    </row>
    <row r="742" spans="5:6" x14ac:dyDescent="0.25">
      <c r="E742" t="s">
        <v>2280</v>
      </c>
      <c r="F742" t="str">
        <f t="shared" si="11"/>
        <v>ICUIRA</v>
      </c>
    </row>
    <row r="743" spans="5:6" x14ac:dyDescent="0.25">
      <c r="E743" t="s">
        <v>2281</v>
      </c>
      <c r="F743" t="str">
        <f t="shared" si="11"/>
        <v>INZÁ</v>
      </c>
    </row>
    <row r="744" spans="5:6" x14ac:dyDescent="0.25">
      <c r="E744" t="s">
        <v>2282</v>
      </c>
      <c r="F744" t="str">
        <f t="shared" si="11"/>
        <v>ITAGÜÍ</v>
      </c>
    </row>
    <row r="745" spans="5:6" x14ac:dyDescent="0.25">
      <c r="E745" t="s">
        <v>2283</v>
      </c>
      <c r="F745" t="str">
        <f t="shared" si="11"/>
        <v>JAMUNDÍ</v>
      </c>
    </row>
    <row r="746" spans="5:6" x14ac:dyDescent="0.25">
      <c r="E746" t="s">
        <v>2284</v>
      </c>
      <c r="F746" t="str">
        <f t="shared" si="11"/>
        <v>JARDÍN</v>
      </c>
    </row>
    <row r="747" spans="5:6" x14ac:dyDescent="0.25">
      <c r="E747" t="s">
        <v>2285</v>
      </c>
      <c r="F747" t="str">
        <f t="shared" si="11"/>
        <v>JERICÓ</v>
      </c>
    </row>
    <row r="748" spans="5:6" x14ac:dyDescent="0.25">
      <c r="E748" t="s">
        <v>2439</v>
      </c>
      <c r="F748" t="str">
        <f t="shared" si="11"/>
        <v>JUNIN</v>
      </c>
    </row>
    <row r="749" spans="5:6" x14ac:dyDescent="0.25">
      <c r="E749" t="s">
        <v>2286</v>
      </c>
      <c r="F749" t="str">
        <f t="shared" si="11"/>
        <v>JURADÓ</v>
      </c>
    </row>
    <row r="750" spans="5:6" x14ac:dyDescent="0.25">
      <c r="E750" t="s">
        <v>2287</v>
      </c>
      <c r="F750" t="str">
        <f t="shared" si="11"/>
        <v>LA CHORRERA</v>
      </c>
    </row>
    <row r="751" spans="5:6" x14ac:dyDescent="0.25">
      <c r="E751" t="s">
        <v>2289</v>
      </c>
      <c r="F751" t="str">
        <f t="shared" si="11"/>
        <v>LA UNIÓN</v>
      </c>
    </row>
    <row r="752" spans="5:6" x14ac:dyDescent="0.25">
      <c r="E752" t="s">
        <v>2290</v>
      </c>
      <c r="F752" t="str">
        <f t="shared" si="11"/>
        <v>LA URIBE</v>
      </c>
    </row>
    <row r="753" spans="5:6" x14ac:dyDescent="0.25">
      <c r="E753" t="s">
        <v>2440</v>
      </c>
      <c r="F753" t="str">
        <f t="shared" si="11"/>
        <v>LANDAZURI</v>
      </c>
    </row>
    <row r="754" spans="5:6" x14ac:dyDescent="0.25">
      <c r="E754" t="s">
        <v>2291</v>
      </c>
      <c r="F754" t="str">
        <f t="shared" si="11"/>
        <v>LABRIJA</v>
      </c>
    </row>
    <row r="755" spans="5:6" x14ac:dyDescent="0.25">
      <c r="E755" t="s">
        <v>2441</v>
      </c>
      <c r="F755" t="str">
        <f t="shared" si="11"/>
        <v>LEJANIAS</v>
      </c>
    </row>
    <row r="756" spans="5:6" x14ac:dyDescent="0.25">
      <c r="E756" t="s">
        <v>2292</v>
      </c>
      <c r="F756" t="str">
        <f t="shared" si="11"/>
        <v>LÉRIDA</v>
      </c>
    </row>
    <row r="757" spans="5:6" x14ac:dyDescent="0.25">
      <c r="E757" t="s">
        <v>2293</v>
      </c>
      <c r="F757" t="str">
        <f t="shared" si="11"/>
        <v>LÍBANO</v>
      </c>
    </row>
    <row r="758" spans="5:6" x14ac:dyDescent="0.25">
      <c r="E758" t="s">
        <v>2442</v>
      </c>
      <c r="F758" t="str">
        <f t="shared" si="11"/>
        <v>LLORO</v>
      </c>
    </row>
    <row r="759" spans="5:6" x14ac:dyDescent="0.25">
      <c r="E759" t="s">
        <v>2443</v>
      </c>
      <c r="F759" t="str">
        <f t="shared" si="11"/>
        <v>LOS ANDES (SOTO MA</v>
      </c>
    </row>
    <row r="760" spans="5:6" x14ac:dyDescent="0.25">
      <c r="E760" t="s">
        <v>2294</v>
      </c>
      <c r="F760" t="str">
        <f t="shared" si="11"/>
        <v>MACHETÁ</v>
      </c>
    </row>
    <row r="761" spans="5:6" x14ac:dyDescent="0.25">
      <c r="E761" t="s">
        <v>2295</v>
      </c>
      <c r="F761" t="str">
        <f t="shared" si="11"/>
        <v>MAGANGUÉ</v>
      </c>
    </row>
    <row r="762" spans="5:6" x14ac:dyDescent="0.25">
      <c r="E762" t="s">
        <v>2296</v>
      </c>
      <c r="F762" t="str">
        <f t="shared" si="11"/>
        <v>MÁLAGA</v>
      </c>
    </row>
    <row r="763" spans="5:6" x14ac:dyDescent="0.25">
      <c r="E763" t="s">
        <v>2297</v>
      </c>
      <c r="F763" t="str">
        <f t="shared" si="11"/>
        <v>MANAURE BALCÓN DEL CESAR</v>
      </c>
    </row>
    <row r="764" spans="5:6" x14ac:dyDescent="0.25">
      <c r="E764" t="s">
        <v>2298</v>
      </c>
      <c r="F764" t="str">
        <f t="shared" si="11"/>
        <v>MANÍ</v>
      </c>
    </row>
    <row r="765" spans="5:6" x14ac:dyDescent="0.25">
      <c r="E765" t="s">
        <v>2299</v>
      </c>
      <c r="F765" t="str">
        <f t="shared" si="11"/>
        <v>MAPIRIPÁN</v>
      </c>
    </row>
    <row r="766" spans="5:6" x14ac:dyDescent="0.25">
      <c r="E766" t="s">
        <v>2300</v>
      </c>
      <c r="F766" t="str">
        <f t="shared" si="11"/>
        <v>MARIQUITA</v>
      </c>
    </row>
    <row r="767" spans="5:6" x14ac:dyDescent="0.25">
      <c r="E767" t="s">
        <v>2301</v>
      </c>
      <c r="F767" t="str">
        <f t="shared" si="11"/>
        <v>MEDELLÍN</v>
      </c>
    </row>
    <row r="768" spans="5:6" x14ac:dyDescent="0.25">
      <c r="E768" t="s">
        <v>2444</v>
      </c>
      <c r="F768" t="str">
        <f t="shared" si="11"/>
        <v>MEDIO BAUDO</v>
      </c>
    </row>
    <row r="769" spans="5:6" x14ac:dyDescent="0.25">
      <c r="E769" t="s">
        <v>2302</v>
      </c>
      <c r="F769" t="str">
        <f t="shared" si="11"/>
        <v>MISTRATÓ</v>
      </c>
    </row>
    <row r="770" spans="5:6" x14ac:dyDescent="0.25">
      <c r="E770" t="s">
        <v>2303</v>
      </c>
      <c r="F770" t="str">
        <f t="shared" si="11"/>
        <v>MITÚ</v>
      </c>
    </row>
    <row r="771" spans="5:6" x14ac:dyDescent="0.25">
      <c r="E771" t="s">
        <v>2304</v>
      </c>
      <c r="F771" t="str">
        <f t="shared" ref="F771:F834" si="12">_xlfn.XLOOKUP(E771, $A:$A, $B:$B, E771)</f>
        <v>MOMPÓS</v>
      </c>
    </row>
    <row r="772" spans="5:6" x14ac:dyDescent="0.25">
      <c r="E772" t="s">
        <v>2305</v>
      </c>
      <c r="F772" t="str">
        <f t="shared" si="12"/>
        <v>MONIQUIRÁ</v>
      </c>
    </row>
    <row r="773" spans="5:6" x14ac:dyDescent="0.25">
      <c r="E773" t="s">
        <v>2306</v>
      </c>
      <c r="F773" t="str">
        <f t="shared" si="12"/>
        <v>MOÑITOS</v>
      </c>
    </row>
    <row r="774" spans="5:6" x14ac:dyDescent="0.25">
      <c r="E774" t="s">
        <v>2307</v>
      </c>
      <c r="F774" t="str">
        <f t="shared" si="12"/>
        <v>MONTELÍBANO</v>
      </c>
    </row>
    <row r="775" spans="5:6" x14ac:dyDescent="0.25">
      <c r="E775" t="s">
        <v>2308</v>
      </c>
      <c r="F775" t="str">
        <f t="shared" si="12"/>
        <v>MONTERÍA</v>
      </c>
    </row>
    <row r="776" spans="5:6" x14ac:dyDescent="0.25">
      <c r="E776" t="s">
        <v>2309</v>
      </c>
      <c r="F776" t="str">
        <f t="shared" si="12"/>
        <v>MUTATÁ</v>
      </c>
    </row>
    <row r="777" spans="5:6" x14ac:dyDescent="0.25">
      <c r="E777" t="s">
        <v>2445</v>
      </c>
      <c r="F777" t="str">
        <f t="shared" si="12"/>
        <v>NATAGA</v>
      </c>
    </row>
    <row r="778" spans="5:6" x14ac:dyDescent="0.25">
      <c r="E778" t="s">
        <v>2310</v>
      </c>
      <c r="F778" t="str">
        <f t="shared" si="12"/>
        <v>NECOCLÍ</v>
      </c>
    </row>
    <row r="779" spans="5:6" x14ac:dyDescent="0.25">
      <c r="E779" t="s">
        <v>2311</v>
      </c>
      <c r="F779" t="str">
        <f t="shared" si="12"/>
        <v>NEMOCÓN</v>
      </c>
    </row>
    <row r="780" spans="5:6" x14ac:dyDescent="0.25">
      <c r="E780" t="s">
        <v>2313</v>
      </c>
      <c r="F780" t="str">
        <f t="shared" si="12"/>
        <v>NUQUÍ</v>
      </c>
    </row>
    <row r="781" spans="5:6" x14ac:dyDescent="0.25">
      <c r="E781" t="s">
        <v>2314</v>
      </c>
      <c r="F781" t="str">
        <f t="shared" si="12"/>
        <v>OROCUE</v>
      </c>
    </row>
    <row r="782" spans="5:6" x14ac:dyDescent="0.25">
      <c r="E782" t="s">
        <v>2315</v>
      </c>
      <c r="F782" t="str">
        <f t="shared" si="12"/>
        <v>PÁCORA</v>
      </c>
    </row>
    <row r="783" spans="5:6" x14ac:dyDescent="0.25">
      <c r="E783" t="s">
        <v>2446</v>
      </c>
      <c r="F783" t="str">
        <f t="shared" si="12"/>
        <v>PATÍA</v>
      </c>
    </row>
    <row r="784" spans="5:6" x14ac:dyDescent="0.25">
      <c r="E784" t="s">
        <v>2317</v>
      </c>
      <c r="F784" t="str">
        <f t="shared" si="12"/>
        <v>PAZ DE RÍO</v>
      </c>
    </row>
    <row r="785" spans="5:6" x14ac:dyDescent="0.25">
      <c r="E785" t="s">
        <v>2318</v>
      </c>
      <c r="F785" t="str">
        <f t="shared" si="12"/>
        <v>PIENDAMÓ</v>
      </c>
    </row>
    <row r="786" spans="5:6" x14ac:dyDescent="0.25">
      <c r="E786" t="s">
        <v>2319</v>
      </c>
      <c r="F786" t="str">
        <f t="shared" si="12"/>
        <v>PIOJO</v>
      </c>
    </row>
    <row r="787" spans="5:6" x14ac:dyDescent="0.25">
      <c r="E787" t="s">
        <v>2320</v>
      </c>
      <c r="F787" t="str">
        <f t="shared" si="12"/>
        <v>POPAYÁN</v>
      </c>
    </row>
    <row r="788" spans="5:6" x14ac:dyDescent="0.25">
      <c r="E788" t="s">
        <v>2321</v>
      </c>
      <c r="F788" t="str">
        <f t="shared" si="12"/>
        <v>PTO NAREL(LAMAG</v>
      </c>
    </row>
    <row r="789" spans="5:6" x14ac:dyDescent="0.25">
      <c r="E789" t="s">
        <v>2322</v>
      </c>
      <c r="F789" t="str">
        <f t="shared" si="12"/>
        <v>PUERTO ASÍS</v>
      </c>
    </row>
    <row r="790" spans="5:6" x14ac:dyDescent="0.25">
      <c r="E790" t="s">
        <v>2323</v>
      </c>
      <c r="F790" t="str">
        <f t="shared" si="12"/>
        <v>PUERTO BERRÍO</v>
      </c>
    </row>
    <row r="791" spans="5:6" x14ac:dyDescent="0.25">
      <c r="E791" t="s">
        <v>2324</v>
      </c>
      <c r="F791" t="str">
        <f t="shared" si="12"/>
        <v>PUERTO BOYACA</v>
      </c>
    </row>
    <row r="792" spans="5:6" x14ac:dyDescent="0.25">
      <c r="E792" t="s">
        <v>2325</v>
      </c>
      <c r="F792" t="str">
        <f t="shared" si="12"/>
        <v>PUERTO CONCORDIA</v>
      </c>
    </row>
    <row r="793" spans="5:6" x14ac:dyDescent="0.25">
      <c r="E793" t="s">
        <v>2326</v>
      </c>
      <c r="F793" t="str">
        <f t="shared" si="12"/>
        <v>PUERTO GAITÁN</v>
      </c>
    </row>
    <row r="794" spans="5:6" x14ac:dyDescent="0.25">
      <c r="E794" t="s">
        <v>2327</v>
      </c>
      <c r="F794" t="str">
        <f t="shared" si="12"/>
        <v>INÍRIDA</v>
      </c>
    </row>
    <row r="795" spans="5:6" x14ac:dyDescent="0.25">
      <c r="E795" t="s">
        <v>2328</v>
      </c>
      <c r="F795" t="str">
        <f t="shared" si="12"/>
        <v>PUERTO LEGUÍZAMO</v>
      </c>
    </row>
    <row r="796" spans="5:6" x14ac:dyDescent="0.25">
      <c r="E796" t="s">
        <v>2329</v>
      </c>
      <c r="F796" t="str">
        <f t="shared" si="12"/>
        <v>PUERTO LIBERTADOR</v>
      </c>
    </row>
    <row r="797" spans="5:6" x14ac:dyDescent="0.25">
      <c r="E797" t="s">
        <v>2330</v>
      </c>
      <c r="F797" t="str">
        <f t="shared" si="12"/>
        <v>PUERTO LÓPEZ</v>
      </c>
    </row>
    <row r="798" spans="5:6" x14ac:dyDescent="0.25">
      <c r="E798" t="s">
        <v>2331</v>
      </c>
      <c r="F798" t="str">
        <f t="shared" si="12"/>
        <v>PURACÉ</v>
      </c>
    </row>
    <row r="799" spans="5:6" x14ac:dyDescent="0.25">
      <c r="E799" t="s">
        <v>2332</v>
      </c>
      <c r="F799" t="str">
        <f t="shared" si="12"/>
        <v>PURIFICACIÓN</v>
      </c>
    </row>
    <row r="800" spans="5:6" x14ac:dyDescent="0.25">
      <c r="E800" t="s">
        <v>2333</v>
      </c>
      <c r="F800" t="str">
        <f t="shared" si="12"/>
        <v>QUIBDÓ</v>
      </c>
    </row>
    <row r="801" spans="5:6" x14ac:dyDescent="0.25">
      <c r="E801" t="s">
        <v>2335</v>
      </c>
      <c r="F801" t="str">
        <f t="shared" si="12"/>
        <v>QUÍPAMA</v>
      </c>
    </row>
    <row r="802" spans="5:6" x14ac:dyDescent="0.25">
      <c r="E802" t="s">
        <v>2447</v>
      </c>
      <c r="F802" t="str">
        <f t="shared" si="12"/>
        <v>RAFAEL REYES</v>
      </c>
    </row>
    <row r="803" spans="5:6" x14ac:dyDescent="0.25">
      <c r="E803" t="s">
        <v>2336</v>
      </c>
      <c r="F803" t="str">
        <f t="shared" si="12"/>
        <v>RAMIRIQUÍ</v>
      </c>
    </row>
    <row r="804" spans="5:6" x14ac:dyDescent="0.25">
      <c r="E804" t="s">
        <v>2337</v>
      </c>
      <c r="F804" t="str">
        <f t="shared" si="12"/>
        <v>RÁQUIRA</v>
      </c>
    </row>
    <row r="805" spans="5:6" x14ac:dyDescent="0.25">
      <c r="E805" t="s">
        <v>2338</v>
      </c>
      <c r="F805" t="str">
        <f t="shared" si="12"/>
        <v>RÍO DE ORO</v>
      </c>
    </row>
    <row r="806" spans="5:6" x14ac:dyDescent="0.25">
      <c r="E806" t="s">
        <v>2339</v>
      </c>
      <c r="F806" t="str">
        <f t="shared" si="12"/>
        <v>RIOFRÍO</v>
      </c>
    </row>
    <row r="807" spans="5:6" x14ac:dyDescent="0.25">
      <c r="E807" t="s">
        <v>2340</v>
      </c>
      <c r="F807" t="str">
        <f t="shared" si="12"/>
        <v>LA PAZ</v>
      </c>
    </row>
    <row r="808" spans="5:6" x14ac:dyDescent="0.25">
      <c r="E808" t="s">
        <v>2341</v>
      </c>
      <c r="F808" t="str">
        <f t="shared" si="12"/>
        <v>ROLDANILLO</v>
      </c>
    </row>
    <row r="809" spans="5:6" x14ac:dyDescent="0.25">
      <c r="E809" t="s">
        <v>2448</v>
      </c>
      <c r="F809" t="str">
        <f t="shared" si="12"/>
        <v>SABOYA</v>
      </c>
    </row>
    <row r="810" spans="5:6" x14ac:dyDescent="0.25">
      <c r="E810" t="s">
        <v>2342</v>
      </c>
      <c r="F810" t="str">
        <f t="shared" si="12"/>
        <v>SACHICA</v>
      </c>
    </row>
    <row r="811" spans="5:6" x14ac:dyDescent="0.25">
      <c r="E811" t="s">
        <v>2343</v>
      </c>
      <c r="F811" t="str">
        <f t="shared" si="12"/>
        <v>SAHAGÚN</v>
      </c>
    </row>
    <row r="812" spans="5:6" x14ac:dyDescent="0.25">
      <c r="E812" t="s">
        <v>2344</v>
      </c>
      <c r="F812" t="str">
        <f t="shared" si="12"/>
        <v>SÁMACA</v>
      </c>
    </row>
    <row r="813" spans="5:6" x14ac:dyDescent="0.25">
      <c r="E813" t="s">
        <v>2345</v>
      </c>
      <c r="F813" t="str">
        <f t="shared" si="12"/>
        <v>SAMANÁ</v>
      </c>
    </row>
    <row r="814" spans="5:6" x14ac:dyDescent="0.25">
      <c r="E814" t="s">
        <v>2346</v>
      </c>
      <c r="F814" t="str">
        <f t="shared" si="12"/>
        <v>SAMPUÉS</v>
      </c>
    </row>
    <row r="815" spans="5:6" x14ac:dyDescent="0.25">
      <c r="E815" t="s">
        <v>2347</v>
      </c>
      <c r="F815" t="str">
        <f t="shared" si="12"/>
        <v>SAN AGUSTÍN</v>
      </c>
    </row>
    <row r="816" spans="5:6" x14ac:dyDescent="0.25">
      <c r="E816" t="s">
        <v>2348</v>
      </c>
      <c r="F816" t="str">
        <f t="shared" si="12"/>
        <v>SAN ANDRÉS</v>
      </c>
    </row>
    <row r="817" spans="5:6" x14ac:dyDescent="0.25">
      <c r="E817" t="s">
        <v>2349</v>
      </c>
      <c r="F817" t="str">
        <f t="shared" si="12"/>
        <v>SAN ANDRÉS DE SOTAVENTO</v>
      </c>
    </row>
    <row r="818" spans="5:6" x14ac:dyDescent="0.25">
      <c r="E818" t="s">
        <v>2350</v>
      </c>
      <c r="F818" t="str">
        <f t="shared" si="12"/>
        <v>SAN BERNARDO</v>
      </c>
    </row>
    <row r="819" spans="5:6" x14ac:dyDescent="0.25">
      <c r="E819" t="s">
        <v>2351</v>
      </c>
      <c r="F819" t="str">
        <f t="shared" si="12"/>
        <v>SAN CARLOS</v>
      </c>
    </row>
    <row r="820" spans="5:6" x14ac:dyDescent="0.25">
      <c r="E820" t="s">
        <v>2352</v>
      </c>
      <c r="F820" t="str">
        <f t="shared" si="12"/>
        <v>SAN JERÓNIMO</v>
      </c>
    </row>
    <row r="821" spans="5:6" x14ac:dyDescent="0.25">
      <c r="E821" t="s">
        <v>2449</v>
      </c>
      <c r="F821" t="str">
        <f t="shared" si="12"/>
        <v>SAN JOSE</v>
      </c>
    </row>
    <row r="822" spans="5:6" x14ac:dyDescent="0.25">
      <c r="E822" t="s">
        <v>2353</v>
      </c>
      <c r="F822" t="str">
        <f t="shared" si="12"/>
        <v>SAN JOSÉ DEL GUAVIARE</v>
      </c>
    </row>
    <row r="823" spans="5:6" x14ac:dyDescent="0.25">
      <c r="E823" t="s">
        <v>2354</v>
      </c>
      <c r="F823" t="str">
        <f t="shared" si="12"/>
        <v>SAN JOSÉ DE URÉ</v>
      </c>
    </row>
    <row r="824" spans="5:6" x14ac:dyDescent="0.25">
      <c r="E824" t="s">
        <v>2355</v>
      </c>
      <c r="F824" t="str">
        <f t="shared" si="12"/>
        <v>SAN JUAN DEL CESAR</v>
      </c>
    </row>
    <row r="825" spans="5:6" x14ac:dyDescent="0.25">
      <c r="E825" t="s">
        <v>2356</v>
      </c>
      <c r="F825" t="str">
        <f t="shared" si="12"/>
        <v>SAN JUAN NEPOMUCENO</v>
      </c>
    </row>
    <row r="826" spans="5:6" x14ac:dyDescent="0.25">
      <c r="E826" t="s">
        <v>2357</v>
      </c>
      <c r="F826" t="str">
        <f t="shared" si="12"/>
        <v>SAN LUIS DE GACENO</v>
      </c>
    </row>
    <row r="827" spans="5:6" x14ac:dyDescent="0.25">
      <c r="E827" t="s">
        <v>2358</v>
      </c>
      <c r="F827" t="str">
        <f t="shared" si="12"/>
        <v>SAN LUIS DE PALENQUE</v>
      </c>
    </row>
    <row r="828" spans="5:6" x14ac:dyDescent="0.25">
      <c r="E828" t="s">
        <v>2359</v>
      </c>
      <c r="F828" t="str">
        <f t="shared" si="12"/>
        <v>SAN MARTÍN</v>
      </c>
    </row>
    <row r="829" spans="5:6" x14ac:dyDescent="0.25">
      <c r="E829" t="s">
        <v>2450</v>
      </c>
      <c r="F829" t="str">
        <f t="shared" si="12"/>
        <v>SAN PEDRO DE URABA</v>
      </c>
    </row>
    <row r="830" spans="5:6" x14ac:dyDescent="0.25">
      <c r="E830" t="s">
        <v>2361</v>
      </c>
      <c r="F830" t="str">
        <f t="shared" si="12"/>
        <v>SAN SEBASTIÁN</v>
      </c>
    </row>
    <row r="831" spans="5:6" x14ac:dyDescent="0.25">
      <c r="E831" t="s">
        <v>2362</v>
      </c>
      <c r="F831" t="str">
        <f t="shared" si="12"/>
        <v>SAN SEBASTIÁN DE BUENAVISTA</v>
      </c>
    </row>
    <row r="832" spans="5:6" x14ac:dyDescent="0.25">
      <c r="E832" t="s">
        <v>2363</v>
      </c>
      <c r="F832" t="str">
        <f t="shared" si="12"/>
        <v>SAN VICENTE</v>
      </c>
    </row>
    <row r="833" spans="5:6" x14ac:dyDescent="0.25">
      <c r="E833" t="s">
        <v>2451</v>
      </c>
      <c r="F833" t="str">
        <f t="shared" si="12"/>
        <v>SAN VICENTE DE CHUC</v>
      </c>
    </row>
    <row r="834" spans="5:6" x14ac:dyDescent="0.25">
      <c r="E834" t="s">
        <v>2452</v>
      </c>
      <c r="F834" t="str">
        <f t="shared" si="12"/>
        <v>SAN VICENTE DEL CAG</v>
      </c>
    </row>
    <row r="835" spans="5:6" x14ac:dyDescent="0.25">
      <c r="E835" t="s">
        <v>2366</v>
      </c>
      <c r="F835" t="str">
        <f t="shared" ref="F835:F898" si="13">_xlfn.XLOOKUP(E835, $A:$A, $B:$B, E835)</f>
        <v>SANDONÁ</v>
      </c>
    </row>
    <row r="836" spans="5:6" x14ac:dyDescent="0.25">
      <c r="E836" t="s">
        <v>2367</v>
      </c>
      <c r="F836" t="str">
        <f t="shared" si="13"/>
        <v>SANTA BÁRBARA</v>
      </c>
    </row>
    <row r="837" spans="5:6" x14ac:dyDescent="0.25">
      <c r="E837" t="s">
        <v>2368</v>
      </c>
      <c r="F837" t="str">
        <f t="shared" si="13"/>
        <v>SANTA MARÍA</v>
      </c>
    </row>
    <row r="838" spans="5:6" x14ac:dyDescent="0.25">
      <c r="E838" t="s">
        <v>2453</v>
      </c>
      <c r="F838" t="str">
        <f t="shared" si="13"/>
        <v>SANTA ROSA DE VITER</v>
      </c>
    </row>
    <row r="839" spans="5:6" x14ac:dyDescent="0.25">
      <c r="E839" t="s">
        <v>2372</v>
      </c>
      <c r="F839" t="str">
        <f t="shared" si="13"/>
        <v>SANTANDER DE QUILICHAO</v>
      </c>
    </row>
    <row r="840" spans="5:6" x14ac:dyDescent="0.25">
      <c r="E840" t="s">
        <v>2373</v>
      </c>
      <c r="F840" t="str">
        <f t="shared" si="13"/>
        <v>SANTO TOMÁS</v>
      </c>
    </row>
    <row r="841" spans="5:6" x14ac:dyDescent="0.25">
      <c r="E841" t="s">
        <v>2374</v>
      </c>
      <c r="F841" t="str">
        <f t="shared" si="13"/>
        <v>SESQUILÉ</v>
      </c>
    </row>
    <row r="842" spans="5:6" x14ac:dyDescent="0.25">
      <c r="E842" t="s">
        <v>2375</v>
      </c>
      <c r="F842" t="str">
        <f t="shared" si="13"/>
        <v>SIBATÉ</v>
      </c>
    </row>
    <row r="843" spans="5:6" x14ac:dyDescent="0.25">
      <c r="E843" t="s">
        <v>2376</v>
      </c>
      <c r="F843" t="str">
        <f t="shared" si="13"/>
        <v>SINCÉ</v>
      </c>
    </row>
    <row r="844" spans="5:6" x14ac:dyDescent="0.25">
      <c r="E844" t="s">
        <v>2377</v>
      </c>
      <c r="F844" t="str">
        <f t="shared" si="13"/>
        <v>SONSÓN</v>
      </c>
    </row>
    <row r="845" spans="5:6" x14ac:dyDescent="0.25">
      <c r="E845" t="s">
        <v>2378</v>
      </c>
      <c r="F845" t="str">
        <f t="shared" si="13"/>
        <v>SOPETRÁN</v>
      </c>
    </row>
    <row r="846" spans="5:6" x14ac:dyDescent="0.25">
      <c r="E846" t="s">
        <v>2379</v>
      </c>
      <c r="F846" t="str">
        <f t="shared" si="13"/>
        <v>SOPÓ</v>
      </c>
    </row>
    <row r="847" spans="5:6" x14ac:dyDescent="0.25">
      <c r="E847" t="s">
        <v>2380</v>
      </c>
      <c r="F847" t="str">
        <f t="shared" si="13"/>
        <v>SOTAQUIRÁ</v>
      </c>
    </row>
    <row r="848" spans="5:6" x14ac:dyDescent="0.25">
      <c r="E848" t="s">
        <v>2381</v>
      </c>
      <c r="F848" t="str">
        <f t="shared" si="13"/>
        <v>SANTA ROSA DE OSOS</v>
      </c>
    </row>
    <row r="849" spans="5:6" x14ac:dyDescent="0.25">
      <c r="E849" t="s">
        <v>2382</v>
      </c>
      <c r="F849" t="str">
        <f t="shared" si="13"/>
        <v>SUPÍA</v>
      </c>
    </row>
    <row r="850" spans="5:6" x14ac:dyDescent="0.25">
      <c r="E850" t="s">
        <v>2383</v>
      </c>
      <c r="F850" t="str">
        <f t="shared" si="13"/>
        <v>SUTAMARCHÁN</v>
      </c>
    </row>
    <row r="851" spans="5:6" x14ac:dyDescent="0.25">
      <c r="E851" t="s">
        <v>2384</v>
      </c>
      <c r="F851" t="str">
        <f t="shared" si="13"/>
        <v>TÁMARA</v>
      </c>
    </row>
    <row r="852" spans="5:6" x14ac:dyDescent="0.25">
      <c r="E852" t="s">
        <v>2385</v>
      </c>
      <c r="F852" t="str">
        <f t="shared" si="13"/>
        <v>TIBANÁ</v>
      </c>
    </row>
    <row r="853" spans="5:6" x14ac:dyDescent="0.25">
      <c r="E853" t="s">
        <v>2386</v>
      </c>
      <c r="F853" t="str">
        <f t="shared" si="13"/>
        <v>TIBÚ</v>
      </c>
    </row>
    <row r="854" spans="5:6" x14ac:dyDescent="0.25">
      <c r="E854" t="s">
        <v>2387</v>
      </c>
      <c r="F854" t="str">
        <f t="shared" si="13"/>
        <v>TIMANÁ</v>
      </c>
    </row>
    <row r="855" spans="5:6" x14ac:dyDescent="0.25">
      <c r="E855" t="s">
        <v>2388</v>
      </c>
      <c r="F855" t="str">
        <f t="shared" si="13"/>
        <v>TIMBÍO</v>
      </c>
    </row>
    <row r="856" spans="5:6" x14ac:dyDescent="0.25">
      <c r="E856" t="s">
        <v>2389</v>
      </c>
      <c r="F856" t="str">
        <f t="shared" si="13"/>
        <v>TIMBIQUÍ</v>
      </c>
    </row>
    <row r="857" spans="5:6" x14ac:dyDescent="0.25">
      <c r="E857" t="s">
        <v>2390</v>
      </c>
      <c r="F857" t="str">
        <f t="shared" si="13"/>
        <v>TINJACÁ</v>
      </c>
    </row>
    <row r="858" spans="5:6" x14ac:dyDescent="0.25">
      <c r="E858" t="s">
        <v>2391</v>
      </c>
      <c r="F858" t="str">
        <f t="shared" si="13"/>
        <v>TITIRIBÍ</v>
      </c>
    </row>
    <row r="859" spans="5:6" x14ac:dyDescent="0.25">
      <c r="E859" t="s">
        <v>2392</v>
      </c>
      <c r="F859" t="str">
        <f t="shared" si="13"/>
        <v>TOCANCIPÁ</v>
      </c>
    </row>
    <row r="860" spans="5:6" x14ac:dyDescent="0.25">
      <c r="E860" t="s">
        <v>2393</v>
      </c>
      <c r="F860" t="str">
        <f t="shared" si="13"/>
        <v>SANTIAGO DE TOLÚ</v>
      </c>
    </row>
    <row r="861" spans="5:6" x14ac:dyDescent="0.25">
      <c r="E861" t="s">
        <v>2394</v>
      </c>
      <c r="F861" t="str">
        <f t="shared" si="13"/>
        <v>TOLUVIEJO</v>
      </c>
    </row>
    <row r="862" spans="5:6" x14ac:dyDescent="0.25">
      <c r="E862" t="s">
        <v>2395</v>
      </c>
      <c r="F862" t="str">
        <f t="shared" si="13"/>
        <v>TOTORÓ</v>
      </c>
    </row>
    <row r="863" spans="5:6" x14ac:dyDescent="0.25">
      <c r="E863" t="s">
        <v>2396</v>
      </c>
      <c r="F863" t="str">
        <f t="shared" si="13"/>
        <v>TUBARÁ</v>
      </c>
    </row>
    <row r="864" spans="5:6" x14ac:dyDescent="0.25">
      <c r="E864" t="s">
        <v>2397</v>
      </c>
      <c r="F864" t="str">
        <f t="shared" si="13"/>
        <v>TULUÁ</v>
      </c>
    </row>
    <row r="865" spans="5:6" x14ac:dyDescent="0.25">
      <c r="E865" t="s">
        <v>2398</v>
      </c>
      <c r="F865" t="str">
        <f t="shared" si="13"/>
        <v>TUMACO</v>
      </c>
    </row>
    <row r="866" spans="5:6" x14ac:dyDescent="0.25">
      <c r="E866" t="s">
        <v>2399</v>
      </c>
      <c r="F866" t="str">
        <f t="shared" si="13"/>
        <v>TÚQUERRES</v>
      </c>
    </row>
    <row r="867" spans="5:6" x14ac:dyDescent="0.25">
      <c r="E867" t="s">
        <v>2400</v>
      </c>
      <c r="F867" t="str">
        <f t="shared" si="13"/>
        <v>TURBANÁ</v>
      </c>
    </row>
    <row r="868" spans="5:6" x14ac:dyDescent="0.25">
      <c r="E868" t="s">
        <v>2401</v>
      </c>
      <c r="F868" t="str">
        <f t="shared" si="13"/>
        <v>TURMEQUÉ</v>
      </c>
    </row>
    <row r="869" spans="5:6" x14ac:dyDescent="0.25">
      <c r="E869" t="s">
        <v>2402</v>
      </c>
      <c r="F869" t="str">
        <f t="shared" si="13"/>
        <v>UBALÁ</v>
      </c>
    </row>
    <row r="870" spans="5:6" x14ac:dyDescent="0.25">
      <c r="E870" t="s">
        <v>2403</v>
      </c>
      <c r="F870" t="str">
        <f t="shared" si="13"/>
        <v>UBATÉ</v>
      </c>
    </row>
    <row r="871" spans="5:6" x14ac:dyDescent="0.25">
      <c r="E871" t="s">
        <v>2404</v>
      </c>
      <c r="F871" t="str">
        <f t="shared" si="13"/>
        <v>ÚMBITA</v>
      </c>
    </row>
    <row r="872" spans="5:6" x14ac:dyDescent="0.25">
      <c r="E872" t="s">
        <v>2405</v>
      </c>
      <c r="F872" t="str">
        <f t="shared" si="13"/>
        <v>UNGUÍA</v>
      </c>
    </row>
    <row r="873" spans="5:6" x14ac:dyDescent="0.25">
      <c r="E873" t="s">
        <v>2406</v>
      </c>
      <c r="F873" t="str">
        <f t="shared" si="13"/>
        <v>USIACURÍ</v>
      </c>
    </row>
    <row r="874" spans="5:6" x14ac:dyDescent="0.25">
      <c r="E874" t="s">
        <v>2407</v>
      </c>
      <c r="F874" t="str">
        <f t="shared" si="13"/>
        <v>ÚTICA</v>
      </c>
    </row>
    <row r="875" spans="5:6" x14ac:dyDescent="0.25">
      <c r="E875" t="s">
        <v>2408</v>
      </c>
      <c r="F875" t="str">
        <f t="shared" si="13"/>
        <v>VALLE DE SAN JOSÉ</v>
      </c>
    </row>
    <row r="876" spans="5:6" x14ac:dyDescent="0.25">
      <c r="E876" t="s">
        <v>2409</v>
      </c>
      <c r="F876" t="str">
        <f t="shared" si="13"/>
        <v>VÉLEZ</v>
      </c>
    </row>
    <row r="877" spans="5:6" x14ac:dyDescent="0.25">
      <c r="E877" t="s">
        <v>2410</v>
      </c>
      <c r="F877" t="str">
        <f t="shared" si="13"/>
        <v>VIANÍ</v>
      </c>
    </row>
    <row r="878" spans="5:6" x14ac:dyDescent="0.25">
      <c r="E878" t="s">
        <v>2411</v>
      </c>
      <c r="F878" t="str">
        <f t="shared" si="13"/>
        <v>VILLA DEL ROSARIO</v>
      </c>
    </row>
    <row r="879" spans="5:6" x14ac:dyDescent="0.25">
      <c r="E879" t="s">
        <v>2412</v>
      </c>
      <c r="F879" t="str">
        <f t="shared" si="13"/>
        <v>VILLAGARZÓN</v>
      </c>
    </row>
    <row r="880" spans="5:6" x14ac:dyDescent="0.25">
      <c r="E880" t="s">
        <v>2413</v>
      </c>
      <c r="F880" t="str">
        <f t="shared" si="13"/>
        <v>VILLAMARÍA</v>
      </c>
    </row>
    <row r="881" spans="5:6" x14ac:dyDescent="0.25">
      <c r="E881" t="s">
        <v>2414</v>
      </c>
      <c r="F881" t="str">
        <f t="shared" si="13"/>
        <v>VILLAPINZÓN</v>
      </c>
    </row>
    <row r="882" spans="5:6" x14ac:dyDescent="0.25">
      <c r="E882" t="s">
        <v>2415</v>
      </c>
      <c r="F882" t="str">
        <f t="shared" si="13"/>
        <v>VIOTÁ</v>
      </c>
    </row>
    <row r="883" spans="5:6" x14ac:dyDescent="0.25">
      <c r="E883" t="s">
        <v>2416</v>
      </c>
      <c r="F883" t="str">
        <f t="shared" si="13"/>
        <v>VIRACACHÁ</v>
      </c>
    </row>
    <row r="884" spans="5:6" x14ac:dyDescent="0.25">
      <c r="E884" t="s">
        <v>2417</v>
      </c>
      <c r="F884" t="str">
        <f t="shared" si="13"/>
        <v>VISTA HERMOSA</v>
      </c>
    </row>
    <row r="885" spans="5:6" x14ac:dyDescent="0.25">
      <c r="E885" t="s">
        <v>2418</v>
      </c>
      <c r="F885" t="str">
        <f t="shared" si="13"/>
        <v>YAGUARÁ</v>
      </c>
    </row>
    <row r="886" spans="5:6" x14ac:dyDescent="0.25">
      <c r="E886" t="s">
        <v>2419</v>
      </c>
      <c r="F886" t="str">
        <f t="shared" si="13"/>
        <v>YOLOMBÓ</v>
      </c>
    </row>
    <row r="887" spans="5:6" x14ac:dyDescent="0.25">
      <c r="E887" t="s">
        <v>2420</v>
      </c>
      <c r="F887" t="str">
        <f t="shared" si="13"/>
        <v>YONDÓ</v>
      </c>
    </row>
    <row r="888" spans="5:6" x14ac:dyDescent="0.25">
      <c r="E888" t="s">
        <v>2421</v>
      </c>
      <c r="F888" t="str">
        <f t="shared" si="13"/>
        <v>ZIPACÓN</v>
      </c>
    </row>
    <row r="889" spans="5:6" x14ac:dyDescent="0.25">
      <c r="E889" t="s">
        <v>2422</v>
      </c>
      <c r="F889" t="str">
        <f t="shared" si="13"/>
        <v>ZIPAQUIRÁ</v>
      </c>
    </row>
    <row r="890" spans="5:6" x14ac:dyDescent="0.25">
      <c r="E890" t="s">
        <v>2170</v>
      </c>
      <c r="F890" t="str">
        <f t="shared" si="13"/>
        <v>SANTA ROSALIA</v>
      </c>
    </row>
    <row r="891" spans="5:6" x14ac:dyDescent="0.25">
      <c r="E891" t="s">
        <v>2171</v>
      </c>
      <c r="F891" t="str">
        <f t="shared" si="13"/>
        <v>ABREGO</v>
      </c>
    </row>
    <row r="892" spans="5:6" x14ac:dyDescent="0.25">
      <c r="E892" t="s">
        <v>2172</v>
      </c>
      <c r="F892" t="str">
        <f t="shared" si="13"/>
        <v>ABRIAQUI</v>
      </c>
    </row>
    <row r="893" spans="5:6" x14ac:dyDescent="0.25">
      <c r="E893" t="s">
        <v>2173</v>
      </c>
      <c r="F893" t="str">
        <f t="shared" si="13"/>
        <v>ACACIAS</v>
      </c>
    </row>
    <row r="894" spans="5:6" x14ac:dyDescent="0.25">
      <c r="E894" t="s">
        <v>2174</v>
      </c>
      <c r="F894" t="str">
        <f t="shared" si="13"/>
        <v>ACANDI</v>
      </c>
    </row>
    <row r="895" spans="5:6" x14ac:dyDescent="0.25">
      <c r="E895" t="s">
        <v>2175</v>
      </c>
      <c r="F895" t="str">
        <f t="shared" si="13"/>
        <v>ACHI</v>
      </c>
    </row>
    <row r="896" spans="5:6" x14ac:dyDescent="0.25">
      <c r="E896" t="s">
        <v>2176</v>
      </c>
      <c r="F896" t="str">
        <f t="shared" si="13"/>
        <v>AGUSTIN CODAZZI</v>
      </c>
    </row>
    <row r="897" spans="5:6" x14ac:dyDescent="0.25">
      <c r="E897" t="s">
        <v>2177</v>
      </c>
      <c r="F897" t="str">
        <f t="shared" si="13"/>
        <v>ALBAN</v>
      </c>
    </row>
    <row r="898" spans="5:6" x14ac:dyDescent="0.25">
      <c r="E898" t="s">
        <v>2178</v>
      </c>
      <c r="F898" t="str">
        <f t="shared" si="13"/>
        <v>ALCALA</v>
      </c>
    </row>
    <row r="899" spans="5:6" x14ac:dyDescent="0.25">
      <c r="E899" t="s">
        <v>2179</v>
      </c>
      <c r="F899" t="str">
        <f t="shared" ref="F899:F962" si="14">_xlfn.XLOOKUP(E899, $A:$A, $B:$B, E899)</f>
        <v>ALEJANDRIA</v>
      </c>
    </row>
    <row r="900" spans="5:6" x14ac:dyDescent="0.25">
      <c r="E900" t="s">
        <v>2180</v>
      </c>
      <c r="F900" t="str">
        <f t="shared" si="14"/>
        <v>AMAGA</v>
      </c>
    </row>
    <row r="901" spans="5:6" x14ac:dyDescent="0.25">
      <c r="E901" t="s">
        <v>2181</v>
      </c>
      <c r="F901" t="str">
        <f t="shared" si="14"/>
        <v>ANDALUCIA</v>
      </c>
    </row>
    <row r="902" spans="5:6" x14ac:dyDescent="0.25">
      <c r="E902" t="s">
        <v>2423</v>
      </c>
      <c r="F902" t="str">
        <f t="shared" si="14"/>
        <v>ANGELOPOLIS</v>
      </c>
    </row>
    <row r="903" spans="5:6" x14ac:dyDescent="0.25">
      <c r="E903" t="s">
        <v>2182</v>
      </c>
      <c r="F903" t="str">
        <f t="shared" si="14"/>
        <v>ANORI</v>
      </c>
    </row>
    <row r="904" spans="5:6" x14ac:dyDescent="0.25">
      <c r="E904" t="s">
        <v>2183</v>
      </c>
      <c r="F904" t="str">
        <f t="shared" si="14"/>
        <v>ANTIOQUIA</v>
      </c>
    </row>
    <row r="905" spans="5:6" x14ac:dyDescent="0.25">
      <c r="E905" t="s">
        <v>2424</v>
      </c>
      <c r="F905" t="str">
        <f t="shared" si="14"/>
        <v>ANZA</v>
      </c>
    </row>
    <row r="906" spans="5:6" x14ac:dyDescent="0.25">
      <c r="E906" t="s">
        <v>2184</v>
      </c>
      <c r="F906" t="str">
        <f t="shared" si="14"/>
        <v>APARTADO</v>
      </c>
    </row>
    <row r="907" spans="5:6" x14ac:dyDescent="0.25">
      <c r="E907" t="s">
        <v>2185</v>
      </c>
      <c r="F907" t="str">
        <f t="shared" si="14"/>
        <v>APIA</v>
      </c>
    </row>
    <row r="908" spans="5:6" x14ac:dyDescent="0.25">
      <c r="E908" t="s">
        <v>2425</v>
      </c>
      <c r="F908" t="str">
        <f t="shared" si="14"/>
        <v>ARANQUITA</v>
      </c>
    </row>
    <row r="909" spans="5:6" x14ac:dyDescent="0.25">
      <c r="E909" t="s">
        <v>2426</v>
      </c>
      <c r="F909" t="str">
        <f t="shared" si="14"/>
        <v>ARBELAEZ</v>
      </c>
    </row>
    <row r="910" spans="5:6" x14ac:dyDescent="0.25">
      <c r="E910" t="s">
        <v>2186</v>
      </c>
      <c r="F910" t="str">
        <f t="shared" si="14"/>
        <v>ARIGUANI</v>
      </c>
    </row>
    <row r="911" spans="5:6" x14ac:dyDescent="0.25">
      <c r="E911" t="s">
        <v>2187</v>
      </c>
      <c r="F911" t="str">
        <f t="shared" si="14"/>
        <v>ARJOMA</v>
      </c>
    </row>
    <row r="912" spans="5:6" x14ac:dyDescent="0.25">
      <c r="E912" t="s">
        <v>2188</v>
      </c>
      <c r="F912" t="str">
        <f t="shared" si="14"/>
        <v>ARMERO</v>
      </c>
    </row>
    <row r="913" spans="5:6" x14ac:dyDescent="0.25">
      <c r="E913" t="s">
        <v>2190</v>
      </c>
      <c r="F913" t="str">
        <f t="shared" si="14"/>
        <v>BAGADO</v>
      </c>
    </row>
    <row r="914" spans="5:6" x14ac:dyDescent="0.25">
      <c r="E914" t="s">
        <v>2191</v>
      </c>
      <c r="F914" t="str">
        <f t="shared" si="14"/>
        <v>BAHIA SOLANO</v>
      </c>
    </row>
    <row r="915" spans="5:6" x14ac:dyDescent="0.25">
      <c r="E915" t="s">
        <v>2192</v>
      </c>
      <c r="F915" t="str">
        <f t="shared" si="14"/>
        <v>BAJO BAUDO</v>
      </c>
    </row>
    <row r="916" spans="5:6" x14ac:dyDescent="0.25">
      <c r="E916" t="s">
        <v>2193</v>
      </c>
      <c r="F916" t="str">
        <f t="shared" si="14"/>
        <v>BARRANCA DE UPIA</v>
      </c>
    </row>
    <row r="917" spans="5:6" x14ac:dyDescent="0.25">
      <c r="E917" t="s">
        <v>2194</v>
      </c>
      <c r="F917" t="str">
        <f t="shared" si="14"/>
        <v>BARRANCABERBJA</v>
      </c>
    </row>
    <row r="918" spans="5:6" x14ac:dyDescent="0.25">
      <c r="E918" t="s">
        <v>2195</v>
      </c>
      <c r="F918" t="str">
        <f t="shared" si="14"/>
        <v>BELALCAZAR</v>
      </c>
    </row>
    <row r="919" spans="5:6" x14ac:dyDescent="0.25">
      <c r="E919" t="s">
        <v>2196</v>
      </c>
      <c r="F919" t="str">
        <f t="shared" si="14"/>
        <v>BELEN</v>
      </c>
    </row>
    <row r="920" spans="5:6" x14ac:dyDescent="0.25">
      <c r="E920" t="s">
        <v>2197</v>
      </c>
      <c r="F920" t="str">
        <f t="shared" si="14"/>
        <v>BELEN DE UMBRIA</v>
      </c>
    </row>
    <row r="921" spans="5:6" x14ac:dyDescent="0.25">
      <c r="E921" t="s">
        <v>2198</v>
      </c>
      <c r="F921" t="str">
        <f t="shared" si="14"/>
        <v>BELTRAN</v>
      </c>
    </row>
    <row r="922" spans="5:6" x14ac:dyDescent="0.25">
      <c r="E922" t="s">
        <v>2199</v>
      </c>
      <c r="F922" t="str">
        <f t="shared" si="14"/>
        <v>BOGOTA D.C</v>
      </c>
    </row>
    <row r="923" spans="5:6" x14ac:dyDescent="0.25">
      <c r="E923" t="s">
        <v>2200</v>
      </c>
      <c r="F923" t="str">
        <f t="shared" si="14"/>
        <v>BOJACA</v>
      </c>
    </row>
    <row r="924" spans="5:6" x14ac:dyDescent="0.25">
      <c r="E924" t="s">
        <v>2201</v>
      </c>
      <c r="F924" t="str">
        <f t="shared" si="14"/>
        <v>BOLIVAR</v>
      </c>
    </row>
    <row r="925" spans="5:6" x14ac:dyDescent="0.25">
      <c r="E925" t="s">
        <v>2202</v>
      </c>
      <c r="F925" t="str">
        <f t="shared" si="14"/>
        <v>BOYACA</v>
      </c>
    </row>
    <row r="926" spans="5:6" x14ac:dyDescent="0.25">
      <c r="E926" t="s">
        <v>2427</v>
      </c>
      <c r="F926" t="str">
        <f t="shared" si="14"/>
        <v>BRICENO</v>
      </c>
    </row>
    <row r="927" spans="5:6" x14ac:dyDescent="0.25">
      <c r="E927" t="s">
        <v>2203</v>
      </c>
      <c r="F927" t="str">
        <f t="shared" si="14"/>
        <v>BUGA</v>
      </c>
    </row>
    <row r="928" spans="5:6" x14ac:dyDescent="0.25">
      <c r="E928" t="s">
        <v>2204</v>
      </c>
      <c r="F928" t="str">
        <f t="shared" si="14"/>
        <v>BURITICÁ</v>
      </c>
    </row>
    <row r="929" spans="5:6" x14ac:dyDescent="0.25">
      <c r="E929" t="s">
        <v>2205</v>
      </c>
      <c r="F929" t="str">
        <f t="shared" si="14"/>
        <v>CÁCERES</v>
      </c>
    </row>
    <row r="930" spans="5:6" x14ac:dyDescent="0.25">
      <c r="E930" t="s">
        <v>2206</v>
      </c>
      <c r="F930" t="str">
        <f t="shared" si="14"/>
        <v>CACHIRA</v>
      </c>
    </row>
    <row r="931" spans="5:6" x14ac:dyDescent="0.25">
      <c r="E931" t="s">
        <v>2207</v>
      </c>
      <c r="F931" t="str">
        <f t="shared" si="14"/>
        <v>CÁCOTA</v>
      </c>
    </row>
    <row r="932" spans="5:6" x14ac:dyDescent="0.25">
      <c r="E932" t="s">
        <v>2208</v>
      </c>
      <c r="F932" t="str">
        <f t="shared" si="14"/>
        <v>CAJIBÍO</v>
      </c>
    </row>
    <row r="933" spans="5:6" x14ac:dyDescent="0.25">
      <c r="E933" t="s">
        <v>2209</v>
      </c>
      <c r="F933" t="str">
        <f t="shared" si="14"/>
        <v>CAJICÁ</v>
      </c>
    </row>
    <row r="934" spans="5:6" x14ac:dyDescent="0.25">
      <c r="E934" t="s">
        <v>2210</v>
      </c>
      <c r="F934" t="str">
        <f t="shared" si="14"/>
        <v>CALARCÁ</v>
      </c>
    </row>
    <row r="935" spans="5:6" x14ac:dyDescent="0.25">
      <c r="E935" t="s">
        <v>2428</v>
      </c>
      <c r="F935" t="str">
        <f t="shared" si="14"/>
        <v>CALIMA (DARIEN)</v>
      </c>
    </row>
    <row r="936" spans="5:6" x14ac:dyDescent="0.25">
      <c r="E936" t="s">
        <v>2521</v>
      </c>
      <c r="F936" t="str">
        <f t="shared" si="14"/>
        <v>EL CARMEN DE VIBORALRAL</v>
      </c>
    </row>
    <row r="937" spans="5:6" x14ac:dyDescent="0.25">
      <c r="E937" t="s">
        <v>2429</v>
      </c>
      <c r="F937" t="str">
        <f t="shared" si="14"/>
        <v>CHIGORODO</v>
      </c>
    </row>
    <row r="938" spans="5:6" x14ac:dyDescent="0.25">
      <c r="E938" t="s">
        <v>2231</v>
      </c>
      <c r="F938" t="str">
        <f t="shared" si="14"/>
        <v>CHOACHI</v>
      </c>
    </row>
    <row r="939" spans="5:6" x14ac:dyDescent="0.25">
      <c r="E939" t="s">
        <v>2430</v>
      </c>
      <c r="F939" t="str">
        <f t="shared" si="14"/>
        <v>COMBITA</v>
      </c>
    </row>
    <row r="940" spans="5:6" x14ac:dyDescent="0.25">
      <c r="E940" t="s">
        <v>2431</v>
      </c>
      <c r="F940" t="str">
        <f t="shared" si="14"/>
        <v>CONTRATACION</v>
      </c>
    </row>
    <row r="941" spans="5:6" x14ac:dyDescent="0.25">
      <c r="E941" t="s">
        <v>2240</v>
      </c>
      <c r="F941" t="str">
        <f t="shared" si="14"/>
        <v>CURABA</v>
      </c>
    </row>
    <row r="942" spans="5:6" x14ac:dyDescent="0.25">
      <c r="E942" t="s">
        <v>2241</v>
      </c>
      <c r="F942" t="str">
        <f t="shared" si="14"/>
        <v>SAN LUIS DE CUBARRAL</v>
      </c>
    </row>
    <row r="943" spans="5:6" x14ac:dyDescent="0.25">
      <c r="E943" t="s">
        <v>2242</v>
      </c>
      <c r="F943" t="str">
        <f t="shared" si="14"/>
        <v>CUCUNUBÁ</v>
      </c>
    </row>
    <row r="944" spans="5:6" x14ac:dyDescent="0.25">
      <c r="E944" t="s">
        <v>2243</v>
      </c>
      <c r="F944" t="str">
        <f t="shared" si="14"/>
        <v>CÚCUTA</v>
      </c>
    </row>
    <row r="945" spans="5:6" x14ac:dyDescent="0.25">
      <c r="E945" t="s">
        <v>2244</v>
      </c>
      <c r="F945" t="str">
        <f t="shared" si="14"/>
        <v>CUITIVA</v>
      </c>
    </row>
    <row r="946" spans="5:6" x14ac:dyDescent="0.25">
      <c r="E946" t="s">
        <v>2245</v>
      </c>
      <c r="F946" t="str">
        <f t="shared" si="14"/>
        <v>CURITÍ</v>
      </c>
    </row>
    <row r="947" spans="5:6" x14ac:dyDescent="0.25">
      <c r="E947" t="s">
        <v>2246</v>
      </c>
      <c r="F947" t="str">
        <f t="shared" si="14"/>
        <v>CURUMANÍ</v>
      </c>
    </row>
    <row r="948" spans="5:6" x14ac:dyDescent="0.25">
      <c r="E948" t="s">
        <v>2247</v>
      </c>
      <c r="F948" t="str">
        <f t="shared" si="14"/>
        <v>DISTRACCIÓN</v>
      </c>
    </row>
    <row r="949" spans="5:6" x14ac:dyDescent="0.25">
      <c r="E949" t="s">
        <v>2248</v>
      </c>
      <c r="F949" t="str">
        <f t="shared" si="14"/>
        <v>DONMATÍAS</v>
      </c>
    </row>
    <row r="950" spans="5:6" x14ac:dyDescent="0.25">
      <c r="E950" t="s">
        <v>2249</v>
      </c>
      <c r="F950" t="str">
        <f t="shared" si="14"/>
        <v>DOSQUEBRADAS</v>
      </c>
    </row>
    <row r="951" spans="5:6" x14ac:dyDescent="0.25">
      <c r="E951" t="s">
        <v>2250</v>
      </c>
      <c r="F951" t="str">
        <f t="shared" si="14"/>
        <v>EBÉJICO</v>
      </c>
    </row>
    <row r="952" spans="5:6" x14ac:dyDescent="0.25">
      <c r="E952" t="s">
        <v>2432</v>
      </c>
      <c r="F952" t="str">
        <f t="shared" si="14"/>
        <v>EL CARMEN DE BOLIVAR</v>
      </c>
    </row>
    <row r="953" spans="5:6" x14ac:dyDescent="0.25">
      <c r="E953" t="s">
        <v>2252</v>
      </c>
      <c r="F953" t="str">
        <f t="shared" si="14"/>
        <v>EL PAUJIL</v>
      </c>
    </row>
    <row r="954" spans="5:6" x14ac:dyDescent="0.25">
      <c r="E954" t="s">
        <v>2253</v>
      </c>
      <c r="F954" t="str">
        <f t="shared" si="14"/>
        <v>EL PEÑÓN</v>
      </c>
    </row>
    <row r="955" spans="5:6" x14ac:dyDescent="0.25">
      <c r="E955" t="s">
        <v>2254</v>
      </c>
      <c r="F955" t="str">
        <f t="shared" si="14"/>
        <v>EL PLAYÓN</v>
      </c>
    </row>
    <row r="956" spans="5:6" x14ac:dyDescent="0.25">
      <c r="E956" t="s">
        <v>2255</v>
      </c>
      <c r="F956" t="str">
        <f t="shared" si="14"/>
        <v>ELÍAS</v>
      </c>
    </row>
    <row r="957" spans="5:6" x14ac:dyDescent="0.25">
      <c r="E957" t="s">
        <v>2256</v>
      </c>
      <c r="F957" t="str">
        <f t="shared" si="14"/>
        <v>ENTRERRÍOS</v>
      </c>
    </row>
    <row r="958" spans="5:6" x14ac:dyDescent="0.25">
      <c r="E958" t="s">
        <v>2257</v>
      </c>
      <c r="F958" t="str">
        <f t="shared" si="14"/>
        <v>FACATATIVÁ</v>
      </c>
    </row>
    <row r="959" spans="5:6" x14ac:dyDescent="0.25">
      <c r="E959" t="s">
        <v>2258</v>
      </c>
      <c r="F959" t="str">
        <f t="shared" si="14"/>
        <v>FLORIÁN</v>
      </c>
    </row>
    <row r="960" spans="5:6" x14ac:dyDescent="0.25">
      <c r="E960" t="s">
        <v>2433</v>
      </c>
      <c r="F960" t="str">
        <f t="shared" si="14"/>
        <v>FOMEQUE</v>
      </c>
    </row>
    <row r="961" spans="5:6" x14ac:dyDescent="0.25">
      <c r="E961" t="s">
        <v>2259</v>
      </c>
      <c r="F961" t="str">
        <f t="shared" si="14"/>
        <v>FUNDACIÓN</v>
      </c>
    </row>
    <row r="962" spans="5:6" x14ac:dyDescent="0.25">
      <c r="E962" t="s">
        <v>2434</v>
      </c>
      <c r="F962" t="str">
        <f t="shared" si="14"/>
        <v>FUQUENE</v>
      </c>
    </row>
    <row r="963" spans="5:6" x14ac:dyDescent="0.25">
      <c r="E963" t="s">
        <v>2260</v>
      </c>
      <c r="F963" t="str">
        <f t="shared" ref="F963:F1026" si="15">_xlfn.XLOOKUP(E963, $A:$A, $B:$B, E963)</f>
        <v>FUSAGASUGÁ</v>
      </c>
    </row>
    <row r="964" spans="5:6" x14ac:dyDescent="0.25">
      <c r="E964" t="s">
        <v>2261</v>
      </c>
      <c r="F964" t="str">
        <f t="shared" si="15"/>
        <v>GACHANCIPÁ</v>
      </c>
    </row>
    <row r="965" spans="5:6" x14ac:dyDescent="0.25">
      <c r="E965" t="s">
        <v>2435</v>
      </c>
      <c r="F965" t="str">
        <f t="shared" si="15"/>
        <v>GACHETA</v>
      </c>
    </row>
    <row r="966" spans="5:6" x14ac:dyDescent="0.25">
      <c r="E966" t="s">
        <v>2436</v>
      </c>
      <c r="F966" t="str">
        <f t="shared" si="15"/>
        <v>GAMBITA</v>
      </c>
    </row>
    <row r="967" spans="5:6" x14ac:dyDescent="0.25">
      <c r="E967" t="s">
        <v>2262</v>
      </c>
      <c r="F967" t="str">
        <f t="shared" si="15"/>
        <v>GACHANTIVÁ</v>
      </c>
    </row>
    <row r="968" spans="5:6" x14ac:dyDescent="0.25">
      <c r="E968" t="s">
        <v>2263</v>
      </c>
      <c r="F968" t="str">
        <f t="shared" si="15"/>
        <v>GALÁN</v>
      </c>
    </row>
    <row r="969" spans="5:6" x14ac:dyDescent="0.25">
      <c r="E969" t="s">
        <v>2264</v>
      </c>
      <c r="F969" t="str">
        <f t="shared" si="15"/>
        <v>GÁLAGO</v>
      </c>
    </row>
    <row r="970" spans="5:6" x14ac:dyDescent="0.25">
      <c r="E970" t="s">
        <v>2265</v>
      </c>
      <c r="F970" t="str">
        <f t="shared" si="15"/>
        <v>GARZÓN</v>
      </c>
    </row>
    <row r="971" spans="5:6" x14ac:dyDescent="0.25">
      <c r="E971" t="s">
        <v>2266</v>
      </c>
      <c r="F971" t="str">
        <f t="shared" si="15"/>
        <v>GÉNOVA</v>
      </c>
    </row>
    <row r="972" spans="5:6" x14ac:dyDescent="0.25">
      <c r="E972" t="s">
        <v>2267</v>
      </c>
      <c r="F972" t="str">
        <f t="shared" si="15"/>
        <v>GIRÓN</v>
      </c>
    </row>
    <row r="973" spans="5:6" x14ac:dyDescent="0.25">
      <c r="E973" t="s">
        <v>2268</v>
      </c>
      <c r="F973" t="str">
        <f t="shared" si="15"/>
        <v>GÓMEZ PLATA</v>
      </c>
    </row>
    <row r="974" spans="5:6" x14ac:dyDescent="0.25">
      <c r="E974" t="s">
        <v>2269</v>
      </c>
      <c r="F974" t="str">
        <f t="shared" si="15"/>
        <v>GRANADA</v>
      </c>
    </row>
    <row r="975" spans="5:6" x14ac:dyDescent="0.25">
      <c r="E975" t="s">
        <v>2270</v>
      </c>
      <c r="F975" t="str">
        <f t="shared" si="15"/>
        <v>GRANADA</v>
      </c>
    </row>
    <row r="976" spans="5:6" x14ac:dyDescent="0.25">
      <c r="E976" t="s">
        <v>2271</v>
      </c>
      <c r="F976" t="str">
        <f t="shared" si="15"/>
        <v>GRANADA</v>
      </c>
    </row>
    <row r="977" spans="5:6" x14ac:dyDescent="0.25">
      <c r="E977" t="s">
        <v>2272</v>
      </c>
      <c r="F977" t="str">
        <f t="shared" si="15"/>
        <v>GUACARÍ</v>
      </c>
    </row>
    <row r="978" spans="5:6" x14ac:dyDescent="0.25">
      <c r="E978" t="s">
        <v>2437</v>
      </c>
      <c r="F978" t="str">
        <f t="shared" si="15"/>
        <v>GUACHETA</v>
      </c>
    </row>
    <row r="979" spans="5:6" x14ac:dyDescent="0.25">
      <c r="E979" t="s">
        <v>2273</v>
      </c>
      <c r="F979" t="str">
        <f t="shared" si="15"/>
        <v>GUAPÍ</v>
      </c>
    </row>
    <row r="980" spans="5:6" x14ac:dyDescent="0.25">
      <c r="E980" t="s">
        <v>2274</v>
      </c>
      <c r="F980" t="str">
        <f t="shared" si="15"/>
        <v>GUATAPÉ</v>
      </c>
    </row>
    <row r="981" spans="5:6" x14ac:dyDescent="0.25">
      <c r="E981" t="s">
        <v>2438</v>
      </c>
      <c r="F981" t="str">
        <f t="shared" si="15"/>
        <v>GUATAQUI</v>
      </c>
    </row>
    <row r="982" spans="5:6" x14ac:dyDescent="0.25">
      <c r="E982" t="s">
        <v>2275</v>
      </c>
      <c r="F982" t="str">
        <f t="shared" si="15"/>
        <v>GUÁTICA</v>
      </c>
    </row>
    <row r="983" spans="5:6" x14ac:dyDescent="0.25">
      <c r="E983" t="s">
        <v>2276</v>
      </c>
      <c r="F983" t="str">
        <f t="shared" si="15"/>
        <v>GUAYATÁ</v>
      </c>
    </row>
    <row r="984" spans="5:6" x14ac:dyDescent="0.25">
      <c r="E984" t="s">
        <v>2277</v>
      </c>
      <c r="F984" t="str">
        <f t="shared" si="15"/>
        <v>GÜEPSA</v>
      </c>
    </row>
    <row r="985" spans="5:6" x14ac:dyDescent="0.25">
      <c r="E985" t="s">
        <v>2278</v>
      </c>
      <c r="F985" t="str">
        <f t="shared" si="15"/>
        <v>GÜICÁN DE LA SIERRA</v>
      </c>
    </row>
    <row r="986" spans="5:6" x14ac:dyDescent="0.25">
      <c r="E986" t="s">
        <v>2279</v>
      </c>
      <c r="F986" t="str">
        <f t="shared" si="15"/>
        <v>IBAGUÉ</v>
      </c>
    </row>
    <row r="987" spans="5:6" x14ac:dyDescent="0.25">
      <c r="E987" t="s">
        <v>2280</v>
      </c>
      <c r="F987" t="str">
        <f t="shared" si="15"/>
        <v>ICUIRA</v>
      </c>
    </row>
    <row r="988" spans="5:6" x14ac:dyDescent="0.25">
      <c r="E988" t="s">
        <v>2281</v>
      </c>
      <c r="F988" t="str">
        <f t="shared" si="15"/>
        <v>INZÁ</v>
      </c>
    </row>
    <row r="989" spans="5:6" x14ac:dyDescent="0.25">
      <c r="E989" t="s">
        <v>2282</v>
      </c>
      <c r="F989" t="str">
        <f t="shared" si="15"/>
        <v>ITAGÜÍ</v>
      </c>
    </row>
    <row r="990" spans="5:6" x14ac:dyDescent="0.25">
      <c r="E990" t="s">
        <v>2283</v>
      </c>
      <c r="F990" t="str">
        <f t="shared" si="15"/>
        <v>JAMUNDÍ</v>
      </c>
    </row>
    <row r="991" spans="5:6" x14ac:dyDescent="0.25">
      <c r="E991" t="s">
        <v>2284</v>
      </c>
      <c r="F991" t="str">
        <f t="shared" si="15"/>
        <v>JARDÍN</v>
      </c>
    </row>
    <row r="992" spans="5:6" x14ac:dyDescent="0.25">
      <c r="E992" t="s">
        <v>2285</v>
      </c>
      <c r="F992" t="str">
        <f t="shared" si="15"/>
        <v>JERICÓ</v>
      </c>
    </row>
    <row r="993" spans="5:6" x14ac:dyDescent="0.25">
      <c r="E993" t="s">
        <v>2439</v>
      </c>
      <c r="F993" t="str">
        <f t="shared" si="15"/>
        <v>JUNIN</v>
      </c>
    </row>
    <row r="994" spans="5:6" x14ac:dyDescent="0.25">
      <c r="E994" t="s">
        <v>2286</v>
      </c>
      <c r="F994" t="str">
        <f t="shared" si="15"/>
        <v>JURADÓ</v>
      </c>
    </row>
    <row r="995" spans="5:6" x14ac:dyDescent="0.25">
      <c r="E995" t="s">
        <v>2287</v>
      </c>
      <c r="F995" t="str">
        <f t="shared" si="15"/>
        <v>LA CHORRERA</v>
      </c>
    </row>
    <row r="996" spans="5:6" x14ac:dyDescent="0.25">
      <c r="E996" t="s">
        <v>2289</v>
      </c>
      <c r="F996" t="str">
        <f t="shared" si="15"/>
        <v>LA UNIÓN</v>
      </c>
    </row>
    <row r="997" spans="5:6" x14ac:dyDescent="0.25">
      <c r="E997" t="s">
        <v>2290</v>
      </c>
      <c r="F997" t="str">
        <f t="shared" si="15"/>
        <v>LA URIBE</v>
      </c>
    </row>
    <row r="998" spans="5:6" x14ac:dyDescent="0.25">
      <c r="E998" t="s">
        <v>2440</v>
      </c>
      <c r="F998" t="str">
        <f t="shared" si="15"/>
        <v>LANDAZURI</v>
      </c>
    </row>
    <row r="999" spans="5:6" x14ac:dyDescent="0.25">
      <c r="E999" t="s">
        <v>2291</v>
      </c>
      <c r="F999" t="str">
        <f t="shared" si="15"/>
        <v>LABRIJA</v>
      </c>
    </row>
    <row r="1000" spans="5:6" x14ac:dyDescent="0.25">
      <c r="E1000" t="s">
        <v>2441</v>
      </c>
      <c r="F1000" t="str">
        <f t="shared" si="15"/>
        <v>LEJANIAS</v>
      </c>
    </row>
    <row r="1001" spans="5:6" x14ac:dyDescent="0.25">
      <c r="E1001" t="s">
        <v>2292</v>
      </c>
      <c r="F1001" t="str">
        <f t="shared" si="15"/>
        <v>LÉRIDA</v>
      </c>
    </row>
    <row r="1002" spans="5:6" x14ac:dyDescent="0.25">
      <c r="E1002" t="s">
        <v>2293</v>
      </c>
      <c r="F1002" t="str">
        <f t="shared" si="15"/>
        <v>LÍBANO</v>
      </c>
    </row>
    <row r="1003" spans="5:6" x14ac:dyDescent="0.25">
      <c r="E1003" t="s">
        <v>2442</v>
      </c>
      <c r="F1003" t="str">
        <f t="shared" si="15"/>
        <v>LLORO</v>
      </c>
    </row>
    <row r="1004" spans="5:6" x14ac:dyDescent="0.25">
      <c r="E1004" t="s">
        <v>2443</v>
      </c>
      <c r="F1004" t="str">
        <f t="shared" si="15"/>
        <v>LOS ANDES (SOTO MA</v>
      </c>
    </row>
    <row r="1005" spans="5:6" x14ac:dyDescent="0.25">
      <c r="E1005" t="s">
        <v>2294</v>
      </c>
      <c r="F1005" t="str">
        <f t="shared" si="15"/>
        <v>MACHETÁ</v>
      </c>
    </row>
    <row r="1006" spans="5:6" x14ac:dyDescent="0.25">
      <c r="E1006" t="s">
        <v>2295</v>
      </c>
      <c r="F1006" t="str">
        <f t="shared" si="15"/>
        <v>MAGANGUÉ</v>
      </c>
    </row>
    <row r="1007" spans="5:6" x14ac:dyDescent="0.25">
      <c r="E1007" t="s">
        <v>2296</v>
      </c>
      <c r="F1007" t="str">
        <f t="shared" si="15"/>
        <v>MÁLAGA</v>
      </c>
    </row>
    <row r="1008" spans="5:6" x14ac:dyDescent="0.25">
      <c r="E1008" t="s">
        <v>2297</v>
      </c>
      <c r="F1008" t="str">
        <f t="shared" si="15"/>
        <v>MANAURE BALCÓN DEL CESAR</v>
      </c>
    </row>
    <row r="1009" spans="5:6" x14ac:dyDescent="0.25">
      <c r="E1009" t="s">
        <v>2298</v>
      </c>
      <c r="F1009" t="str">
        <f t="shared" si="15"/>
        <v>MANÍ</v>
      </c>
    </row>
    <row r="1010" spans="5:6" x14ac:dyDescent="0.25">
      <c r="E1010" t="s">
        <v>2299</v>
      </c>
      <c r="F1010" t="str">
        <f t="shared" si="15"/>
        <v>MAPIRIPÁN</v>
      </c>
    </row>
    <row r="1011" spans="5:6" x14ac:dyDescent="0.25">
      <c r="E1011" t="s">
        <v>2300</v>
      </c>
      <c r="F1011" t="str">
        <f t="shared" si="15"/>
        <v>MARIQUITA</v>
      </c>
    </row>
    <row r="1012" spans="5:6" x14ac:dyDescent="0.25">
      <c r="E1012" t="s">
        <v>2301</v>
      </c>
      <c r="F1012" t="str">
        <f t="shared" si="15"/>
        <v>MEDELLÍN</v>
      </c>
    </row>
    <row r="1013" spans="5:6" x14ac:dyDescent="0.25">
      <c r="E1013" t="s">
        <v>2444</v>
      </c>
      <c r="F1013" t="str">
        <f t="shared" si="15"/>
        <v>MEDIO BAUDO</v>
      </c>
    </row>
    <row r="1014" spans="5:6" x14ac:dyDescent="0.25">
      <c r="E1014" t="s">
        <v>2302</v>
      </c>
      <c r="F1014" t="str">
        <f t="shared" si="15"/>
        <v>MISTRATÓ</v>
      </c>
    </row>
    <row r="1015" spans="5:6" x14ac:dyDescent="0.25">
      <c r="E1015" t="s">
        <v>2303</v>
      </c>
      <c r="F1015" t="str">
        <f t="shared" si="15"/>
        <v>MITÚ</v>
      </c>
    </row>
    <row r="1016" spans="5:6" x14ac:dyDescent="0.25">
      <c r="E1016" t="s">
        <v>2304</v>
      </c>
      <c r="F1016" t="str">
        <f t="shared" si="15"/>
        <v>MOMPÓS</v>
      </c>
    </row>
    <row r="1017" spans="5:6" x14ac:dyDescent="0.25">
      <c r="E1017" t="s">
        <v>2305</v>
      </c>
      <c r="F1017" t="str">
        <f t="shared" si="15"/>
        <v>MONIQUIRÁ</v>
      </c>
    </row>
    <row r="1018" spans="5:6" x14ac:dyDescent="0.25">
      <c r="E1018" t="s">
        <v>2306</v>
      </c>
      <c r="F1018" t="str">
        <f t="shared" si="15"/>
        <v>MOÑITOS</v>
      </c>
    </row>
    <row r="1019" spans="5:6" x14ac:dyDescent="0.25">
      <c r="E1019" t="s">
        <v>2307</v>
      </c>
      <c r="F1019" t="str">
        <f t="shared" si="15"/>
        <v>MONTELÍBANO</v>
      </c>
    </row>
    <row r="1020" spans="5:6" x14ac:dyDescent="0.25">
      <c r="E1020" t="s">
        <v>2308</v>
      </c>
      <c r="F1020" t="str">
        <f t="shared" si="15"/>
        <v>MONTERÍA</v>
      </c>
    </row>
    <row r="1021" spans="5:6" x14ac:dyDescent="0.25">
      <c r="E1021" t="s">
        <v>2309</v>
      </c>
      <c r="F1021" t="str">
        <f t="shared" si="15"/>
        <v>MUTATÁ</v>
      </c>
    </row>
    <row r="1022" spans="5:6" x14ac:dyDescent="0.25">
      <c r="E1022" t="s">
        <v>2445</v>
      </c>
      <c r="F1022" t="str">
        <f t="shared" si="15"/>
        <v>NATAGA</v>
      </c>
    </row>
    <row r="1023" spans="5:6" x14ac:dyDescent="0.25">
      <c r="E1023" t="s">
        <v>2310</v>
      </c>
      <c r="F1023" t="str">
        <f t="shared" si="15"/>
        <v>NECOCLÍ</v>
      </c>
    </row>
    <row r="1024" spans="5:6" x14ac:dyDescent="0.25">
      <c r="E1024" t="s">
        <v>2311</v>
      </c>
      <c r="F1024" t="str">
        <f t="shared" si="15"/>
        <v>NEMOCÓN</v>
      </c>
    </row>
    <row r="1025" spans="5:6" x14ac:dyDescent="0.25">
      <c r="E1025" t="s">
        <v>2313</v>
      </c>
      <c r="F1025" t="str">
        <f t="shared" si="15"/>
        <v>NUQUÍ</v>
      </c>
    </row>
    <row r="1026" spans="5:6" x14ac:dyDescent="0.25">
      <c r="E1026" t="s">
        <v>2314</v>
      </c>
      <c r="F1026" t="str">
        <f t="shared" si="15"/>
        <v>OROCUE</v>
      </c>
    </row>
    <row r="1027" spans="5:6" x14ac:dyDescent="0.25">
      <c r="E1027" t="s">
        <v>2315</v>
      </c>
      <c r="F1027" t="str">
        <f t="shared" ref="F1027:F1090" si="16">_xlfn.XLOOKUP(E1027, $A:$A, $B:$B, E1027)</f>
        <v>PÁCORA</v>
      </c>
    </row>
    <row r="1028" spans="5:6" x14ac:dyDescent="0.25">
      <c r="E1028" t="s">
        <v>2446</v>
      </c>
      <c r="F1028" t="str">
        <f t="shared" si="16"/>
        <v>PATÍA</v>
      </c>
    </row>
    <row r="1029" spans="5:6" x14ac:dyDescent="0.25">
      <c r="E1029" t="s">
        <v>2317</v>
      </c>
      <c r="F1029" t="str">
        <f t="shared" si="16"/>
        <v>PAZ DE RÍO</v>
      </c>
    </row>
    <row r="1030" spans="5:6" x14ac:dyDescent="0.25">
      <c r="E1030" t="s">
        <v>2318</v>
      </c>
      <c r="F1030" t="str">
        <f t="shared" si="16"/>
        <v>PIENDAMÓ</v>
      </c>
    </row>
    <row r="1031" spans="5:6" x14ac:dyDescent="0.25">
      <c r="E1031" t="s">
        <v>2319</v>
      </c>
      <c r="F1031" t="str">
        <f t="shared" si="16"/>
        <v>PIOJO</v>
      </c>
    </row>
    <row r="1032" spans="5:6" x14ac:dyDescent="0.25">
      <c r="E1032" t="s">
        <v>2320</v>
      </c>
      <c r="F1032" t="str">
        <f t="shared" si="16"/>
        <v>POPAYÁN</v>
      </c>
    </row>
    <row r="1033" spans="5:6" x14ac:dyDescent="0.25">
      <c r="E1033" t="s">
        <v>2321</v>
      </c>
      <c r="F1033" t="str">
        <f t="shared" si="16"/>
        <v>PTO NAREL(LAMAG</v>
      </c>
    </row>
    <row r="1034" spans="5:6" x14ac:dyDescent="0.25">
      <c r="E1034" t="s">
        <v>2322</v>
      </c>
      <c r="F1034" t="str">
        <f t="shared" si="16"/>
        <v>PUERTO ASÍS</v>
      </c>
    </row>
    <row r="1035" spans="5:6" x14ac:dyDescent="0.25">
      <c r="E1035" t="s">
        <v>2323</v>
      </c>
      <c r="F1035" t="str">
        <f t="shared" si="16"/>
        <v>PUERTO BERRÍO</v>
      </c>
    </row>
    <row r="1036" spans="5:6" x14ac:dyDescent="0.25">
      <c r="E1036" t="s">
        <v>2324</v>
      </c>
      <c r="F1036" t="str">
        <f t="shared" si="16"/>
        <v>PUERTO BOYACA</v>
      </c>
    </row>
    <row r="1037" spans="5:6" x14ac:dyDescent="0.25">
      <c r="E1037" t="s">
        <v>2325</v>
      </c>
      <c r="F1037" t="str">
        <f t="shared" si="16"/>
        <v>PUERTO CONCORDIA</v>
      </c>
    </row>
    <row r="1038" spans="5:6" x14ac:dyDescent="0.25">
      <c r="E1038" t="s">
        <v>2326</v>
      </c>
      <c r="F1038" t="str">
        <f t="shared" si="16"/>
        <v>PUERTO GAITÁN</v>
      </c>
    </row>
    <row r="1039" spans="5:6" x14ac:dyDescent="0.25">
      <c r="E1039" t="s">
        <v>2327</v>
      </c>
      <c r="F1039" t="str">
        <f t="shared" si="16"/>
        <v>INÍRIDA</v>
      </c>
    </row>
    <row r="1040" spans="5:6" x14ac:dyDescent="0.25">
      <c r="E1040" t="s">
        <v>2328</v>
      </c>
      <c r="F1040" t="str">
        <f t="shared" si="16"/>
        <v>PUERTO LEGUÍZAMO</v>
      </c>
    </row>
    <row r="1041" spans="5:6" x14ac:dyDescent="0.25">
      <c r="E1041" t="s">
        <v>2329</v>
      </c>
      <c r="F1041" t="str">
        <f t="shared" si="16"/>
        <v>PUERTO LIBERTADOR</v>
      </c>
    </row>
    <row r="1042" spans="5:6" x14ac:dyDescent="0.25">
      <c r="E1042" t="s">
        <v>2330</v>
      </c>
      <c r="F1042" t="str">
        <f t="shared" si="16"/>
        <v>PUERTO LÓPEZ</v>
      </c>
    </row>
    <row r="1043" spans="5:6" x14ac:dyDescent="0.25">
      <c r="E1043" t="s">
        <v>2331</v>
      </c>
      <c r="F1043" t="str">
        <f t="shared" si="16"/>
        <v>PURACÉ</v>
      </c>
    </row>
    <row r="1044" spans="5:6" x14ac:dyDescent="0.25">
      <c r="E1044" t="s">
        <v>2332</v>
      </c>
      <c r="F1044" t="str">
        <f t="shared" si="16"/>
        <v>PURIFICACIÓN</v>
      </c>
    </row>
    <row r="1045" spans="5:6" x14ac:dyDescent="0.25">
      <c r="E1045" t="s">
        <v>2333</v>
      </c>
      <c r="F1045" t="str">
        <f t="shared" si="16"/>
        <v>QUIBDÓ</v>
      </c>
    </row>
    <row r="1046" spans="5:6" x14ac:dyDescent="0.25">
      <c r="E1046" t="s">
        <v>2335</v>
      </c>
      <c r="F1046" t="str">
        <f t="shared" si="16"/>
        <v>QUÍPAMA</v>
      </c>
    </row>
    <row r="1047" spans="5:6" x14ac:dyDescent="0.25">
      <c r="E1047" t="s">
        <v>2447</v>
      </c>
      <c r="F1047" t="str">
        <f t="shared" si="16"/>
        <v>RAFAEL REYES</v>
      </c>
    </row>
    <row r="1048" spans="5:6" x14ac:dyDescent="0.25">
      <c r="E1048" t="s">
        <v>2336</v>
      </c>
      <c r="F1048" t="str">
        <f t="shared" si="16"/>
        <v>RAMIRIQUÍ</v>
      </c>
    </row>
    <row r="1049" spans="5:6" x14ac:dyDescent="0.25">
      <c r="E1049" t="s">
        <v>2337</v>
      </c>
      <c r="F1049" t="str">
        <f t="shared" si="16"/>
        <v>RÁQUIRA</v>
      </c>
    </row>
    <row r="1050" spans="5:6" x14ac:dyDescent="0.25">
      <c r="E1050" t="s">
        <v>2338</v>
      </c>
      <c r="F1050" t="str">
        <f t="shared" si="16"/>
        <v>RÍO DE ORO</v>
      </c>
    </row>
    <row r="1051" spans="5:6" x14ac:dyDescent="0.25">
      <c r="E1051" t="s">
        <v>2339</v>
      </c>
      <c r="F1051" t="str">
        <f t="shared" si="16"/>
        <v>RIOFRÍO</v>
      </c>
    </row>
    <row r="1052" spans="5:6" x14ac:dyDescent="0.25">
      <c r="E1052" t="s">
        <v>2340</v>
      </c>
      <c r="F1052" t="str">
        <f t="shared" si="16"/>
        <v>LA PAZ</v>
      </c>
    </row>
    <row r="1053" spans="5:6" x14ac:dyDescent="0.25">
      <c r="E1053" t="s">
        <v>2341</v>
      </c>
      <c r="F1053" t="str">
        <f t="shared" si="16"/>
        <v>ROLDANILLO</v>
      </c>
    </row>
    <row r="1054" spans="5:6" x14ac:dyDescent="0.25">
      <c r="E1054" t="s">
        <v>2448</v>
      </c>
      <c r="F1054" t="str">
        <f t="shared" si="16"/>
        <v>SABOYA</v>
      </c>
    </row>
    <row r="1055" spans="5:6" x14ac:dyDescent="0.25">
      <c r="E1055" t="s">
        <v>2342</v>
      </c>
      <c r="F1055" t="str">
        <f t="shared" si="16"/>
        <v>SACHICA</v>
      </c>
    </row>
    <row r="1056" spans="5:6" x14ac:dyDescent="0.25">
      <c r="E1056" t="s">
        <v>2343</v>
      </c>
      <c r="F1056" t="str">
        <f t="shared" si="16"/>
        <v>SAHAGÚN</v>
      </c>
    </row>
    <row r="1057" spans="5:6" x14ac:dyDescent="0.25">
      <c r="E1057" t="s">
        <v>2344</v>
      </c>
      <c r="F1057" t="str">
        <f t="shared" si="16"/>
        <v>SÁMACA</v>
      </c>
    </row>
    <row r="1058" spans="5:6" x14ac:dyDescent="0.25">
      <c r="E1058" t="s">
        <v>2345</v>
      </c>
      <c r="F1058" t="str">
        <f t="shared" si="16"/>
        <v>SAMANÁ</v>
      </c>
    </row>
    <row r="1059" spans="5:6" x14ac:dyDescent="0.25">
      <c r="E1059" t="s">
        <v>2346</v>
      </c>
      <c r="F1059" t="str">
        <f t="shared" si="16"/>
        <v>SAMPUÉS</v>
      </c>
    </row>
    <row r="1060" spans="5:6" x14ac:dyDescent="0.25">
      <c r="E1060" t="s">
        <v>2347</v>
      </c>
      <c r="F1060" t="str">
        <f t="shared" si="16"/>
        <v>SAN AGUSTÍN</v>
      </c>
    </row>
    <row r="1061" spans="5:6" x14ac:dyDescent="0.25">
      <c r="E1061" t="s">
        <v>2348</v>
      </c>
      <c r="F1061" t="str">
        <f t="shared" si="16"/>
        <v>SAN ANDRÉS</v>
      </c>
    </row>
    <row r="1062" spans="5:6" x14ac:dyDescent="0.25">
      <c r="E1062" t="s">
        <v>2349</v>
      </c>
      <c r="F1062" t="str">
        <f t="shared" si="16"/>
        <v>SAN ANDRÉS DE SOTAVENTO</v>
      </c>
    </row>
    <row r="1063" spans="5:6" x14ac:dyDescent="0.25">
      <c r="E1063" t="s">
        <v>2350</v>
      </c>
      <c r="F1063" t="str">
        <f t="shared" si="16"/>
        <v>SAN BERNARDO</v>
      </c>
    </row>
    <row r="1064" spans="5:6" x14ac:dyDescent="0.25">
      <c r="E1064" t="s">
        <v>2351</v>
      </c>
      <c r="F1064" t="str">
        <f t="shared" si="16"/>
        <v>SAN CARLOS</v>
      </c>
    </row>
    <row r="1065" spans="5:6" x14ac:dyDescent="0.25">
      <c r="E1065" t="s">
        <v>2352</v>
      </c>
      <c r="F1065" t="str">
        <f t="shared" si="16"/>
        <v>SAN JERÓNIMO</v>
      </c>
    </row>
    <row r="1066" spans="5:6" x14ac:dyDescent="0.25">
      <c r="E1066" t="s">
        <v>2449</v>
      </c>
      <c r="F1066" t="str">
        <f t="shared" si="16"/>
        <v>SAN JOSE</v>
      </c>
    </row>
    <row r="1067" spans="5:6" x14ac:dyDescent="0.25">
      <c r="E1067" t="s">
        <v>2353</v>
      </c>
      <c r="F1067" t="str">
        <f t="shared" si="16"/>
        <v>SAN JOSÉ DEL GUAVIARE</v>
      </c>
    </row>
    <row r="1068" spans="5:6" x14ac:dyDescent="0.25">
      <c r="E1068" t="s">
        <v>2354</v>
      </c>
      <c r="F1068" t="str">
        <f t="shared" si="16"/>
        <v>SAN JOSÉ DE URÉ</v>
      </c>
    </row>
    <row r="1069" spans="5:6" x14ac:dyDescent="0.25">
      <c r="E1069" t="s">
        <v>2355</v>
      </c>
      <c r="F1069" t="str">
        <f t="shared" si="16"/>
        <v>SAN JUAN DEL CESAR</v>
      </c>
    </row>
    <row r="1070" spans="5:6" x14ac:dyDescent="0.25">
      <c r="E1070" t="s">
        <v>2356</v>
      </c>
      <c r="F1070" t="str">
        <f t="shared" si="16"/>
        <v>SAN JUAN NEPOMUCENO</v>
      </c>
    </row>
    <row r="1071" spans="5:6" x14ac:dyDescent="0.25">
      <c r="E1071" t="s">
        <v>2357</v>
      </c>
      <c r="F1071" t="str">
        <f t="shared" si="16"/>
        <v>SAN LUIS DE GACENO</v>
      </c>
    </row>
    <row r="1072" spans="5:6" x14ac:dyDescent="0.25">
      <c r="E1072" t="s">
        <v>2358</v>
      </c>
      <c r="F1072" t="str">
        <f t="shared" si="16"/>
        <v>SAN LUIS DE PALENQUE</v>
      </c>
    </row>
    <row r="1073" spans="5:6" x14ac:dyDescent="0.25">
      <c r="E1073" t="s">
        <v>2359</v>
      </c>
      <c r="F1073" t="str">
        <f t="shared" si="16"/>
        <v>SAN MARTÍN</v>
      </c>
    </row>
    <row r="1074" spans="5:6" x14ac:dyDescent="0.25">
      <c r="E1074" t="s">
        <v>2450</v>
      </c>
      <c r="F1074" t="str">
        <f t="shared" si="16"/>
        <v>SAN PEDRO DE URABA</v>
      </c>
    </row>
    <row r="1075" spans="5:6" x14ac:dyDescent="0.25">
      <c r="E1075" t="s">
        <v>2361</v>
      </c>
      <c r="F1075" t="str">
        <f t="shared" si="16"/>
        <v>SAN SEBASTIÁN</v>
      </c>
    </row>
    <row r="1076" spans="5:6" x14ac:dyDescent="0.25">
      <c r="E1076" t="s">
        <v>2362</v>
      </c>
      <c r="F1076" t="str">
        <f t="shared" si="16"/>
        <v>SAN SEBASTIÁN DE BUENAVISTA</v>
      </c>
    </row>
    <row r="1077" spans="5:6" x14ac:dyDescent="0.25">
      <c r="E1077" t="s">
        <v>2363</v>
      </c>
      <c r="F1077" t="str">
        <f t="shared" si="16"/>
        <v>SAN VICENTE</v>
      </c>
    </row>
    <row r="1078" spans="5:6" x14ac:dyDescent="0.25">
      <c r="E1078" t="s">
        <v>2451</v>
      </c>
      <c r="F1078" t="str">
        <f t="shared" si="16"/>
        <v>SAN VICENTE DE CHUC</v>
      </c>
    </row>
    <row r="1079" spans="5:6" x14ac:dyDescent="0.25">
      <c r="E1079" t="s">
        <v>2452</v>
      </c>
      <c r="F1079" t="str">
        <f t="shared" si="16"/>
        <v>SAN VICENTE DEL CAG</v>
      </c>
    </row>
    <row r="1080" spans="5:6" x14ac:dyDescent="0.25">
      <c r="E1080" t="s">
        <v>2366</v>
      </c>
      <c r="F1080" t="str">
        <f t="shared" si="16"/>
        <v>SANDONÁ</v>
      </c>
    </row>
    <row r="1081" spans="5:6" x14ac:dyDescent="0.25">
      <c r="E1081" t="s">
        <v>2367</v>
      </c>
      <c r="F1081" t="str">
        <f t="shared" si="16"/>
        <v>SANTA BÁRBARA</v>
      </c>
    </row>
    <row r="1082" spans="5:6" x14ac:dyDescent="0.25">
      <c r="E1082" t="s">
        <v>2368</v>
      </c>
      <c r="F1082" t="str">
        <f t="shared" si="16"/>
        <v>SANTA MARÍA</v>
      </c>
    </row>
    <row r="1083" spans="5:6" x14ac:dyDescent="0.25">
      <c r="E1083" t="s">
        <v>2453</v>
      </c>
      <c r="F1083" t="str">
        <f t="shared" si="16"/>
        <v>SANTA ROSA DE VITER</v>
      </c>
    </row>
    <row r="1084" spans="5:6" x14ac:dyDescent="0.25">
      <c r="E1084" t="s">
        <v>2372</v>
      </c>
      <c r="F1084" t="str">
        <f t="shared" si="16"/>
        <v>SANTANDER DE QUILICHAO</v>
      </c>
    </row>
    <row r="1085" spans="5:6" x14ac:dyDescent="0.25">
      <c r="E1085" t="s">
        <v>2373</v>
      </c>
      <c r="F1085" t="str">
        <f t="shared" si="16"/>
        <v>SANTO TOMÁS</v>
      </c>
    </row>
    <row r="1086" spans="5:6" x14ac:dyDescent="0.25">
      <c r="E1086" t="s">
        <v>2374</v>
      </c>
      <c r="F1086" t="str">
        <f t="shared" si="16"/>
        <v>SESQUILÉ</v>
      </c>
    </row>
    <row r="1087" spans="5:6" x14ac:dyDescent="0.25">
      <c r="E1087" t="s">
        <v>2375</v>
      </c>
      <c r="F1087" t="str">
        <f t="shared" si="16"/>
        <v>SIBATÉ</v>
      </c>
    </row>
    <row r="1088" spans="5:6" x14ac:dyDescent="0.25">
      <c r="E1088" t="s">
        <v>2376</v>
      </c>
      <c r="F1088" t="str">
        <f t="shared" si="16"/>
        <v>SINCÉ</v>
      </c>
    </row>
    <row r="1089" spans="5:6" x14ac:dyDescent="0.25">
      <c r="E1089" t="s">
        <v>2377</v>
      </c>
      <c r="F1089" t="str">
        <f t="shared" si="16"/>
        <v>SONSÓN</v>
      </c>
    </row>
    <row r="1090" spans="5:6" x14ac:dyDescent="0.25">
      <c r="E1090" t="s">
        <v>2378</v>
      </c>
      <c r="F1090" t="str">
        <f t="shared" si="16"/>
        <v>SOPETRÁN</v>
      </c>
    </row>
    <row r="1091" spans="5:6" x14ac:dyDescent="0.25">
      <c r="E1091" t="s">
        <v>2379</v>
      </c>
      <c r="F1091" t="str">
        <f t="shared" ref="F1091:F1154" si="17">_xlfn.XLOOKUP(E1091, $A:$A, $B:$B, E1091)</f>
        <v>SOPÓ</v>
      </c>
    </row>
    <row r="1092" spans="5:6" x14ac:dyDescent="0.25">
      <c r="E1092" t="s">
        <v>2380</v>
      </c>
      <c r="F1092" t="str">
        <f t="shared" si="17"/>
        <v>SOTAQUIRÁ</v>
      </c>
    </row>
    <row r="1093" spans="5:6" x14ac:dyDescent="0.25">
      <c r="E1093" t="s">
        <v>2381</v>
      </c>
      <c r="F1093" t="str">
        <f t="shared" si="17"/>
        <v>SANTA ROSA DE OSOS</v>
      </c>
    </row>
    <row r="1094" spans="5:6" x14ac:dyDescent="0.25">
      <c r="E1094" t="s">
        <v>2382</v>
      </c>
      <c r="F1094" t="str">
        <f t="shared" si="17"/>
        <v>SUPÍA</v>
      </c>
    </row>
    <row r="1095" spans="5:6" x14ac:dyDescent="0.25">
      <c r="E1095" t="s">
        <v>2383</v>
      </c>
      <c r="F1095" t="str">
        <f t="shared" si="17"/>
        <v>SUTAMARCHÁN</v>
      </c>
    </row>
    <row r="1096" spans="5:6" x14ac:dyDescent="0.25">
      <c r="E1096" t="s">
        <v>2384</v>
      </c>
      <c r="F1096" t="str">
        <f t="shared" si="17"/>
        <v>TÁMARA</v>
      </c>
    </row>
    <row r="1097" spans="5:6" x14ac:dyDescent="0.25">
      <c r="E1097" t="s">
        <v>2385</v>
      </c>
      <c r="F1097" t="str">
        <f t="shared" si="17"/>
        <v>TIBANÁ</v>
      </c>
    </row>
    <row r="1098" spans="5:6" x14ac:dyDescent="0.25">
      <c r="E1098" t="s">
        <v>2386</v>
      </c>
      <c r="F1098" t="str">
        <f t="shared" si="17"/>
        <v>TIBÚ</v>
      </c>
    </row>
    <row r="1099" spans="5:6" x14ac:dyDescent="0.25">
      <c r="E1099" t="s">
        <v>2387</v>
      </c>
      <c r="F1099" t="str">
        <f t="shared" si="17"/>
        <v>TIMANÁ</v>
      </c>
    </row>
    <row r="1100" spans="5:6" x14ac:dyDescent="0.25">
      <c r="E1100" t="s">
        <v>2388</v>
      </c>
      <c r="F1100" t="str">
        <f t="shared" si="17"/>
        <v>TIMBÍO</v>
      </c>
    </row>
    <row r="1101" spans="5:6" x14ac:dyDescent="0.25">
      <c r="E1101" t="s">
        <v>2389</v>
      </c>
      <c r="F1101" t="str">
        <f t="shared" si="17"/>
        <v>TIMBIQUÍ</v>
      </c>
    </row>
    <row r="1102" spans="5:6" x14ac:dyDescent="0.25">
      <c r="E1102" t="s">
        <v>2390</v>
      </c>
      <c r="F1102" t="str">
        <f t="shared" si="17"/>
        <v>TINJACÁ</v>
      </c>
    </row>
    <row r="1103" spans="5:6" x14ac:dyDescent="0.25">
      <c r="E1103" t="s">
        <v>2391</v>
      </c>
      <c r="F1103" t="str">
        <f t="shared" si="17"/>
        <v>TITIRIBÍ</v>
      </c>
    </row>
    <row r="1104" spans="5:6" x14ac:dyDescent="0.25">
      <c r="E1104" t="s">
        <v>2392</v>
      </c>
      <c r="F1104" t="str">
        <f t="shared" si="17"/>
        <v>TOCANCIPÁ</v>
      </c>
    </row>
    <row r="1105" spans="5:6" x14ac:dyDescent="0.25">
      <c r="E1105" t="s">
        <v>2393</v>
      </c>
      <c r="F1105" t="str">
        <f t="shared" si="17"/>
        <v>SANTIAGO DE TOLÚ</v>
      </c>
    </row>
    <row r="1106" spans="5:6" x14ac:dyDescent="0.25">
      <c r="E1106" t="s">
        <v>2394</v>
      </c>
      <c r="F1106" t="str">
        <f t="shared" si="17"/>
        <v>TOLUVIEJO</v>
      </c>
    </row>
    <row r="1107" spans="5:6" x14ac:dyDescent="0.25">
      <c r="E1107" t="s">
        <v>2395</v>
      </c>
      <c r="F1107" t="str">
        <f t="shared" si="17"/>
        <v>TOTORÓ</v>
      </c>
    </row>
    <row r="1108" spans="5:6" x14ac:dyDescent="0.25">
      <c r="E1108" t="s">
        <v>2396</v>
      </c>
      <c r="F1108" t="str">
        <f t="shared" si="17"/>
        <v>TUBARÁ</v>
      </c>
    </row>
    <row r="1109" spans="5:6" x14ac:dyDescent="0.25">
      <c r="E1109" t="s">
        <v>2397</v>
      </c>
      <c r="F1109" t="str">
        <f t="shared" si="17"/>
        <v>TULUÁ</v>
      </c>
    </row>
    <row r="1110" spans="5:6" x14ac:dyDescent="0.25">
      <c r="E1110" t="s">
        <v>2398</v>
      </c>
      <c r="F1110" t="str">
        <f t="shared" si="17"/>
        <v>TUMACO</v>
      </c>
    </row>
    <row r="1111" spans="5:6" x14ac:dyDescent="0.25">
      <c r="E1111" t="s">
        <v>2399</v>
      </c>
      <c r="F1111" t="str">
        <f t="shared" si="17"/>
        <v>TÚQUERRES</v>
      </c>
    </row>
    <row r="1112" spans="5:6" x14ac:dyDescent="0.25">
      <c r="E1112" t="s">
        <v>2400</v>
      </c>
      <c r="F1112" t="str">
        <f t="shared" si="17"/>
        <v>TURBANÁ</v>
      </c>
    </row>
    <row r="1113" spans="5:6" x14ac:dyDescent="0.25">
      <c r="E1113" t="s">
        <v>2401</v>
      </c>
      <c r="F1113" t="str">
        <f t="shared" si="17"/>
        <v>TURMEQUÉ</v>
      </c>
    </row>
    <row r="1114" spans="5:6" x14ac:dyDescent="0.25">
      <c r="E1114" t="s">
        <v>2402</v>
      </c>
      <c r="F1114" t="str">
        <f t="shared" si="17"/>
        <v>UBALÁ</v>
      </c>
    </row>
    <row r="1115" spans="5:6" x14ac:dyDescent="0.25">
      <c r="E1115" t="s">
        <v>2403</v>
      </c>
      <c r="F1115" t="str">
        <f t="shared" si="17"/>
        <v>UBATÉ</v>
      </c>
    </row>
    <row r="1116" spans="5:6" x14ac:dyDescent="0.25">
      <c r="E1116" t="s">
        <v>2404</v>
      </c>
      <c r="F1116" t="str">
        <f t="shared" si="17"/>
        <v>ÚMBITA</v>
      </c>
    </row>
    <row r="1117" spans="5:6" x14ac:dyDescent="0.25">
      <c r="E1117" t="s">
        <v>2405</v>
      </c>
      <c r="F1117" t="str">
        <f t="shared" si="17"/>
        <v>UNGUÍA</v>
      </c>
    </row>
    <row r="1118" spans="5:6" x14ac:dyDescent="0.25">
      <c r="E1118" t="s">
        <v>2406</v>
      </c>
      <c r="F1118" t="str">
        <f t="shared" si="17"/>
        <v>USIACURÍ</v>
      </c>
    </row>
    <row r="1119" spans="5:6" x14ac:dyDescent="0.25">
      <c r="E1119" t="s">
        <v>2407</v>
      </c>
      <c r="F1119" t="str">
        <f t="shared" si="17"/>
        <v>ÚTICA</v>
      </c>
    </row>
    <row r="1120" spans="5:6" x14ac:dyDescent="0.25">
      <c r="E1120" t="s">
        <v>2408</v>
      </c>
      <c r="F1120" t="str">
        <f t="shared" si="17"/>
        <v>VALLE DE SAN JOSÉ</v>
      </c>
    </row>
    <row r="1121" spans="5:6" x14ac:dyDescent="0.25">
      <c r="E1121" t="s">
        <v>2409</v>
      </c>
      <c r="F1121" t="str">
        <f t="shared" si="17"/>
        <v>VÉLEZ</v>
      </c>
    </row>
    <row r="1122" spans="5:6" x14ac:dyDescent="0.25">
      <c r="E1122" t="s">
        <v>2410</v>
      </c>
      <c r="F1122" t="str">
        <f t="shared" si="17"/>
        <v>VIANÍ</v>
      </c>
    </row>
    <row r="1123" spans="5:6" x14ac:dyDescent="0.25">
      <c r="E1123" t="s">
        <v>2411</v>
      </c>
      <c r="F1123" t="str">
        <f t="shared" si="17"/>
        <v>VILLA DEL ROSARIO</v>
      </c>
    </row>
    <row r="1124" spans="5:6" x14ac:dyDescent="0.25">
      <c r="E1124" t="s">
        <v>2412</v>
      </c>
      <c r="F1124" t="str">
        <f t="shared" si="17"/>
        <v>VILLAGARZÓN</v>
      </c>
    </row>
    <row r="1125" spans="5:6" x14ac:dyDescent="0.25">
      <c r="E1125" t="s">
        <v>2413</v>
      </c>
      <c r="F1125" t="str">
        <f t="shared" si="17"/>
        <v>VILLAMARÍA</v>
      </c>
    </row>
    <row r="1126" spans="5:6" x14ac:dyDescent="0.25">
      <c r="E1126" t="s">
        <v>2414</v>
      </c>
      <c r="F1126" t="str">
        <f t="shared" si="17"/>
        <v>VILLAPINZÓN</v>
      </c>
    </row>
    <row r="1127" spans="5:6" x14ac:dyDescent="0.25">
      <c r="E1127" t="s">
        <v>2415</v>
      </c>
      <c r="F1127" t="str">
        <f t="shared" si="17"/>
        <v>VIOTÁ</v>
      </c>
    </row>
    <row r="1128" spans="5:6" x14ac:dyDescent="0.25">
      <c r="E1128" t="s">
        <v>2416</v>
      </c>
      <c r="F1128" t="str">
        <f t="shared" si="17"/>
        <v>VIRACACHÁ</v>
      </c>
    </row>
    <row r="1129" spans="5:6" x14ac:dyDescent="0.25">
      <c r="E1129" t="s">
        <v>2417</v>
      </c>
      <c r="F1129" t="str">
        <f t="shared" si="17"/>
        <v>VISTA HERMOSA</v>
      </c>
    </row>
    <row r="1130" spans="5:6" x14ac:dyDescent="0.25">
      <c r="E1130" t="s">
        <v>2418</v>
      </c>
      <c r="F1130" t="str">
        <f t="shared" si="17"/>
        <v>YAGUARÁ</v>
      </c>
    </row>
    <row r="1131" spans="5:6" x14ac:dyDescent="0.25">
      <c r="E1131" t="s">
        <v>2419</v>
      </c>
      <c r="F1131" t="str">
        <f t="shared" si="17"/>
        <v>YOLOMBÓ</v>
      </c>
    </row>
    <row r="1132" spans="5:6" x14ac:dyDescent="0.25">
      <c r="E1132" t="s">
        <v>2420</v>
      </c>
      <c r="F1132" t="str">
        <f t="shared" si="17"/>
        <v>YONDÓ</v>
      </c>
    </row>
    <row r="1133" spans="5:6" x14ac:dyDescent="0.25">
      <c r="E1133" t="s">
        <v>2421</v>
      </c>
      <c r="F1133" t="str">
        <f t="shared" si="17"/>
        <v>ZIPACÓN</v>
      </c>
    </row>
    <row r="1134" spans="5:6" x14ac:dyDescent="0.25">
      <c r="E1134" t="s">
        <v>2422</v>
      </c>
      <c r="F1134" t="str">
        <f t="shared" si="17"/>
        <v>ZIPAQUIRÁ</v>
      </c>
    </row>
    <row r="1135" spans="5:6" x14ac:dyDescent="0.25">
      <c r="E1135" t="s">
        <v>2170</v>
      </c>
      <c r="F1135" t="str">
        <f t="shared" si="17"/>
        <v>SANTA ROSALIA</v>
      </c>
    </row>
    <row r="1136" spans="5:6" x14ac:dyDescent="0.25">
      <c r="E1136" t="s">
        <v>2171</v>
      </c>
      <c r="F1136" t="str">
        <f t="shared" si="17"/>
        <v>ABREGO</v>
      </c>
    </row>
    <row r="1137" spans="5:6" x14ac:dyDescent="0.25">
      <c r="E1137" t="s">
        <v>2172</v>
      </c>
      <c r="F1137" t="str">
        <f t="shared" si="17"/>
        <v>ABRIAQUI</v>
      </c>
    </row>
    <row r="1138" spans="5:6" x14ac:dyDescent="0.25">
      <c r="E1138" t="s">
        <v>2173</v>
      </c>
      <c r="F1138" t="str">
        <f t="shared" si="17"/>
        <v>ACACIAS</v>
      </c>
    </row>
    <row r="1139" spans="5:6" x14ac:dyDescent="0.25">
      <c r="E1139" t="s">
        <v>2174</v>
      </c>
      <c r="F1139" t="str">
        <f t="shared" si="17"/>
        <v>ACANDI</v>
      </c>
    </row>
    <row r="1140" spans="5:6" x14ac:dyDescent="0.25">
      <c r="E1140" t="s">
        <v>2175</v>
      </c>
      <c r="F1140" t="str">
        <f t="shared" si="17"/>
        <v>ACHI</v>
      </c>
    </row>
    <row r="1141" spans="5:6" x14ac:dyDescent="0.25">
      <c r="E1141" t="s">
        <v>2176</v>
      </c>
      <c r="F1141" t="str">
        <f t="shared" si="17"/>
        <v>AGUSTIN CODAZZI</v>
      </c>
    </row>
    <row r="1142" spans="5:6" x14ac:dyDescent="0.25">
      <c r="E1142" t="s">
        <v>2177</v>
      </c>
      <c r="F1142" t="str">
        <f t="shared" si="17"/>
        <v>ALBAN</v>
      </c>
    </row>
    <row r="1143" spans="5:6" x14ac:dyDescent="0.25">
      <c r="E1143" t="s">
        <v>2178</v>
      </c>
      <c r="F1143" t="str">
        <f t="shared" si="17"/>
        <v>ALCALA</v>
      </c>
    </row>
    <row r="1144" spans="5:6" x14ac:dyDescent="0.25">
      <c r="E1144" t="s">
        <v>2179</v>
      </c>
      <c r="F1144" t="str">
        <f t="shared" si="17"/>
        <v>ALEJANDRIA</v>
      </c>
    </row>
    <row r="1145" spans="5:6" x14ac:dyDescent="0.25">
      <c r="E1145" t="s">
        <v>2180</v>
      </c>
      <c r="F1145" t="str">
        <f t="shared" si="17"/>
        <v>AMAGA</v>
      </c>
    </row>
    <row r="1146" spans="5:6" x14ac:dyDescent="0.25">
      <c r="E1146" t="s">
        <v>2181</v>
      </c>
      <c r="F1146" t="str">
        <f t="shared" si="17"/>
        <v>ANDALUCIA</v>
      </c>
    </row>
    <row r="1147" spans="5:6" x14ac:dyDescent="0.25">
      <c r="E1147" t="s">
        <v>2423</v>
      </c>
      <c r="F1147" t="str">
        <f t="shared" si="17"/>
        <v>ANGELOPOLIS</v>
      </c>
    </row>
    <row r="1148" spans="5:6" x14ac:dyDescent="0.25">
      <c r="E1148" t="s">
        <v>2182</v>
      </c>
      <c r="F1148" t="str">
        <f t="shared" si="17"/>
        <v>ANORI</v>
      </c>
    </row>
    <row r="1149" spans="5:6" x14ac:dyDescent="0.25">
      <c r="E1149" t="s">
        <v>2183</v>
      </c>
      <c r="F1149" t="str">
        <f t="shared" si="17"/>
        <v>ANTIOQUIA</v>
      </c>
    </row>
    <row r="1150" spans="5:6" x14ac:dyDescent="0.25">
      <c r="E1150" t="s">
        <v>2424</v>
      </c>
      <c r="F1150" t="str">
        <f t="shared" si="17"/>
        <v>ANZA</v>
      </c>
    </row>
    <row r="1151" spans="5:6" x14ac:dyDescent="0.25">
      <c r="E1151" t="s">
        <v>2184</v>
      </c>
      <c r="F1151" t="str">
        <f t="shared" si="17"/>
        <v>APARTADO</v>
      </c>
    </row>
    <row r="1152" spans="5:6" x14ac:dyDescent="0.25">
      <c r="E1152" t="s">
        <v>2185</v>
      </c>
      <c r="F1152" t="str">
        <f t="shared" si="17"/>
        <v>APIA</v>
      </c>
    </row>
    <row r="1153" spans="5:6" x14ac:dyDescent="0.25">
      <c r="E1153" t="s">
        <v>2425</v>
      </c>
      <c r="F1153" t="str">
        <f t="shared" si="17"/>
        <v>ARANQUITA</v>
      </c>
    </row>
    <row r="1154" spans="5:6" x14ac:dyDescent="0.25">
      <c r="E1154" t="s">
        <v>2426</v>
      </c>
      <c r="F1154" t="str">
        <f t="shared" si="17"/>
        <v>ARBELAEZ</v>
      </c>
    </row>
    <row r="1155" spans="5:6" x14ac:dyDescent="0.25">
      <c r="E1155" t="s">
        <v>2186</v>
      </c>
      <c r="F1155" t="str">
        <f t="shared" ref="F1155:F1218" si="18">_xlfn.XLOOKUP(E1155, $A:$A, $B:$B, E1155)</f>
        <v>ARIGUANI</v>
      </c>
    </row>
    <row r="1156" spans="5:6" x14ac:dyDescent="0.25">
      <c r="E1156" t="s">
        <v>2187</v>
      </c>
      <c r="F1156" t="str">
        <f t="shared" si="18"/>
        <v>ARJOMA</v>
      </c>
    </row>
    <row r="1157" spans="5:6" x14ac:dyDescent="0.25">
      <c r="E1157" t="s">
        <v>2188</v>
      </c>
      <c r="F1157" t="str">
        <f t="shared" si="18"/>
        <v>ARMERO</v>
      </c>
    </row>
    <row r="1158" spans="5:6" x14ac:dyDescent="0.25">
      <c r="E1158" t="s">
        <v>2190</v>
      </c>
      <c r="F1158" t="str">
        <f t="shared" si="18"/>
        <v>BAGADO</v>
      </c>
    </row>
    <row r="1159" spans="5:6" x14ac:dyDescent="0.25">
      <c r="E1159" t="s">
        <v>2191</v>
      </c>
      <c r="F1159" t="str">
        <f t="shared" si="18"/>
        <v>BAHIA SOLANO</v>
      </c>
    </row>
    <row r="1160" spans="5:6" x14ac:dyDescent="0.25">
      <c r="E1160" t="s">
        <v>2192</v>
      </c>
      <c r="F1160" t="str">
        <f t="shared" si="18"/>
        <v>BAJO BAUDO</v>
      </c>
    </row>
    <row r="1161" spans="5:6" x14ac:dyDescent="0.25">
      <c r="E1161" t="s">
        <v>2193</v>
      </c>
      <c r="F1161" t="str">
        <f t="shared" si="18"/>
        <v>BARRANCA DE UPIA</v>
      </c>
    </row>
    <row r="1162" spans="5:6" x14ac:dyDescent="0.25">
      <c r="E1162" t="s">
        <v>2194</v>
      </c>
      <c r="F1162" t="str">
        <f t="shared" si="18"/>
        <v>BARRANCABERBJA</v>
      </c>
    </row>
    <row r="1163" spans="5:6" x14ac:dyDescent="0.25">
      <c r="E1163" t="s">
        <v>2195</v>
      </c>
      <c r="F1163" t="str">
        <f t="shared" si="18"/>
        <v>BELALCAZAR</v>
      </c>
    </row>
    <row r="1164" spans="5:6" x14ac:dyDescent="0.25">
      <c r="E1164" t="s">
        <v>2196</v>
      </c>
      <c r="F1164" t="str">
        <f t="shared" si="18"/>
        <v>BELEN</v>
      </c>
    </row>
    <row r="1165" spans="5:6" x14ac:dyDescent="0.25">
      <c r="E1165" t="s">
        <v>2197</v>
      </c>
      <c r="F1165" t="str">
        <f t="shared" si="18"/>
        <v>BELEN DE UMBRIA</v>
      </c>
    </row>
    <row r="1166" spans="5:6" x14ac:dyDescent="0.25">
      <c r="E1166" t="s">
        <v>2198</v>
      </c>
      <c r="F1166" t="str">
        <f t="shared" si="18"/>
        <v>BELTRAN</v>
      </c>
    </row>
    <row r="1167" spans="5:6" x14ac:dyDescent="0.25">
      <c r="E1167" t="s">
        <v>2199</v>
      </c>
      <c r="F1167" t="str">
        <f t="shared" si="18"/>
        <v>BOGOTA D.C</v>
      </c>
    </row>
    <row r="1168" spans="5:6" x14ac:dyDescent="0.25">
      <c r="E1168" t="s">
        <v>2200</v>
      </c>
      <c r="F1168" t="str">
        <f t="shared" si="18"/>
        <v>BOJACA</v>
      </c>
    </row>
    <row r="1169" spans="5:6" x14ac:dyDescent="0.25">
      <c r="E1169" t="s">
        <v>2201</v>
      </c>
      <c r="F1169" t="str">
        <f t="shared" si="18"/>
        <v>BOLIVAR</v>
      </c>
    </row>
    <row r="1170" spans="5:6" x14ac:dyDescent="0.25">
      <c r="E1170" t="s">
        <v>2202</v>
      </c>
      <c r="F1170" t="str">
        <f t="shared" si="18"/>
        <v>BOYACA</v>
      </c>
    </row>
    <row r="1171" spans="5:6" x14ac:dyDescent="0.25">
      <c r="E1171" t="s">
        <v>2427</v>
      </c>
      <c r="F1171" t="str">
        <f t="shared" si="18"/>
        <v>BRICENO</v>
      </c>
    </row>
    <row r="1172" spans="5:6" x14ac:dyDescent="0.25">
      <c r="E1172" t="s">
        <v>2203</v>
      </c>
      <c r="F1172" t="str">
        <f t="shared" si="18"/>
        <v>BUGA</v>
      </c>
    </row>
    <row r="1173" spans="5:6" x14ac:dyDescent="0.25">
      <c r="E1173" t="s">
        <v>2204</v>
      </c>
      <c r="F1173" t="str">
        <f t="shared" si="18"/>
        <v>BURITICÁ</v>
      </c>
    </row>
    <row r="1174" spans="5:6" x14ac:dyDescent="0.25">
      <c r="E1174" t="s">
        <v>2205</v>
      </c>
      <c r="F1174" t="str">
        <f t="shared" si="18"/>
        <v>CÁCERES</v>
      </c>
    </row>
    <row r="1175" spans="5:6" x14ac:dyDescent="0.25">
      <c r="E1175" t="s">
        <v>2206</v>
      </c>
      <c r="F1175" t="str">
        <f t="shared" si="18"/>
        <v>CACHIRA</v>
      </c>
    </row>
    <row r="1176" spans="5:6" x14ac:dyDescent="0.25">
      <c r="E1176" t="s">
        <v>2207</v>
      </c>
      <c r="F1176" t="str">
        <f t="shared" si="18"/>
        <v>CÁCOTA</v>
      </c>
    </row>
    <row r="1177" spans="5:6" x14ac:dyDescent="0.25">
      <c r="E1177" t="s">
        <v>2208</v>
      </c>
      <c r="F1177" t="str">
        <f t="shared" si="18"/>
        <v>CAJIBÍO</v>
      </c>
    </row>
    <row r="1178" spans="5:6" x14ac:dyDescent="0.25">
      <c r="E1178" t="s">
        <v>2209</v>
      </c>
      <c r="F1178" t="str">
        <f t="shared" si="18"/>
        <v>CAJICÁ</v>
      </c>
    </row>
    <row r="1179" spans="5:6" x14ac:dyDescent="0.25">
      <c r="E1179" t="s">
        <v>2210</v>
      </c>
      <c r="F1179" t="str">
        <f t="shared" si="18"/>
        <v>CALARCÁ</v>
      </c>
    </row>
    <row r="1180" spans="5:6" x14ac:dyDescent="0.25">
      <c r="E1180" t="s">
        <v>2428</v>
      </c>
      <c r="F1180" t="str">
        <f t="shared" si="18"/>
        <v>CALIMA (DARIEN)</v>
      </c>
    </row>
    <row r="1181" spans="5:6" x14ac:dyDescent="0.25">
      <c r="E1181" t="s">
        <v>2521</v>
      </c>
      <c r="F1181" t="str">
        <f t="shared" si="18"/>
        <v>EL CARMEN DE VIBORALRAL</v>
      </c>
    </row>
    <row r="1182" spans="5:6" x14ac:dyDescent="0.25">
      <c r="E1182" t="s">
        <v>2429</v>
      </c>
      <c r="F1182" t="str">
        <f t="shared" si="18"/>
        <v>CHIGORODO</v>
      </c>
    </row>
    <row r="1183" spans="5:6" x14ac:dyDescent="0.25">
      <c r="E1183" t="s">
        <v>2231</v>
      </c>
      <c r="F1183" t="str">
        <f t="shared" si="18"/>
        <v>CHOACHI</v>
      </c>
    </row>
    <row r="1184" spans="5:6" x14ac:dyDescent="0.25">
      <c r="E1184" t="s">
        <v>2430</v>
      </c>
      <c r="F1184" t="str">
        <f t="shared" si="18"/>
        <v>COMBITA</v>
      </c>
    </row>
    <row r="1185" spans="5:6" x14ac:dyDescent="0.25">
      <c r="E1185" t="s">
        <v>2431</v>
      </c>
      <c r="F1185" t="str">
        <f t="shared" si="18"/>
        <v>CONTRATACION</v>
      </c>
    </row>
    <row r="1186" spans="5:6" x14ac:dyDescent="0.25">
      <c r="E1186" t="s">
        <v>2240</v>
      </c>
      <c r="F1186" t="str">
        <f t="shared" si="18"/>
        <v>CURABA</v>
      </c>
    </row>
    <row r="1187" spans="5:6" x14ac:dyDescent="0.25">
      <c r="E1187" t="s">
        <v>2241</v>
      </c>
      <c r="F1187" t="str">
        <f t="shared" si="18"/>
        <v>SAN LUIS DE CUBARRAL</v>
      </c>
    </row>
    <row r="1188" spans="5:6" x14ac:dyDescent="0.25">
      <c r="E1188" t="s">
        <v>2242</v>
      </c>
      <c r="F1188" t="str">
        <f t="shared" si="18"/>
        <v>CUCUNUBÁ</v>
      </c>
    </row>
    <row r="1189" spans="5:6" x14ac:dyDescent="0.25">
      <c r="E1189" t="s">
        <v>2243</v>
      </c>
      <c r="F1189" t="str">
        <f t="shared" si="18"/>
        <v>CÚCUTA</v>
      </c>
    </row>
    <row r="1190" spans="5:6" x14ac:dyDescent="0.25">
      <c r="E1190" t="s">
        <v>2244</v>
      </c>
      <c r="F1190" t="str">
        <f t="shared" si="18"/>
        <v>CUITIVA</v>
      </c>
    </row>
    <row r="1191" spans="5:6" x14ac:dyDescent="0.25">
      <c r="E1191" t="s">
        <v>2245</v>
      </c>
      <c r="F1191" t="str">
        <f t="shared" si="18"/>
        <v>CURITÍ</v>
      </c>
    </row>
    <row r="1192" spans="5:6" x14ac:dyDescent="0.25">
      <c r="E1192" t="s">
        <v>2246</v>
      </c>
      <c r="F1192" t="str">
        <f t="shared" si="18"/>
        <v>CURUMANÍ</v>
      </c>
    </row>
    <row r="1193" spans="5:6" x14ac:dyDescent="0.25">
      <c r="E1193" t="s">
        <v>2247</v>
      </c>
      <c r="F1193" t="str">
        <f t="shared" si="18"/>
        <v>DISTRACCIÓN</v>
      </c>
    </row>
    <row r="1194" spans="5:6" x14ac:dyDescent="0.25">
      <c r="E1194" t="s">
        <v>2248</v>
      </c>
      <c r="F1194" t="str">
        <f t="shared" si="18"/>
        <v>DONMATÍAS</v>
      </c>
    </row>
    <row r="1195" spans="5:6" x14ac:dyDescent="0.25">
      <c r="E1195" t="s">
        <v>2249</v>
      </c>
      <c r="F1195" t="str">
        <f t="shared" si="18"/>
        <v>DOSQUEBRADAS</v>
      </c>
    </row>
    <row r="1196" spans="5:6" x14ac:dyDescent="0.25">
      <c r="E1196" t="s">
        <v>2250</v>
      </c>
      <c r="F1196" t="str">
        <f t="shared" si="18"/>
        <v>EBÉJICO</v>
      </c>
    </row>
    <row r="1197" spans="5:6" x14ac:dyDescent="0.25">
      <c r="E1197" t="s">
        <v>2432</v>
      </c>
      <c r="F1197" t="str">
        <f t="shared" si="18"/>
        <v>EL CARMEN DE BOLIVAR</v>
      </c>
    </row>
    <row r="1198" spans="5:6" x14ac:dyDescent="0.25">
      <c r="E1198" t="s">
        <v>2252</v>
      </c>
      <c r="F1198" t="str">
        <f t="shared" si="18"/>
        <v>EL PAUJIL</v>
      </c>
    </row>
    <row r="1199" spans="5:6" x14ac:dyDescent="0.25">
      <c r="E1199" t="s">
        <v>2253</v>
      </c>
      <c r="F1199" t="str">
        <f t="shared" si="18"/>
        <v>EL PEÑÓN</v>
      </c>
    </row>
    <row r="1200" spans="5:6" x14ac:dyDescent="0.25">
      <c r="E1200" t="s">
        <v>2254</v>
      </c>
      <c r="F1200" t="str">
        <f t="shared" si="18"/>
        <v>EL PLAYÓN</v>
      </c>
    </row>
    <row r="1201" spans="5:6" x14ac:dyDescent="0.25">
      <c r="E1201" t="s">
        <v>2255</v>
      </c>
      <c r="F1201" t="str">
        <f t="shared" si="18"/>
        <v>ELÍAS</v>
      </c>
    </row>
    <row r="1202" spans="5:6" x14ac:dyDescent="0.25">
      <c r="E1202" t="s">
        <v>2256</v>
      </c>
      <c r="F1202" t="str">
        <f t="shared" si="18"/>
        <v>ENTRERRÍOS</v>
      </c>
    </row>
    <row r="1203" spans="5:6" x14ac:dyDescent="0.25">
      <c r="E1203" t="s">
        <v>2257</v>
      </c>
      <c r="F1203" t="str">
        <f t="shared" si="18"/>
        <v>FACATATIVÁ</v>
      </c>
    </row>
    <row r="1204" spans="5:6" x14ac:dyDescent="0.25">
      <c r="E1204" t="s">
        <v>2258</v>
      </c>
      <c r="F1204" t="str">
        <f t="shared" si="18"/>
        <v>FLORIÁN</v>
      </c>
    </row>
    <row r="1205" spans="5:6" x14ac:dyDescent="0.25">
      <c r="E1205" t="s">
        <v>2433</v>
      </c>
      <c r="F1205" t="str">
        <f t="shared" si="18"/>
        <v>FOMEQUE</v>
      </c>
    </row>
    <row r="1206" spans="5:6" x14ac:dyDescent="0.25">
      <c r="E1206" t="s">
        <v>2259</v>
      </c>
      <c r="F1206" t="str">
        <f t="shared" si="18"/>
        <v>FUNDACIÓN</v>
      </c>
    </row>
    <row r="1207" spans="5:6" x14ac:dyDescent="0.25">
      <c r="E1207" t="s">
        <v>2434</v>
      </c>
      <c r="F1207" t="str">
        <f t="shared" si="18"/>
        <v>FUQUENE</v>
      </c>
    </row>
    <row r="1208" spans="5:6" x14ac:dyDescent="0.25">
      <c r="E1208" t="s">
        <v>2260</v>
      </c>
      <c r="F1208" t="str">
        <f t="shared" si="18"/>
        <v>FUSAGASUGÁ</v>
      </c>
    </row>
    <row r="1209" spans="5:6" x14ac:dyDescent="0.25">
      <c r="E1209" t="s">
        <v>2261</v>
      </c>
      <c r="F1209" t="str">
        <f t="shared" si="18"/>
        <v>GACHANCIPÁ</v>
      </c>
    </row>
    <row r="1210" spans="5:6" x14ac:dyDescent="0.25">
      <c r="E1210" t="s">
        <v>2435</v>
      </c>
      <c r="F1210" t="str">
        <f t="shared" si="18"/>
        <v>GACHETA</v>
      </c>
    </row>
    <row r="1211" spans="5:6" x14ac:dyDescent="0.25">
      <c r="E1211" t="s">
        <v>2436</v>
      </c>
      <c r="F1211" t="str">
        <f t="shared" si="18"/>
        <v>GAMBITA</v>
      </c>
    </row>
    <row r="1212" spans="5:6" x14ac:dyDescent="0.25">
      <c r="E1212" t="s">
        <v>2262</v>
      </c>
      <c r="F1212" t="str">
        <f t="shared" si="18"/>
        <v>GACHANTIVÁ</v>
      </c>
    </row>
    <row r="1213" spans="5:6" x14ac:dyDescent="0.25">
      <c r="E1213" t="s">
        <v>2263</v>
      </c>
      <c r="F1213" t="str">
        <f t="shared" si="18"/>
        <v>GALÁN</v>
      </c>
    </row>
    <row r="1214" spans="5:6" x14ac:dyDescent="0.25">
      <c r="E1214" t="s">
        <v>2264</v>
      </c>
      <c r="F1214" t="str">
        <f t="shared" si="18"/>
        <v>GÁLAGO</v>
      </c>
    </row>
    <row r="1215" spans="5:6" x14ac:dyDescent="0.25">
      <c r="E1215" t="s">
        <v>2265</v>
      </c>
      <c r="F1215" t="str">
        <f t="shared" si="18"/>
        <v>GARZÓN</v>
      </c>
    </row>
    <row r="1216" spans="5:6" x14ac:dyDescent="0.25">
      <c r="E1216" t="s">
        <v>2266</v>
      </c>
      <c r="F1216" t="str">
        <f t="shared" si="18"/>
        <v>GÉNOVA</v>
      </c>
    </row>
    <row r="1217" spans="5:6" x14ac:dyDescent="0.25">
      <c r="E1217" t="s">
        <v>2267</v>
      </c>
      <c r="F1217" t="str">
        <f t="shared" si="18"/>
        <v>GIRÓN</v>
      </c>
    </row>
    <row r="1218" spans="5:6" x14ac:dyDescent="0.25">
      <c r="E1218" t="s">
        <v>2268</v>
      </c>
      <c r="F1218" t="str">
        <f t="shared" si="18"/>
        <v>GÓMEZ PLATA</v>
      </c>
    </row>
    <row r="1219" spans="5:6" x14ac:dyDescent="0.25">
      <c r="E1219" t="s">
        <v>2269</v>
      </c>
      <c r="F1219" t="str">
        <f t="shared" ref="F1219:F1282" si="19">_xlfn.XLOOKUP(E1219, $A:$A, $B:$B, E1219)</f>
        <v>GRANADA</v>
      </c>
    </row>
    <row r="1220" spans="5:6" x14ac:dyDescent="0.25">
      <c r="E1220" t="s">
        <v>2270</v>
      </c>
      <c r="F1220" t="str">
        <f t="shared" si="19"/>
        <v>GRANADA</v>
      </c>
    </row>
    <row r="1221" spans="5:6" x14ac:dyDescent="0.25">
      <c r="E1221" t="s">
        <v>2271</v>
      </c>
      <c r="F1221" t="str">
        <f t="shared" si="19"/>
        <v>GRANADA</v>
      </c>
    </row>
    <row r="1222" spans="5:6" x14ac:dyDescent="0.25">
      <c r="E1222" t="s">
        <v>2272</v>
      </c>
      <c r="F1222" t="str">
        <f t="shared" si="19"/>
        <v>GUACARÍ</v>
      </c>
    </row>
    <row r="1223" spans="5:6" x14ac:dyDescent="0.25">
      <c r="E1223" t="s">
        <v>2437</v>
      </c>
      <c r="F1223" t="str">
        <f t="shared" si="19"/>
        <v>GUACHETA</v>
      </c>
    </row>
    <row r="1224" spans="5:6" x14ac:dyDescent="0.25">
      <c r="E1224" t="s">
        <v>2273</v>
      </c>
      <c r="F1224" t="str">
        <f t="shared" si="19"/>
        <v>GUAPÍ</v>
      </c>
    </row>
    <row r="1225" spans="5:6" x14ac:dyDescent="0.25">
      <c r="E1225" t="s">
        <v>2274</v>
      </c>
      <c r="F1225" t="str">
        <f t="shared" si="19"/>
        <v>GUATAPÉ</v>
      </c>
    </row>
    <row r="1226" spans="5:6" x14ac:dyDescent="0.25">
      <c r="E1226" t="s">
        <v>2438</v>
      </c>
      <c r="F1226" t="str">
        <f t="shared" si="19"/>
        <v>GUATAQUI</v>
      </c>
    </row>
    <row r="1227" spans="5:6" x14ac:dyDescent="0.25">
      <c r="E1227" t="s">
        <v>2275</v>
      </c>
      <c r="F1227" t="str">
        <f t="shared" si="19"/>
        <v>GUÁTICA</v>
      </c>
    </row>
    <row r="1228" spans="5:6" x14ac:dyDescent="0.25">
      <c r="E1228" t="s">
        <v>2276</v>
      </c>
      <c r="F1228" t="str">
        <f t="shared" si="19"/>
        <v>GUAYATÁ</v>
      </c>
    </row>
    <row r="1229" spans="5:6" x14ac:dyDescent="0.25">
      <c r="E1229" t="s">
        <v>2277</v>
      </c>
      <c r="F1229" t="str">
        <f t="shared" si="19"/>
        <v>GÜEPSA</v>
      </c>
    </row>
    <row r="1230" spans="5:6" x14ac:dyDescent="0.25">
      <c r="E1230" t="s">
        <v>2278</v>
      </c>
      <c r="F1230" t="str">
        <f t="shared" si="19"/>
        <v>GÜICÁN DE LA SIERRA</v>
      </c>
    </row>
    <row r="1231" spans="5:6" x14ac:dyDescent="0.25">
      <c r="E1231" t="s">
        <v>2279</v>
      </c>
      <c r="F1231" t="str">
        <f t="shared" si="19"/>
        <v>IBAGUÉ</v>
      </c>
    </row>
    <row r="1232" spans="5:6" x14ac:dyDescent="0.25">
      <c r="E1232" t="s">
        <v>2280</v>
      </c>
      <c r="F1232" t="str">
        <f t="shared" si="19"/>
        <v>ICUIRA</v>
      </c>
    </row>
    <row r="1233" spans="5:6" x14ac:dyDescent="0.25">
      <c r="E1233" t="s">
        <v>2281</v>
      </c>
      <c r="F1233" t="str">
        <f t="shared" si="19"/>
        <v>INZÁ</v>
      </c>
    </row>
    <row r="1234" spans="5:6" x14ac:dyDescent="0.25">
      <c r="E1234" t="s">
        <v>2282</v>
      </c>
      <c r="F1234" t="str">
        <f t="shared" si="19"/>
        <v>ITAGÜÍ</v>
      </c>
    </row>
    <row r="1235" spans="5:6" x14ac:dyDescent="0.25">
      <c r="E1235" t="s">
        <v>2283</v>
      </c>
      <c r="F1235" t="str">
        <f t="shared" si="19"/>
        <v>JAMUNDÍ</v>
      </c>
    </row>
    <row r="1236" spans="5:6" x14ac:dyDescent="0.25">
      <c r="E1236" t="s">
        <v>2284</v>
      </c>
      <c r="F1236" t="str">
        <f t="shared" si="19"/>
        <v>JARDÍN</v>
      </c>
    </row>
    <row r="1237" spans="5:6" x14ac:dyDescent="0.25">
      <c r="E1237" t="s">
        <v>2285</v>
      </c>
      <c r="F1237" t="str">
        <f t="shared" si="19"/>
        <v>JERICÓ</v>
      </c>
    </row>
    <row r="1238" spans="5:6" x14ac:dyDescent="0.25">
      <c r="E1238" t="s">
        <v>2439</v>
      </c>
      <c r="F1238" t="str">
        <f t="shared" si="19"/>
        <v>JUNIN</v>
      </c>
    </row>
    <row r="1239" spans="5:6" x14ac:dyDescent="0.25">
      <c r="E1239" t="s">
        <v>2286</v>
      </c>
      <c r="F1239" t="str">
        <f t="shared" si="19"/>
        <v>JURADÓ</v>
      </c>
    </row>
    <row r="1240" spans="5:6" x14ac:dyDescent="0.25">
      <c r="E1240" t="s">
        <v>2287</v>
      </c>
      <c r="F1240" t="str">
        <f t="shared" si="19"/>
        <v>LA CHORRERA</v>
      </c>
    </row>
    <row r="1241" spans="5:6" x14ac:dyDescent="0.25">
      <c r="E1241" t="s">
        <v>2289</v>
      </c>
      <c r="F1241" t="str">
        <f t="shared" si="19"/>
        <v>LA UNIÓN</v>
      </c>
    </row>
    <row r="1242" spans="5:6" x14ac:dyDescent="0.25">
      <c r="E1242" t="s">
        <v>2290</v>
      </c>
      <c r="F1242" t="str">
        <f t="shared" si="19"/>
        <v>LA URIBE</v>
      </c>
    </row>
    <row r="1243" spans="5:6" x14ac:dyDescent="0.25">
      <c r="E1243" t="s">
        <v>2440</v>
      </c>
      <c r="F1243" t="str">
        <f t="shared" si="19"/>
        <v>LANDAZURI</v>
      </c>
    </row>
    <row r="1244" spans="5:6" x14ac:dyDescent="0.25">
      <c r="E1244" t="s">
        <v>2291</v>
      </c>
      <c r="F1244" t="str">
        <f t="shared" si="19"/>
        <v>LABRIJA</v>
      </c>
    </row>
    <row r="1245" spans="5:6" x14ac:dyDescent="0.25">
      <c r="E1245" t="s">
        <v>2441</v>
      </c>
      <c r="F1245" t="str">
        <f t="shared" si="19"/>
        <v>LEJANIAS</v>
      </c>
    </row>
    <row r="1246" spans="5:6" x14ac:dyDescent="0.25">
      <c r="E1246" t="s">
        <v>2292</v>
      </c>
      <c r="F1246" t="str">
        <f t="shared" si="19"/>
        <v>LÉRIDA</v>
      </c>
    </row>
    <row r="1247" spans="5:6" x14ac:dyDescent="0.25">
      <c r="E1247" t="s">
        <v>2293</v>
      </c>
      <c r="F1247" t="str">
        <f t="shared" si="19"/>
        <v>LÍBANO</v>
      </c>
    </row>
    <row r="1248" spans="5:6" x14ac:dyDescent="0.25">
      <c r="E1248" t="s">
        <v>2442</v>
      </c>
      <c r="F1248" t="str">
        <f t="shared" si="19"/>
        <v>LLORO</v>
      </c>
    </row>
    <row r="1249" spans="5:6" x14ac:dyDescent="0.25">
      <c r="E1249" t="s">
        <v>2443</v>
      </c>
      <c r="F1249" t="str">
        <f t="shared" si="19"/>
        <v>LOS ANDES (SOTO MA</v>
      </c>
    </row>
    <row r="1250" spans="5:6" x14ac:dyDescent="0.25">
      <c r="E1250" t="s">
        <v>2294</v>
      </c>
      <c r="F1250" t="str">
        <f t="shared" si="19"/>
        <v>MACHETÁ</v>
      </c>
    </row>
    <row r="1251" spans="5:6" x14ac:dyDescent="0.25">
      <c r="E1251" t="s">
        <v>2295</v>
      </c>
      <c r="F1251" t="str">
        <f t="shared" si="19"/>
        <v>MAGANGUÉ</v>
      </c>
    </row>
    <row r="1252" spans="5:6" x14ac:dyDescent="0.25">
      <c r="E1252" t="s">
        <v>2296</v>
      </c>
      <c r="F1252" t="str">
        <f t="shared" si="19"/>
        <v>MÁLAGA</v>
      </c>
    </row>
    <row r="1253" spans="5:6" x14ac:dyDescent="0.25">
      <c r="E1253" t="s">
        <v>2297</v>
      </c>
      <c r="F1253" t="str">
        <f t="shared" si="19"/>
        <v>MANAURE BALCÓN DEL CESAR</v>
      </c>
    </row>
    <row r="1254" spans="5:6" x14ac:dyDescent="0.25">
      <c r="E1254" t="s">
        <v>2298</v>
      </c>
      <c r="F1254" t="str">
        <f t="shared" si="19"/>
        <v>MANÍ</v>
      </c>
    </row>
    <row r="1255" spans="5:6" x14ac:dyDescent="0.25">
      <c r="E1255" t="s">
        <v>2299</v>
      </c>
      <c r="F1255" t="str">
        <f t="shared" si="19"/>
        <v>MAPIRIPÁN</v>
      </c>
    </row>
    <row r="1256" spans="5:6" x14ac:dyDescent="0.25">
      <c r="E1256" t="s">
        <v>2300</v>
      </c>
      <c r="F1256" t="str">
        <f t="shared" si="19"/>
        <v>MARIQUITA</v>
      </c>
    </row>
    <row r="1257" spans="5:6" x14ac:dyDescent="0.25">
      <c r="E1257" t="s">
        <v>2301</v>
      </c>
      <c r="F1257" t="str">
        <f t="shared" si="19"/>
        <v>MEDELLÍN</v>
      </c>
    </row>
    <row r="1258" spans="5:6" x14ac:dyDescent="0.25">
      <c r="E1258" t="s">
        <v>2444</v>
      </c>
      <c r="F1258" t="str">
        <f t="shared" si="19"/>
        <v>MEDIO BAUDO</v>
      </c>
    </row>
    <row r="1259" spans="5:6" x14ac:dyDescent="0.25">
      <c r="E1259" t="s">
        <v>2302</v>
      </c>
      <c r="F1259" t="str">
        <f t="shared" si="19"/>
        <v>MISTRATÓ</v>
      </c>
    </row>
    <row r="1260" spans="5:6" x14ac:dyDescent="0.25">
      <c r="E1260" t="s">
        <v>2303</v>
      </c>
      <c r="F1260" t="str">
        <f t="shared" si="19"/>
        <v>MITÚ</v>
      </c>
    </row>
    <row r="1261" spans="5:6" x14ac:dyDescent="0.25">
      <c r="E1261" t="s">
        <v>2304</v>
      </c>
      <c r="F1261" t="str">
        <f t="shared" si="19"/>
        <v>MOMPÓS</v>
      </c>
    </row>
    <row r="1262" spans="5:6" x14ac:dyDescent="0.25">
      <c r="E1262" t="s">
        <v>2305</v>
      </c>
      <c r="F1262" t="str">
        <f t="shared" si="19"/>
        <v>MONIQUIRÁ</v>
      </c>
    </row>
    <row r="1263" spans="5:6" x14ac:dyDescent="0.25">
      <c r="E1263" t="s">
        <v>2306</v>
      </c>
      <c r="F1263" t="str">
        <f t="shared" si="19"/>
        <v>MOÑITOS</v>
      </c>
    </row>
    <row r="1264" spans="5:6" x14ac:dyDescent="0.25">
      <c r="E1264" t="s">
        <v>2307</v>
      </c>
      <c r="F1264" t="str">
        <f t="shared" si="19"/>
        <v>MONTELÍBANO</v>
      </c>
    </row>
    <row r="1265" spans="5:6" x14ac:dyDescent="0.25">
      <c r="E1265" t="s">
        <v>2308</v>
      </c>
      <c r="F1265" t="str">
        <f t="shared" si="19"/>
        <v>MONTERÍA</v>
      </c>
    </row>
    <row r="1266" spans="5:6" x14ac:dyDescent="0.25">
      <c r="E1266" t="s">
        <v>2309</v>
      </c>
      <c r="F1266" t="str">
        <f t="shared" si="19"/>
        <v>MUTATÁ</v>
      </c>
    </row>
    <row r="1267" spans="5:6" x14ac:dyDescent="0.25">
      <c r="E1267" t="s">
        <v>2445</v>
      </c>
      <c r="F1267" t="str">
        <f t="shared" si="19"/>
        <v>NATAGA</v>
      </c>
    </row>
    <row r="1268" spans="5:6" x14ac:dyDescent="0.25">
      <c r="E1268" t="s">
        <v>2310</v>
      </c>
      <c r="F1268" t="str">
        <f t="shared" si="19"/>
        <v>NECOCLÍ</v>
      </c>
    </row>
    <row r="1269" spans="5:6" x14ac:dyDescent="0.25">
      <c r="E1269" t="s">
        <v>2311</v>
      </c>
      <c r="F1269" t="str">
        <f t="shared" si="19"/>
        <v>NEMOCÓN</v>
      </c>
    </row>
    <row r="1270" spans="5:6" x14ac:dyDescent="0.25">
      <c r="E1270" t="s">
        <v>2313</v>
      </c>
      <c r="F1270" t="str">
        <f t="shared" si="19"/>
        <v>NUQUÍ</v>
      </c>
    </row>
    <row r="1271" spans="5:6" x14ac:dyDescent="0.25">
      <c r="E1271" t="s">
        <v>2314</v>
      </c>
      <c r="F1271" t="str">
        <f t="shared" si="19"/>
        <v>OROCUE</v>
      </c>
    </row>
    <row r="1272" spans="5:6" x14ac:dyDescent="0.25">
      <c r="E1272" t="s">
        <v>2315</v>
      </c>
      <c r="F1272" t="str">
        <f t="shared" si="19"/>
        <v>PÁCORA</v>
      </c>
    </row>
    <row r="1273" spans="5:6" x14ac:dyDescent="0.25">
      <c r="E1273" t="s">
        <v>2446</v>
      </c>
      <c r="F1273" t="str">
        <f t="shared" si="19"/>
        <v>PATÍA</v>
      </c>
    </row>
    <row r="1274" spans="5:6" x14ac:dyDescent="0.25">
      <c r="E1274" t="s">
        <v>2317</v>
      </c>
      <c r="F1274" t="str">
        <f t="shared" si="19"/>
        <v>PAZ DE RÍO</v>
      </c>
    </row>
    <row r="1275" spans="5:6" x14ac:dyDescent="0.25">
      <c r="E1275" t="s">
        <v>2318</v>
      </c>
      <c r="F1275" t="str">
        <f t="shared" si="19"/>
        <v>PIENDAMÓ</v>
      </c>
    </row>
    <row r="1276" spans="5:6" x14ac:dyDescent="0.25">
      <c r="E1276" t="s">
        <v>2319</v>
      </c>
      <c r="F1276" t="str">
        <f t="shared" si="19"/>
        <v>PIOJO</v>
      </c>
    </row>
    <row r="1277" spans="5:6" x14ac:dyDescent="0.25">
      <c r="E1277" t="s">
        <v>2320</v>
      </c>
      <c r="F1277" t="str">
        <f t="shared" si="19"/>
        <v>POPAYÁN</v>
      </c>
    </row>
    <row r="1278" spans="5:6" x14ac:dyDescent="0.25">
      <c r="E1278" t="s">
        <v>2321</v>
      </c>
      <c r="F1278" t="str">
        <f t="shared" si="19"/>
        <v>PTO NAREL(LAMAG</v>
      </c>
    </row>
    <row r="1279" spans="5:6" x14ac:dyDescent="0.25">
      <c r="E1279" t="s">
        <v>2322</v>
      </c>
      <c r="F1279" t="str">
        <f t="shared" si="19"/>
        <v>PUERTO ASÍS</v>
      </c>
    </row>
    <row r="1280" spans="5:6" x14ac:dyDescent="0.25">
      <c r="E1280" t="s">
        <v>2323</v>
      </c>
      <c r="F1280" t="str">
        <f t="shared" si="19"/>
        <v>PUERTO BERRÍO</v>
      </c>
    </row>
    <row r="1281" spans="5:6" x14ac:dyDescent="0.25">
      <c r="E1281" t="s">
        <v>2324</v>
      </c>
      <c r="F1281" t="str">
        <f t="shared" si="19"/>
        <v>PUERTO BOYACA</v>
      </c>
    </row>
    <row r="1282" spans="5:6" x14ac:dyDescent="0.25">
      <c r="E1282" t="s">
        <v>2325</v>
      </c>
      <c r="F1282" t="str">
        <f t="shared" si="19"/>
        <v>PUERTO CONCORDIA</v>
      </c>
    </row>
    <row r="1283" spans="5:6" x14ac:dyDescent="0.2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25">
      <c r="E1284" t="s">
        <v>2327</v>
      </c>
      <c r="F1284" t="str">
        <f t="shared" si="20"/>
        <v>INÍRIDA</v>
      </c>
    </row>
    <row r="1285" spans="5:6" x14ac:dyDescent="0.25">
      <c r="E1285" t="s">
        <v>2328</v>
      </c>
      <c r="F1285" t="str">
        <f t="shared" si="20"/>
        <v>PUERTO LEGUÍZAMO</v>
      </c>
    </row>
    <row r="1286" spans="5:6" x14ac:dyDescent="0.25">
      <c r="E1286" t="s">
        <v>2329</v>
      </c>
      <c r="F1286" t="str">
        <f t="shared" si="20"/>
        <v>PUERTO LIBERTADOR</v>
      </c>
    </row>
    <row r="1287" spans="5:6" x14ac:dyDescent="0.25">
      <c r="E1287" t="s">
        <v>2330</v>
      </c>
      <c r="F1287" t="str">
        <f t="shared" si="20"/>
        <v>PUERTO LÓPEZ</v>
      </c>
    </row>
    <row r="1288" spans="5:6" x14ac:dyDescent="0.25">
      <c r="E1288" t="s">
        <v>2331</v>
      </c>
      <c r="F1288" t="str">
        <f t="shared" si="20"/>
        <v>PURACÉ</v>
      </c>
    </row>
    <row r="1289" spans="5:6" x14ac:dyDescent="0.25">
      <c r="E1289" t="s">
        <v>2332</v>
      </c>
      <c r="F1289" t="str">
        <f t="shared" si="20"/>
        <v>PURIFICACIÓN</v>
      </c>
    </row>
    <row r="1290" spans="5:6" x14ac:dyDescent="0.25">
      <c r="E1290" t="s">
        <v>2333</v>
      </c>
      <c r="F1290" t="str">
        <f t="shared" si="20"/>
        <v>QUIBDÓ</v>
      </c>
    </row>
    <row r="1291" spans="5:6" x14ac:dyDescent="0.25">
      <c r="E1291" t="s">
        <v>2335</v>
      </c>
      <c r="F1291" t="str">
        <f t="shared" si="20"/>
        <v>QUÍPAMA</v>
      </c>
    </row>
    <row r="1292" spans="5:6" x14ac:dyDescent="0.25">
      <c r="E1292" t="s">
        <v>2447</v>
      </c>
      <c r="F1292" t="str">
        <f t="shared" si="20"/>
        <v>RAFAEL REYES</v>
      </c>
    </row>
    <row r="1293" spans="5:6" x14ac:dyDescent="0.25">
      <c r="E1293" t="s">
        <v>2336</v>
      </c>
      <c r="F1293" t="str">
        <f t="shared" si="20"/>
        <v>RAMIRIQUÍ</v>
      </c>
    </row>
    <row r="1294" spans="5:6" x14ac:dyDescent="0.25">
      <c r="E1294" t="s">
        <v>2337</v>
      </c>
      <c r="F1294" t="str">
        <f t="shared" si="20"/>
        <v>RÁQUIRA</v>
      </c>
    </row>
    <row r="1295" spans="5:6" x14ac:dyDescent="0.25">
      <c r="E1295" t="s">
        <v>2338</v>
      </c>
      <c r="F1295" t="str">
        <f t="shared" si="20"/>
        <v>RÍO DE ORO</v>
      </c>
    </row>
    <row r="1296" spans="5:6" x14ac:dyDescent="0.25">
      <c r="E1296" t="s">
        <v>2339</v>
      </c>
      <c r="F1296" t="str">
        <f t="shared" si="20"/>
        <v>RIOFRÍO</v>
      </c>
    </row>
    <row r="1297" spans="5:6" x14ac:dyDescent="0.25">
      <c r="E1297" t="s">
        <v>2340</v>
      </c>
      <c r="F1297" t="str">
        <f t="shared" si="20"/>
        <v>LA PAZ</v>
      </c>
    </row>
    <row r="1298" spans="5:6" x14ac:dyDescent="0.25">
      <c r="E1298" t="s">
        <v>2341</v>
      </c>
      <c r="F1298" t="str">
        <f t="shared" si="20"/>
        <v>ROLDANILLO</v>
      </c>
    </row>
    <row r="1299" spans="5:6" x14ac:dyDescent="0.25">
      <c r="E1299" t="s">
        <v>2448</v>
      </c>
      <c r="F1299" t="str">
        <f t="shared" si="20"/>
        <v>SABOYA</v>
      </c>
    </row>
    <row r="1300" spans="5:6" x14ac:dyDescent="0.25">
      <c r="E1300" t="s">
        <v>2342</v>
      </c>
      <c r="F1300" t="str">
        <f t="shared" si="20"/>
        <v>SACHICA</v>
      </c>
    </row>
    <row r="1301" spans="5:6" x14ac:dyDescent="0.25">
      <c r="E1301" t="s">
        <v>2343</v>
      </c>
      <c r="F1301" t="str">
        <f t="shared" si="20"/>
        <v>SAHAGÚN</v>
      </c>
    </row>
    <row r="1302" spans="5:6" x14ac:dyDescent="0.25">
      <c r="E1302" t="s">
        <v>2344</v>
      </c>
      <c r="F1302" t="str">
        <f t="shared" si="20"/>
        <v>SÁMACA</v>
      </c>
    </row>
    <row r="1303" spans="5:6" x14ac:dyDescent="0.25">
      <c r="E1303" t="s">
        <v>2345</v>
      </c>
      <c r="F1303" t="str">
        <f t="shared" si="20"/>
        <v>SAMANÁ</v>
      </c>
    </row>
    <row r="1304" spans="5:6" x14ac:dyDescent="0.25">
      <c r="E1304" t="s">
        <v>2346</v>
      </c>
      <c r="F1304" t="str">
        <f t="shared" si="20"/>
        <v>SAMPUÉS</v>
      </c>
    </row>
    <row r="1305" spans="5:6" x14ac:dyDescent="0.25">
      <c r="E1305" t="s">
        <v>2347</v>
      </c>
      <c r="F1305" t="str">
        <f t="shared" si="20"/>
        <v>SAN AGUSTÍN</v>
      </c>
    </row>
    <row r="1306" spans="5:6" x14ac:dyDescent="0.25">
      <c r="E1306" t="s">
        <v>2348</v>
      </c>
      <c r="F1306" t="str">
        <f t="shared" si="20"/>
        <v>SAN ANDRÉS</v>
      </c>
    </row>
    <row r="1307" spans="5:6" x14ac:dyDescent="0.25">
      <c r="E1307" t="s">
        <v>2349</v>
      </c>
      <c r="F1307" t="str">
        <f t="shared" si="20"/>
        <v>SAN ANDRÉS DE SOTAVENTO</v>
      </c>
    </row>
    <row r="1308" spans="5:6" x14ac:dyDescent="0.25">
      <c r="E1308" t="s">
        <v>2350</v>
      </c>
      <c r="F1308" t="str">
        <f t="shared" si="20"/>
        <v>SAN BERNARDO</v>
      </c>
    </row>
    <row r="1309" spans="5:6" x14ac:dyDescent="0.25">
      <c r="E1309" t="s">
        <v>2351</v>
      </c>
      <c r="F1309" t="str">
        <f t="shared" si="20"/>
        <v>SAN CARLOS</v>
      </c>
    </row>
    <row r="1310" spans="5:6" x14ac:dyDescent="0.25">
      <c r="E1310" t="s">
        <v>2352</v>
      </c>
      <c r="F1310" t="str">
        <f t="shared" si="20"/>
        <v>SAN JERÓNIMO</v>
      </c>
    </row>
    <row r="1311" spans="5:6" x14ac:dyDescent="0.25">
      <c r="E1311" t="s">
        <v>2449</v>
      </c>
      <c r="F1311" t="str">
        <f t="shared" si="20"/>
        <v>SAN JOSE</v>
      </c>
    </row>
    <row r="1312" spans="5:6" x14ac:dyDescent="0.25">
      <c r="E1312" t="s">
        <v>2353</v>
      </c>
      <c r="F1312" t="str">
        <f t="shared" si="20"/>
        <v>SAN JOSÉ DEL GUAVIARE</v>
      </c>
    </row>
    <row r="1313" spans="5:6" x14ac:dyDescent="0.25">
      <c r="E1313" t="s">
        <v>2354</v>
      </c>
      <c r="F1313" t="str">
        <f t="shared" si="20"/>
        <v>SAN JOSÉ DE URÉ</v>
      </c>
    </row>
    <row r="1314" spans="5:6" x14ac:dyDescent="0.25">
      <c r="E1314" t="s">
        <v>2355</v>
      </c>
      <c r="F1314" t="str">
        <f t="shared" si="20"/>
        <v>SAN JUAN DEL CESAR</v>
      </c>
    </row>
    <row r="1315" spans="5:6" x14ac:dyDescent="0.25">
      <c r="E1315" t="s">
        <v>2356</v>
      </c>
      <c r="F1315" t="str">
        <f t="shared" si="20"/>
        <v>SAN JUAN NEPOMUCENO</v>
      </c>
    </row>
    <row r="1316" spans="5:6" x14ac:dyDescent="0.25">
      <c r="E1316" t="s">
        <v>2357</v>
      </c>
      <c r="F1316" t="str">
        <f t="shared" si="20"/>
        <v>SAN LUIS DE GACENO</v>
      </c>
    </row>
    <row r="1317" spans="5:6" x14ac:dyDescent="0.25">
      <c r="E1317" t="s">
        <v>2358</v>
      </c>
      <c r="F1317" t="str">
        <f t="shared" si="20"/>
        <v>SAN LUIS DE PALENQUE</v>
      </c>
    </row>
    <row r="1318" spans="5:6" x14ac:dyDescent="0.25">
      <c r="E1318" t="s">
        <v>2359</v>
      </c>
      <c r="F1318" t="str">
        <f t="shared" si="20"/>
        <v>SAN MARTÍN</v>
      </c>
    </row>
    <row r="1319" spans="5:6" x14ac:dyDescent="0.25">
      <c r="E1319" t="s">
        <v>2450</v>
      </c>
      <c r="F1319" t="str">
        <f t="shared" si="20"/>
        <v>SAN PEDRO DE URABA</v>
      </c>
    </row>
    <row r="1320" spans="5:6" x14ac:dyDescent="0.25">
      <c r="E1320" t="s">
        <v>2361</v>
      </c>
      <c r="F1320" t="str">
        <f t="shared" si="20"/>
        <v>SAN SEBASTIÁN</v>
      </c>
    </row>
    <row r="1321" spans="5:6" x14ac:dyDescent="0.25">
      <c r="E1321" t="s">
        <v>2362</v>
      </c>
      <c r="F1321" t="str">
        <f t="shared" si="20"/>
        <v>SAN SEBASTIÁN DE BUENAVISTA</v>
      </c>
    </row>
    <row r="1322" spans="5:6" x14ac:dyDescent="0.25">
      <c r="E1322" t="s">
        <v>2363</v>
      </c>
      <c r="F1322" t="str">
        <f t="shared" si="20"/>
        <v>SAN VICENTE</v>
      </c>
    </row>
    <row r="1323" spans="5:6" x14ac:dyDescent="0.25">
      <c r="E1323" t="s">
        <v>2451</v>
      </c>
      <c r="F1323" t="str">
        <f t="shared" si="20"/>
        <v>SAN VICENTE DE CHUC</v>
      </c>
    </row>
    <row r="1324" spans="5:6" x14ac:dyDescent="0.25">
      <c r="E1324" t="s">
        <v>2452</v>
      </c>
      <c r="F1324" t="str">
        <f t="shared" si="20"/>
        <v>SAN VICENTE DEL CAG</v>
      </c>
    </row>
    <row r="1325" spans="5:6" x14ac:dyDescent="0.25">
      <c r="E1325" t="s">
        <v>2366</v>
      </c>
      <c r="F1325" t="str">
        <f t="shared" si="20"/>
        <v>SANDONÁ</v>
      </c>
    </row>
    <row r="1326" spans="5:6" x14ac:dyDescent="0.25">
      <c r="E1326" t="s">
        <v>2367</v>
      </c>
      <c r="F1326" t="str">
        <f t="shared" si="20"/>
        <v>SANTA BÁRBARA</v>
      </c>
    </row>
    <row r="1327" spans="5:6" x14ac:dyDescent="0.25">
      <c r="E1327" t="s">
        <v>2368</v>
      </c>
      <c r="F1327" t="str">
        <f t="shared" si="20"/>
        <v>SANTA MARÍA</v>
      </c>
    </row>
    <row r="1328" spans="5:6" x14ac:dyDescent="0.25">
      <c r="E1328" t="s">
        <v>2453</v>
      </c>
      <c r="F1328" t="str">
        <f t="shared" si="20"/>
        <v>SANTA ROSA DE VITER</v>
      </c>
    </row>
    <row r="1329" spans="5:6" x14ac:dyDescent="0.25">
      <c r="E1329" t="s">
        <v>2372</v>
      </c>
      <c r="F1329" t="str">
        <f t="shared" si="20"/>
        <v>SANTANDER DE QUILICHAO</v>
      </c>
    </row>
    <row r="1330" spans="5:6" x14ac:dyDescent="0.25">
      <c r="E1330" t="s">
        <v>2373</v>
      </c>
      <c r="F1330" t="str">
        <f t="shared" si="20"/>
        <v>SANTO TOMÁS</v>
      </c>
    </row>
    <row r="1331" spans="5:6" x14ac:dyDescent="0.25">
      <c r="E1331" t="s">
        <v>2374</v>
      </c>
      <c r="F1331" t="str">
        <f t="shared" si="20"/>
        <v>SESQUILÉ</v>
      </c>
    </row>
    <row r="1332" spans="5:6" x14ac:dyDescent="0.25">
      <c r="E1332" t="s">
        <v>2375</v>
      </c>
      <c r="F1332" t="str">
        <f t="shared" si="20"/>
        <v>SIBATÉ</v>
      </c>
    </row>
    <row r="1333" spans="5:6" x14ac:dyDescent="0.25">
      <c r="E1333" t="s">
        <v>2376</v>
      </c>
      <c r="F1333" t="str">
        <f t="shared" si="20"/>
        <v>SINCÉ</v>
      </c>
    </row>
    <row r="1334" spans="5:6" x14ac:dyDescent="0.25">
      <c r="E1334" t="s">
        <v>2377</v>
      </c>
      <c r="F1334" t="str">
        <f t="shared" si="20"/>
        <v>SONSÓN</v>
      </c>
    </row>
    <row r="1335" spans="5:6" x14ac:dyDescent="0.25">
      <c r="E1335" t="s">
        <v>2378</v>
      </c>
      <c r="F1335" t="str">
        <f t="shared" si="20"/>
        <v>SOPETRÁN</v>
      </c>
    </row>
    <row r="1336" spans="5:6" x14ac:dyDescent="0.25">
      <c r="E1336" t="s">
        <v>2379</v>
      </c>
      <c r="F1336" t="str">
        <f t="shared" si="20"/>
        <v>SOPÓ</v>
      </c>
    </row>
    <row r="1337" spans="5:6" x14ac:dyDescent="0.25">
      <c r="E1337" t="s">
        <v>2380</v>
      </c>
      <c r="F1337" t="str">
        <f t="shared" si="20"/>
        <v>SOTAQUIRÁ</v>
      </c>
    </row>
    <row r="1338" spans="5:6" x14ac:dyDescent="0.25">
      <c r="E1338" t="s">
        <v>2381</v>
      </c>
      <c r="F1338" t="str">
        <f t="shared" si="20"/>
        <v>SANTA ROSA DE OSOS</v>
      </c>
    </row>
    <row r="1339" spans="5:6" x14ac:dyDescent="0.25">
      <c r="E1339" t="s">
        <v>2382</v>
      </c>
      <c r="F1339" t="str">
        <f t="shared" si="20"/>
        <v>SUPÍA</v>
      </c>
    </row>
    <row r="1340" spans="5:6" x14ac:dyDescent="0.25">
      <c r="E1340" t="s">
        <v>2383</v>
      </c>
      <c r="F1340" t="str">
        <f t="shared" si="20"/>
        <v>SUTAMARCHÁN</v>
      </c>
    </row>
    <row r="1341" spans="5:6" x14ac:dyDescent="0.25">
      <c r="E1341" t="s">
        <v>2384</v>
      </c>
      <c r="F1341" t="str">
        <f t="shared" si="20"/>
        <v>TÁMARA</v>
      </c>
    </row>
    <row r="1342" spans="5:6" x14ac:dyDescent="0.25">
      <c r="E1342" t="s">
        <v>2385</v>
      </c>
      <c r="F1342" t="str">
        <f t="shared" si="20"/>
        <v>TIBANÁ</v>
      </c>
    </row>
    <row r="1343" spans="5:6" x14ac:dyDescent="0.25">
      <c r="E1343" t="s">
        <v>2386</v>
      </c>
      <c r="F1343" t="str">
        <f t="shared" si="20"/>
        <v>TIBÚ</v>
      </c>
    </row>
    <row r="1344" spans="5:6" x14ac:dyDescent="0.25">
      <c r="E1344" t="s">
        <v>2387</v>
      </c>
      <c r="F1344" t="str">
        <f t="shared" si="20"/>
        <v>TIMANÁ</v>
      </c>
    </row>
    <row r="1345" spans="5:6" x14ac:dyDescent="0.25">
      <c r="E1345" t="s">
        <v>2388</v>
      </c>
      <c r="F1345" t="str">
        <f t="shared" si="20"/>
        <v>TIMBÍO</v>
      </c>
    </row>
    <row r="1346" spans="5:6" x14ac:dyDescent="0.25">
      <c r="E1346" t="s">
        <v>2389</v>
      </c>
      <c r="F1346" t="str">
        <f t="shared" si="20"/>
        <v>TIMBIQUÍ</v>
      </c>
    </row>
    <row r="1347" spans="5:6" x14ac:dyDescent="0.25">
      <c r="E1347" t="s">
        <v>2390</v>
      </c>
      <c r="F1347" t="str">
        <f t="shared" ref="F1347:F1410" si="21">_xlfn.XLOOKUP(E1347, $A:$A, $B:$B, E1347)</f>
        <v>TINJACÁ</v>
      </c>
    </row>
    <row r="1348" spans="5:6" x14ac:dyDescent="0.25">
      <c r="E1348" t="s">
        <v>2391</v>
      </c>
      <c r="F1348" t="str">
        <f t="shared" si="21"/>
        <v>TITIRIBÍ</v>
      </c>
    </row>
    <row r="1349" spans="5:6" x14ac:dyDescent="0.25">
      <c r="E1349" t="s">
        <v>2392</v>
      </c>
      <c r="F1349" t="str">
        <f t="shared" si="21"/>
        <v>TOCANCIPÁ</v>
      </c>
    </row>
    <row r="1350" spans="5:6" x14ac:dyDescent="0.25">
      <c r="E1350" t="s">
        <v>2393</v>
      </c>
      <c r="F1350" t="str">
        <f t="shared" si="21"/>
        <v>SANTIAGO DE TOLÚ</v>
      </c>
    </row>
    <row r="1351" spans="5:6" x14ac:dyDescent="0.25">
      <c r="E1351" t="s">
        <v>2394</v>
      </c>
      <c r="F1351" t="str">
        <f t="shared" si="21"/>
        <v>TOLUVIEJO</v>
      </c>
    </row>
    <row r="1352" spans="5:6" x14ac:dyDescent="0.25">
      <c r="E1352" t="s">
        <v>2395</v>
      </c>
      <c r="F1352" t="str">
        <f t="shared" si="21"/>
        <v>TOTORÓ</v>
      </c>
    </row>
    <row r="1353" spans="5:6" x14ac:dyDescent="0.25">
      <c r="E1353" t="s">
        <v>2396</v>
      </c>
      <c r="F1353" t="str">
        <f t="shared" si="21"/>
        <v>TUBARÁ</v>
      </c>
    </row>
    <row r="1354" spans="5:6" x14ac:dyDescent="0.25">
      <c r="E1354" t="s">
        <v>2397</v>
      </c>
      <c r="F1354" t="str">
        <f t="shared" si="21"/>
        <v>TULUÁ</v>
      </c>
    </row>
    <row r="1355" spans="5:6" x14ac:dyDescent="0.25">
      <c r="E1355" t="s">
        <v>2398</v>
      </c>
      <c r="F1355" t="str">
        <f t="shared" si="21"/>
        <v>TUMACO</v>
      </c>
    </row>
    <row r="1356" spans="5:6" x14ac:dyDescent="0.25">
      <c r="E1356" t="s">
        <v>2399</v>
      </c>
      <c r="F1356" t="str">
        <f t="shared" si="21"/>
        <v>TÚQUERRES</v>
      </c>
    </row>
    <row r="1357" spans="5:6" x14ac:dyDescent="0.25">
      <c r="E1357" t="s">
        <v>2400</v>
      </c>
      <c r="F1357" t="str">
        <f t="shared" si="21"/>
        <v>TURBANÁ</v>
      </c>
    </row>
    <row r="1358" spans="5:6" x14ac:dyDescent="0.25">
      <c r="E1358" t="s">
        <v>2401</v>
      </c>
      <c r="F1358" t="str">
        <f t="shared" si="21"/>
        <v>TURMEQUÉ</v>
      </c>
    </row>
    <row r="1359" spans="5:6" x14ac:dyDescent="0.25">
      <c r="E1359" t="s">
        <v>2402</v>
      </c>
      <c r="F1359" t="str">
        <f t="shared" si="21"/>
        <v>UBALÁ</v>
      </c>
    </row>
    <row r="1360" spans="5:6" x14ac:dyDescent="0.25">
      <c r="E1360" t="s">
        <v>2403</v>
      </c>
      <c r="F1360" t="str">
        <f t="shared" si="21"/>
        <v>UBATÉ</v>
      </c>
    </row>
    <row r="1361" spans="5:6" x14ac:dyDescent="0.25">
      <c r="E1361" t="s">
        <v>2404</v>
      </c>
      <c r="F1361" t="str">
        <f t="shared" si="21"/>
        <v>ÚMBITA</v>
      </c>
    </row>
    <row r="1362" spans="5:6" x14ac:dyDescent="0.25">
      <c r="E1362" t="s">
        <v>2405</v>
      </c>
      <c r="F1362" t="str">
        <f t="shared" si="21"/>
        <v>UNGUÍA</v>
      </c>
    </row>
    <row r="1363" spans="5:6" x14ac:dyDescent="0.25">
      <c r="E1363" t="s">
        <v>2406</v>
      </c>
      <c r="F1363" t="str">
        <f t="shared" si="21"/>
        <v>USIACURÍ</v>
      </c>
    </row>
    <row r="1364" spans="5:6" x14ac:dyDescent="0.25">
      <c r="E1364" t="s">
        <v>2407</v>
      </c>
      <c r="F1364" t="str">
        <f t="shared" si="21"/>
        <v>ÚTICA</v>
      </c>
    </row>
    <row r="1365" spans="5:6" x14ac:dyDescent="0.25">
      <c r="E1365" t="s">
        <v>2408</v>
      </c>
      <c r="F1365" t="str">
        <f t="shared" si="21"/>
        <v>VALLE DE SAN JOSÉ</v>
      </c>
    </row>
    <row r="1366" spans="5:6" x14ac:dyDescent="0.25">
      <c r="E1366" t="s">
        <v>2409</v>
      </c>
      <c r="F1366" t="str">
        <f t="shared" si="21"/>
        <v>VÉLEZ</v>
      </c>
    </row>
    <row r="1367" spans="5:6" x14ac:dyDescent="0.25">
      <c r="E1367" t="s">
        <v>2410</v>
      </c>
      <c r="F1367" t="str">
        <f t="shared" si="21"/>
        <v>VIANÍ</v>
      </c>
    </row>
    <row r="1368" spans="5:6" x14ac:dyDescent="0.25">
      <c r="E1368" t="s">
        <v>2411</v>
      </c>
      <c r="F1368" t="str">
        <f t="shared" si="21"/>
        <v>VILLA DEL ROSARIO</v>
      </c>
    </row>
    <row r="1369" spans="5:6" x14ac:dyDescent="0.25">
      <c r="E1369" t="s">
        <v>2412</v>
      </c>
      <c r="F1369" t="str">
        <f t="shared" si="21"/>
        <v>VILLAGARZÓN</v>
      </c>
    </row>
    <row r="1370" spans="5:6" x14ac:dyDescent="0.25">
      <c r="E1370" t="s">
        <v>2413</v>
      </c>
      <c r="F1370" t="str">
        <f t="shared" si="21"/>
        <v>VILLAMARÍA</v>
      </c>
    </row>
    <row r="1371" spans="5:6" x14ac:dyDescent="0.25">
      <c r="E1371" t="s">
        <v>2414</v>
      </c>
      <c r="F1371" t="str">
        <f t="shared" si="21"/>
        <v>VILLAPINZÓN</v>
      </c>
    </row>
    <row r="1372" spans="5:6" x14ac:dyDescent="0.25">
      <c r="E1372" t="s">
        <v>2415</v>
      </c>
      <c r="F1372" t="str">
        <f t="shared" si="21"/>
        <v>VIOTÁ</v>
      </c>
    </row>
    <row r="1373" spans="5:6" x14ac:dyDescent="0.25">
      <c r="E1373" t="s">
        <v>2416</v>
      </c>
      <c r="F1373" t="str">
        <f t="shared" si="21"/>
        <v>VIRACACHÁ</v>
      </c>
    </row>
    <row r="1374" spans="5:6" x14ac:dyDescent="0.25">
      <c r="E1374" t="s">
        <v>2417</v>
      </c>
      <c r="F1374" t="str">
        <f t="shared" si="21"/>
        <v>VISTA HERMOSA</v>
      </c>
    </row>
    <row r="1375" spans="5:6" x14ac:dyDescent="0.25">
      <c r="E1375" t="s">
        <v>2418</v>
      </c>
      <c r="F1375" t="str">
        <f t="shared" si="21"/>
        <v>YAGUARÁ</v>
      </c>
    </row>
    <row r="1376" spans="5:6" x14ac:dyDescent="0.25">
      <c r="E1376" t="s">
        <v>2419</v>
      </c>
      <c r="F1376" t="str">
        <f t="shared" si="21"/>
        <v>YOLOMBÓ</v>
      </c>
    </row>
    <row r="1377" spans="5:6" x14ac:dyDescent="0.25">
      <c r="E1377" t="s">
        <v>2420</v>
      </c>
      <c r="F1377" t="str">
        <f t="shared" si="21"/>
        <v>YONDÓ</v>
      </c>
    </row>
    <row r="1378" spans="5:6" x14ac:dyDescent="0.25">
      <c r="E1378" t="s">
        <v>2421</v>
      </c>
      <c r="F1378" t="str">
        <f t="shared" si="21"/>
        <v>ZIPACÓN</v>
      </c>
    </row>
    <row r="1379" spans="5:6" x14ac:dyDescent="0.25">
      <c r="E1379" t="s">
        <v>2422</v>
      </c>
      <c r="F1379" t="str">
        <f t="shared" si="21"/>
        <v>ZIPAQUIRÁ</v>
      </c>
    </row>
    <row r="1380" spans="5:6" x14ac:dyDescent="0.25">
      <c r="E1380" s="8" t="s">
        <v>2170</v>
      </c>
      <c r="F1380" t="str">
        <f t="shared" si="21"/>
        <v>SANTA ROSALIA</v>
      </c>
    </row>
    <row r="1381" spans="5:6" x14ac:dyDescent="0.25">
      <c r="E1381" s="8" t="s">
        <v>2171</v>
      </c>
      <c r="F1381" t="str">
        <f t="shared" si="21"/>
        <v>ABREGO</v>
      </c>
    </row>
    <row r="1382" spans="5:6" x14ac:dyDescent="0.25">
      <c r="E1382" s="8" t="s">
        <v>2172</v>
      </c>
      <c r="F1382" t="str">
        <f t="shared" si="21"/>
        <v>ABRIAQUI</v>
      </c>
    </row>
    <row r="1383" spans="5:6" x14ac:dyDescent="0.25">
      <c r="E1383" s="8" t="s">
        <v>2173</v>
      </c>
      <c r="F1383" t="str">
        <f t="shared" si="21"/>
        <v>ACACIAS</v>
      </c>
    </row>
    <row r="1384" spans="5:6" x14ac:dyDescent="0.25">
      <c r="E1384" s="8" t="s">
        <v>2174</v>
      </c>
      <c r="F1384" t="str">
        <f t="shared" si="21"/>
        <v>ACANDI</v>
      </c>
    </row>
    <row r="1385" spans="5:6" x14ac:dyDescent="0.25">
      <c r="E1385" s="8" t="s">
        <v>2175</v>
      </c>
      <c r="F1385" t="str">
        <f t="shared" si="21"/>
        <v>ACHI</v>
      </c>
    </row>
    <row r="1386" spans="5:6" x14ac:dyDescent="0.25">
      <c r="E1386" s="8" t="s">
        <v>2176</v>
      </c>
      <c r="F1386" t="str">
        <f t="shared" si="21"/>
        <v>AGUSTIN CODAZZI</v>
      </c>
    </row>
    <row r="1387" spans="5:6" x14ac:dyDescent="0.25">
      <c r="E1387" s="8" t="s">
        <v>2177</v>
      </c>
      <c r="F1387" t="str">
        <f t="shared" si="21"/>
        <v>ALBAN</v>
      </c>
    </row>
    <row r="1388" spans="5:6" x14ac:dyDescent="0.25">
      <c r="E1388" s="8" t="s">
        <v>2178</v>
      </c>
      <c r="F1388" t="str">
        <f t="shared" si="21"/>
        <v>ALCALA</v>
      </c>
    </row>
    <row r="1389" spans="5:6" x14ac:dyDescent="0.25">
      <c r="E1389" s="8" t="s">
        <v>2179</v>
      </c>
      <c r="F1389" t="str">
        <f t="shared" si="21"/>
        <v>ALEJANDRIA</v>
      </c>
    </row>
    <row r="1390" spans="5:6" x14ac:dyDescent="0.25">
      <c r="E1390" s="8" t="s">
        <v>2180</v>
      </c>
      <c r="F1390" t="str">
        <f t="shared" si="21"/>
        <v>AMAGA</v>
      </c>
    </row>
    <row r="1391" spans="5:6" x14ac:dyDescent="0.25">
      <c r="E1391" s="8" t="s">
        <v>2181</v>
      </c>
      <c r="F1391" t="str">
        <f t="shared" si="21"/>
        <v>ANDALUCIA</v>
      </c>
    </row>
    <row r="1392" spans="5:6" x14ac:dyDescent="0.25">
      <c r="E1392" s="8" t="s">
        <v>2423</v>
      </c>
      <c r="F1392" t="str">
        <f t="shared" si="21"/>
        <v>ANGELOPOLIS</v>
      </c>
    </row>
    <row r="1393" spans="5:6" x14ac:dyDescent="0.25">
      <c r="E1393" s="8" t="s">
        <v>2182</v>
      </c>
      <c r="F1393" t="str">
        <f t="shared" si="21"/>
        <v>ANORI</v>
      </c>
    </row>
    <row r="1394" spans="5:6" x14ac:dyDescent="0.25">
      <c r="E1394" s="8" t="s">
        <v>2183</v>
      </c>
      <c r="F1394" t="str">
        <f t="shared" si="21"/>
        <v>ANTIOQUIA</v>
      </c>
    </row>
    <row r="1395" spans="5:6" x14ac:dyDescent="0.25">
      <c r="E1395" s="8" t="s">
        <v>2424</v>
      </c>
      <c r="F1395" t="str">
        <f t="shared" si="21"/>
        <v>ANZA</v>
      </c>
    </row>
    <row r="1396" spans="5:6" x14ac:dyDescent="0.25">
      <c r="E1396" s="8" t="s">
        <v>2454</v>
      </c>
      <c r="F1396" t="str">
        <f t="shared" si="21"/>
        <v>ANZOATEGUI</v>
      </c>
    </row>
    <row r="1397" spans="5:6" x14ac:dyDescent="0.25">
      <c r="E1397" s="8" t="s">
        <v>2184</v>
      </c>
      <c r="F1397" t="str">
        <f t="shared" si="21"/>
        <v>APARTADO</v>
      </c>
    </row>
    <row r="1398" spans="5:6" x14ac:dyDescent="0.25">
      <c r="E1398" s="8" t="s">
        <v>2185</v>
      </c>
      <c r="F1398" t="str">
        <f t="shared" si="21"/>
        <v>APIA</v>
      </c>
    </row>
    <row r="1399" spans="5:6" x14ac:dyDescent="0.25">
      <c r="E1399" s="8" t="s">
        <v>2426</v>
      </c>
      <c r="F1399" t="str">
        <f t="shared" si="21"/>
        <v>ARBELAEZ</v>
      </c>
    </row>
    <row r="1400" spans="5:6" x14ac:dyDescent="0.25">
      <c r="E1400" s="8" t="s">
        <v>2186</v>
      </c>
      <c r="F1400" t="str">
        <f t="shared" si="21"/>
        <v>ARIGUANI</v>
      </c>
    </row>
    <row r="1401" spans="5:6" x14ac:dyDescent="0.25">
      <c r="E1401" s="8" t="s">
        <v>2187</v>
      </c>
      <c r="F1401" t="str">
        <f t="shared" si="21"/>
        <v>ARJOMA</v>
      </c>
    </row>
    <row r="1402" spans="5:6" x14ac:dyDescent="0.25">
      <c r="E1402" s="8" t="s">
        <v>2188</v>
      </c>
      <c r="F1402" t="str">
        <f t="shared" si="21"/>
        <v>ARMERO</v>
      </c>
    </row>
    <row r="1403" spans="5:6" x14ac:dyDescent="0.25">
      <c r="E1403" s="8" t="s">
        <v>2190</v>
      </c>
      <c r="F1403" t="str">
        <f t="shared" si="21"/>
        <v>BAGADO</v>
      </c>
    </row>
    <row r="1404" spans="5:6" x14ac:dyDescent="0.25">
      <c r="E1404" s="8" t="s">
        <v>2191</v>
      </c>
      <c r="F1404" t="str">
        <f t="shared" si="21"/>
        <v>BAHIA SOLANO</v>
      </c>
    </row>
    <row r="1405" spans="5:6" x14ac:dyDescent="0.25">
      <c r="E1405" s="8" t="s">
        <v>2192</v>
      </c>
      <c r="F1405" t="str">
        <f t="shared" si="21"/>
        <v>BAJO BAUDO</v>
      </c>
    </row>
    <row r="1406" spans="5:6" x14ac:dyDescent="0.25">
      <c r="E1406" s="8" t="s">
        <v>2193</v>
      </c>
      <c r="F1406" t="str">
        <f t="shared" si="21"/>
        <v>BARRANCA DE UPIA</v>
      </c>
    </row>
    <row r="1407" spans="5:6" x14ac:dyDescent="0.25">
      <c r="E1407" s="8" t="s">
        <v>2195</v>
      </c>
      <c r="F1407" t="str">
        <f t="shared" si="21"/>
        <v>BELALCAZAR</v>
      </c>
    </row>
    <row r="1408" spans="5:6" x14ac:dyDescent="0.25">
      <c r="E1408" s="8" t="s">
        <v>2196</v>
      </c>
      <c r="F1408" t="str">
        <f t="shared" si="21"/>
        <v>BELEN</v>
      </c>
    </row>
    <row r="1409" spans="5:6" x14ac:dyDescent="0.25">
      <c r="E1409" s="8" t="s">
        <v>2197</v>
      </c>
      <c r="F1409" t="str">
        <f t="shared" si="21"/>
        <v>BELEN DE UMBRIA</v>
      </c>
    </row>
    <row r="1410" spans="5:6" x14ac:dyDescent="0.25">
      <c r="E1410" s="8" t="s">
        <v>2198</v>
      </c>
      <c r="F1410" t="str">
        <f t="shared" si="21"/>
        <v>BELTRAN</v>
      </c>
    </row>
    <row r="1411" spans="5:6" x14ac:dyDescent="0.25">
      <c r="E1411" s="8" t="s">
        <v>2199</v>
      </c>
      <c r="F1411" t="str">
        <f t="shared" ref="F1411:F1474" si="22">_xlfn.XLOOKUP(E1411, $A:$A, $B:$B, E1411)</f>
        <v>BOGOTA D.C</v>
      </c>
    </row>
    <row r="1412" spans="5:6" x14ac:dyDescent="0.25">
      <c r="E1412" s="8" t="s">
        <v>2200</v>
      </c>
      <c r="F1412" t="str">
        <f t="shared" si="22"/>
        <v>BOJACA</v>
      </c>
    </row>
    <row r="1413" spans="5:6" x14ac:dyDescent="0.25">
      <c r="E1413" s="8" t="s">
        <v>2201</v>
      </c>
      <c r="F1413" t="str">
        <f t="shared" si="22"/>
        <v>BOLIVAR</v>
      </c>
    </row>
    <row r="1414" spans="5:6" x14ac:dyDescent="0.25">
      <c r="E1414" s="8" t="s">
        <v>2202</v>
      </c>
      <c r="F1414" t="str">
        <f t="shared" si="22"/>
        <v>BOYACA</v>
      </c>
    </row>
    <row r="1415" spans="5:6" x14ac:dyDescent="0.25">
      <c r="E1415" s="8" t="s">
        <v>2427</v>
      </c>
      <c r="F1415" t="str">
        <f t="shared" si="22"/>
        <v>BRICENO</v>
      </c>
    </row>
    <row r="1416" spans="5:6" x14ac:dyDescent="0.25">
      <c r="E1416" s="8" t="s">
        <v>2203</v>
      </c>
      <c r="F1416" t="str">
        <f t="shared" si="22"/>
        <v>BUGA</v>
      </c>
    </row>
    <row r="1417" spans="5:6" x14ac:dyDescent="0.25">
      <c r="E1417" s="8" t="s">
        <v>2204</v>
      </c>
      <c r="F1417" t="str">
        <f t="shared" si="22"/>
        <v>BURITICÁ</v>
      </c>
    </row>
    <row r="1418" spans="5:6" x14ac:dyDescent="0.25">
      <c r="E1418" s="8" t="s">
        <v>2205</v>
      </c>
      <c r="F1418" t="str">
        <f t="shared" si="22"/>
        <v>CÁCERES</v>
      </c>
    </row>
    <row r="1419" spans="5:6" x14ac:dyDescent="0.25">
      <c r="E1419" s="8" t="s">
        <v>2206</v>
      </c>
      <c r="F1419" t="str">
        <f t="shared" si="22"/>
        <v>CACHIRA</v>
      </c>
    </row>
    <row r="1420" spans="5:6" x14ac:dyDescent="0.25">
      <c r="E1420" s="8" t="s">
        <v>2207</v>
      </c>
      <c r="F1420" t="str">
        <f t="shared" si="22"/>
        <v>CÁCOTA</v>
      </c>
    </row>
    <row r="1421" spans="5:6" x14ac:dyDescent="0.25">
      <c r="E1421" s="8" t="s">
        <v>2208</v>
      </c>
      <c r="F1421" t="str">
        <f t="shared" si="22"/>
        <v>CAJIBÍO</v>
      </c>
    </row>
    <row r="1422" spans="5:6" x14ac:dyDescent="0.25">
      <c r="E1422" s="8" t="s">
        <v>2209</v>
      </c>
      <c r="F1422" t="str">
        <f t="shared" si="22"/>
        <v>CAJICÁ</v>
      </c>
    </row>
    <row r="1423" spans="5:6" x14ac:dyDescent="0.25">
      <c r="E1423" s="8" t="s">
        <v>2210</v>
      </c>
      <c r="F1423" t="str">
        <f t="shared" si="22"/>
        <v>CALARCÁ</v>
      </c>
    </row>
    <row r="1424" spans="5:6" x14ac:dyDescent="0.25">
      <c r="E1424" s="8" t="s">
        <v>2428</v>
      </c>
      <c r="F1424" t="str">
        <f t="shared" si="22"/>
        <v>CALIMA (DARIEN)</v>
      </c>
    </row>
    <row r="1425" spans="5:6" x14ac:dyDescent="0.25">
      <c r="E1425" s="8" t="s">
        <v>2521</v>
      </c>
      <c r="F1425" t="str">
        <f t="shared" si="22"/>
        <v>EL CARMEN DE VIBORALRAL</v>
      </c>
    </row>
    <row r="1426" spans="5:6" x14ac:dyDescent="0.25">
      <c r="E1426" s="8" t="s">
        <v>2457</v>
      </c>
      <c r="F1426" t="str">
        <f t="shared" si="22"/>
        <v>CASABLANCA</v>
      </c>
    </row>
    <row r="1427" spans="5:6" x14ac:dyDescent="0.25">
      <c r="E1427" s="8" t="s">
        <v>2502</v>
      </c>
      <c r="F1427" t="str">
        <f t="shared" si="22"/>
        <v>CHALAN</v>
      </c>
    </row>
    <row r="1428" spans="5:6" x14ac:dyDescent="0.25">
      <c r="E1428" s="8" t="s">
        <v>2458</v>
      </c>
      <c r="F1428" t="str">
        <f t="shared" si="22"/>
        <v>CHAMEZA</v>
      </c>
    </row>
    <row r="1429" spans="5:6" x14ac:dyDescent="0.25">
      <c r="E1429" s="8" t="s">
        <v>2429</v>
      </c>
      <c r="F1429" t="str">
        <f t="shared" si="22"/>
        <v>CHIGORODO</v>
      </c>
    </row>
    <row r="1430" spans="5:6" x14ac:dyDescent="0.25">
      <c r="E1430" s="8" t="s">
        <v>2503</v>
      </c>
      <c r="F1430" t="str">
        <f t="shared" si="22"/>
        <v>CHIQUIZA</v>
      </c>
    </row>
    <row r="1431" spans="5:6" x14ac:dyDescent="0.25">
      <c r="E1431" s="8" t="s">
        <v>2504</v>
      </c>
      <c r="F1431" t="str">
        <f t="shared" si="22"/>
        <v>CHIVATA</v>
      </c>
    </row>
    <row r="1432" spans="5:6" x14ac:dyDescent="0.25">
      <c r="E1432" s="8" t="s">
        <v>2231</v>
      </c>
      <c r="F1432" t="str">
        <f t="shared" si="22"/>
        <v>CHOACHI</v>
      </c>
    </row>
    <row r="1433" spans="5:6" x14ac:dyDescent="0.25">
      <c r="E1433" s="8" t="s">
        <v>2430</v>
      </c>
      <c r="F1433" t="str">
        <f t="shared" si="22"/>
        <v>COMBITA</v>
      </c>
    </row>
    <row r="1434" spans="5:6" x14ac:dyDescent="0.25">
      <c r="E1434" s="8" t="s">
        <v>2431</v>
      </c>
      <c r="F1434" t="str">
        <f t="shared" si="22"/>
        <v>CONTRATACION</v>
      </c>
    </row>
    <row r="1435" spans="5:6" x14ac:dyDescent="0.25">
      <c r="E1435" s="8" t="s">
        <v>2240</v>
      </c>
      <c r="F1435" t="str">
        <f t="shared" si="22"/>
        <v>CURABA</v>
      </c>
    </row>
    <row r="1436" spans="5:6" x14ac:dyDescent="0.25">
      <c r="E1436" s="8" t="s">
        <v>2241</v>
      </c>
      <c r="F1436" t="str">
        <f t="shared" si="22"/>
        <v>SAN LUIS DE CUBARRAL</v>
      </c>
    </row>
    <row r="1437" spans="5:6" x14ac:dyDescent="0.25">
      <c r="E1437" s="8" t="s">
        <v>2242</v>
      </c>
      <c r="F1437" t="str">
        <f t="shared" si="22"/>
        <v>CUCUNUBÁ</v>
      </c>
    </row>
    <row r="1438" spans="5:6" x14ac:dyDescent="0.25">
      <c r="E1438" s="8" t="s">
        <v>2243</v>
      </c>
      <c r="F1438" t="str">
        <f t="shared" si="22"/>
        <v>CÚCUTA</v>
      </c>
    </row>
    <row r="1439" spans="5:6" x14ac:dyDescent="0.25">
      <c r="E1439" s="8" t="s">
        <v>2244</v>
      </c>
      <c r="F1439" t="str">
        <f t="shared" si="22"/>
        <v>CUITIVA</v>
      </c>
    </row>
    <row r="1440" spans="5:6" x14ac:dyDescent="0.25">
      <c r="E1440" s="8" t="s">
        <v>2245</v>
      </c>
      <c r="F1440" t="str">
        <f t="shared" si="22"/>
        <v>CURITÍ</v>
      </c>
    </row>
    <row r="1441" spans="5:6" x14ac:dyDescent="0.25">
      <c r="E1441" s="8" t="s">
        <v>2246</v>
      </c>
      <c r="F1441" t="str">
        <f t="shared" si="22"/>
        <v>CURUMANÍ</v>
      </c>
    </row>
    <row r="1442" spans="5:6" x14ac:dyDescent="0.25">
      <c r="E1442" s="8" t="s">
        <v>2247</v>
      </c>
      <c r="F1442" t="str">
        <f t="shared" si="22"/>
        <v>DISTRACCIÓN</v>
      </c>
    </row>
    <row r="1443" spans="5:6" x14ac:dyDescent="0.25">
      <c r="E1443" s="8" t="s">
        <v>2248</v>
      </c>
      <c r="F1443" t="str">
        <f t="shared" si="22"/>
        <v>DONMATÍAS</v>
      </c>
    </row>
    <row r="1444" spans="5:6" x14ac:dyDescent="0.25">
      <c r="E1444" s="8" t="s">
        <v>2249</v>
      </c>
      <c r="F1444" t="str">
        <f t="shared" si="22"/>
        <v>DOSQUEBRADAS</v>
      </c>
    </row>
    <row r="1445" spans="5:6" x14ac:dyDescent="0.25">
      <c r="E1445" s="8" t="s">
        <v>2250</v>
      </c>
      <c r="F1445" t="str">
        <f t="shared" si="22"/>
        <v>EBÉJICO</v>
      </c>
    </row>
    <row r="1446" spans="5:6" x14ac:dyDescent="0.25">
      <c r="E1446" s="8" t="s">
        <v>2432</v>
      </c>
      <c r="F1446" t="str">
        <f t="shared" si="22"/>
        <v>EL CARMEN DE BOLIVAR</v>
      </c>
    </row>
    <row r="1447" spans="5:6" x14ac:dyDescent="0.25">
      <c r="E1447" s="8" t="s">
        <v>2252</v>
      </c>
      <c r="F1447" t="str">
        <f t="shared" si="22"/>
        <v>EL PAUJIL</v>
      </c>
    </row>
    <row r="1448" spans="5:6" x14ac:dyDescent="0.25">
      <c r="E1448" s="8" t="s">
        <v>2253</v>
      </c>
      <c r="F1448" t="str">
        <f t="shared" si="22"/>
        <v>EL PEÑÓN</v>
      </c>
    </row>
    <row r="1449" spans="5:6" x14ac:dyDescent="0.25">
      <c r="E1449" s="8" t="s">
        <v>2254</v>
      </c>
      <c r="F1449" t="str">
        <f t="shared" si="22"/>
        <v>EL PLAYÓN</v>
      </c>
    </row>
    <row r="1450" spans="5:6" x14ac:dyDescent="0.25">
      <c r="E1450" s="8" t="s">
        <v>2255</v>
      </c>
      <c r="F1450" t="str">
        <f t="shared" si="22"/>
        <v>ELÍAS</v>
      </c>
    </row>
    <row r="1451" spans="5:6" x14ac:dyDescent="0.25">
      <c r="E1451" s="8" t="s">
        <v>2256</v>
      </c>
      <c r="F1451" t="str">
        <f t="shared" si="22"/>
        <v>ENTRERRÍOS</v>
      </c>
    </row>
    <row r="1452" spans="5:6" x14ac:dyDescent="0.25">
      <c r="E1452" s="8" t="s">
        <v>2257</v>
      </c>
      <c r="F1452" t="str">
        <f t="shared" si="22"/>
        <v>FACATATIVÁ</v>
      </c>
    </row>
    <row r="1453" spans="5:6" x14ac:dyDescent="0.25">
      <c r="E1453" s="8" t="s">
        <v>2258</v>
      </c>
      <c r="F1453" t="str">
        <f t="shared" si="22"/>
        <v>FLORIÁN</v>
      </c>
    </row>
    <row r="1454" spans="5:6" x14ac:dyDescent="0.25">
      <c r="E1454" s="8" t="s">
        <v>2433</v>
      </c>
      <c r="F1454" t="str">
        <f t="shared" si="22"/>
        <v>FOMEQUE</v>
      </c>
    </row>
    <row r="1455" spans="5:6" x14ac:dyDescent="0.25">
      <c r="E1455" s="8" t="s">
        <v>2259</v>
      </c>
      <c r="F1455" t="str">
        <f t="shared" si="22"/>
        <v>FUNDACIÓN</v>
      </c>
    </row>
    <row r="1456" spans="5:6" x14ac:dyDescent="0.25">
      <c r="E1456" s="8" t="s">
        <v>2434</v>
      </c>
      <c r="F1456" t="str">
        <f t="shared" si="22"/>
        <v>FUQUENE</v>
      </c>
    </row>
    <row r="1457" spans="5:6" x14ac:dyDescent="0.25">
      <c r="E1457" s="8" t="s">
        <v>2260</v>
      </c>
      <c r="F1457" t="str">
        <f t="shared" si="22"/>
        <v>FUSAGASUGÁ</v>
      </c>
    </row>
    <row r="1458" spans="5:6" x14ac:dyDescent="0.25">
      <c r="E1458" s="8" t="s">
        <v>2463</v>
      </c>
      <c r="F1458" t="str">
        <f t="shared" si="22"/>
        <v>GACHALA</v>
      </c>
    </row>
    <row r="1459" spans="5:6" x14ac:dyDescent="0.25">
      <c r="E1459" s="8" t="s">
        <v>2261</v>
      </c>
      <c r="F1459" t="str">
        <f t="shared" si="22"/>
        <v>GACHANCIPÁ</v>
      </c>
    </row>
    <row r="1460" spans="5:6" x14ac:dyDescent="0.25">
      <c r="E1460" s="8" t="s">
        <v>2435</v>
      </c>
      <c r="F1460" t="str">
        <f t="shared" si="22"/>
        <v>GACHETA</v>
      </c>
    </row>
    <row r="1461" spans="5:6" x14ac:dyDescent="0.25">
      <c r="E1461" s="8" t="s">
        <v>2436</v>
      </c>
      <c r="F1461" t="str">
        <f t="shared" si="22"/>
        <v>GAMBITA</v>
      </c>
    </row>
    <row r="1462" spans="5:6" x14ac:dyDescent="0.25">
      <c r="E1462" s="8" t="s">
        <v>2262</v>
      </c>
      <c r="F1462" t="str">
        <f t="shared" si="22"/>
        <v>GACHANTIVÁ</v>
      </c>
    </row>
    <row r="1463" spans="5:6" x14ac:dyDescent="0.25">
      <c r="E1463" s="8" t="s">
        <v>2263</v>
      </c>
      <c r="F1463" t="str">
        <f t="shared" si="22"/>
        <v>GALÁN</v>
      </c>
    </row>
    <row r="1464" spans="5:6" x14ac:dyDescent="0.25">
      <c r="E1464" s="8" t="s">
        <v>2264</v>
      </c>
      <c r="F1464" t="str">
        <f t="shared" si="22"/>
        <v>GÁLAGO</v>
      </c>
    </row>
    <row r="1465" spans="5:6" x14ac:dyDescent="0.25">
      <c r="E1465" s="8" t="s">
        <v>2265</v>
      </c>
      <c r="F1465" t="str">
        <f t="shared" si="22"/>
        <v>GARZÓN</v>
      </c>
    </row>
    <row r="1466" spans="5:6" x14ac:dyDescent="0.25">
      <c r="E1466" s="8" t="s">
        <v>2266</v>
      </c>
      <c r="F1466" t="str">
        <f t="shared" si="22"/>
        <v>GÉNOVA</v>
      </c>
    </row>
    <row r="1467" spans="5:6" x14ac:dyDescent="0.25">
      <c r="E1467" s="8" t="s">
        <v>2267</v>
      </c>
      <c r="F1467" t="str">
        <f t="shared" si="22"/>
        <v>GIRÓN</v>
      </c>
    </row>
    <row r="1468" spans="5:6" x14ac:dyDescent="0.25">
      <c r="E1468" s="8" t="s">
        <v>2268</v>
      </c>
      <c r="F1468" t="str">
        <f t="shared" si="22"/>
        <v>GÓMEZ PLATA</v>
      </c>
    </row>
    <row r="1469" spans="5:6" x14ac:dyDescent="0.25">
      <c r="E1469" s="8" t="s">
        <v>2269</v>
      </c>
      <c r="F1469" t="str">
        <f t="shared" si="22"/>
        <v>GRANADA</v>
      </c>
    </row>
    <row r="1470" spans="5:6" x14ac:dyDescent="0.25">
      <c r="E1470" s="8" t="s">
        <v>2270</v>
      </c>
      <c r="F1470" t="str">
        <f t="shared" si="22"/>
        <v>GRANADA</v>
      </c>
    </row>
    <row r="1471" spans="5:6" x14ac:dyDescent="0.25">
      <c r="E1471" s="8" t="s">
        <v>2271</v>
      </c>
      <c r="F1471" t="str">
        <f t="shared" si="22"/>
        <v>GRANADA</v>
      </c>
    </row>
    <row r="1472" spans="5:6" x14ac:dyDescent="0.25">
      <c r="E1472" s="8" t="s">
        <v>2272</v>
      </c>
      <c r="F1472" t="str">
        <f t="shared" si="22"/>
        <v>GUACARÍ</v>
      </c>
    </row>
    <row r="1473" spans="5:6" x14ac:dyDescent="0.25">
      <c r="E1473" s="8" t="s">
        <v>2437</v>
      </c>
      <c r="F1473" t="str">
        <f t="shared" si="22"/>
        <v>GUACHETA</v>
      </c>
    </row>
    <row r="1474" spans="5:6" x14ac:dyDescent="0.25">
      <c r="E1474" s="8" t="s">
        <v>2273</v>
      </c>
      <c r="F1474" t="str">
        <f t="shared" si="22"/>
        <v>GUAPÍ</v>
      </c>
    </row>
    <row r="1475" spans="5:6" x14ac:dyDescent="0.25">
      <c r="E1475" s="8" t="s">
        <v>2274</v>
      </c>
      <c r="F1475" t="str">
        <f t="shared" ref="F1475:F1538" si="23">_xlfn.XLOOKUP(E1475, $A:$A, $B:$B, E1475)</f>
        <v>GUATAPÉ</v>
      </c>
    </row>
    <row r="1476" spans="5:6" x14ac:dyDescent="0.25">
      <c r="E1476" s="8" t="s">
        <v>2438</v>
      </c>
      <c r="F1476" t="str">
        <f t="shared" si="23"/>
        <v>GUATAQUI</v>
      </c>
    </row>
    <row r="1477" spans="5:6" x14ac:dyDescent="0.25">
      <c r="E1477" s="8" t="s">
        <v>2275</v>
      </c>
      <c r="F1477" t="str">
        <f t="shared" si="23"/>
        <v>GUÁTICA</v>
      </c>
    </row>
    <row r="1478" spans="5:6" x14ac:dyDescent="0.25">
      <c r="E1478" s="8" t="s">
        <v>2276</v>
      </c>
      <c r="F1478" t="str">
        <f t="shared" si="23"/>
        <v>GUAYATÁ</v>
      </c>
    </row>
    <row r="1479" spans="5:6" x14ac:dyDescent="0.25">
      <c r="E1479" s="8" t="s">
        <v>2277</v>
      </c>
      <c r="F1479" t="str">
        <f t="shared" si="23"/>
        <v>GÜEPSA</v>
      </c>
    </row>
    <row r="1480" spans="5:6" x14ac:dyDescent="0.25">
      <c r="E1480" s="8" t="s">
        <v>2278</v>
      </c>
      <c r="F1480" t="str">
        <f t="shared" si="23"/>
        <v>GÜICÁN DE LA SIERRA</v>
      </c>
    </row>
    <row r="1481" spans="5:6" x14ac:dyDescent="0.25">
      <c r="E1481" s="8" t="s">
        <v>2279</v>
      </c>
      <c r="F1481" t="str">
        <f t="shared" si="23"/>
        <v>IBAGUÉ</v>
      </c>
    </row>
    <row r="1482" spans="5:6" x14ac:dyDescent="0.25">
      <c r="E1482" s="8" t="s">
        <v>2280</v>
      </c>
      <c r="F1482" t="str">
        <f t="shared" si="23"/>
        <v>ICUIRA</v>
      </c>
    </row>
    <row r="1483" spans="5:6" x14ac:dyDescent="0.25">
      <c r="E1483" s="8" t="s">
        <v>2281</v>
      </c>
      <c r="F1483" t="str">
        <f t="shared" si="23"/>
        <v>INZÁ</v>
      </c>
    </row>
    <row r="1484" spans="5:6" x14ac:dyDescent="0.25">
      <c r="E1484" s="8" t="s">
        <v>2282</v>
      </c>
      <c r="F1484" t="str">
        <f t="shared" si="23"/>
        <v>ITAGÜÍ</v>
      </c>
    </row>
    <row r="1485" spans="5:6" x14ac:dyDescent="0.25">
      <c r="E1485" s="8" t="s">
        <v>2283</v>
      </c>
      <c r="F1485" t="str">
        <f t="shared" si="23"/>
        <v>JAMUNDÍ</v>
      </c>
    </row>
    <row r="1486" spans="5:6" x14ac:dyDescent="0.25">
      <c r="E1486" s="8" t="s">
        <v>2284</v>
      </c>
      <c r="F1486" t="str">
        <f t="shared" si="23"/>
        <v>JARDÍN</v>
      </c>
    </row>
    <row r="1487" spans="5:6" x14ac:dyDescent="0.25">
      <c r="E1487" s="8" t="s">
        <v>2285</v>
      </c>
      <c r="F1487" t="str">
        <f t="shared" si="23"/>
        <v>JERICÓ</v>
      </c>
    </row>
    <row r="1488" spans="5:6" x14ac:dyDescent="0.25">
      <c r="E1488" s="8" t="s">
        <v>2439</v>
      </c>
      <c r="F1488" t="str">
        <f t="shared" si="23"/>
        <v>JUNIN</v>
      </c>
    </row>
    <row r="1489" spans="5:6" x14ac:dyDescent="0.25">
      <c r="E1489" s="8" t="s">
        <v>2286</v>
      </c>
      <c r="F1489" t="str">
        <f t="shared" si="23"/>
        <v>JURADÓ</v>
      </c>
    </row>
    <row r="1490" spans="5:6" x14ac:dyDescent="0.25">
      <c r="E1490" s="8" t="s">
        <v>2287</v>
      </c>
      <c r="F1490" t="str">
        <f t="shared" si="23"/>
        <v>LA CHORRERA</v>
      </c>
    </row>
    <row r="1491" spans="5:6" x14ac:dyDescent="0.25">
      <c r="E1491" s="8" t="s">
        <v>2505</v>
      </c>
      <c r="F1491" t="str">
        <f t="shared" si="23"/>
        <v>LA MAONTANITA</v>
      </c>
    </row>
    <row r="1492" spans="5:6" x14ac:dyDescent="0.25">
      <c r="E1492" s="8" t="s">
        <v>2289</v>
      </c>
      <c r="F1492" t="str">
        <f t="shared" si="23"/>
        <v>LA UNIÓN</v>
      </c>
    </row>
    <row r="1493" spans="5:6" x14ac:dyDescent="0.25">
      <c r="E1493" s="8" t="s">
        <v>2290</v>
      </c>
      <c r="F1493" t="str">
        <f t="shared" si="23"/>
        <v>LA URIBE</v>
      </c>
    </row>
    <row r="1494" spans="5:6" x14ac:dyDescent="0.25">
      <c r="E1494" s="8" t="s">
        <v>2440</v>
      </c>
      <c r="F1494" t="str">
        <f t="shared" si="23"/>
        <v>LANDAZURI</v>
      </c>
    </row>
    <row r="1495" spans="5:6" x14ac:dyDescent="0.25">
      <c r="E1495" s="8" t="s">
        <v>2291</v>
      </c>
      <c r="F1495" t="str">
        <f t="shared" si="23"/>
        <v>LABRIJA</v>
      </c>
    </row>
    <row r="1496" spans="5:6" x14ac:dyDescent="0.25">
      <c r="E1496" s="8" t="s">
        <v>2441</v>
      </c>
      <c r="F1496" t="str">
        <f t="shared" si="23"/>
        <v>LEJANIAS</v>
      </c>
    </row>
    <row r="1497" spans="5:6" x14ac:dyDescent="0.25">
      <c r="E1497" s="8" t="s">
        <v>2292</v>
      </c>
      <c r="F1497" t="str">
        <f t="shared" si="23"/>
        <v>LÉRIDA</v>
      </c>
    </row>
    <row r="1498" spans="5:6" x14ac:dyDescent="0.25">
      <c r="E1498" s="8" t="s">
        <v>2293</v>
      </c>
      <c r="F1498" t="str">
        <f t="shared" si="23"/>
        <v>LÍBANO</v>
      </c>
    </row>
    <row r="1499" spans="5:6" x14ac:dyDescent="0.25">
      <c r="E1499" s="8" t="s">
        <v>2442</v>
      </c>
      <c r="F1499" t="str">
        <f t="shared" si="23"/>
        <v>LLORO</v>
      </c>
    </row>
    <row r="1500" spans="5:6" x14ac:dyDescent="0.25">
      <c r="E1500" s="8" t="s">
        <v>2443</v>
      </c>
      <c r="F1500" t="str">
        <f t="shared" si="23"/>
        <v>LOS ANDES (SOTO MA</v>
      </c>
    </row>
    <row r="1501" spans="5:6" x14ac:dyDescent="0.25">
      <c r="E1501" s="8" t="s">
        <v>2294</v>
      </c>
      <c r="F1501" t="str">
        <f t="shared" si="23"/>
        <v>MACHETÁ</v>
      </c>
    </row>
    <row r="1502" spans="5:6" x14ac:dyDescent="0.25">
      <c r="E1502" s="8" t="s">
        <v>2295</v>
      </c>
      <c r="F1502" t="str">
        <f t="shared" si="23"/>
        <v>MAGANGUÉ</v>
      </c>
    </row>
    <row r="1503" spans="5:6" x14ac:dyDescent="0.25">
      <c r="E1503" s="8" t="s">
        <v>2296</v>
      </c>
      <c r="F1503" t="str">
        <f t="shared" si="23"/>
        <v>MÁLAGA</v>
      </c>
    </row>
    <row r="1504" spans="5:6" x14ac:dyDescent="0.25">
      <c r="E1504" s="8" t="s">
        <v>2297</v>
      </c>
      <c r="F1504" t="str">
        <f t="shared" si="23"/>
        <v>MANAURE BALCÓN DEL CESAR</v>
      </c>
    </row>
    <row r="1505" spans="5:6" x14ac:dyDescent="0.25">
      <c r="E1505" s="8" t="s">
        <v>2298</v>
      </c>
      <c r="F1505" t="str">
        <f t="shared" si="23"/>
        <v>MANÍ</v>
      </c>
    </row>
    <row r="1506" spans="5:6" x14ac:dyDescent="0.25">
      <c r="E1506" s="8" t="s">
        <v>2299</v>
      </c>
      <c r="F1506" t="str">
        <f t="shared" si="23"/>
        <v>MAPIRIPÁN</v>
      </c>
    </row>
    <row r="1507" spans="5:6" x14ac:dyDescent="0.25">
      <c r="E1507" s="8" t="s">
        <v>2506</v>
      </c>
      <c r="F1507" t="str">
        <f t="shared" si="23"/>
        <v>MARIPI</v>
      </c>
    </row>
    <row r="1508" spans="5:6" x14ac:dyDescent="0.25">
      <c r="E1508" s="8" t="s">
        <v>2300</v>
      </c>
      <c r="F1508" t="str">
        <f t="shared" si="23"/>
        <v>MARIQUITA</v>
      </c>
    </row>
    <row r="1509" spans="5:6" x14ac:dyDescent="0.25">
      <c r="E1509" s="8" t="s">
        <v>2301</v>
      </c>
      <c r="F1509" t="str">
        <f t="shared" si="23"/>
        <v>MEDELLÍN</v>
      </c>
    </row>
    <row r="1510" spans="5:6" x14ac:dyDescent="0.25">
      <c r="E1510" s="8" t="s">
        <v>2444</v>
      </c>
      <c r="F1510" t="str">
        <f t="shared" si="23"/>
        <v>MEDIO BAUDO</v>
      </c>
    </row>
    <row r="1511" spans="5:6" x14ac:dyDescent="0.25">
      <c r="E1511" s="8" t="s">
        <v>2302</v>
      </c>
      <c r="F1511" t="str">
        <f t="shared" si="23"/>
        <v>MISTRATÓ</v>
      </c>
    </row>
    <row r="1512" spans="5:6" x14ac:dyDescent="0.25">
      <c r="E1512" s="8" t="s">
        <v>2303</v>
      </c>
      <c r="F1512" t="str">
        <f t="shared" si="23"/>
        <v>MITÚ</v>
      </c>
    </row>
    <row r="1513" spans="5:6" x14ac:dyDescent="0.25">
      <c r="E1513" s="8" t="s">
        <v>2304</v>
      </c>
      <c r="F1513" t="str">
        <f t="shared" si="23"/>
        <v>MOMPÓS</v>
      </c>
    </row>
    <row r="1514" spans="5:6" x14ac:dyDescent="0.25">
      <c r="E1514" s="8" t="s">
        <v>2469</v>
      </c>
      <c r="F1514" t="str">
        <f t="shared" si="23"/>
        <v>MONGUI</v>
      </c>
    </row>
    <row r="1515" spans="5:6" x14ac:dyDescent="0.25">
      <c r="E1515" s="8" t="s">
        <v>2305</v>
      </c>
      <c r="F1515" t="str">
        <f t="shared" si="23"/>
        <v>MONIQUIRÁ</v>
      </c>
    </row>
    <row r="1516" spans="5:6" x14ac:dyDescent="0.25">
      <c r="E1516" s="8" t="s">
        <v>2306</v>
      </c>
      <c r="F1516" t="str">
        <f t="shared" si="23"/>
        <v>MOÑITOS</v>
      </c>
    </row>
    <row r="1517" spans="5:6" x14ac:dyDescent="0.25">
      <c r="E1517" s="8" t="s">
        <v>2307</v>
      </c>
      <c r="F1517" t="str">
        <f t="shared" si="23"/>
        <v>MONTELÍBANO</v>
      </c>
    </row>
    <row r="1518" spans="5:6" x14ac:dyDescent="0.25">
      <c r="E1518" s="8" t="s">
        <v>2308</v>
      </c>
      <c r="F1518" t="str">
        <f t="shared" si="23"/>
        <v>MONTERÍA</v>
      </c>
    </row>
    <row r="1519" spans="5:6" x14ac:dyDescent="0.25">
      <c r="E1519" s="8" t="s">
        <v>2309</v>
      </c>
      <c r="F1519" t="str">
        <f t="shared" si="23"/>
        <v>MUTATÁ</v>
      </c>
    </row>
    <row r="1520" spans="5:6" x14ac:dyDescent="0.25">
      <c r="E1520" s="8" t="s">
        <v>2445</v>
      </c>
      <c r="F1520" t="str">
        <f t="shared" si="23"/>
        <v>NATAGA</v>
      </c>
    </row>
    <row r="1521" spans="5:6" x14ac:dyDescent="0.25">
      <c r="E1521" s="8" t="s">
        <v>2310</v>
      </c>
      <c r="F1521" t="str">
        <f t="shared" si="23"/>
        <v>NECOCLÍ</v>
      </c>
    </row>
    <row r="1522" spans="5:6" x14ac:dyDescent="0.25">
      <c r="E1522" s="8" t="s">
        <v>2311</v>
      </c>
      <c r="F1522" t="str">
        <f t="shared" si="23"/>
        <v>NEMOCÓN</v>
      </c>
    </row>
    <row r="1523" spans="5:6" x14ac:dyDescent="0.25">
      <c r="E1523" s="8" t="s">
        <v>2313</v>
      </c>
      <c r="F1523" t="str">
        <f t="shared" si="23"/>
        <v>NUQUÍ</v>
      </c>
    </row>
    <row r="1524" spans="5:6" x14ac:dyDescent="0.25">
      <c r="E1524" s="8" t="s">
        <v>2470</v>
      </c>
      <c r="F1524" t="str">
        <f t="shared" si="23"/>
        <v>OICATA</v>
      </c>
    </row>
    <row r="1525" spans="5:6" x14ac:dyDescent="0.25">
      <c r="E1525" s="8" t="s">
        <v>2314</v>
      </c>
      <c r="F1525" t="str">
        <f t="shared" si="23"/>
        <v>OROCUE</v>
      </c>
    </row>
    <row r="1526" spans="5:6" x14ac:dyDescent="0.25">
      <c r="E1526" s="8" t="s">
        <v>2315</v>
      </c>
      <c r="F1526" t="str">
        <f t="shared" si="23"/>
        <v>PÁCORA</v>
      </c>
    </row>
    <row r="1527" spans="5:6" x14ac:dyDescent="0.25">
      <c r="E1527" t="s">
        <v>2446</v>
      </c>
      <c r="F1527" t="str">
        <f t="shared" si="23"/>
        <v>PATÍA</v>
      </c>
    </row>
    <row r="1528" spans="5:6" x14ac:dyDescent="0.25">
      <c r="E1528" t="s">
        <v>2317</v>
      </c>
      <c r="F1528" t="str">
        <f t="shared" si="23"/>
        <v>PAZ DE RÍO</v>
      </c>
    </row>
    <row r="1529" spans="5:6" x14ac:dyDescent="0.25">
      <c r="E1529" t="s">
        <v>2318</v>
      </c>
      <c r="F1529" t="str">
        <f t="shared" si="23"/>
        <v>PIENDAMÓ</v>
      </c>
    </row>
    <row r="1530" spans="5:6" x14ac:dyDescent="0.25">
      <c r="E1530" t="s">
        <v>2319</v>
      </c>
      <c r="F1530" t="str">
        <f t="shared" si="23"/>
        <v>PIOJO</v>
      </c>
    </row>
    <row r="1531" spans="5:6" x14ac:dyDescent="0.25">
      <c r="E1531" t="s">
        <v>2320</v>
      </c>
      <c r="F1531" t="str">
        <f t="shared" si="23"/>
        <v>POPAYÁN</v>
      </c>
    </row>
    <row r="1532" spans="5:6" x14ac:dyDescent="0.25">
      <c r="E1532" t="s">
        <v>2321</v>
      </c>
      <c r="F1532" t="str">
        <f t="shared" si="23"/>
        <v>PTO NAREL(LAMAG</v>
      </c>
    </row>
    <row r="1533" spans="5:6" x14ac:dyDescent="0.25">
      <c r="E1533" t="s">
        <v>2322</v>
      </c>
      <c r="F1533" t="str">
        <f t="shared" si="23"/>
        <v>PUERTO ASÍS</v>
      </c>
    </row>
    <row r="1534" spans="5:6" x14ac:dyDescent="0.25">
      <c r="E1534" t="s">
        <v>2323</v>
      </c>
      <c r="F1534" t="str">
        <f t="shared" si="23"/>
        <v>PUERTO BERRÍO</v>
      </c>
    </row>
    <row r="1535" spans="5:6" x14ac:dyDescent="0.25">
      <c r="E1535" t="s">
        <v>2324</v>
      </c>
      <c r="F1535" t="str">
        <f t="shared" si="23"/>
        <v>PUERTO BOYACA</v>
      </c>
    </row>
    <row r="1536" spans="5:6" x14ac:dyDescent="0.25">
      <c r="E1536" t="s">
        <v>2325</v>
      </c>
      <c r="F1536" t="str">
        <f t="shared" si="23"/>
        <v>PUERTO CONCORDIA</v>
      </c>
    </row>
    <row r="1537" spans="5:6" x14ac:dyDescent="0.25">
      <c r="E1537" t="s">
        <v>2326</v>
      </c>
      <c r="F1537" t="str">
        <f t="shared" si="23"/>
        <v>PUERTO GAITÁN</v>
      </c>
    </row>
    <row r="1538" spans="5:6" x14ac:dyDescent="0.25">
      <c r="E1538" t="s">
        <v>2327</v>
      </c>
      <c r="F1538" t="str">
        <f t="shared" si="23"/>
        <v>INÍRIDA</v>
      </c>
    </row>
    <row r="1539" spans="5:6" x14ac:dyDescent="0.2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25">
      <c r="E1540" t="s">
        <v>2329</v>
      </c>
      <c r="F1540" t="str">
        <f t="shared" si="24"/>
        <v>PUERTO LIBERTADOR</v>
      </c>
    </row>
    <row r="1541" spans="5:6" x14ac:dyDescent="0.25">
      <c r="E1541" t="s">
        <v>2330</v>
      </c>
      <c r="F1541" t="str">
        <f t="shared" si="24"/>
        <v>PUERTO LÓPEZ</v>
      </c>
    </row>
    <row r="1542" spans="5:6" x14ac:dyDescent="0.25">
      <c r="E1542" t="s">
        <v>2331</v>
      </c>
      <c r="F1542" t="str">
        <f t="shared" si="24"/>
        <v>PURACÉ</v>
      </c>
    </row>
    <row r="1543" spans="5:6" x14ac:dyDescent="0.25">
      <c r="E1543" t="s">
        <v>2332</v>
      </c>
      <c r="F1543" t="str">
        <f t="shared" si="24"/>
        <v>PURIFICACIÓN</v>
      </c>
    </row>
    <row r="1544" spans="5:6" x14ac:dyDescent="0.25">
      <c r="E1544" t="s">
        <v>2333</v>
      </c>
      <c r="F1544" t="str">
        <f t="shared" si="24"/>
        <v>QUIBDÓ</v>
      </c>
    </row>
    <row r="1545" spans="5:6" x14ac:dyDescent="0.25">
      <c r="E1545" t="s">
        <v>2335</v>
      </c>
      <c r="F1545" t="str">
        <f t="shared" si="24"/>
        <v>QUÍPAMA</v>
      </c>
    </row>
    <row r="1546" spans="5:6" x14ac:dyDescent="0.25">
      <c r="E1546" t="s">
        <v>2447</v>
      </c>
      <c r="F1546" t="str">
        <f t="shared" si="24"/>
        <v>RAFAEL REYES</v>
      </c>
    </row>
    <row r="1547" spans="5:6" x14ac:dyDescent="0.25">
      <c r="E1547" t="s">
        <v>2336</v>
      </c>
      <c r="F1547" t="str">
        <f t="shared" si="24"/>
        <v>RAMIRIQUÍ</v>
      </c>
    </row>
    <row r="1548" spans="5:6" x14ac:dyDescent="0.25">
      <c r="E1548" t="s">
        <v>2337</v>
      </c>
      <c r="F1548" t="str">
        <f t="shared" si="24"/>
        <v>RÁQUIRA</v>
      </c>
    </row>
    <row r="1549" spans="5:6" x14ac:dyDescent="0.25">
      <c r="E1549" t="s">
        <v>2338</v>
      </c>
      <c r="F1549" t="str">
        <f t="shared" si="24"/>
        <v>RÍO DE ORO</v>
      </c>
    </row>
    <row r="1550" spans="5:6" x14ac:dyDescent="0.25">
      <c r="E1550" t="s">
        <v>2339</v>
      </c>
      <c r="F1550" t="str">
        <f t="shared" si="24"/>
        <v>RIOFRÍO</v>
      </c>
    </row>
    <row r="1551" spans="5:6" x14ac:dyDescent="0.25">
      <c r="E1551" t="s">
        <v>2340</v>
      </c>
      <c r="F1551" t="str">
        <f t="shared" si="24"/>
        <v>LA PAZ</v>
      </c>
    </row>
    <row r="1552" spans="5:6" x14ac:dyDescent="0.25">
      <c r="E1552" t="s">
        <v>2341</v>
      </c>
      <c r="F1552" t="str">
        <f t="shared" si="24"/>
        <v>ROLDANILLO</v>
      </c>
    </row>
    <row r="1553" spans="5:6" x14ac:dyDescent="0.25">
      <c r="E1553" t="s">
        <v>2448</v>
      </c>
      <c r="F1553" t="str">
        <f t="shared" si="24"/>
        <v>SABOYA</v>
      </c>
    </row>
    <row r="1554" spans="5:6" x14ac:dyDescent="0.25">
      <c r="E1554" t="s">
        <v>2342</v>
      </c>
      <c r="F1554" t="str">
        <f t="shared" si="24"/>
        <v>SACHICA</v>
      </c>
    </row>
    <row r="1555" spans="5:6" x14ac:dyDescent="0.25">
      <c r="E1555" t="s">
        <v>2343</v>
      </c>
      <c r="F1555" t="str">
        <f t="shared" si="24"/>
        <v>SAHAGÚN</v>
      </c>
    </row>
    <row r="1556" spans="5:6" x14ac:dyDescent="0.25">
      <c r="E1556" t="s">
        <v>2344</v>
      </c>
      <c r="F1556" t="str">
        <f t="shared" si="24"/>
        <v>SÁMACA</v>
      </c>
    </row>
    <row r="1557" spans="5:6" x14ac:dyDescent="0.25">
      <c r="E1557" t="s">
        <v>2345</v>
      </c>
      <c r="F1557" t="str">
        <f t="shared" si="24"/>
        <v>SAMANÁ</v>
      </c>
    </row>
    <row r="1558" spans="5:6" x14ac:dyDescent="0.25">
      <c r="E1558" t="s">
        <v>2346</v>
      </c>
      <c r="F1558" t="str">
        <f t="shared" si="24"/>
        <v>SAMPUÉS</v>
      </c>
    </row>
    <row r="1559" spans="5:6" x14ac:dyDescent="0.25">
      <c r="E1559" t="s">
        <v>2347</v>
      </c>
      <c r="F1559" t="str">
        <f t="shared" si="24"/>
        <v>SAN AGUSTÍN</v>
      </c>
    </row>
    <row r="1560" spans="5:6" x14ac:dyDescent="0.25">
      <c r="E1560" t="s">
        <v>2348</v>
      </c>
      <c r="F1560" t="str">
        <f t="shared" si="24"/>
        <v>SAN ANDRÉS</v>
      </c>
    </row>
    <row r="1561" spans="5:6" x14ac:dyDescent="0.25">
      <c r="E1561" t="s">
        <v>2349</v>
      </c>
      <c r="F1561" t="str">
        <f t="shared" si="24"/>
        <v>SAN ANDRÉS DE SOTAVENTO</v>
      </c>
    </row>
    <row r="1562" spans="5:6" x14ac:dyDescent="0.25">
      <c r="E1562" t="s">
        <v>2350</v>
      </c>
      <c r="F1562" t="str">
        <f t="shared" si="24"/>
        <v>SAN BERNARDO</v>
      </c>
    </row>
    <row r="1563" spans="5:6" x14ac:dyDescent="0.25">
      <c r="E1563" t="s">
        <v>2351</v>
      </c>
      <c r="F1563" t="str">
        <f t="shared" si="24"/>
        <v>SAN CARLOS</v>
      </c>
    </row>
    <row r="1564" spans="5:6" x14ac:dyDescent="0.25">
      <c r="E1564" t="s">
        <v>2352</v>
      </c>
      <c r="F1564" t="str">
        <f t="shared" si="24"/>
        <v>SAN JERÓNIMO</v>
      </c>
    </row>
    <row r="1565" spans="5:6" x14ac:dyDescent="0.25">
      <c r="E1565" t="s">
        <v>2449</v>
      </c>
      <c r="F1565" t="str">
        <f t="shared" si="24"/>
        <v>SAN JOSE</v>
      </c>
    </row>
    <row r="1566" spans="5:6" x14ac:dyDescent="0.25">
      <c r="E1566" t="s">
        <v>2353</v>
      </c>
      <c r="F1566" t="str">
        <f t="shared" si="24"/>
        <v>SAN JOSÉ DEL GUAVIARE</v>
      </c>
    </row>
    <row r="1567" spans="5:6" x14ac:dyDescent="0.25">
      <c r="E1567" t="s">
        <v>2354</v>
      </c>
      <c r="F1567" t="str">
        <f t="shared" si="24"/>
        <v>SAN JOSÉ DE URÉ</v>
      </c>
    </row>
    <row r="1568" spans="5:6" x14ac:dyDescent="0.25">
      <c r="E1568" t="s">
        <v>2355</v>
      </c>
      <c r="F1568" t="str">
        <f t="shared" si="24"/>
        <v>SAN JUAN DEL CESAR</v>
      </c>
    </row>
    <row r="1569" spans="5:6" x14ac:dyDescent="0.25">
      <c r="E1569" t="s">
        <v>2356</v>
      </c>
      <c r="F1569" t="str">
        <f t="shared" si="24"/>
        <v>SAN JUAN NEPOMUCENO</v>
      </c>
    </row>
    <row r="1570" spans="5:6" x14ac:dyDescent="0.25">
      <c r="E1570" t="s">
        <v>2357</v>
      </c>
      <c r="F1570" t="str">
        <f t="shared" si="24"/>
        <v>SAN LUIS DE GACENO</v>
      </c>
    </row>
    <row r="1571" spans="5:6" x14ac:dyDescent="0.25">
      <c r="E1571" t="s">
        <v>2358</v>
      </c>
      <c r="F1571" t="str">
        <f t="shared" si="24"/>
        <v>SAN LUIS DE PALENQUE</v>
      </c>
    </row>
    <row r="1572" spans="5:6" x14ac:dyDescent="0.25">
      <c r="E1572" t="s">
        <v>2359</v>
      </c>
      <c r="F1572" t="str">
        <f t="shared" si="24"/>
        <v>SAN MARTÍN</v>
      </c>
    </row>
    <row r="1573" spans="5:6" x14ac:dyDescent="0.25">
      <c r="E1573" t="s">
        <v>2450</v>
      </c>
      <c r="F1573" t="str">
        <f t="shared" si="24"/>
        <v>SAN PEDRO DE URABA</v>
      </c>
    </row>
    <row r="1574" spans="5:6" x14ac:dyDescent="0.25">
      <c r="E1574" t="s">
        <v>2361</v>
      </c>
      <c r="F1574" t="str">
        <f t="shared" si="24"/>
        <v>SAN SEBASTIÁN</v>
      </c>
    </row>
    <row r="1575" spans="5:6" x14ac:dyDescent="0.25">
      <c r="E1575" t="s">
        <v>2362</v>
      </c>
      <c r="F1575" t="str">
        <f t="shared" si="24"/>
        <v>SAN SEBASTIÁN DE BUENAVISTA</v>
      </c>
    </row>
    <row r="1576" spans="5:6" x14ac:dyDescent="0.25">
      <c r="E1576" t="s">
        <v>2363</v>
      </c>
      <c r="F1576" t="str">
        <f t="shared" si="24"/>
        <v>SAN VICENTE</v>
      </c>
    </row>
    <row r="1577" spans="5:6" x14ac:dyDescent="0.25">
      <c r="E1577" t="s">
        <v>2451</v>
      </c>
      <c r="F1577" t="str">
        <f t="shared" si="24"/>
        <v>SAN VICENTE DE CHUC</v>
      </c>
    </row>
    <row r="1578" spans="5:6" x14ac:dyDescent="0.25">
      <c r="E1578" t="s">
        <v>2452</v>
      </c>
      <c r="F1578" t="str">
        <f t="shared" si="24"/>
        <v>SAN VICENTE DEL CAG</v>
      </c>
    </row>
    <row r="1579" spans="5:6" x14ac:dyDescent="0.25">
      <c r="E1579" t="s">
        <v>2366</v>
      </c>
      <c r="F1579" t="str">
        <f t="shared" si="24"/>
        <v>SANDONÁ</v>
      </c>
    </row>
    <row r="1580" spans="5:6" x14ac:dyDescent="0.25">
      <c r="E1580" t="s">
        <v>2367</v>
      </c>
      <c r="F1580" t="str">
        <f t="shared" si="24"/>
        <v>SANTA BÁRBARA</v>
      </c>
    </row>
    <row r="1581" spans="5:6" x14ac:dyDescent="0.25">
      <c r="E1581" t="s">
        <v>2368</v>
      </c>
      <c r="F1581" t="str">
        <f t="shared" si="24"/>
        <v>SANTA MARÍA</v>
      </c>
    </row>
    <row r="1582" spans="5:6" x14ac:dyDescent="0.25">
      <c r="E1582" t="s">
        <v>2453</v>
      </c>
      <c r="F1582" t="str">
        <f t="shared" si="24"/>
        <v>SANTA ROSA DE VITER</v>
      </c>
    </row>
    <row r="1583" spans="5:6" x14ac:dyDescent="0.25">
      <c r="E1583" t="s">
        <v>2372</v>
      </c>
      <c r="F1583" t="str">
        <f t="shared" si="24"/>
        <v>SANTANDER DE QUILICHAO</v>
      </c>
    </row>
    <row r="1584" spans="5:6" x14ac:dyDescent="0.25">
      <c r="E1584" t="s">
        <v>2373</v>
      </c>
      <c r="F1584" t="str">
        <f t="shared" si="24"/>
        <v>SANTO TOMÁS</v>
      </c>
    </row>
    <row r="1585" spans="5:6" x14ac:dyDescent="0.25">
      <c r="E1585" t="s">
        <v>2374</v>
      </c>
      <c r="F1585" t="str">
        <f t="shared" si="24"/>
        <v>SESQUILÉ</v>
      </c>
    </row>
    <row r="1586" spans="5:6" x14ac:dyDescent="0.25">
      <c r="E1586" t="s">
        <v>2375</v>
      </c>
      <c r="F1586" t="str">
        <f t="shared" si="24"/>
        <v>SIBATÉ</v>
      </c>
    </row>
    <row r="1587" spans="5:6" x14ac:dyDescent="0.25">
      <c r="E1587" t="s">
        <v>2376</v>
      </c>
      <c r="F1587" t="str">
        <f t="shared" si="24"/>
        <v>SINCÉ</v>
      </c>
    </row>
    <row r="1588" spans="5:6" x14ac:dyDescent="0.25">
      <c r="E1588" t="s">
        <v>2377</v>
      </c>
      <c r="F1588" t="str">
        <f t="shared" si="24"/>
        <v>SONSÓN</v>
      </c>
    </row>
    <row r="1589" spans="5:6" x14ac:dyDescent="0.25">
      <c r="E1589" t="s">
        <v>2378</v>
      </c>
      <c r="F1589" t="str">
        <f t="shared" si="24"/>
        <v>SOPETRÁN</v>
      </c>
    </row>
    <row r="1590" spans="5:6" x14ac:dyDescent="0.25">
      <c r="E1590" t="s">
        <v>2379</v>
      </c>
      <c r="F1590" t="str">
        <f t="shared" si="24"/>
        <v>SOPÓ</v>
      </c>
    </row>
    <row r="1591" spans="5:6" x14ac:dyDescent="0.25">
      <c r="E1591" t="s">
        <v>2380</v>
      </c>
      <c r="F1591" t="str">
        <f t="shared" si="24"/>
        <v>SOTAQUIRÁ</v>
      </c>
    </row>
    <row r="1592" spans="5:6" x14ac:dyDescent="0.25">
      <c r="E1592" t="s">
        <v>2381</v>
      </c>
      <c r="F1592" t="str">
        <f t="shared" si="24"/>
        <v>SANTA ROSA DE OSOS</v>
      </c>
    </row>
    <row r="1593" spans="5:6" x14ac:dyDescent="0.25">
      <c r="E1593" t="s">
        <v>2382</v>
      </c>
      <c r="F1593" t="str">
        <f t="shared" si="24"/>
        <v>SUPÍA</v>
      </c>
    </row>
    <row r="1594" spans="5:6" x14ac:dyDescent="0.25">
      <c r="E1594" t="s">
        <v>2383</v>
      </c>
      <c r="F1594" t="str">
        <f t="shared" si="24"/>
        <v>SUTAMARCHÁN</v>
      </c>
    </row>
    <row r="1595" spans="5:6" x14ac:dyDescent="0.25">
      <c r="E1595" t="s">
        <v>2384</v>
      </c>
      <c r="F1595" t="str">
        <f t="shared" si="24"/>
        <v>TÁMARA</v>
      </c>
    </row>
    <row r="1596" spans="5:6" x14ac:dyDescent="0.25">
      <c r="E1596" t="s">
        <v>2385</v>
      </c>
      <c r="F1596" t="str">
        <f t="shared" si="24"/>
        <v>TIBANÁ</v>
      </c>
    </row>
    <row r="1597" spans="5:6" x14ac:dyDescent="0.25">
      <c r="E1597" t="s">
        <v>2386</v>
      </c>
      <c r="F1597" t="str">
        <f t="shared" si="24"/>
        <v>TIBÚ</v>
      </c>
    </row>
    <row r="1598" spans="5:6" x14ac:dyDescent="0.25">
      <c r="E1598" t="s">
        <v>2387</v>
      </c>
      <c r="F1598" t="str">
        <f t="shared" si="24"/>
        <v>TIMANÁ</v>
      </c>
    </row>
    <row r="1599" spans="5:6" x14ac:dyDescent="0.25">
      <c r="E1599" t="s">
        <v>2388</v>
      </c>
      <c r="F1599" t="str">
        <f t="shared" si="24"/>
        <v>TIMBÍO</v>
      </c>
    </row>
    <row r="1600" spans="5:6" x14ac:dyDescent="0.25">
      <c r="E1600" t="s">
        <v>2389</v>
      </c>
      <c r="F1600" t="str">
        <f t="shared" si="24"/>
        <v>TIMBIQUÍ</v>
      </c>
    </row>
    <row r="1601" spans="5:6" x14ac:dyDescent="0.25">
      <c r="E1601" t="s">
        <v>2390</v>
      </c>
      <c r="F1601" t="str">
        <f t="shared" si="24"/>
        <v>TINJACÁ</v>
      </c>
    </row>
    <row r="1602" spans="5:6" x14ac:dyDescent="0.25">
      <c r="E1602" t="s">
        <v>2391</v>
      </c>
      <c r="F1602" t="str">
        <f t="shared" si="24"/>
        <v>TITIRIBÍ</v>
      </c>
    </row>
    <row r="1603" spans="5:6" x14ac:dyDescent="0.2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25">
      <c r="E1604" t="s">
        <v>2393</v>
      </c>
      <c r="F1604" t="str">
        <f t="shared" si="25"/>
        <v>SANTIAGO DE TOLÚ</v>
      </c>
    </row>
    <row r="1605" spans="5:6" x14ac:dyDescent="0.25">
      <c r="E1605" t="s">
        <v>2394</v>
      </c>
      <c r="F1605" t="str">
        <f t="shared" si="25"/>
        <v>TOLUVIEJO</v>
      </c>
    </row>
    <row r="1606" spans="5:6" x14ac:dyDescent="0.25">
      <c r="E1606" t="s">
        <v>2395</v>
      </c>
      <c r="F1606" t="str">
        <f t="shared" si="25"/>
        <v>TOTORÓ</v>
      </c>
    </row>
    <row r="1607" spans="5:6" x14ac:dyDescent="0.25">
      <c r="E1607" t="s">
        <v>2396</v>
      </c>
      <c r="F1607" t="str">
        <f t="shared" si="25"/>
        <v>TUBARÁ</v>
      </c>
    </row>
    <row r="1608" spans="5:6" x14ac:dyDescent="0.25">
      <c r="E1608" t="s">
        <v>2397</v>
      </c>
      <c r="F1608" t="str">
        <f t="shared" si="25"/>
        <v>TULUÁ</v>
      </c>
    </row>
    <row r="1609" spans="5:6" x14ac:dyDescent="0.25">
      <c r="E1609" t="s">
        <v>2398</v>
      </c>
      <c r="F1609" t="str">
        <f t="shared" si="25"/>
        <v>TUMACO</v>
      </c>
    </row>
    <row r="1610" spans="5:6" x14ac:dyDescent="0.25">
      <c r="E1610" t="s">
        <v>2399</v>
      </c>
      <c r="F1610" t="str">
        <f t="shared" si="25"/>
        <v>TÚQUERRES</v>
      </c>
    </row>
    <row r="1611" spans="5:6" x14ac:dyDescent="0.25">
      <c r="E1611" t="s">
        <v>2400</v>
      </c>
      <c r="F1611" t="str">
        <f t="shared" si="25"/>
        <v>TURBANÁ</v>
      </c>
    </row>
    <row r="1612" spans="5:6" x14ac:dyDescent="0.25">
      <c r="E1612" t="s">
        <v>2401</v>
      </c>
      <c r="F1612" t="str">
        <f t="shared" si="25"/>
        <v>TURMEQUÉ</v>
      </c>
    </row>
    <row r="1613" spans="5:6" x14ac:dyDescent="0.25">
      <c r="E1613" t="s">
        <v>2402</v>
      </c>
      <c r="F1613" t="str">
        <f t="shared" si="25"/>
        <v>UBALÁ</v>
      </c>
    </row>
    <row r="1614" spans="5:6" x14ac:dyDescent="0.25">
      <c r="E1614" t="s">
        <v>2403</v>
      </c>
      <c r="F1614" t="str">
        <f t="shared" si="25"/>
        <v>UBATÉ</v>
      </c>
    </row>
    <row r="1615" spans="5:6" x14ac:dyDescent="0.25">
      <c r="E1615" t="s">
        <v>2404</v>
      </c>
      <c r="F1615" t="str">
        <f t="shared" si="25"/>
        <v>ÚMBITA</v>
      </c>
    </row>
    <row r="1616" spans="5:6" x14ac:dyDescent="0.25">
      <c r="E1616" t="s">
        <v>2405</v>
      </c>
      <c r="F1616" t="str">
        <f t="shared" si="25"/>
        <v>UNGUÍA</v>
      </c>
    </row>
    <row r="1617" spans="5:6" x14ac:dyDescent="0.25">
      <c r="E1617" t="s">
        <v>2406</v>
      </c>
      <c r="F1617" t="str">
        <f t="shared" si="25"/>
        <v>USIACURÍ</v>
      </c>
    </row>
    <row r="1618" spans="5:6" x14ac:dyDescent="0.25">
      <c r="E1618" t="s">
        <v>2407</v>
      </c>
      <c r="F1618" t="str">
        <f t="shared" si="25"/>
        <v>ÚTICA</v>
      </c>
    </row>
    <row r="1619" spans="5:6" x14ac:dyDescent="0.25">
      <c r="E1619" t="s">
        <v>2408</v>
      </c>
      <c r="F1619" t="str">
        <f t="shared" si="25"/>
        <v>VALLE DE SAN JOSÉ</v>
      </c>
    </row>
    <row r="1620" spans="5:6" x14ac:dyDescent="0.25">
      <c r="E1620" t="s">
        <v>2409</v>
      </c>
      <c r="F1620" t="str">
        <f t="shared" si="25"/>
        <v>VÉLEZ</v>
      </c>
    </row>
    <row r="1621" spans="5:6" x14ac:dyDescent="0.25">
      <c r="E1621" t="s">
        <v>2410</v>
      </c>
      <c r="F1621" t="str">
        <f t="shared" si="25"/>
        <v>VIANÍ</v>
      </c>
    </row>
    <row r="1622" spans="5:6" x14ac:dyDescent="0.25">
      <c r="E1622" t="s">
        <v>2411</v>
      </c>
      <c r="F1622" t="str">
        <f t="shared" si="25"/>
        <v>VILLA DEL ROSARIO</v>
      </c>
    </row>
    <row r="1623" spans="5:6" x14ac:dyDescent="0.25">
      <c r="E1623" t="s">
        <v>2412</v>
      </c>
      <c r="F1623" t="str">
        <f t="shared" si="25"/>
        <v>VILLAGARZÓN</v>
      </c>
    </row>
    <row r="1624" spans="5:6" x14ac:dyDescent="0.25">
      <c r="E1624" t="s">
        <v>2413</v>
      </c>
      <c r="F1624" t="str">
        <f t="shared" si="25"/>
        <v>VILLAMARÍA</v>
      </c>
    </row>
    <row r="1625" spans="5:6" x14ac:dyDescent="0.25">
      <c r="E1625" t="s">
        <v>2414</v>
      </c>
      <c r="F1625" t="str">
        <f t="shared" si="25"/>
        <v>VILLAPINZÓN</v>
      </c>
    </row>
    <row r="1626" spans="5:6" x14ac:dyDescent="0.25">
      <c r="E1626" t="s">
        <v>2415</v>
      </c>
      <c r="F1626" t="str">
        <f t="shared" si="25"/>
        <v>VIOTÁ</v>
      </c>
    </row>
    <row r="1627" spans="5:6" x14ac:dyDescent="0.25">
      <c r="E1627" t="s">
        <v>2416</v>
      </c>
      <c r="F1627" t="str">
        <f t="shared" si="25"/>
        <v>VIRACACHÁ</v>
      </c>
    </row>
    <row r="1628" spans="5:6" x14ac:dyDescent="0.25">
      <c r="E1628" t="s">
        <v>2417</v>
      </c>
      <c r="F1628" t="str">
        <f t="shared" si="25"/>
        <v>VISTA HERMOSA</v>
      </c>
    </row>
    <row r="1629" spans="5:6" x14ac:dyDescent="0.25">
      <c r="E1629" t="s">
        <v>2418</v>
      </c>
      <c r="F1629" t="str">
        <f t="shared" si="25"/>
        <v>YAGUARÁ</v>
      </c>
    </row>
    <row r="1630" spans="5:6" x14ac:dyDescent="0.25">
      <c r="E1630" t="s">
        <v>2419</v>
      </c>
      <c r="F1630" t="str">
        <f t="shared" si="25"/>
        <v>YOLOMBÓ</v>
      </c>
    </row>
    <row r="1631" spans="5:6" x14ac:dyDescent="0.25">
      <c r="E1631" t="s">
        <v>2420</v>
      </c>
      <c r="F1631" t="str">
        <f t="shared" si="25"/>
        <v>YONDÓ</v>
      </c>
    </row>
    <row r="1632" spans="5:6" x14ac:dyDescent="0.25">
      <c r="E1632" t="s">
        <v>2421</v>
      </c>
      <c r="F1632" t="str">
        <f t="shared" si="25"/>
        <v>ZIPACÓN</v>
      </c>
    </row>
    <row r="1633" spans="5:6" x14ac:dyDescent="0.25">
      <c r="E1633" t="s">
        <v>2422</v>
      </c>
      <c r="F1633" t="str">
        <f t="shared" si="25"/>
        <v>ZIPAQUIRÁ</v>
      </c>
    </row>
  </sheetData>
  <autoFilter ref="K1:O108" xr:uid="{7289EFF4-C86D-4692-8196-EE9E289FF5B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Códigos DANE Municipios</vt:lpstr>
      <vt:lpstr>Hoja1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Laura Sarif Rivera Sanabria</cp:lastModifiedBy>
  <dcterms:created xsi:type="dcterms:W3CDTF">2015-06-05T18:19:34Z</dcterms:created>
  <dcterms:modified xsi:type="dcterms:W3CDTF">2025-11-08T17:25:15Z</dcterms:modified>
</cp:coreProperties>
</file>